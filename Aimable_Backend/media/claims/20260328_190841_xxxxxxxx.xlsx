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myk\Downloads\"/>
    </mc:Choice>
  </mc:AlternateContent>
  <bookViews>
    <workbookView xWindow="0" yWindow="0" windowWidth="23040" windowHeight="9252" activeTab="1"/>
  </bookViews>
  <sheets>
    <sheet name="before verif" sheetId="1" r:id="rId1"/>
    <sheet name="after verif" sheetId="2" r:id="rId2"/>
    <sheet name="report" sheetId="6" r:id="rId3"/>
  </sheets>
  <calcPr calcId="191029"/>
</workbook>
</file>

<file path=xl/calcChain.xml><?xml version="1.0" encoding="utf-8"?>
<calcChain xmlns="http://schemas.openxmlformats.org/spreadsheetml/2006/main">
  <c r="R2209" i="1" l="1"/>
  <c r="K2209" i="1"/>
  <c r="L2209" i="1"/>
  <c r="M2209" i="1"/>
  <c r="N2209" i="1"/>
  <c r="O2209" i="1"/>
  <c r="P2209" i="1"/>
  <c r="J2209" i="1"/>
  <c r="R2207" i="2"/>
  <c r="K2207" i="2"/>
  <c r="L2207" i="2"/>
  <c r="M2207" i="2"/>
  <c r="N2207" i="2"/>
  <c r="O2207" i="2"/>
  <c r="P2207" i="2"/>
  <c r="J2207" i="2"/>
  <c r="N1745" i="2" l="1"/>
  <c r="N850" i="2"/>
  <c r="D123" i="6"/>
  <c r="N30" i="2" l="1"/>
  <c r="N31" i="1"/>
  <c r="N1104" i="2" l="1"/>
  <c r="J2206" i="2" l="1"/>
  <c r="K2206" i="2"/>
  <c r="L2206" i="2"/>
  <c r="M2206" i="2"/>
  <c r="N2206" i="2"/>
  <c r="O2206" i="2"/>
  <c r="P2206" i="2"/>
  <c r="N1400" i="2" l="1"/>
  <c r="N1294" i="2"/>
  <c r="N1288" i="2"/>
  <c r="K1097" i="2"/>
  <c r="K851" i="2"/>
  <c r="K842" i="2"/>
  <c r="K840" i="2"/>
  <c r="K804" i="2"/>
  <c r="N528" i="2"/>
  <c r="N407" i="2"/>
  <c r="P371" i="2"/>
  <c r="K356" i="2"/>
  <c r="K192" i="2"/>
  <c r="K187" i="2"/>
  <c r="K181" i="2"/>
  <c r="P178" i="2"/>
  <c r="N153" i="2"/>
  <c r="J2207" i="1"/>
  <c r="K2207" i="1"/>
  <c r="L2207" i="1"/>
  <c r="M2207" i="1"/>
  <c r="N2207" i="1"/>
  <c r="O2207" i="1"/>
  <c r="P2207" i="1"/>
  <c r="Q2207" i="1"/>
  <c r="R2207" i="1"/>
  <c r="P82" i="2"/>
  <c r="R2205" i="2" l="1"/>
  <c r="R2204" i="2"/>
  <c r="P2203" i="2"/>
  <c r="Q2203" i="2" s="1"/>
  <c r="R2203" i="2" s="1"/>
  <c r="P2202" i="2"/>
  <c r="Q2202" i="2" s="1"/>
  <c r="R2202" i="2" s="1"/>
  <c r="P2201" i="2"/>
  <c r="N2201" i="2"/>
  <c r="Q2201" i="2" s="1"/>
  <c r="R2201" i="2" s="1"/>
  <c r="P2200" i="2"/>
  <c r="Q2200" i="2" s="1"/>
  <c r="R2200" i="2" s="1"/>
  <c r="Q2199" i="2"/>
  <c r="R2199" i="2" s="1"/>
  <c r="P2199" i="2"/>
  <c r="P2198" i="2"/>
  <c r="Q2198" i="2" s="1"/>
  <c r="R2198" i="2" s="1"/>
  <c r="Q2197" i="2"/>
  <c r="R2197" i="2" s="1"/>
  <c r="P2196" i="2"/>
  <c r="N2196" i="2"/>
  <c r="K2196" i="2"/>
  <c r="Q2196" i="2" s="1"/>
  <c r="R2196" i="2" s="1"/>
  <c r="R2195" i="2"/>
  <c r="Q2195" i="2"/>
  <c r="R2194" i="2"/>
  <c r="Q2194" i="2"/>
  <c r="R2193" i="2"/>
  <c r="Q2193" i="2"/>
  <c r="Q2192" i="2"/>
  <c r="R2192" i="2" s="1"/>
  <c r="R2191" i="2"/>
  <c r="Q2191" i="2"/>
  <c r="R2190" i="2"/>
  <c r="Q2190" i="2"/>
  <c r="R2189" i="2"/>
  <c r="Q2189" i="2"/>
  <c r="Q2188" i="2"/>
  <c r="R2188" i="2" s="1"/>
  <c r="R2187" i="2"/>
  <c r="Q2187" i="2"/>
  <c r="K2186" i="2"/>
  <c r="Q2186" i="2" s="1"/>
  <c r="R2186" i="2" s="1"/>
  <c r="N2185" i="2"/>
  <c r="K2185" i="2"/>
  <c r="Q2185" i="2" s="1"/>
  <c r="R2185" i="2" s="1"/>
  <c r="Q2184" i="2"/>
  <c r="R2184" i="2" s="1"/>
  <c r="Q2183" i="2"/>
  <c r="R2183" i="2" s="1"/>
  <c r="K2182" i="2"/>
  <c r="Q2182" i="2" s="1"/>
  <c r="R2182" i="2" s="1"/>
  <c r="R2181" i="2"/>
  <c r="Q2181" i="2"/>
  <c r="R2180" i="2"/>
  <c r="Q2180" i="2"/>
  <c r="N2179" i="2"/>
  <c r="Q2179" i="2" s="1"/>
  <c r="R2179" i="2" s="1"/>
  <c r="R2178" i="2"/>
  <c r="Q2178" i="2"/>
  <c r="Q2177" i="2"/>
  <c r="R2177" i="2" s="1"/>
  <c r="K2177" i="2"/>
  <c r="R2176" i="2"/>
  <c r="K2176" i="2"/>
  <c r="Q2176" i="2" s="1"/>
  <c r="R2175" i="2"/>
  <c r="Q2175" i="2"/>
  <c r="K2175" i="2"/>
  <c r="K2174" i="2"/>
  <c r="Q2174" i="2" s="1"/>
  <c r="R2174" i="2" s="1"/>
  <c r="Q2173" i="2"/>
  <c r="R2173" i="2" s="1"/>
  <c r="R2172" i="2"/>
  <c r="Q2172" i="2"/>
  <c r="K2172" i="2"/>
  <c r="R2171" i="2"/>
  <c r="Q2171" i="2"/>
  <c r="R2170" i="2"/>
  <c r="P2170" i="2"/>
  <c r="Q2170" i="2" s="1"/>
  <c r="Q2169" i="2"/>
  <c r="R2169" i="2" s="1"/>
  <c r="P2169" i="2"/>
  <c r="N2169" i="2"/>
  <c r="K2169" i="2"/>
  <c r="K2168" i="2"/>
  <c r="Q2168" i="2" s="1"/>
  <c r="R2168" i="2" s="1"/>
  <c r="Q2167" i="2"/>
  <c r="R2167" i="2" s="1"/>
  <c r="Q2166" i="2"/>
  <c r="R2166" i="2" s="1"/>
  <c r="K2166" i="2"/>
  <c r="K2165" i="2"/>
  <c r="Q2165" i="2" s="1"/>
  <c r="R2165" i="2" s="1"/>
  <c r="Q2164" i="2"/>
  <c r="R2164" i="2" s="1"/>
  <c r="Q2163" i="2"/>
  <c r="R2163" i="2" s="1"/>
  <c r="K2163" i="2"/>
  <c r="R2162" i="2"/>
  <c r="K2162" i="2"/>
  <c r="Q2162" i="2" s="1"/>
  <c r="Q2161" i="2"/>
  <c r="R2161" i="2" s="1"/>
  <c r="Q2160" i="2"/>
  <c r="R2160" i="2" s="1"/>
  <c r="K2160" i="2"/>
  <c r="R2159" i="2"/>
  <c r="Q2159" i="2"/>
  <c r="Q2158" i="2"/>
  <c r="R2158" i="2" s="1"/>
  <c r="K2158" i="2"/>
  <c r="Q2157" i="2"/>
  <c r="R2157" i="2" s="1"/>
  <c r="Q2156" i="2"/>
  <c r="R2156" i="2" s="1"/>
  <c r="K2156" i="2"/>
  <c r="Q2155" i="2"/>
  <c r="R2155" i="2" s="1"/>
  <c r="K2155" i="2"/>
  <c r="Q2154" i="2"/>
  <c r="R2154" i="2" s="1"/>
  <c r="K2154" i="2"/>
  <c r="R2153" i="2"/>
  <c r="N2153" i="2"/>
  <c r="Q2153" i="2" s="1"/>
  <c r="R2152" i="2"/>
  <c r="Q2152" i="2"/>
  <c r="Q2151" i="2"/>
  <c r="R2151" i="2" s="1"/>
  <c r="Q2150" i="2"/>
  <c r="R2150" i="2" s="1"/>
  <c r="K2150" i="2"/>
  <c r="Q2149" i="2"/>
  <c r="R2149" i="2" s="1"/>
  <c r="R2148" i="2"/>
  <c r="Q2148" i="2"/>
  <c r="R2147" i="2"/>
  <c r="Q2147" i="2"/>
  <c r="R2146" i="2"/>
  <c r="Q2146" i="2"/>
  <c r="K2145" i="2"/>
  <c r="Q2145" i="2" s="1"/>
  <c r="R2145" i="2" s="1"/>
  <c r="Q2144" i="2"/>
  <c r="R2144" i="2" s="1"/>
  <c r="Q2143" i="2"/>
  <c r="R2143" i="2" s="1"/>
  <c r="K2142" i="2"/>
  <c r="Q2142" i="2" s="1"/>
  <c r="R2142" i="2" s="1"/>
  <c r="K2141" i="2"/>
  <c r="Q2141" i="2" s="1"/>
  <c r="R2141" i="2" s="1"/>
  <c r="Q2140" i="2"/>
  <c r="R2140" i="2" s="1"/>
  <c r="K2140" i="2"/>
  <c r="Q2139" i="2"/>
  <c r="R2139" i="2" s="1"/>
  <c r="R2138" i="2"/>
  <c r="K2138" i="2"/>
  <c r="Q2138" i="2" s="1"/>
  <c r="Q2137" i="2"/>
  <c r="R2137" i="2" s="1"/>
  <c r="N2136" i="2"/>
  <c r="Q2136" i="2" s="1"/>
  <c r="R2136" i="2" s="1"/>
  <c r="R2135" i="2"/>
  <c r="Q2135" i="2"/>
  <c r="R2134" i="2"/>
  <c r="Q2134" i="2"/>
  <c r="P2133" i="2"/>
  <c r="N2133" i="2"/>
  <c r="Q2133" i="2" s="1"/>
  <c r="R2133" i="2" s="1"/>
  <c r="K2132" i="2"/>
  <c r="Q2132" i="2" s="1"/>
  <c r="R2132" i="2" s="1"/>
  <c r="Q2131" i="2"/>
  <c r="R2131" i="2" s="1"/>
  <c r="K2130" i="2"/>
  <c r="Q2130" i="2" s="1"/>
  <c r="R2130" i="2" s="1"/>
  <c r="R2129" i="2"/>
  <c r="P2129" i="2"/>
  <c r="Q2129" i="2" s="1"/>
  <c r="Q2128" i="2"/>
  <c r="R2128" i="2" s="1"/>
  <c r="P2128" i="2"/>
  <c r="P2127" i="2"/>
  <c r="Q2127" i="2" s="1"/>
  <c r="R2127" i="2" s="1"/>
  <c r="Q2126" i="2"/>
  <c r="R2126" i="2" s="1"/>
  <c r="P2126" i="2"/>
  <c r="R2125" i="2"/>
  <c r="P2125" i="2"/>
  <c r="Q2125" i="2" s="1"/>
  <c r="Q2124" i="2"/>
  <c r="R2124" i="2" s="1"/>
  <c r="P2124" i="2"/>
  <c r="P2123" i="2"/>
  <c r="N2123" i="2"/>
  <c r="K2123" i="2"/>
  <c r="Q2123" i="2" s="1"/>
  <c r="R2123" i="2" s="1"/>
  <c r="R2122" i="2"/>
  <c r="Q2122" i="2"/>
  <c r="Q2121" i="2"/>
  <c r="R2121" i="2" s="1"/>
  <c r="Q2120" i="2"/>
  <c r="R2120" i="2" s="1"/>
  <c r="Q2119" i="2"/>
  <c r="R2119" i="2" s="1"/>
  <c r="R2118" i="2"/>
  <c r="Q2118" i="2"/>
  <c r="K2118" i="2"/>
  <c r="R2117" i="2"/>
  <c r="Q2117" i="2"/>
  <c r="P2116" i="2"/>
  <c r="N2116" i="2"/>
  <c r="Q2116" i="2" s="1"/>
  <c r="R2116" i="2" s="1"/>
  <c r="R2115" i="2"/>
  <c r="K2115" i="2"/>
  <c r="Q2115" i="2" s="1"/>
  <c r="Q2114" i="2"/>
  <c r="R2114" i="2" s="1"/>
  <c r="Q2113" i="2"/>
  <c r="R2113" i="2" s="1"/>
  <c r="R2112" i="2"/>
  <c r="Q2112" i="2"/>
  <c r="P2111" i="2"/>
  <c r="N2111" i="2"/>
  <c r="Q2111" i="2" s="1"/>
  <c r="R2111" i="2" s="1"/>
  <c r="K2110" i="2"/>
  <c r="Q2110" i="2" s="1"/>
  <c r="R2110" i="2" s="1"/>
  <c r="R2109" i="2"/>
  <c r="Q2109" i="2"/>
  <c r="K2108" i="2"/>
  <c r="Q2108" i="2" s="1"/>
  <c r="R2108" i="2" s="1"/>
  <c r="Q2107" i="2"/>
  <c r="R2107" i="2" s="1"/>
  <c r="Q2106" i="2"/>
  <c r="R2106" i="2" s="1"/>
  <c r="Q2105" i="2"/>
  <c r="R2105" i="2" s="1"/>
  <c r="Q2104" i="2"/>
  <c r="R2104" i="2" s="1"/>
  <c r="K2104" i="2"/>
  <c r="Q2103" i="2"/>
  <c r="R2103" i="2" s="1"/>
  <c r="R2102" i="2"/>
  <c r="K2102" i="2"/>
  <c r="Q2102" i="2" s="1"/>
  <c r="Q2101" i="2"/>
  <c r="R2101" i="2" s="1"/>
  <c r="K2101" i="2"/>
  <c r="N2100" i="2"/>
  <c r="Q2100" i="2" s="1"/>
  <c r="R2100" i="2" s="1"/>
  <c r="Q2099" i="2"/>
  <c r="R2099" i="2" s="1"/>
  <c r="Q2098" i="2"/>
  <c r="R2098" i="2" s="1"/>
  <c r="K2098" i="2"/>
  <c r="Q2097" i="2"/>
  <c r="R2097" i="2" s="1"/>
  <c r="K2097" i="2"/>
  <c r="Q2096" i="2"/>
  <c r="R2096" i="2" s="1"/>
  <c r="Q2095" i="2"/>
  <c r="R2095" i="2" s="1"/>
  <c r="K2094" i="2"/>
  <c r="Q2094" i="2" s="1"/>
  <c r="R2094" i="2" s="1"/>
  <c r="R2093" i="2"/>
  <c r="Q2093" i="2"/>
  <c r="K2092" i="2"/>
  <c r="Q2092" i="2" s="1"/>
  <c r="R2092" i="2" s="1"/>
  <c r="Q2091" i="2"/>
  <c r="R2091" i="2" s="1"/>
  <c r="Q2090" i="2"/>
  <c r="R2090" i="2" s="1"/>
  <c r="Q2089" i="2"/>
  <c r="R2089" i="2" s="1"/>
  <c r="Q2088" i="2"/>
  <c r="R2088" i="2" s="1"/>
  <c r="K2088" i="2"/>
  <c r="Q2087" i="2"/>
  <c r="R2087" i="2" s="1"/>
  <c r="R2086" i="2"/>
  <c r="Q2086" i="2"/>
  <c r="R2085" i="2"/>
  <c r="Q2085" i="2"/>
  <c r="Q2084" i="2"/>
  <c r="R2084" i="2" s="1"/>
  <c r="Q2083" i="2"/>
  <c r="R2083" i="2" s="1"/>
  <c r="R2082" i="2"/>
  <c r="Q2082" i="2"/>
  <c r="R2081" i="2"/>
  <c r="Q2081" i="2"/>
  <c r="R2080" i="2"/>
  <c r="K2080" i="2"/>
  <c r="Q2080" i="2" s="1"/>
  <c r="R2079" i="2"/>
  <c r="Q2079" i="2"/>
  <c r="P2079" i="2"/>
  <c r="N2079" i="2"/>
  <c r="K2079" i="2"/>
  <c r="R2078" i="2"/>
  <c r="Q2078" i="2"/>
  <c r="P2077" i="2"/>
  <c r="Q2077" i="2" s="1"/>
  <c r="R2077" i="2" s="1"/>
  <c r="N2077" i="2"/>
  <c r="K2077" i="2"/>
  <c r="Q2076" i="2"/>
  <c r="R2076" i="2" s="1"/>
  <c r="K2075" i="2"/>
  <c r="Q2075" i="2" s="1"/>
  <c r="R2075" i="2" s="1"/>
  <c r="K2074" i="2"/>
  <c r="Q2074" i="2" s="1"/>
  <c r="R2074" i="2" s="1"/>
  <c r="Q2073" i="2"/>
  <c r="R2073" i="2" s="1"/>
  <c r="Q2072" i="2"/>
  <c r="R2072" i="2" s="1"/>
  <c r="Q2071" i="2"/>
  <c r="R2071" i="2" s="1"/>
  <c r="Q2070" i="2"/>
  <c r="R2070" i="2" s="1"/>
  <c r="K2070" i="2"/>
  <c r="R2069" i="2"/>
  <c r="Q2069" i="2"/>
  <c r="Q2068" i="2"/>
  <c r="R2068" i="2" s="1"/>
  <c r="R2067" i="2"/>
  <c r="Q2067" i="2"/>
  <c r="R2066" i="2"/>
  <c r="Q2066" i="2"/>
  <c r="K2065" i="2"/>
  <c r="Q2065" i="2" s="1"/>
  <c r="R2065" i="2" s="1"/>
  <c r="Q2064" i="2"/>
  <c r="R2064" i="2" s="1"/>
  <c r="N2064" i="2"/>
  <c r="K2063" i="2"/>
  <c r="Q2063" i="2" s="1"/>
  <c r="R2063" i="2" s="1"/>
  <c r="Q2062" i="2"/>
  <c r="R2062" i="2" s="1"/>
  <c r="K2062" i="2"/>
  <c r="R2061" i="2"/>
  <c r="Q2061" i="2"/>
  <c r="K2060" i="2"/>
  <c r="Q2060" i="2" s="1"/>
  <c r="R2060" i="2" s="1"/>
  <c r="Q2059" i="2"/>
  <c r="R2059" i="2" s="1"/>
  <c r="K2059" i="2"/>
  <c r="K2058" i="2"/>
  <c r="Q2058" i="2" s="1"/>
  <c r="R2058" i="2" s="1"/>
  <c r="Q2057" i="2"/>
  <c r="R2057" i="2" s="1"/>
  <c r="N2057" i="2"/>
  <c r="N2056" i="2"/>
  <c r="Q2056" i="2" s="1"/>
  <c r="R2056" i="2" s="1"/>
  <c r="Q2055" i="2"/>
  <c r="R2055" i="2" s="1"/>
  <c r="N2055" i="2"/>
  <c r="R2054" i="2"/>
  <c r="K2054" i="2"/>
  <c r="Q2054" i="2" s="1"/>
  <c r="Q2053" i="2"/>
  <c r="R2053" i="2" s="1"/>
  <c r="K2053" i="2"/>
  <c r="K2052" i="2"/>
  <c r="Q2052" i="2" s="1"/>
  <c r="R2052" i="2" s="1"/>
  <c r="N2051" i="2"/>
  <c r="Q2051" i="2" s="1"/>
  <c r="R2051" i="2" s="1"/>
  <c r="R2050" i="2"/>
  <c r="N2050" i="2"/>
  <c r="Q2050" i="2" s="1"/>
  <c r="Q2049" i="2"/>
  <c r="R2049" i="2" s="1"/>
  <c r="K2049" i="2"/>
  <c r="Q2048" i="2"/>
  <c r="R2048" i="2" s="1"/>
  <c r="K2048" i="2"/>
  <c r="Q2047" i="2"/>
  <c r="R2047" i="2" s="1"/>
  <c r="N2047" i="2"/>
  <c r="R2046" i="2"/>
  <c r="K2046" i="2"/>
  <c r="Q2046" i="2" s="1"/>
  <c r="R2045" i="2"/>
  <c r="Q2045" i="2"/>
  <c r="Q2044" i="2"/>
  <c r="R2044" i="2" s="1"/>
  <c r="Q2043" i="2"/>
  <c r="R2043" i="2" s="1"/>
  <c r="K2042" i="2"/>
  <c r="Q2042" i="2" s="1"/>
  <c r="R2042" i="2" s="1"/>
  <c r="R2041" i="2"/>
  <c r="N2041" i="2"/>
  <c r="Q2041" i="2" s="1"/>
  <c r="Q2040" i="2"/>
  <c r="R2040" i="2" s="1"/>
  <c r="K2040" i="2"/>
  <c r="R2039" i="2"/>
  <c r="Q2039" i="2"/>
  <c r="P2038" i="2"/>
  <c r="Q2038" i="2" s="1"/>
  <c r="R2038" i="2" s="1"/>
  <c r="Q2037" i="2"/>
  <c r="R2037" i="2" s="1"/>
  <c r="P2037" i="2"/>
  <c r="P2036" i="2"/>
  <c r="Q2036" i="2" s="1"/>
  <c r="R2036" i="2" s="1"/>
  <c r="N2036" i="2"/>
  <c r="P2035" i="2"/>
  <c r="Q2035" i="2" s="1"/>
  <c r="R2035" i="2" s="1"/>
  <c r="Q2034" i="2"/>
  <c r="R2034" i="2" s="1"/>
  <c r="P2034" i="2"/>
  <c r="P2033" i="2"/>
  <c r="Q2033" i="2" s="1"/>
  <c r="R2033" i="2" s="1"/>
  <c r="Q2032" i="2"/>
  <c r="R2032" i="2" s="1"/>
  <c r="P2032" i="2"/>
  <c r="P2031" i="2"/>
  <c r="Q2031" i="2" s="1"/>
  <c r="R2031" i="2" s="1"/>
  <c r="Q2030" i="2"/>
  <c r="R2030" i="2" s="1"/>
  <c r="Q2029" i="2"/>
  <c r="R2029" i="2" s="1"/>
  <c r="Q2028" i="2"/>
  <c r="R2028" i="2" s="1"/>
  <c r="Q2027" i="2"/>
  <c r="R2027" i="2" s="1"/>
  <c r="Q2026" i="2"/>
  <c r="R2026" i="2" s="1"/>
  <c r="Q2025" i="2"/>
  <c r="R2025" i="2" s="1"/>
  <c r="Q2024" i="2"/>
  <c r="R2024" i="2" s="1"/>
  <c r="R2023" i="2"/>
  <c r="Q2023" i="2"/>
  <c r="Q2022" i="2"/>
  <c r="R2022" i="2" s="1"/>
  <c r="Q2021" i="2"/>
  <c r="R2021" i="2" s="1"/>
  <c r="Q2020" i="2"/>
  <c r="R2020" i="2" s="1"/>
  <c r="K2020" i="2"/>
  <c r="R2019" i="2"/>
  <c r="Q2019" i="2"/>
  <c r="R2018" i="2"/>
  <c r="Q2018" i="2"/>
  <c r="K2017" i="2"/>
  <c r="Q2017" i="2" s="1"/>
  <c r="R2017" i="2" s="1"/>
  <c r="R2016" i="2"/>
  <c r="Q2016" i="2"/>
  <c r="K2016" i="2"/>
  <c r="R2015" i="2"/>
  <c r="Q2015" i="2"/>
  <c r="R2014" i="2"/>
  <c r="Q2014" i="2"/>
  <c r="Q2013" i="2"/>
  <c r="R2013" i="2" s="1"/>
  <c r="R2012" i="2"/>
  <c r="Q2012" i="2"/>
  <c r="K2011" i="2"/>
  <c r="Q2011" i="2" s="1"/>
  <c r="R2011" i="2" s="1"/>
  <c r="Q2010" i="2"/>
  <c r="R2010" i="2" s="1"/>
  <c r="Q2009" i="2"/>
  <c r="R2009" i="2" s="1"/>
  <c r="N2009" i="2"/>
  <c r="K2008" i="2"/>
  <c r="Q2008" i="2" s="1"/>
  <c r="R2008" i="2" s="1"/>
  <c r="K2007" i="2"/>
  <c r="Q2007" i="2" s="1"/>
  <c r="R2007" i="2" s="1"/>
  <c r="R2006" i="2"/>
  <c r="Q2006" i="2"/>
  <c r="K2005" i="2"/>
  <c r="Q2005" i="2" s="1"/>
  <c r="R2005" i="2" s="1"/>
  <c r="Q2004" i="2"/>
  <c r="R2004" i="2" s="1"/>
  <c r="Q2003" i="2"/>
  <c r="R2003" i="2" s="1"/>
  <c r="Q2002" i="2"/>
  <c r="R2002" i="2" s="1"/>
  <c r="N2002" i="2"/>
  <c r="R2001" i="2"/>
  <c r="Q2001" i="2"/>
  <c r="Q2000" i="2"/>
  <c r="R2000" i="2" s="1"/>
  <c r="R1999" i="2"/>
  <c r="Q1999" i="2"/>
  <c r="R1998" i="2"/>
  <c r="Q1998" i="2"/>
  <c r="R1997" i="2"/>
  <c r="Q1997" i="2"/>
  <c r="Q1996" i="2"/>
  <c r="R1996" i="2" s="1"/>
  <c r="K1996" i="2"/>
  <c r="Q1995" i="2"/>
  <c r="R1995" i="2" s="1"/>
  <c r="K1995" i="2"/>
  <c r="K1994" i="2"/>
  <c r="Q1994" i="2" s="1"/>
  <c r="R1994" i="2" s="1"/>
  <c r="R1993" i="2"/>
  <c r="Q1993" i="2"/>
  <c r="K1993" i="2"/>
  <c r="P1992" i="2"/>
  <c r="Q1992" i="2" s="1"/>
  <c r="R1992" i="2" s="1"/>
  <c r="Q1991" i="2"/>
  <c r="R1991" i="2" s="1"/>
  <c r="K1991" i="2"/>
  <c r="N1990" i="2"/>
  <c r="Q1990" i="2" s="1"/>
  <c r="R1990" i="2" s="1"/>
  <c r="K1990" i="2"/>
  <c r="K1989" i="2"/>
  <c r="Q1989" i="2" s="1"/>
  <c r="R1989" i="2" s="1"/>
  <c r="Q1988" i="2"/>
  <c r="R1988" i="2" s="1"/>
  <c r="Q1987" i="2"/>
  <c r="R1987" i="2" s="1"/>
  <c r="K1987" i="2"/>
  <c r="R1986" i="2"/>
  <c r="N1986" i="2"/>
  <c r="Q1986" i="2" s="1"/>
  <c r="Q1985" i="2"/>
  <c r="R1985" i="2" s="1"/>
  <c r="Q1984" i="2"/>
  <c r="R1984" i="2" s="1"/>
  <c r="K1984" i="2"/>
  <c r="K1983" i="2"/>
  <c r="Q1983" i="2" s="1"/>
  <c r="R1983" i="2" s="1"/>
  <c r="R1982" i="2"/>
  <c r="Q1982" i="2"/>
  <c r="Q1981" i="2"/>
  <c r="R1981" i="2" s="1"/>
  <c r="Q1980" i="2"/>
  <c r="R1980" i="2" s="1"/>
  <c r="Q1979" i="2"/>
  <c r="R1979" i="2" s="1"/>
  <c r="R1978" i="2"/>
  <c r="Q1978" i="2"/>
  <c r="P1977" i="2"/>
  <c r="N1977" i="2"/>
  <c r="Q1977" i="2" s="1"/>
  <c r="R1977" i="2" s="1"/>
  <c r="K1977" i="2"/>
  <c r="Q1976" i="2"/>
  <c r="R1976" i="2" s="1"/>
  <c r="R1975" i="2"/>
  <c r="Q1975" i="2"/>
  <c r="R1974" i="2"/>
  <c r="Q1974" i="2"/>
  <c r="R1973" i="2"/>
  <c r="K1973" i="2"/>
  <c r="Q1973" i="2" s="1"/>
  <c r="Q1972" i="2"/>
  <c r="R1972" i="2" s="1"/>
  <c r="K1972" i="2"/>
  <c r="R1971" i="2"/>
  <c r="Q1971" i="2"/>
  <c r="K1970" i="2"/>
  <c r="Q1970" i="2" s="1"/>
  <c r="R1970" i="2" s="1"/>
  <c r="R1969" i="2"/>
  <c r="Q1969" i="2"/>
  <c r="Q1968" i="2"/>
  <c r="R1968" i="2" s="1"/>
  <c r="Q1967" i="2"/>
  <c r="R1967" i="2" s="1"/>
  <c r="Q1966" i="2"/>
  <c r="R1966" i="2" s="1"/>
  <c r="K1966" i="2"/>
  <c r="K1965" i="2"/>
  <c r="Q1965" i="2" s="1"/>
  <c r="R1965" i="2" s="1"/>
  <c r="Q1964" i="2"/>
  <c r="R1964" i="2" s="1"/>
  <c r="K1964" i="2"/>
  <c r="Q1963" i="2"/>
  <c r="R1963" i="2" s="1"/>
  <c r="R1962" i="2"/>
  <c r="Q1962" i="2"/>
  <c r="N1961" i="2"/>
  <c r="Q1961" i="2" s="1"/>
  <c r="R1961" i="2" s="1"/>
  <c r="Q1960" i="2"/>
  <c r="R1960" i="2" s="1"/>
  <c r="K1960" i="2"/>
  <c r="Q1959" i="2"/>
  <c r="R1959" i="2" s="1"/>
  <c r="R1958" i="2"/>
  <c r="Q1958" i="2"/>
  <c r="K1957" i="2"/>
  <c r="Q1957" i="2" s="1"/>
  <c r="R1957" i="2" s="1"/>
  <c r="R1956" i="2"/>
  <c r="Q1956" i="2"/>
  <c r="K1956" i="2"/>
  <c r="R1955" i="2"/>
  <c r="Q1955" i="2"/>
  <c r="R1954" i="2"/>
  <c r="K1954" i="2"/>
  <c r="Q1954" i="2" s="1"/>
  <c r="Q1953" i="2"/>
  <c r="R1953" i="2" s="1"/>
  <c r="Q1952" i="2"/>
  <c r="R1952" i="2" s="1"/>
  <c r="Q1951" i="2"/>
  <c r="R1951" i="2" s="1"/>
  <c r="K1951" i="2"/>
  <c r="Q1950" i="2"/>
  <c r="R1950" i="2" s="1"/>
  <c r="K1950" i="2"/>
  <c r="Q1949" i="2"/>
  <c r="R1949" i="2" s="1"/>
  <c r="Q1948" i="2"/>
  <c r="R1948" i="2" s="1"/>
  <c r="P1948" i="2"/>
  <c r="P1947" i="2"/>
  <c r="Q1947" i="2" s="1"/>
  <c r="R1947" i="2" s="1"/>
  <c r="Q1946" i="2"/>
  <c r="R1946" i="2" s="1"/>
  <c r="P1946" i="2"/>
  <c r="P1945" i="2"/>
  <c r="Q1945" i="2" s="1"/>
  <c r="R1945" i="2" s="1"/>
  <c r="R1944" i="2"/>
  <c r="Q1944" i="2"/>
  <c r="P1944" i="2"/>
  <c r="R1943" i="2"/>
  <c r="Q1943" i="2"/>
  <c r="P1942" i="2"/>
  <c r="Q1942" i="2" s="1"/>
  <c r="R1942" i="2" s="1"/>
  <c r="R1941" i="2"/>
  <c r="Q1941" i="2"/>
  <c r="P1941" i="2"/>
  <c r="P1940" i="2"/>
  <c r="Q1940" i="2" s="1"/>
  <c r="R1940" i="2" s="1"/>
  <c r="P1939" i="2"/>
  <c r="Q1939" i="2" s="1"/>
  <c r="R1939" i="2" s="1"/>
  <c r="N1939" i="2"/>
  <c r="K1939" i="2"/>
  <c r="R1938" i="2"/>
  <c r="Q1938" i="2"/>
  <c r="P1937" i="2"/>
  <c r="N1937" i="2"/>
  <c r="K1937" i="2"/>
  <c r="Q1937" i="2" s="1"/>
  <c r="R1937" i="2" s="1"/>
  <c r="Q1936" i="2"/>
  <c r="R1936" i="2" s="1"/>
  <c r="K1936" i="2"/>
  <c r="R1935" i="2"/>
  <c r="Q1935" i="2"/>
  <c r="Q1934" i="2"/>
  <c r="R1934" i="2" s="1"/>
  <c r="R1933" i="2"/>
  <c r="Q1933" i="2"/>
  <c r="K1932" i="2"/>
  <c r="Q1932" i="2" s="1"/>
  <c r="R1932" i="2" s="1"/>
  <c r="Q1931" i="2"/>
  <c r="R1931" i="2" s="1"/>
  <c r="R1930" i="2"/>
  <c r="Q1930" i="2"/>
  <c r="K1929" i="2"/>
  <c r="Q1929" i="2" s="1"/>
  <c r="R1929" i="2" s="1"/>
  <c r="K1928" i="2"/>
  <c r="Q1928" i="2" s="1"/>
  <c r="R1928" i="2" s="1"/>
  <c r="R1927" i="2"/>
  <c r="Q1927" i="2"/>
  <c r="K1927" i="2"/>
  <c r="Q1926" i="2"/>
  <c r="R1926" i="2" s="1"/>
  <c r="K1926" i="2"/>
  <c r="R1925" i="2"/>
  <c r="Q1925" i="2"/>
  <c r="R1924" i="2"/>
  <c r="Q1924" i="2"/>
  <c r="K1924" i="2"/>
  <c r="Q1923" i="2"/>
  <c r="R1923" i="2" s="1"/>
  <c r="K1923" i="2"/>
  <c r="Q1922" i="2"/>
  <c r="R1922" i="2" s="1"/>
  <c r="K1922" i="2"/>
  <c r="R1921" i="2"/>
  <c r="Q1921" i="2"/>
  <c r="K1921" i="2"/>
  <c r="R1920" i="2"/>
  <c r="Q1920" i="2"/>
  <c r="Q1919" i="2"/>
  <c r="R1919" i="2" s="1"/>
  <c r="R1918" i="2"/>
  <c r="Q1918" i="2"/>
  <c r="K1918" i="2"/>
  <c r="Q1917" i="2"/>
  <c r="R1917" i="2" s="1"/>
  <c r="Q1916" i="2"/>
  <c r="R1916" i="2" s="1"/>
  <c r="K1916" i="2"/>
  <c r="R1915" i="2"/>
  <c r="Q1915" i="2"/>
  <c r="K1915" i="2"/>
  <c r="Q1914" i="2"/>
  <c r="R1914" i="2" s="1"/>
  <c r="Q1913" i="2"/>
  <c r="R1913" i="2" s="1"/>
  <c r="Q1912" i="2"/>
  <c r="R1912" i="2" s="1"/>
  <c r="R1911" i="2"/>
  <c r="Q1911" i="2"/>
  <c r="Q1910" i="2"/>
  <c r="R1910" i="2" s="1"/>
  <c r="K1909" i="2"/>
  <c r="Q1909" i="2" s="1"/>
  <c r="R1909" i="2" s="1"/>
  <c r="R1908" i="2"/>
  <c r="Q1908" i="2"/>
  <c r="K1908" i="2"/>
  <c r="Q1907" i="2"/>
  <c r="R1907" i="2" s="1"/>
  <c r="K1906" i="2"/>
  <c r="Q1906" i="2" s="1"/>
  <c r="R1906" i="2" s="1"/>
  <c r="R1905" i="2"/>
  <c r="Q1905" i="2"/>
  <c r="N1905" i="2"/>
  <c r="Q1904" i="2"/>
  <c r="R1904" i="2" s="1"/>
  <c r="Q1903" i="2"/>
  <c r="R1903" i="2" s="1"/>
  <c r="K1903" i="2"/>
  <c r="R1902" i="2"/>
  <c r="Q1902" i="2"/>
  <c r="K1902" i="2"/>
  <c r="Q1901" i="2"/>
  <c r="R1901" i="2" s="1"/>
  <c r="Q1900" i="2"/>
  <c r="R1900" i="2" s="1"/>
  <c r="Q1899" i="2"/>
  <c r="R1899" i="2" s="1"/>
  <c r="K1899" i="2"/>
  <c r="K1898" i="2"/>
  <c r="Q1898" i="2" s="1"/>
  <c r="R1898" i="2" s="1"/>
  <c r="Q1897" i="2"/>
  <c r="R1897" i="2" s="1"/>
  <c r="K1897" i="2"/>
  <c r="R1896" i="2"/>
  <c r="Q1896" i="2"/>
  <c r="K1896" i="2"/>
  <c r="Q1895" i="2"/>
  <c r="R1895" i="2" s="1"/>
  <c r="Q1894" i="2"/>
  <c r="R1894" i="2" s="1"/>
  <c r="K1894" i="2"/>
  <c r="R1893" i="2"/>
  <c r="Q1893" i="2"/>
  <c r="R1892" i="2"/>
  <c r="Q1892" i="2"/>
  <c r="K1891" i="2"/>
  <c r="Q1891" i="2" s="1"/>
  <c r="R1891" i="2" s="1"/>
  <c r="R1890" i="2"/>
  <c r="Q1890" i="2"/>
  <c r="K1890" i="2"/>
  <c r="R1889" i="2"/>
  <c r="Q1889" i="2"/>
  <c r="Q1888" i="2"/>
  <c r="R1888" i="2" s="1"/>
  <c r="R1887" i="2"/>
  <c r="Q1887" i="2"/>
  <c r="K1887" i="2"/>
  <c r="R1886" i="2"/>
  <c r="Q1886" i="2"/>
  <c r="P1885" i="2"/>
  <c r="N1885" i="2"/>
  <c r="K1885" i="2"/>
  <c r="Q1885" i="2" s="1"/>
  <c r="R1885" i="2" s="1"/>
  <c r="R1884" i="2"/>
  <c r="Q1884" i="2"/>
  <c r="R1883" i="2"/>
  <c r="Q1883" i="2"/>
  <c r="R1882" i="2"/>
  <c r="K1882" i="2"/>
  <c r="Q1882" i="2" s="1"/>
  <c r="Q1881" i="2"/>
  <c r="R1881" i="2" s="1"/>
  <c r="K1881" i="2"/>
  <c r="K1880" i="2"/>
  <c r="Q1880" i="2" s="1"/>
  <c r="R1880" i="2" s="1"/>
  <c r="Q1879" i="2"/>
  <c r="R1879" i="2" s="1"/>
  <c r="K1879" i="2"/>
  <c r="R1878" i="2"/>
  <c r="Q1878" i="2"/>
  <c r="K1878" i="2"/>
  <c r="Q1877" i="2"/>
  <c r="R1877" i="2" s="1"/>
  <c r="K1877" i="2"/>
  <c r="Q1876" i="2"/>
  <c r="R1876" i="2" s="1"/>
  <c r="K1876" i="2"/>
  <c r="R1875" i="2"/>
  <c r="Q1875" i="2"/>
  <c r="Q1874" i="2"/>
  <c r="R1874" i="2" s="1"/>
  <c r="K1874" i="2"/>
  <c r="N1873" i="2"/>
  <c r="Q1873" i="2" s="1"/>
  <c r="R1873" i="2" s="1"/>
  <c r="K1873" i="2"/>
  <c r="Q1872" i="2"/>
  <c r="R1872" i="2" s="1"/>
  <c r="K1871" i="2"/>
  <c r="Q1871" i="2" s="1"/>
  <c r="R1871" i="2" s="1"/>
  <c r="R1870" i="2"/>
  <c r="Q1870" i="2"/>
  <c r="K1870" i="2"/>
  <c r="K1869" i="2"/>
  <c r="Q1869" i="2" s="1"/>
  <c r="R1869" i="2" s="1"/>
  <c r="Q1868" i="2"/>
  <c r="R1868" i="2" s="1"/>
  <c r="P1868" i="2"/>
  <c r="R1867" i="2"/>
  <c r="Q1867" i="2"/>
  <c r="P1867" i="2"/>
  <c r="Q1866" i="2"/>
  <c r="R1866" i="2" s="1"/>
  <c r="P1866" i="2"/>
  <c r="Q1865" i="2"/>
  <c r="R1865" i="2" s="1"/>
  <c r="P1865" i="2"/>
  <c r="R1864" i="2"/>
  <c r="Q1864" i="2"/>
  <c r="P1864" i="2"/>
  <c r="P1863" i="2"/>
  <c r="Q1863" i="2" s="1"/>
  <c r="R1863" i="2" s="1"/>
  <c r="Q1862" i="2"/>
  <c r="R1862" i="2" s="1"/>
  <c r="P1862" i="2"/>
  <c r="P1861" i="2"/>
  <c r="N1861" i="2"/>
  <c r="Q1861" i="2" s="1"/>
  <c r="R1861" i="2" s="1"/>
  <c r="P1860" i="2"/>
  <c r="Q1860" i="2" s="1"/>
  <c r="R1860" i="2" s="1"/>
  <c r="R1859" i="2"/>
  <c r="Q1859" i="2"/>
  <c r="P1859" i="2"/>
  <c r="P1858" i="2"/>
  <c r="N1858" i="2"/>
  <c r="K1858" i="2"/>
  <c r="R1857" i="2"/>
  <c r="Q1857" i="2"/>
  <c r="P1857" i="2"/>
  <c r="P1856" i="2"/>
  <c r="N1856" i="2"/>
  <c r="K1856" i="2"/>
  <c r="R1855" i="2"/>
  <c r="Q1855" i="2"/>
  <c r="P1855" i="2"/>
  <c r="P1854" i="2"/>
  <c r="N1854" i="2"/>
  <c r="K1854" i="2"/>
  <c r="Q1854" i="2" s="1"/>
  <c r="R1854" i="2" s="1"/>
  <c r="R1853" i="2"/>
  <c r="Q1853" i="2"/>
  <c r="P1853" i="2"/>
  <c r="P1852" i="2"/>
  <c r="N1852" i="2"/>
  <c r="K1852" i="2"/>
  <c r="Q1852" i="2" s="1"/>
  <c r="R1852" i="2" s="1"/>
  <c r="R1851" i="2"/>
  <c r="Q1851" i="2"/>
  <c r="K1851" i="2"/>
  <c r="K1850" i="2"/>
  <c r="Q1850" i="2" s="1"/>
  <c r="R1850" i="2" s="1"/>
  <c r="R1849" i="2"/>
  <c r="Q1849" i="2"/>
  <c r="K1849" i="2"/>
  <c r="K1848" i="2"/>
  <c r="Q1848" i="2" s="1"/>
  <c r="R1848" i="2" s="1"/>
  <c r="Q1847" i="2"/>
  <c r="R1847" i="2" s="1"/>
  <c r="Q1846" i="2"/>
  <c r="R1846" i="2" s="1"/>
  <c r="K1846" i="2"/>
  <c r="K1845" i="2"/>
  <c r="Q1845" i="2" s="1"/>
  <c r="R1845" i="2" s="1"/>
  <c r="Q1844" i="2"/>
  <c r="R1844" i="2" s="1"/>
  <c r="Q1843" i="2"/>
  <c r="R1843" i="2" s="1"/>
  <c r="K1843" i="2"/>
  <c r="R1842" i="2"/>
  <c r="Q1842" i="2"/>
  <c r="K1841" i="2"/>
  <c r="Q1841" i="2" s="1"/>
  <c r="R1841" i="2" s="1"/>
  <c r="Q1840" i="2"/>
  <c r="R1840" i="2" s="1"/>
  <c r="R1839" i="2"/>
  <c r="Q1839" i="2"/>
  <c r="Q1838" i="2"/>
  <c r="R1838" i="2" s="1"/>
  <c r="K1838" i="2"/>
  <c r="Q1837" i="2"/>
  <c r="R1837" i="2" s="1"/>
  <c r="K1837" i="2"/>
  <c r="L1836" i="2"/>
  <c r="K1836" i="2"/>
  <c r="Q1836" i="2" s="1"/>
  <c r="R1836" i="2" s="1"/>
  <c r="Q1835" i="2"/>
  <c r="R1835" i="2" s="1"/>
  <c r="Q1834" i="2"/>
  <c r="R1834" i="2" s="1"/>
  <c r="Q1833" i="2"/>
  <c r="R1833" i="2" s="1"/>
  <c r="K1833" i="2"/>
  <c r="R1832" i="2"/>
  <c r="Q1832" i="2"/>
  <c r="R1831" i="2"/>
  <c r="Q1831" i="2"/>
  <c r="K1831" i="2"/>
  <c r="Q1830" i="2"/>
  <c r="R1830" i="2" s="1"/>
  <c r="Q1829" i="2"/>
  <c r="R1829" i="2" s="1"/>
  <c r="Q1828" i="2"/>
  <c r="R1828" i="2" s="1"/>
  <c r="K1828" i="2"/>
  <c r="K1827" i="2"/>
  <c r="Q1827" i="2" s="1"/>
  <c r="R1827" i="2" s="1"/>
  <c r="Q1826" i="2"/>
  <c r="R1826" i="2" s="1"/>
  <c r="K1825" i="2"/>
  <c r="Q1825" i="2" s="1"/>
  <c r="R1825" i="2" s="1"/>
  <c r="R1824" i="2"/>
  <c r="Q1824" i="2"/>
  <c r="R1823" i="2"/>
  <c r="Q1823" i="2"/>
  <c r="R1822" i="2"/>
  <c r="P1822" i="2"/>
  <c r="Q1822" i="2" s="1"/>
  <c r="Q1821" i="2"/>
  <c r="R1821" i="2" s="1"/>
  <c r="K1821" i="2"/>
  <c r="R1820" i="2"/>
  <c r="K1820" i="2"/>
  <c r="Q1820" i="2" s="1"/>
  <c r="Q1819" i="2"/>
  <c r="R1819" i="2" s="1"/>
  <c r="L1819" i="2"/>
  <c r="Q1818" i="2"/>
  <c r="R1818" i="2" s="1"/>
  <c r="P1817" i="2"/>
  <c r="N1817" i="2"/>
  <c r="K1817" i="2"/>
  <c r="Q1817" i="2" s="1"/>
  <c r="R1817" i="2" s="1"/>
  <c r="N1816" i="2"/>
  <c r="Q1816" i="2" s="1"/>
  <c r="R1816" i="2" s="1"/>
  <c r="Q1815" i="2"/>
  <c r="R1815" i="2" s="1"/>
  <c r="K1815" i="2"/>
  <c r="Q1814" i="2"/>
  <c r="R1814" i="2" s="1"/>
  <c r="K1814" i="2"/>
  <c r="Q1813" i="2"/>
  <c r="R1813" i="2" s="1"/>
  <c r="K1813" i="2"/>
  <c r="K1812" i="2"/>
  <c r="Q1812" i="2" s="1"/>
  <c r="R1812" i="2" s="1"/>
  <c r="R1811" i="2"/>
  <c r="Q1811" i="2"/>
  <c r="Q1810" i="2"/>
  <c r="R1810" i="2" s="1"/>
  <c r="Q1809" i="2"/>
  <c r="R1809" i="2" s="1"/>
  <c r="Q1808" i="2"/>
  <c r="R1808" i="2" s="1"/>
  <c r="R1807" i="2"/>
  <c r="Q1807" i="2"/>
  <c r="K1807" i="2"/>
  <c r="P1806" i="2"/>
  <c r="N1806" i="2"/>
  <c r="K1806" i="2"/>
  <c r="Q1806" i="2" s="1"/>
  <c r="R1806" i="2" s="1"/>
  <c r="P1805" i="2"/>
  <c r="N1805" i="2"/>
  <c r="K1805" i="2"/>
  <c r="Q1805" i="2" s="1"/>
  <c r="R1805" i="2" s="1"/>
  <c r="P1804" i="2"/>
  <c r="N1804" i="2"/>
  <c r="K1804" i="2"/>
  <c r="Q1803" i="2"/>
  <c r="R1803" i="2" s="1"/>
  <c r="Q1802" i="2"/>
  <c r="R1802" i="2" s="1"/>
  <c r="K1801" i="2"/>
  <c r="Q1801" i="2" s="1"/>
  <c r="R1801" i="2" s="1"/>
  <c r="P1800" i="2"/>
  <c r="Q1800" i="2" s="1"/>
  <c r="R1800" i="2" s="1"/>
  <c r="P1799" i="2"/>
  <c r="N1799" i="2"/>
  <c r="K1799" i="2"/>
  <c r="Q1799" i="2" s="1"/>
  <c r="R1799" i="2" s="1"/>
  <c r="K1798" i="2"/>
  <c r="Q1798" i="2" s="1"/>
  <c r="R1798" i="2" s="1"/>
  <c r="Q1797" i="2"/>
  <c r="R1797" i="2" s="1"/>
  <c r="K1796" i="2"/>
  <c r="Q1796" i="2" s="1"/>
  <c r="R1796" i="2" s="1"/>
  <c r="K1795" i="2"/>
  <c r="Q1795" i="2" s="1"/>
  <c r="R1795" i="2" s="1"/>
  <c r="Q1794" i="2"/>
  <c r="R1794" i="2" s="1"/>
  <c r="K1794" i="2"/>
  <c r="Q1793" i="2"/>
  <c r="R1793" i="2" s="1"/>
  <c r="N1793" i="2"/>
  <c r="Q1792" i="2"/>
  <c r="R1792" i="2" s="1"/>
  <c r="K1792" i="2"/>
  <c r="R1791" i="2"/>
  <c r="Q1791" i="2"/>
  <c r="Q1790" i="2"/>
  <c r="R1790" i="2" s="1"/>
  <c r="K1789" i="2"/>
  <c r="Q1789" i="2" s="1"/>
  <c r="R1789" i="2" s="1"/>
  <c r="Q1788" i="2"/>
  <c r="R1788" i="2" s="1"/>
  <c r="K1788" i="2"/>
  <c r="Q1787" i="2"/>
  <c r="R1787" i="2" s="1"/>
  <c r="P1787" i="2"/>
  <c r="Q1786" i="2"/>
  <c r="R1786" i="2" s="1"/>
  <c r="P1786" i="2"/>
  <c r="P1785" i="2"/>
  <c r="Q1785" i="2" s="1"/>
  <c r="R1785" i="2" s="1"/>
  <c r="R1784" i="2"/>
  <c r="Q1784" i="2"/>
  <c r="P1784" i="2"/>
  <c r="P1783" i="2"/>
  <c r="Q1783" i="2" s="1"/>
  <c r="R1783" i="2" s="1"/>
  <c r="P1782" i="2"/>
  <c r="Q1782" i="2" s="1"/>
  <c r="R1782" i="2" s="1"/>
  <c r="N1782" i="2"/>
  <c r="Q1781" i="2"/>
  <c r="R1781" i="2" s="1"/>
  <c r="P1781" i="2"/>
  <c r="P1780" i="2"/>
  <c r="Q1780" i="2" s="1"/>
  <c r="R1780" i="2" s="1"/>
  <c r="R1779" i="2"/>
  <c r="Q1779" i="2"/>
  <c r="P1779" i="2"/>
  <c r="P1778" i="2"/>
  <c r="Q1778" i="2" s="1"/>
  <c r="R1778" i="2" s="1"/>
  <c r="Q1777" i="2"/>
  <c r="R1777" i="2" s="1"/>
  <c r="R1776" i="2"/>
  <c r="Q1776" i="2"/>
  <c r="Q1775" i="2"/>
  <c r="R1775" i="2" s="1"/>
  <c r="K1775" i="2"/>
  <c r="R1774" i="2"/>
  <c r="Q1774" i="2"/>
  <c r="Q1773" i="2"/>
  <c r="R1773" i="2" s="1"/>
  <c r="K1773" i="2"/>
  <c r="Q1772" i="2"/>
  <c r="R1772" i="2" s="1"/>
  <c r="K1772" i="2"/>
  <c r="K1771" i="2"/>
  <c r="Q1771" i="2" s="1"/>
  <c r="R1771" i="2" s="1"/>
  <c r="R1770" i="2"/>
  <c r="Q1770" i="2"/>
  <c r="K1770" i="2"/>
  <c r="R1769" i="2"/>
  <c r="Q1769" i="2"/>
  <c r="R1768" i="2"/>
  <c r="Q1768" i="2"/>
  <c r="Q1767" i="2"/>
  <c r="R1767" i="2" s="1"/>
  <c r="R1766" i="2"/>
  <c r="Q1766" i="2"/>
  <c r="R1765" i="2"/>
  <c r="Q1765" i="2"/>
  <c r="K1764" i="2"/>
  <c r="Q1764" i="2" s="1"/>
  <c r="R1764" i="2" s="1"/>
  <c r="R1763" i="2"/>
  <c r="Q1763" i="2"/>
  <c r="K1763" i="2"/>
  <c r="K1762" i="2"/>
  <c r="Q1762" i="2" s="1"/>
  <c r="R1762" i="2" s="1"/>
  <c r="K1761" i="2"/>
  <c r="Q1761" i="2" s="1"/>
  <c r="R1761" i="2" s="1"/>
  <c r="K1760" i="2"/>
  <c r="Q1760" i="2" s="1"/>
  <c r="R1760" i="2" s="1"/>
  <c r="Q1759" i="2"/>
  <c r="R1759" i="2" s="1"/>
  <c r="K1759" i="2"/>
  <c r="Q1758" i="2"/>
  <c r="R1758" i="2" s="1"/>
  <c r="N1758" i="2"/>
  <c r="Q1757" i="2"/>
  <c r="R1757" i="2" s="1"/>
  <c r="P1757" i="2"/>
  <c r="P1756" i="2"/>
  <c r="N1756" i="2"/>
  <c r="Q1756" i="2" s="1"/>
  <c r="R1756" i="2" s="1"/>
  <c r="K1756" i="2"/>
  <c r="Q1755" i="2"/>
  <c r="R1755" i="2" s="1"/>
  <c r="Q1754" i="2"/>
  <c r="R1754" i="2" s="1"/>
  <c r="P1754" i="2"/>
  <c r="Q1753" i="2"/>
  <c r="R1753" i="2" s="1"/>
  <c r="P1753" i="2"/>
  <c r="N1753" i="2"/>
  <c r="K1753" i="2"/>
  <c r="Q1752" i="2"/>
  <c r="R1752" i="2" s="1"/>
  <c r="N1751" i="2"/>
  <c r="Q1751" i="2" s="1"/>
  <c r="R1751" i="2" s="1"/>
  <c r="K1750" i="2"/>
  <c r="Q1750" i="2" s="1"/>
  <c r="R1750" i="2" s="1"/>
  <c r="Q1749" i="2"/>
  <c r="R1749" i="2" s="1"/>
  <c r="L1748" i="2"/>
  <c r="Q1748" i="2" s="1"/>
  <c r="R1748" i="2" s="1"/>
  <c r="K1748" i="2"/>
  <c r="Q1747" i="2"/>
  <c r="R1747" i="2" s="1"/>
  <c r="N1747" i="2"/>
  <c r="K1746" i="2"/>
  <c r="Q1746" i="2" s="1"/>
  <c r="R1746" i="2" s="1"/>
  <c r="K1745" i="2"/>
  <c r="Q1745" i="2" s="1"/>
  <c r="R1745" i="2" s="1"/>
  <c r="K1744" i="2"/>
  <c r="Q1744" i="2" s="1"/>
  <c r="R1744" i="2" s="1"/>
  <c r="Q1743" i="2"/>
  <c r="R1743" i="2" s="1"/>
  <c r="K1742" i="2"/>
  <c r="Q1742" i="2" s="1"/>
  <c r="R1742" i="2" s="1"/>
  <c r="K1741" i="2"/>
  <c r="Q1741" i="2" s="1"/>
  <c r="R1741" i="2" s="1"/>
  <c r="Q1740" i="2"/>
  <c r="R1740" i="2" s="1"/>
  <c r="N1740" i="2"/>
  <c r="K1740" i="2"/>
  <c r="N1739" i="2"/>
  <c r="Q1739" i="2" s="1"/>
  <c r="R1739" i="2" s="1"/>
  <c r="P1738" i="2"/>
  <c r="Q1738" i="2" s="1"/>
  <c r="R1738" i="2" s="1"/>
  <c r="P1737" i="2"/>
  <c r="N1737" i="2"/>
  <c r="Q1737" i="2" s="1"/>
  <c r="R1737" i="2" s="1"/>
  <c r="K1736" i="2"/>
  <c r="Q1736" i="2" s="1"/>
  <c r="R1736" i="2" s="1"/>
  <c r="R1735" i="2"/>
  <c r="Q1735" i="2"/>
  <c r="K1735" i="2"/>
  <c r="N1734" i="2"/>
  <c r="Q1734" i="2" s="1"/>
  <c r="R1734" i="2" s="1"/>
  <c r="K1733" i="2"/>
  <c r="Q1733" i="2" s="1"/>
  <c r="R1733" i="2" s="1"/>
  <c r="K1732" i="2"/>
  <c r="Q1732" i="2" s="1"/>
  <c r="R1732" i="2" s="1"/>
  <c r="K1731" i="2"/>
  <c r="Q1731" i="2" s="1"/>
  <c r="R1731" i="2" s="1"/>
  <c r="Q1730" i="2"/>
  <c r="R1730" i="2" s="1"/>
  <c r="K1730" i="2"/>
  <c r="Q1729" i="2"/>
  <c r="R1729" i="2" s="1"/>
  <c r="K1729" i="2"/>
  <c r="K1728" i="2"/>
  <c r="Q1728" i="2" s="1"/>
  <c r="R1728" i="2" s="1"/>
  <c r="R1727" i="2"/>
  <c r="Q1727" i="2"/>
  <c r="N1727" i="2"/>
  <c r="K1726" i="2"/>
  <c r="Q1726" i="2" s="1"/>
  <c r="R1726" i="2" s="1"/>
  <c r="K1725" i="2"/>
  <c r="Q1725" i="2" s="1"/>
  <c r="R1725" i="2" s="1"/>
  <c r="P1724" i="2"/>
  <c r="Q1724" i="2" s="1"/>
  <c r="R1724" i="2" s="1"/>
  <c r="K1723" i="2"/>
  <c r="Q1723" i="2" s="1"/>
  <c r="R1723" i="2" s="1"/>
  <c r="Q1722" i="2"/>
  <c r="R1722" i="2" s="1"/>
  <c r="R1721" i="2"/>
  <c r="Q1721" i="2"/>
  <c r="R1720" i="2"/>
  <c r="Q1720" i="2"/>
  <c r="K1719" i="2"/>
  <c r="Q1719" i="2" s="1"/>
  <c r="R1719" i="2" s="1"/>
  <c r="R1718" i="2"/>
  <c r="Q1718" i="2"/>
  <c r="K1718" i="2"/>
  <c r="R1717" i="2"/>
  <c r="Q1717" i="2"/>
  <c r="K1716" i="2"/>
  <c r="Q1716" i="2" s="1"/>
  <c r="R1716" i="2" s="1"/>
  <c r="R1715" i="2"/>
  <c r="Q1715" i="2"/>
  <c r="K1715" i="2"/>
  <c r="P1714" i="2"/>
  <c r="Q1714" i="2" s="1"/>
  <c r="R1714" i="2" s="1"/>
  <c r="P1713" i="2"/>
  <c r="Q1713" i="2" s="1"/>
  <c r="R1713" i="2" s="1"/>
  <c r="N1713" i="2"/>
  <c r="Q1712" i="2"/>
  <c r="R1712" i="2" s="1"/>
  <c r="K1712" i="2"/>
  <c r="Q1711" i="2"/>
  <c r="R1711" i="2" s="1"/>
  <c r="Q1710" i="2"/>
  <c r="R1710" i="2" s="1"/>
  <c r="P1710" i="2"/>
  <c r="Q1709" i="2"/>
  <c r="R1709" i="2" s="1"/>
  <c r="P1709" i="2"/>
  <c r="P1708" i="2"/>
  <c r="Q1708" i="2" s="1"/>
  <c r="R1708" i="2" s="1"/>
  <c r="R1707" i="2"/>
  <c r="Q1707" i="2"/>
  <c r="P1707" i="2"/>
  <c r="K1706" i="2"/>
  <c r="Q1706" i="2" s="1"/>
  <c r="R1706" i="2" s="1"/>
  <c r="K1705" i="2"/>
  <c r="Q1705" i="2" s="1"/>
  <c r="R1705" i="2" s="1"/>
  <c r="R1704" i="2"/>
  <c r="Q1704" i="2"/>
  <c r="K1703" i="2"/>
  <c r="Q1703" i="2" s="1"/>
  <c r="R1703" i="2" s="1"/>
  <c r="K1702" i="2"/>
  <c r="Q1702" i="2" s="1"/>
  <c r="R1702" i="2" s="1"/>
  <c r="R1701" i="2"/>
  <c r="Q1701" i="2"/>
  <c r="R1700" i="2"/>
  <c r="Q1700" i="2"/>
  <c r="Q1699" i="2"/>
  <c r="R1699" i="2" s="1"/>
  <c r="Q1698" i="2"/>
  <c r="R1698" i="2" s="1"/>
  <c r="K1698" i="2"/>
  <c r="Q1697" i="2"/>
  <c r="R1697" i="2" s="1"/>
  <c r="Q1696" i="2"/>
  <c r="R1696" i="2" s="1"/>
  <c r="K1695" i="2"/>
  <c r="Q1695" i="2" s="1"/>
  <c r="R1695" i="2" s="1"/>
  <c r="K1694" i="2"/>
  <c r="Q1694" i="2" s="1"/>
  <c r="R1694" i="2" s="1"/>
  <c r="K1693" i="2"/>
  <c r="Q1693" i="2" s="1"/>
  <c r="R1693" i="2" s="1"/>
  <c r="Q1692" i="2"/>
  <c r="R1692" i="2" s="1"/>
  <c r="K1691" i="2"/>
  <c r="Q1691" i="2" s="1"/>
  <c r="R1691" i="2" s="1"/>
  <c r="P1690" i="2"/>
  <c r="Q1690" i="2" s="1"/>
  <c r="R1690" i="2" s="1"/>
  <c r="Q1689" i="2"/>
  <c r="R1689" i="2" s="1"/>
  <c r="P1689" i="2"/>
  <c r="N1689" i="2"/>
  <c r="K1689" i="2"/>
  <c r="Q1688" i="2"/>
  <c r="R1688" i="2" s="1"/>
  <c r="Q1687" i="2"/>
  <c r="R1687" i="2" s="1"/>
  <c r="R1686" i="2"/>
  <c r="Q1686" i="2"/>
  <c r="Q1685" i="2"/>
  <c r="R1685" i="2" s="1"/>
  <c r="P1684" i="2"/>
  <c r="Q1684" i="2" s="1"/>
  <c r="R1684" i="2" s="1"/>
  <c r="Q1683" i="2"/>
  <c r="R1683" i="2" s="1"/>
  <c r="P1683" i="2"/>
  <c r="N1683" i="2"/>
  <c r="K1683" i="2"/>
  <c r="K1682" i="2"/>
  <c r="Q1682" i="2" s="1"/>
  <c r="R1682" i="2" s="1"/>
  <c r="Q1681" i="2"/>
  <c r="R1681" i="2" s="1"/>
  <c r="K1680" i="2"/>
  <c r="Q1680" i="2" s="1"/>
  <c r="R1680" i="2" s="1"/>
  <c r="Q1679" i="2"/>
  <c r="R1679" i="2" s="1"/>
  <c r="Q1678" i="2"/>
  <c r="R1678" i="2" s="1"/>
  <c r="R1677" i="2"/>
  <c r="Q1677" i="2"/>
  <c r="K1677" i="2"/>
  <c r="R1676" i="2"/>
  <c r="Q1676" i="2"/>
  <c r="Q1675" i="2"/>
  <c r="R1675" i="2" s="1"/>
  <c r="Q1674" i="2"/>
  <c r="R1674" i="2" s="1"/>
  <c r="K1673" i="2"/>
  <c r="Q1673" i="2" s="1"/>
  <c r="R1673" i="2" s="1"/>
  <c r="Q1672" i="2"/>
  <c r="R1672" i="2" s="1"/>
  <c r="K1672" i="2"/>
  <c r="Q1671" i="2"/>
  <c r="R1671" i="2" s="1"/>
  <c r="P1671" i="2"/>
  <c r="N1671" i="2"/>
  <c r="K1671" i="2"/>
  <c r="Q1670" i="2"/>
  <c r="R1670" i="2" s="1"/>
  <c r="K1669" i="2"/>
  <c r="Q1669" i="2" s="1"/>
  <c r="R1669" i="2" s="1"/>
  <c r="R1668" i="2"/>
  <c r="Q1668" i="2"/>
  <c r="L1667" i="2"/>
  <c r="K1667" i="2"/>
  <c r="Q1667" i="2" s="1"/>
  <c r="R1667" i="2" s="1"/>
  <c r="Q1666" i="2"/>
  <c r="R1666" i="2" s="1"/>
  <c r="K1666" i="2"/>
  <c r="Q1665" i="2"/>
  <c r="R1665" i="2" s="1"/>
  <c r="Q1664" i="2"/>
  <c r="R1664" i="2" s="1"/>
  <c r="K1663" i="2"/>
  <c r="Q1663" i="2" s="1"/>
  <c r="R1663" i="2" s="1"/>
  <c r="K1662" i="2"/>
  <c r="Q1662" i="2" s="1"/>
  <c r="R1662" i="2" s="1"/>
  <c r="Q1661" i="2"/>
  <c r="R1661" i="2" s="1"/>
  <c r="N1661" i="2"/>
  <c r="Q1660" i="2"/>
  <c r="R1660" i="2" s="1"/>
  <c r="N1659" i="2"/>
  <c r="Q1659" i="2" s="1"/>
  <c r="R1659" i="2" s="1"/>
  <c r="Q1658" i="2"/>
  <c r="R1658" i="2" s="1"/>
  <c r="K1658" i="2"/>
  <c r="Q1657" i="2"/>
  <c r="R1657" i="2" s="1"/>
  <c r="K1657" i="2"/>
  <c r="Q1656" i="2"/>
  <c r="R1656" i="2" s="1"/>
  <c r="K1656" i="2"/>
  <c r="K1655" i="2"/>
  <c r="Q1655" i="2" s="1"/>
  <c r="R1655" i="2" s="1"/>
  <c r="R1654" i="2"/>
  <c r="Q1654" i="2"/>
  <c r="P1654" i="2"/>
  <c r="P1653" i="2"/>
  <c r="N1653" i="2"/>
  <c r="Q1653" i="2"/>
  <c r="R1653" i="2" s="1"/>
  <c r="R1652" i="2"/>
  <c r="Q1652" i="2"/>
  <c r="K1652" i="2"/>
  <c r="K1651" i="2"/>
  <c r="Q1651" i="2" s="1"/>
  <c r="R1651" i="2" s="1"/>
  <c r="K1650" i="2"/>
  <c r="Q1650" i="2" s="1"/>
  <c r="R1650" i="2" s="1"/>
  <c r="R1649" i="2"/>
  <c r="Q1649" i="2"/>
  <c r="R1648" i="2"/>
  <c r="Q1648" i="2"/>
  <c r="Q1647" i="2"/>
  <c r="R1647" i="2" s="1"/>
  <c r="Q1646" i="2"/>
  <c r="R1646" i="2" s="1"/>
  <c r="K1646" i="2"/>
  <c r="Q1645" i="2"/>
  <c r="R1645" i="2" s="1"/>
  <c r="N1645" i="2"/>
  <c r="K1644" i="2"/>
  <c r="Q1644" i="2" s="1"/>
  <c r="R1644" i="2" s="1"/>
  <c r="R1643" i="2"/>
  <c r="Q1643" i="2"/>
  <c r="Q1642" i="2"/>
  <c r="R1642" i="2" s="1"/>
  <c r="N1642" i="2"/>
  <c r="K1641" i="2"/>
  <c r="Q1641" i="2" s="1"/>
  <c r="R1641" i="2" s="1"/>
  <c r="Q1640" i="2"/>
  <c r="R1640" i="2" s="1"/>
  <c r="Q1639" i="2"/>
  <c r="R1639" i="2" s="1"/>
  <c r="P1639" i="2"/>
  <c r="N1639" i="2"/>
  <c r="K1639" i="2"/>
  <c r="Q1638" i="2"/>
  <c r="R1638" i="2" s="1"/>
  <c r="N1638" i="2"/>
  <c r="Q1637" i="2"/>
  <c r="R1637" i="2" s="1"/>
  <c r="K1636" i="2"/>
  <c r="Q1636" i="2" s="1"/>
  <c r="R1636" i="2" s="1"/>
  <c r="Q1635" i="2"/>
  <c r="R1635" i="2" s="1"/>
  <c r="N1635" i="2"/>
  <c r="Q1634" i="2"/>
  <c r="R1634" i="2" s="1"/>
  <c r="Q1633" i="2"/>
  <c r="R1633" i="2" s="1"/>
  <c r="P1633" i="2"/>
  <c r="Q1632" i="2"/>
  <c r="R1632" i="2" s="1"/>
  <c r="P1632" i="2"/>
  <c r="N1632" i="2"/>
  <c r="K1631" i="2"/>
  <c r="Q1631" i="2" s="1"/>
  <c r="R1631" i="2" s="1"/>
  <c r="Q1630" i="2"/>
  <c r="R1630" i="2" s="1"/>
  <c r="R1629" i="2"/>
  <c r="Q1629" i="2"/>
  <c r="P1629" i="2"/>
  <c r="P1628" i="2"/>
  <c r="N1628" i="2"/>
  <c r="K1628" i="2"/>
  <c r="Q1628" i="2" s="1"/>
  <c r="R1628" i="2" s="1"/>
  <c r="R1627" i="2"/>
  <c r="Q1627" i="2"/>
  <c r="K1627" i="2"/>
  <c r="R1626" i="2"/>
  <c r="Q1626" i="2"/>
  <c r="K1625" i="2"/>
  <c r="Q1625" i="2" s="1"/>
  <c r="R1625" i="2" s="1"/>
  <c r="R1624" i="2"/>
  <c r="Q1624" i="2"/>
  <c r="K1624" i="2"/>
  <c r="R1623" i="2"/>
  <c r="Q1623" i="2"/>
  <c r="R1622" i="2"/>
  <c r="Q1622" i="2"/>
  <c r="Q1621" i="2"/>
  <c r="R1621" i="2" s="1"/>
  <c r="P1621" i="2"/>
  <c r="N1621" i="2"/>
  <c r="K1621" i="2"/>
  <c r="Q1620" i="2"/>
  <c r="R1620" i="2" s="1"/>
  <c r="K1620" i="2"/>
  <c r="Q1619" i="2"/>
  <c r="R1619" i="2" s="1"/>
  <c r="K1619" i="2"/>
  <c r="Q1618" i="2"/>
  <c r="R1618" i="2" s="1"/>
  <c r="P1618" i="2"/>
  <c r="N1618" i="2"/>
  <c r="K1618" i="2"/>
  <c r="R1617" i="2"/>
  <c r="Q1617" i="2"/>
  <c r="K1617" i="2"/>
  <c r="Q1616" i="2"/>
  <c r="R1616" i="2" s="1"/>
  <c r="N1616" i="2"/>
  <c r="Q1615" i="2"/>
  <c r="R1615" i="2" s="1"/>
  <c r="R1614" i="2"/>
  <c r="Q1614" i="2"/>
  <c r="K1614" i="2"/>
  <c r="Q1613" i="2"/>
  <c r="R1613" i="2" s="1"/>
  <c r="K1613" i="2"/>
  <c r="Q1612" i="2"/>
  <c r="R1612" i="2" s="1"/>
  <c r="R1611" i="2"/>
  <c r="Q1611" i="2"/>
  <c r="K1611" i="2"/>
  <c r="Q1610" i="2"/>
  <c r="R1610" i="2" s="1"/>
  <c r="K1609" i="2"/>
  <c r="Q1609" i="2" s="1"/>
  <c r="R1609" i="2" s="1"/>
  <c r="Q1608" i="2"/>
  <c r="R1608" i="2" s="1"/>
  <c r="K1607" i="2"/>
  <c r="Q1607" i="2" s="1"/>
  <c r="R1607" i="2" s="1"/>
  <c r="K1606" i="2"/>
  <c r="Q1606" i="2" s="1"/>
  <c r="R1606" i="2" s="1"/>
  <c r="Q1605" i="2"/>
  <c r="R1605" i="2" s="1"/>
  <c r="P1604" i="2"/>
  <c r="Q1604" i="2" s="1"/>
  <c r="R1604" i="2" s="1"/>
  <c r="P1603" i="2"/>
  <c r="Q1603" i="2" s="1"/>
  <c r="R1603" i="2" s="1"/>
  <c r="Q1602" i="2"/>
  <c r="R1602" i="2" s="1"/>
  <c r="P1602" i="2"/>
  <c r="P1601" i="2"/>
  <c r="N1601" i="2"/>
  <c r="K1601" i="2"/>
  <c r="Q1601" i="2" s="1"/>
  <c r="R1601" i="2" s="1"/>
  <c r="Q1600" i="2"/>
  <c r="R1600" i="2" s="1"/>
  <c r="P1599" i="2"/>
  <c r="N1599" i="2"/>
  <c r="K1599" i="2"/>
  <c r="Q1599" i="2" s="1"/>
  <c r="R1599" i="2" s="1"/>
  <c r="Q1598" i="2"/>
  <c r="R1598" i="2" s="1"/>
  <c r="R1597" i="2"/>
  <c r="Q1597" i="2"/>
  <c r="Q1596" i="2"/>
  <c r="R1596" i="2" s="1"/>
  <c r="K1595" i="2"/>
  <c r="Q1595" i="2" s="1"/>
  <c r="R1595" i="2" s="1"/>
  <c r="Q1594" i="2"/>
  <c r="R1594" i="2" s="1"/>
  <c r="K1594" i="2"/>
  <c r="Q1593" i="2"/>
  <c r="R1593" i="2" s="1"/>
  <c r="Q1592" i="2"/>
  <c r="R1592" i="2" s="1"/>
  <c r="Q1591" i="2"/>
  <c r="R1591" i="2" s="1"/>
  <c r="R1590" i="2"/>
  <c r="Q1590" i="2"/>
  <c r="Q1589" i="2"/>
  <c r="R1589" i="2" s="1"/>
  <c r="Q1588" i="2"/>
  <c r="R1588" i="2" s="1"/>
  <c r="Q1587" i="2"/>
  <c r="R1587" i="2" s="1"/>
  <c r="R1586" i="2"/>
  <c r="Q1586" i="2"/>
  <c r="Q1585" i="2"/>
  <c r="R1585" i="2" s="1"/>
  <c r="Q1584" i="2"/>
  <c r="R1584" i="2" s="1"/>
  <c r="Q1583" i="2"/>
  <c r="R1583" i="2" s="1"/>
  <c r="R1582" i="2"/>
  <c r="Q1582" i="2"/>
  <c r="K1582" i="2"/>
  <c r="R1581" i="2"/>
  <c r="Q1581" i="2"/>
  <c r="Q1580" i="2"/>
  <c r="R1580" i="2" s="1"/>
  <c r="Q1579" i="2"/>
  <c r="R1579" i="2" s="1"/>
  <c r="P1578" i="2"/>
  <c r="Q1578" i="2" s="1"/>
  <c r="R1578" i="2" s="1"/>
  <c r="P1577" i="2"/>
  <c r="N1577" i="2"/>
  <c r="Q1577" i="2" s="1"/>
  <c r="R1577" i="2" s="1"/>
  <c r="R1576" i="2"/>
  <c r="Q1576" i="2"/>
  <c r="K1576" i="2"/>
  <c r="R1575" i="2"/>
  <c r="Q1575" i="2"/>
  <c r="Q1574" i="2"/>
  <c r="R1574" i="2" s="1"/>
  <c r="R1573" i="2"/>
  <c r="Q1573" i="2"/>
  <c r="K1573" i="2"/>
  <c r="Q1572" i="2"/>
  <c r="R1572" i="2" s="1"/>
  <c r="K1572" i="2"/>
  <c r="K1571" i="2"/>
  <c r="Q1571" i="2" s="1"/>
  <c r="R1571" i="2" s="1"/>
  <c r="R1570" i="2"/>
  <c r="Q1570" i="2"/>
  <c r="K1570" i="2"/>
  <c r="R1569" i="2"/>
  <c r="Q1569" i="2"/>
  <c r="K1568" i="2"/>
  <c r="Q1568" i="2" s="1"/>
  <c r="R1568" i="2" s="1"/>
  <c r="R1567" i="2"/>
  <c r="Q1567" i="2"/>
  <c r="Q1566" i="2"/>
  <c r="R1566" i="2" s="1"/>
  <c r="K1566" i="2"/>
  <c r="Q1565" i="2"/>
  <c r="R1565" i="2" s="1"/>
  <c r="R1564" i="2"/>
  <c r="Q1564" i="2"/>
  <c r="K1563" i="2"/>
  <c r="Q1563" i="2" s="1"/>
  <c r="R1563" i="2" s="1"/>
  <c r="P1562" i="2"/>
  <c r="Q1562" i="2" s="1"/>
  <c r="R1562" i="2" s="1"/>
  <c r="Q1561" i="2"/>
  <c r="R1561" i="2" s="1"/>
  <c r="K1561" i="2"/>
  <c r="Q1560" i="2"/>
  <c r="R1560" i="2" s="1"/>
  <c r="Q1559" i="2"/>
  <c r="R1559" i="2" s="1"/>
  <c r="Q1558" i="2"/>
  <c r="R1558" i="2" s="1"/>
  <c r="R1557" i="2"/>
  <c r="Q1557" i="2"/>
  <c r="Q1556" i="2"/>
  <c r="R1556" i="2" s="1"/>
  <c r="K1556" i="2"/>
  <c r="Q1555" i="2"/>
  <c r="R1555" i="2" s="1"/>
  <c r="R1554" i="2"/>
  <c r="Q1554" i="2"/>
  <c r="N1554" i="2"/>
  <c r="Q1553" i="2"/>
  <c r="R1553" i="2" s="1"/>
  <c r="N1553" i="2"/>
  <c r="K1552" i="2"/>
  <c r="Q1552" i="2" s="1"/>
  <c r="R1552" i="2" s="1"/>
  <c r="R1551" i="2"/>
  <c r="Q1551" i="2"/>
  <c r="Q1550" i="2"/>
  <c r="R1550" i="2" s="1"/>
  <c r="N1550" i="2"/>
  <c r="Q1549" i="2"/>
  <c r="R1549" i="2" s="1"/>
  <c r="Q1548" i="2"/>
  <c r="R1548" i="2" s="1"/>
  <c r="R1547" i="2"/>
  <c r="Q1547" i="2"/>
  <c r="N1546" i="2"/>
  <c r="K1546" i="2"/>
  <c r="Q1546" i="2" s="1"/>
  <c r="R1546" i="2" s="1"/>
  <c r="R1545" i="2"/>
  <c r="Q1545" i="2"/>
  <c r="K1545" i="2"/>
  <c r="Q1544" i="2"/>
  <c r="R1544" i="2" s="1"/>
  <c r="K1544" i="2"/>
  <c r="K1543" i="2"/>
  <c r="Q1543" i="2" s="1"/>
  <c r="R1543" i="2" s="1"/>
  <c r="R1542" i="2"/>
  <c r="Q1542" i="2"/>
  <c r="Q1541" i="2"/>
  <c r="R1541" i="2" s="1"/>
  <c r="K1541" i="2"/>
  <c r="K1540" i="2"/>
  <c r="Q1540" i="2" s="1"/>
  <c r="R1540" i="2" s="1"/>
  <c r="R1539" i="2"/>
  <c r="Q1539" i="2"/>
  <c r="Q1538" i="2"/>
  <c r="R1538" i="2" s="1"/>
  <c r="N1538" i="2"/>
  <c r="Q1537" i="2"/>
  <c r="R1537" i="2" s="1"/>
  <c r="R1536" i="2"/>
  <c r="Q1536" i="2"/>
  <c r="K1536" i="2"/>
  <c r="Q1535" i="2"/>
  <c r="R1535" i="2" s="1"/>
  <c r="N1535" i="2"/>
  <c r="K1534" i="2"/>
  <c r="Q1534" i="2" s="1"/>
  <c r="R1534" i="2" s="1"/>
  <c r="R1533" i="2"/>
  <c r="Q1533" i="2"/>
  <c r="K1533" i="2"/>
  <c r="R1532" i="2"/>
  <c r="Q1532" i="2"/>
  <c r="Q1531" i="2"/>
  <c r="R1531" i="2" s="1"/>
  <c r="Q1530" i="2"/>
  <c r="R1530" i="2" s="1"/>
  <c r="K1530" i="2"/>
  <c r="Q1529" i="2"/>
  <c r="R1529" i="2" s="1"/>
  <c r="K1529" i="2"/>
  <c r="N1528" i="2"/>
  <c r="Q1528" i="2" s="1"/>
  <c r="R1528" i="2" s="1"/>
  <c r="R1527" i="2"/>
  <c r="Q1527" i="2"/>
  <c r="Q1526" i="2"/>
  <c r="R1526" i="2" s="1"/>
  <c r="K1526" i="2"/>
  <c r="P1525" i="2"/>
  <c r="Q1525" i="2" s="1"/>
  <c r="R1525" i="2" s="1"/>
  <c r="R1524" i="2"/>
  <c r="Q1524" i="2"/>
  <c r="P1524" i="2"/>
  <c r="R1523" i="2"/>
  <c r="Q1523" i="2"/>
  <c r="Q1522" i="2"/>
  <c r="R1522" i="2" s="1"/>
  <c r="R1521" i="2"/>
  <c r="Q1521" i="2"/>
  <c r="R1520" i="2"/>
  <c r="Q1520" i="2"/>
  <c r="R1519" i="2"/>
  <c r="Q1519" i="2"/>
  <c r="Q1518" i="2"/>
  <c r="R1518" i="2" s="1"/>
  <c r="Q1517" i="2"/>
  <c r="R1517" i="2" s="1"/>
  <c r="K1517" i="2"/>
  <c r="Q1516" i="2"/>
  <c r="R1516" i="2" s="1"/>
  <c r="R1515" i="2"/>
  <c r="Q1515" i="2"/>
  <c r="Q1514" i="2"/>
  <c r="R1514" i="2" s="1"/>
  <c r="R1513" i="2"/>
  <c r="Q1513" i="2"/>
  <c r="Q1512" i="2"/>
  <c r="R1512" i="2" s="1"/>
  <c r="Q1511" i="2"/>
  <c r="R1511" i="2" s="1"/>
  <c r="Q1510" i="2"/>
  <c r="R1510" i="2" s="1"/>
  <c r="R1509" i="2"/>
  <c r="Q1509" i="2"/>
  <c r="R1508" i="2"/>
  <c r="Q1508" i="2"/>
  <c r="K1507" i="2"/>
  <c r="Q1507" i="2" s="1"/>
  <c r="R1507" i="2" s="1"/>
  <c r="R1506" i="2"/>
  <c r="Q1506" i="2"/>
  <c r="Q1505" i="2"/>
  <c r="R1505" i="2" s="1"/>
  <c r="Q1504" i="2"/>
  <c r="R1504" i="2" s="1"/>
  <c r="Q1503" i="2"/>
  <c r="R1503" i="2" s="1"/>
  <c r="K1503" i="2"/>
  <c r="N1502" i="2"/>
  <c r="Q1502" i="2" s="1"/>
  <c r="R1502" i="2" s="1"/>
  <c r="P1501" i="2"/>
  <c r="N1501" i="2"/>
  <c r="K1501" i="2"/>
  <c r="R1500" i="2"/>
  <c r="Q1500" i="2"/>
  <c r="R1499" i="2"/>
  <c r="Q1499" i="2"/>
  <c r="Q1498" i="2"/>
  <c r="R1498" i="2" s="1"/>
  <c r="N1498" i="2"/>
  <c r="R1497" i="2"/>
  <c r="Q1497" i="2"/>
  <c r="K1497" i="2"/>
  <c r="K1496" i="2"/>
  <c r="Q1496" i="2" s="1"/>
  <c r="R1496" i="2" s="1"/>
  <c r="K1495" i="2"/>
  <c r="Q1495" i="2" s="1"/>
  <c r="R1495" i="2" s="1"/>
  <c r="Q1494" i="2"/>
  <c r="R1494" i="2" s="1"/>
  <c r="K1494" i="2"/>
  <c r="Q1493" i="2"/>
  <c r="R1493" i="2" s="1"/>
  <c r="R1492" i="2"/>
  <c r="Q1492" i="2"/>
  <c r="K1491" i="2"/>
  <c r="Q1491" i="2" s="1"/>
  <c r="R1491" i="2" s="1"/>
  <c r="R1490" i="2"/>
  <c r="Q1490" i="2"/>
  <c r="Q1489" i="2"/>
  <c r="R1489" i="2" s="1"/>
  <c r="Q1488" i="2"/>
  <c r="R1488" i="2" s="1"/>
  <c r="Q1487" i="2"/>
  <c r="R1487" i="2" s="1"/>
  <c r="R1486" i="2"/>
  <c r="Q1486" i="2"/>
  <c r="Q1485" i="2"/>
  <c r="R1485" i="2" s="1"/>
  <c r="Q1484" i="2"/>
  <c r="R1484" i="2" s="1"/>
  <c r="K1484" i="2"/>
  <c r="R1483" i="2"/>
  <c r="Q1483" i="2"/>
  <c r="K1483" i="2"/>
  <c r="Q1482" i="2"/>
  <c r="R1482" i="2" s="1"/>
  <c r="K1482" i="2"/>
  <c r="K1481" i="2"/>
  <c r="Q1481" i="2" s="1"/>
  <c r="R1481" i="2" s="1"/>
  <c r="R1480" i="2"/>
  <c r="Q1480" i="2"/>
  <c r="N1480" i="2"/>
  <c r="N1479" i="2"/>
  <c r="Q1479" i="2" s="1"/>
  <c r="R1479" i="2" s="1"/>
  <c r="Q1478" i="2"/>
  <c r="R1478" i="2" s="1"/>
  <c r="P1478" i="2"/>
  <c r="N1478" i="2"/>
  <c r="Q1477" i="2"/>
  <c r="R1477" i="2" s="1"/>
  <c r="K1477" i="2"/>
  <c r="N1476" i="2"/>
  <c r="Q1476" i="2" s="1"/>
  <c r="R1476" i="2" s="1"/>
  <c r="R1475" i="2"/>
  <c r="Q1475" i="2"/>
  <c r="Q1474" i="2"/>
  <c r="R1474" i="2" s="1"/>
  <c r="N1474" i="2"/>
  <c r="K1473" i="2"/>
  <c r="Q1473" i="2" s="1"/>
  <c r="R1473" i="2" s="1"/>
  <c r="R1472" i="2"/>
  <c r="Q1472" i="2"/>
  <c r="K1472" i="2"/>
  <c r="R1471" i="2"/>
  <c r="Q1471" i="2"/>
  <c r="K1470" i="2"/>
  <c r="Q1470" i="2" s="1"/>
  <c r="R1470" i="2" s="1"/>
  <c r="Q1469" i="2"/>
  <c r="R1469" i="2" s="1"/>
  <c r="Q1468" i="2"/>
  <c r="R1468" i="2" s="1"/>
  <c r="K1468" i="2"/>
  <c r="K1467" i="2"/>
  <c r="Q1467" i="2" s="1"/>
  <c r="R1467" i="2" s="1"/>
  <c r="Q1466" i="2"/>
  <c r="R1466" i="2" s="1"/>
  <c r="Q1465" i="2"/>
  <c r="R1465" i="2" s="1"/>
  <c r="Q1464" i="2"/>
  <c r="R1464" i="2" s="1"/>
  <c r="Q1463" i="2"/>
  <c r="R1463" i="2" s="1"/>
  <c r="K1463" i="2"/>
  <c r="R1462" i="2"/>
  <c r="Q1462" i="2"/>
  <c r="R1461" i="2"/>
  <c r="Q1461" i="2"/>
  <c r="K1460" i="2"/>
  <c r="Q1460" i="2" s="1"/>
  <c r="R1460" i="2" s="1"/>
  <c r="Q1459" i="2"/>
  <c r="R1459" i="2" s="1"/>
  <c r="Q1458" i="2"/>
  <c r="R1458" i="2" s="1"/>
  <c r="N1458" i="2"/>
  <c r="P1457" i="2"/>
  <c r="Q1457" i="2" s="1"/>
  <c r="R1457" i="2" s="1"/>
  <c r="P1456" i="2"/>
  <c r="N1456" i="2"/>
  <c r="Q1456" i="2" s="1"/>
  <c r="R1456" i="2" s="1"/>
  <c r="K1456" i="2"/>
  <c r="R1455" i="2"/>
  <c r="Q1455" i="2"/>
  <c r="N1454" i="2"/>
  <c r="Q1454" i="2" s="1"/>
  <c r="R1454" i="2" s="1"/>
  <c r="Q1453" i="2"/>
  <c r="R1453" i="2" s="1"/>
  <c r="K1453" i="2"/>
  <c r="R1452" i="2"/>
  <c r="Q1452" i="2"/>
  <c r="R1451" i="2"/>
  <c r="Q1451" i="2"/>
  <c r="K1450" i="2"/>
  <c r="Q1450" i="2" s="1"/>
  <c r="R1450" i="2" s="1"/>
  <c r="Q1449" i="2"/>
  <c r="R1449" i="2" s="1"/>
  <c r="Q1448" i="2"/>
  <c r="R1448" i="2" s="1"/>
  <c r="N1448" i="2"/>
  <c r="P1447" i="2"/>
  <c r="N1447" i="2"/>
  <c r="Q1447" i="2" s="1"/>
  <c r="R1447" i="2" s="1"/>
  <c r="R1446" i="2"/>
  <c r="Q1446" i="2"/>
  <c r="R1445" i="2"/>
  <c r="Q1445" i="2"/>
  <c r="N1445" i="2"/>
  <c r="Q1444" i="2"/>
  <c r="R1444" i="2" s="1"/>
  <c r="Q1443" i="2"/>
  <c r="R1443" i="2" s="1"/>
  <c r="Q1442" i="2"/>
  <c r="R1442" i="2" s="1"/>
  <c r="N1442" i="2"/>
  <c r="P1441" i="2"/>
  <c r="Q1441" i="2" s="1"/>
  <c r="R1441" i="2" s="1"/>
  <c r="Q1440" i="2"/>
  <c r="R1440" i="2" s="1"/>
  <c r="Q1439" i="2"/>
  <c r="R1439" i="2" s="1"/>
  <c r="Q1438" i="2"/>
  <c r="R1438" i="2" s="1"/>
  <c r="Q1437" i="2"/>
  <c r="R1437" i="2" s="1"/>
  <c r="Q1436" i="2"/>
  <c r="R1436" i="2" s="1"/>
  <c r="Q1435" i="2"/>
  <c r="R1435" i="2" s="1"/>
  <c r="Q1434" i="2"/>
  <c r="R1434" i="2" s="1"/>
  <c r="K1434" i="2"/>
  <c r="R1433" i="2"/>
  <c r="Q1433" i="2"/>
  <c r="R1432" i="2"/>
  <c r="Q1432" i="2"/>
  <c r="R1431" i="2"/>
  <c r="Q1431" i="2"/>
  <c r="R1430" i="2"/>
  <c r="Q1430" i="2"/>
  <c r="K1429" i="2"/>
  <c r="Q1429" i="2" s="1"/>
  <c r="R1429" i="2" s="1"/>
  <c r="Q1428" i="2"/>
  <c r="R1428" i="2" s="1"/>
  <c r="K1427" i="2"/>
  <c r="Q1427" i="2" s="1"/>
  <c r="R1427" i="2" s="1"/>
  <c r="Q1426" i="2"/>
  <c r="R1426" i="2" s="1"/>
  <c r="Q1425" i="2"/>
  <c r="R1425" i="2" s="1"/>
  <c r="Q1424" i="2"/>
  <c r="R1424" i="2" s="1"/>
  <c r="Q1423" i="2"/>
  <c r="R1423" i="2" s="1"/>
  <c r="Q1422" i="2"/>
  <c r="R1422" i="2" s="1"/>
  <c r="K1422" i="2"/>
  <c r="K1421" i="2"/>
  <c r="Q1421" i="2" s="1"/>
  <c r="R1421" i="2" s="1"/>
  <c r="Q1420" i="2"/>
  <c r="R1420" i="2" s="1"/>
  <c r="Q1419" i="2"/>
  <c r="R1419" i="2" s="1"/>
  <c r="N1419" i="2"/>
  <c r="R1418" i="2"/>
  <c r="K1418" i="2"/>
  <c r="Q1418" i="2" s="1"/>
  <c r="Q1417" i="2"/>
  <c r="R1417" i="2" s="1"/>
  <c r="Q1416" i="2"/>
  <c r="R1416" i="2" s="1"/>
  <c r="Q1415" i="2"/>
  <c r="R1415" i="2" s="1"/>
  <c r="K1415" i="2"/>
  <c r="R1414" i="2"/>
  <c r="Q1414" i="2"/>
  <c r="R1413" i="2"/>
  <c r="Q1413" i="2"/>
  <c r="K1412" i="2"/>
  <c r="Q1412" i="2" s="1"/>
  <c r="R1412" i="2" s="1"/>
  <c r="Q1411" i="2"/>
  <c r="R1411" i="2" s="1"/>
  <c r="Q1410" i="2"/>
  <c r="R1410" i="2" s="1"/>
  <c r="N1410" i="2"/>
  <c r="K1409" i="2"/>
  <c r="Q1409" i="2" s="1"/>
  <c r="R1409" i="2" s="1"/>
  <c r="Q1408" i="2"/>
  <c r="R1408" i="2" s="1"/>
  <c r="K1408" i="2"/>
  <c r="K1407" i="2"/>
  <c r="Q1407" i="2" s="1"/>
  <c r="R1407" i="2" s="1"/>
  <c r="Q1406" i="2"/>
  <c r="R1406" i="2" s="1"/>
  <c r="K1406" i="2"/>
  <c r="R1405" i="2"/>
  <c r="Q1405" i="2"/>
  <c r="K1404" i="2"/>
  <c r="Q1404" i="2" s="1"/>
  <c r="R1404" i="2" s="1"/>
  <c r="Q1403" i="2"/>
  <c r="R1403" i="2" s="1"/>
  <c r="Q1402" i="2"/>
  <c r="R1402" i="2" s="1"/>
  <c r="N1402" i="2"/>
  <c r="R1401" i="2"/>
  <c r="Q1401" i="2"/>
  <c r="P1400" i="2"/>
  <c r="K1399" i="2"/>
  <c r="Q1399" i="2" s="1"/>
  <c r="R1399" i="2" s="1"/>
  <c r="Q1398" i="2"/>
  <c r="R1398" i="2" s="1"/>
  <c r="K1398" i="2"/>
  <c r="R1397" i="2"/>
  <c r="Q1397" i="2"/>
  <c r="K1396" i="2"/>
  <c r="Q1396" i="2" s="1"/>
  <c r="R1396" i="2" s="1"/>
  <c r="N1395" i="2"/>
  <c r="K1395" i="2"/>
  <c r="Q1395" i="2" s="1"/>
  <c r="R1395" i="2" s="1"/>
  <c r="Q1394" i="2"/>
  <c r="R1394" i="2" s="1"/>
  <c r="K1394" i="2"/>
  <c r="R1393" i="2"/>
  <c r="Q1393" i="2"/>
  <c r="K1392" i="2"/>
  <c r="Q1392" i="2" s="1"/>
  <c r="R1392" i="2" s="1"/>
  <c r="Q1391" i="2"/>
  <c r="R1391" i="2" s="1"/>
  <c r="K1391" i="2"/>
  <c r="K1390" i="2"/>
  <c r="Q1390" i="2" s="1"/>
  <c r="R1390" i="2" s="1"/>
  <c r="Q1389" i="2"/>
  <c r="R1389" i="2" s="1"/>
  <c r="K1389" i="2"/>
  <c r="K1388" i="2"/>
  <c r="Q1388" i="2" s="1"/>
  <c r="R1388" i="2" s="1"/>
  <c r="Q1387" i="2"/>
  <c r="R1387" i="2" s="1"/>
  <c r="K1387" i="2"/>
  <c r="R1386" i="2"/>
  <c r="Q1386" i="2"/>
  <c r="K1385" i="2"/>
  <c r="Q1385" i="2" s="1"/>
  <c r="R1385" i="2" s="1"/>
  <c r="Q1384" i="2"/>
  <c r="R1384" i="2" s="1"/>
  <c r="K1384" i="2"/>
  <c r="R1383" i="2"/>
  <c r="Q1383" i="2"/>
  <c r="N1383" i="2"/>
  <c r="Q1382" i="2"/>
  <c r="R1382" i="2" s="1"/>
  <c r="Q1381" i="2"/>
  <c r="R1381" i="2" s="1"/>
  <c r="K1381" i="2"/>
  <c r="Q1380" i="2"/>
  <c r="R1380" i="2" s="1"/>
  <c r="K1379" i="2"/>
  <c r="Q1379" i="2" s="1"/>
  <c r="R1379" i="2" s="1"/>
  <c r="Q1378" i="2"/>
  <c r="R1378" i="2" s="1"/>
  <c r="N1378" i="2"/>
  <c r="R1377" i="2"/>
  <c r="Q1377" i="2"/>
  <c r="N1376" i="2"/>
  <c r="Q1376" i="2" s="1"/>
  <c r="R1376" i="2" s="1"/>
  <c r="Q1375" i="2"/>
  <c r="R1375" i="2" s="1"/>
  <c r="K1375" i="2"/>
  <c r="R1374" i="2"/>
  <c r="Q1374" i="2"/>
  <c r="R1373" i="2"/>
  <c r="Q1373" i="2"/>
  <c r="N1372" i="2"/>
  <c r="Q1372" i="2" s="1"/>
  <c r="R1372" i="2" s="1"/>
  <c r="Q1371" i="2"/>
  <c r="R1371" i="2" s="1"/>
  <c r="P1371" i="2"/>
  <c r="P1370" i="2"/>
  <c r="N1370" i="2"/>
  <c r="K1370" i="2"/>
  <c r="Q1370" i="2" s="1"/>
  <c r="R1370" i="2" s="1"/>
  <c r="Q1369" i="2"/>
  <c r="R1369" i="2" s="1"/>
  <c r="K1369" i="2"/>
  <c r="K1368" i="2"/>
  <c r="Q1368" i="2" s="1"/>
  <c r="R1368" i="2" s="1"/>
  <c r="Q1367" i="2"/>
  <c r="R1367" i="2" s="1"/>
  <c r="K1367" i="2"/>
  <c r="R1366" i="2"/>
  <c r="Q1366" i="2"/>
  <c r="K1366" i="2"/>
  <c r="Q1365" i="2"/>
  <c r="R1365" i="2" s="1"/>
  <c r="N1365" i="2"/>
  <c r="K1364" i="2"/>
  <c r="Q1364" i="2" s="1"/>
  <c r="R1364" i="2" s="1"/>
  <c r="R1363" i="2"/>
  <c r="Q1363" i="2"/>
  <c r="P1363" i="2"/>
  <c r="P1362" i="2"/>
  <c r="Q1362" i="2" s="1"/>
  <c r="R1362" i="2" s="1"/>
  <c r="N1362" i="2"/>
  <c r="R1361" i="2"/>
  <c r="Q1361" i="2"/>
  <c r="K1361" i="2"/>
  <c r="P1360" i="2"/>
  <c r="N1360" i="2"/>
  <c r="Q1360" i="2" s="1"/>
  <c r="R1360" i="2" s="1"/>
  <c r="Q1359" i="2"/>
  <c r="R1359" i="2" s="1"/>
  <c r="P1358" i="2"/>
  <c r="Q1358" i="2" s="1"/>
  <c r="R1358" i="2" s="1"/>
  <c r="Q1357" i="2"/>
  <c r="R1357" i="2" s="1"/>
  <c r="P1357" i="2"/>
  <c r="R1356" i="2"/>
  <c r="Q1356" i="2"/>
  <c r="P1356" i="2"/>
  <c r="Q1355" i="2"/>
  <c r="R1355" i="2" s="1"/>
  <c r="K1355" i="2"/>
  <c r="K1354" i="2"/>
  <c r="Q1354" i="2" s="1"/>
  <c r="R1354" i="2" s="1"/>
  <c r="R1353" i="2"/>
  <c r="Q1353" i="2"/>
  <c r="Q1352" i="2"/>
  <c r="R1352" i="2" s="1"/>
  <c r="Q1351" i="2"/>
  <c r="R1351" i="2" s="1"/>
  <c r="K1351" i="2"/>
  <c r="Q1350" i="2"/>
  <c r="R1350" i="2" s="1"/>
  <c r="P1350" i="2"/>
  <c r="Q1349" i="2"/>
  <c r="R1349" i="2" s="1"/>
  <c r="Q1348" i="2"/>
  <c r="R1348" i="2" s="1"/>
  <c r="K1348" i="2"/>
  <c r="R1347" i="2"/>
  <c r="Q1347" i="2"/>
  <c r="K1347" i="2"/>
  <c r="Q1346" i="2"/>
  <c r="R1346" i="2" s="1"/>
  <c r="K1346" i="2"/>
  <c r="P1345" i="2"/>
  <c r="N1345" i="2"/>
  <c r="K1345" i="2"/>
  <c r="Q1345" i="2" s="1"/>
  <c r="R1345" i="2" s="1"/>
  <c r="Q1344" i="2"/>
  <c r="R1344" i="2" s="1"/>
  <c r="Q1343" i="2"/>
  <c r="R1343" i="2" s="1"/>
  <c r="Q1342" i="2"/>
  <c r="R1342" i="2" s="1"/>
  <c r="R1341" i="2"/>
  <c r="Q1341" i="2"/>
  <c r="K1341" i="2"/>
  <c r="K1340" i="2"/>
  <c r="Q1340" i="2" s="1"/>
  <c r="R1340" i="2" s="1"/>
  <c r="Q1339" i="2"/>
  <c r="R1339" i="2" s="1"/>
  <c r="R1338" i="2"/>
  <c r="Q1338" i="2"/>
  <c r="Q1337" i="2"/>
  <c r="R1337" i="2" s="1"/>
  <c r="Q1336" i="2"/>
  <c r="R1336" i="2" s="1"/>
  <c r="K1335" i="2"/>
  <c r="Q1335" i="2" s="1"/>
  <c r="R1335" i="2" s="1"/>
  <c r="Q1334" i="2"/>
  <c r="R1334" i="2" s="1"/>
  <c r="Q1333" i="2"/>
  <c r="R1333" i="2" s="1"/>
  <c r="Q1332" i="2"/>
  <c r="R1332" i="2" s="1"/>
  <c r="Q1331" i="2"/>
  <c r="R1331" i="2" s="1"/>
  <c r="Q1330" i="2"/>
  <c r="R1330" i="2" s="1"/>
  <c r="Q1329" i="2"/>
  <c r="R1329" i="2" s="1"/>
  <c r="L1329" i="2"/>
  <c r="K1328" i="2"/>
  <c r="Q1328" i="2" s="1"/>
  <c r="R1328" i="2" s="1"/>
  <c r="Q1327" i="2"/>
  <c r="R1327" i="2" s="1"/>
  <c r="Q1326" i="2"/>
  <c r="R1326" i="2" s="1"/>
  <c r="K1326" i="2"/>
  <c r="R1325" i="2"/>
  <c r="K1325" i="2"/>
  <c r="Q1325" i="2" s="1"/>
  <c r="Q1324" i="2"/>
  <c r="R1324" i="2" s="1"/>
  <c r="K1324" i="2"/>
  <c r="K1323" i="2"/>
  <c r="Q1323" i="2" s="1"/>
  <c r="R1323" i="2" s="1"/>
  <c r="Q1322" i="2"/>
  <c r="R1322" i="2" s="1"/>
  <c r="K1322" i="2"/>
  <c r="R1321" i="2"/>
  <c r="Q1321" i="2"/>
  <c r="R1320" i="2"/>
  <c r="K1320" i="2"/>
  <c r="Q1320" i="2" s="1"/>
  <c r="Q1319" i="2"/>
  <c r="R1319" i="2" s="1"/>
  <c r="Q1318" i="2"/>
  <c r="R1318" i="2" s="1"/>
  <c r="K1318" i="2"/>
  <c r="R1317" i="2"/>
  <c r="K1317" i="2"/>
  <c r="Q1317" i="2" s="1"/>
  <c r="R1316" i="2"/>
  <c r="Q1316" i="2"/>
  <c r="Q1315" i="2"/>
  <c r="R1315" i="2" s="1"/>
  <c r="N1315" i="2"/>
  <c r="R1314" i="2"/>
  <c r="N1314" i="2"/>
  <c r="Q1314" i="2" s="1"/>
  <c r="R1313" i="2"/>
  <c r="Q1313" i="2"/>
  <c r="P1313" i="2"/>
  <c r="N1313" i="2"/>
  <c r="K1313" i="2"/>
  <c r="K1312" i="2"/>
  <c r="Q1312" i="2" s="1"/>
  <c r="R1312" i="2" s="1"/>
  <c r="Q1311" i="2"/>
  <c r="R1311" i="2" s="1"/>
  <c r="Q1310" i="2"/>
  <c r="R1310" i="2" s="1"/>
  <c r="K1310" i="2"/>
  <c r="K1309" i="2"/>
  <c r="Q1309" i="2" s="1"/>
  <c r="R1309" i="2" s="1"/>
  <c r="Q1308" i="2"/>
  <c r="R1308" i="2" s="1"/>
  <c r="K1308" i="2"/>
  <c r="R1307" i="2"/>
  <c r="Q1307" i="2"/>
  <c r="R1306" i="2"/>
  <c r="Q1306" i="2"/>
  <c r="K1305" i="2"/>
  <c r="Q1305" i="2" s="1"/>
  <c r="R1305" i="2" s="1"/>
  <c r="Q1304" i="2"/>
  <c r="R1304" i="2" s="1"/>
  <c r="K1304" i="2"/>
  <c r="K1303" i="2"/>
  <c r="Q1303" i="2" s="1"/>
  <c r="R1303" i="2" s="1"/>
  <c r="Q1302" i="2"/>
  <c r="R1302" i="2" s="1"/>
  <c r="P1302" i="2"/>
  <c r="R1301" i="2"/>
  <c r="P1301" i="2"/>
  <c r="Q1301" i="2" s="1"/>
  <c r="Q1300" i="2"/>
  <c r="R1300" i="2" s="1"/>
  <c r="P1300" i="2"/>
  <c r="R1299" i="2"/>
  <c r="P1299" i="2"/>
  <c r="Q1299" i="2" s="1"/>
  <c r="Q1298" i="2"/>
  <c r="R1298" i="2" s="1"/>
  <c r="P1298" i="2"/>
  <c r="R1297" i="2"/>
  <c r="P1297" i="2"/>
  <c r="Q1297" i="2" s="1"/>
  <c r="Q1296" i="2"/>
  <c r="R1296" i="2" s="1"/>
  <c r="P1296" i="2"/>
  <c r="N1296" i="2"/>
  <c r="K1296" i="2"/>
  <c r="Q1295" i="2"/>
  <c r="R1295" i="2" s="1"/>
  <c r="P1294" i="2"/>
  <c r="K1294" i="2"/>
  <c r="Q1293" i="2"/>
  <c r="R1293" i="2" s="1"/>
  <c r="Q1292" i="2"/>
  <c r="R1292" i="2" s="1"/>
  <c r="K1292" i="2"/>
  <c r="K1291" i="2"/>
  <c r="Q1291" i="2" s="1"/>
  <c r="R1291" i="2" s="1"/>
  <c r="K1290" i="2"/>
  <c r="Q1290" i="2" s="1"/>
  <c r="R1290" i="2" s="1"/>
  <c r="R1289" i="2"/>
  <c r="Q1289" i="2"/>
  <c r="Q1288" i="2"/>
  <c r="R1288" i="2" s="1"/>
  <c r="K1288" i="2"/>
  <c r="R1287" i="2"/>
  <c r="Q1287" i="2"/>
  <c r="R1286" i="2"/>
  <c r="Q1286" i="2"/>
  <c r="R1285" i="2"/>
  <c r="Q1285" i="2"/>
  <c r="Q1284" i="2"/>
  <c r="R1284" i="2" s="1"/>
  <c r="R1283" i="2"/>
  <c r="K1283" i="2"/>
  <c r="Q1283" i="2" s="1"/>
  <c r="Q1282" i="2"/>
  <c r="R1282" i="2" s="1"/>
  <c r="Q1281" i="2"/>
  <c r="R1281" i="2" s="1"/>
  <c r="K1280" i="2"/>
  <c r="Q1280" i="2" s="1"/>
  <c r="R1280" i="2" s="1"/>
  <c r="K1279" i="2"/>
  <c r="Q1279" i="2" s="1"/>
  <c r="R1279" i="2" s="1"/>
  <c r="Q1278" i="2"/>
  <c r="R1278" i="2" s="1"/>
  <c r="K1278" i="2"/>
  <c r="K1277" i="2"/>
  <c r="Q1277" i="2" s="1"/>
  <c r="R1277" i="2" s="1"/>
  <c r="Q1276" i="2"/>
  <c r="R1276" i="2" s="1"/>
  <c r="Q1275" i="2"/>
  <c r="R1275" i="2" s="1"/>
  <c r="K1275" i="2"/>
  <c r="Q1274" i="2"/>
  <c r="R1274" i="2" s="1"/>
  <c r="K1273" i="2"/>
  <c r="Q1273" i="2" s="1"/>
  <c r="R1273" i="2" s="1"/>
  <c r="Q1272" i="2"/>
  <c r="R1272" i="2" s="1"/>
  <c r="K1272" i="2"/>
  <c r="Q1271" i="2"/>
  <c r="R1271" i="2" s="1"/>
  <c r="K1271" i="2"/>
  <c r="Q1270" i="2"/>
  <c r="R1270" i="2" s="1"/>
  <c r="Q1269" i="2"/>
  <c r="R1269" i="2" s="1"/>
  <c r="K1269" i="2"/>
  <c r="Q1268" i="2"/>
  <c r="R1268" i="2" s="1"/>
  <c r="K1268" i="2"/>
  <c r="Q1267" i="2"/>
  <c r="R1267" i="2" s="1"/>
  <c r="K1267" i="2"/>
  <c r="R1266" i="2"/>
  <c r="P1266" i="2"/>
  <c r="N1266" i="2"/>
  <c r="K1266" i="2"/>
  <c r="Q1266" i="2" s="1"/>
  <c r="Q1265" i="2"/>
  <c r="R1265" i="2" s="1"/>
  <c r="Q1264" i="2"/>
  <c r="R1264" i="2" s="1"/>
  <c r="K1264" i="2"/>
  <c r="Q1263" i="2"/>
  <c r="R1263" i="2" s="1"/>
  <c r="K1263" i="2"/>
  <c r="Q1262" i="2"/>
  <c r="R1262" i="2" s="1"/>
  <c r="Q1261" i="2"/>
  <c r="R1261" i="2" s="1"/>
  <c r="K1261" i="2"/>
  <c r="Q1260" i="2"/>
  <c r="R1260" i="2" s="1"/>
  <c r="K1260" i="2"/>
  <c r="Q1259" i="2"/>
  <c r="R1259" i="2" s="1"/>
  <c r="Q1258" i="2"/>
  <c r="R1258" i="2" s="1"/>
  <c r="K1257" i="2"/>
  <c r="Q1257" i="2" s="1"/>
  <c r="R1257" i="2" s="1"/>
  <c r="R1256" i="2"/>
  <c r="K1256" i="2"/>
  <c r="Q1256" i="2" s="1"/>
  <c r="Q1255" i="2"/>
  <c r="R1255" i="2" s="1"/>
  <c r="P1255" i="2"/>
  <c r="K1255" i="2"/>
  <c r="Q1254" i="2"/>
  <c r="R1254" i="2" s="1"/>
  <c r="Q1253" i="2"/>
  <c r="R1253" i="2" s="1"/>
  <c r="K1253" i="2"/>
  <c r="K1252" i="2"/>
  <c r="Q1252" i="2" s="1"/>
  <c r="R1252" i="2" s="1"/>
  <c r="Q1251" i="2"/>
  <c r="R1251" i="2" s="1"/>
  <c r="K1251" i="2"/>
  <c r="K1250" i="2"/>
  <c r="Q1250" i="2" s="1"/>
  <c r="R1250" i="2" s="1"/>
  <c r="P1249" i="2"/>
  <c r="N1249" i="2"/>
  <c r="Q1249" i="2" s="1"/>
  <c r="R1249" i="2" s="1"/>
  <c r="Q1248" i="2"/>
  <c r="R1248" i="2" s="1"/>
  <c r="K1248" i="2"/>
  <c r="P1247" i="2"/>
  <c r="N1247" i="2"/>
  <c r="K1247" i="2"/>
  <c r="Q1247" i="2" s="1"/>
  <c r="R1247" i="2" s="1"/>
  <c r="Q1246" i="2"/>
  <c r="R1246" i="2" s="1"/>
  <c r="Q1245" i="2"/>
  <c r="R1245" i="2" s="1"/>
  <c r="K1245" i="2"/>
  <c r="R1244" i="2"/>
  <c r="Q1244" i="2"/>
  <c r="K1243" i="2"/>
  <c r="Q1243" i="2" s="1"/>
  <c r="R1243" i="2" s="1"/>
  <c r="Q1242" i="2"/>
  <c r="R1242" i="2" s="1"/>
  <c r="K1241" i="2"/>
  <c r="Q1241" i="2" s="1"/>
  <c r="R1241" i="2" s="1"/>
  <c r="R1240" i="2"/>
  <c r="Q1240" i="2"/>
  <c r="K1239" i="2"/>
  <c r="Q1239" i="2" s="1"/>
  <c r="R1239" i="2" s="1"/>
  <c r="K1238" i="2"/>
  <c r="Q1238" i="2" s="1"/>
  <c r="R1238" i="2" s="1"/>
  <c r="K1237" i="2"/>
  <c r="Q1237" i="2" s="1"/>
  <c r="R1237" i="2" s="1"/>
  <c r="Q1236" i="2"/>
  <c r="R1236" i="2" s="1"/>
  <c r="P1236" i="2"/>
  <c r="P1235" i="2"/>
  <c r="Q1235" i="2" s="1"/>
  <c r="R1235" i="2" s="1"/>
  <c r="P1234" i="2"/>
  <c r="N1234" i="2"/>
  <c r="Q1234" i="2" s="1"/>
  <c r="R1234" i="2" s="1"/>
  <c r="P1233" i="2"/>
  <c r="Q1233" i="2" s="1"/>
  <c r="R1233" i="2" s="1"/>
  <c r="N1233" i="2"/>
  <c r="Q1232" i="2"/>
  <c r="R1232" i="2" s="1"/>
  <c r="P1232" i="2"/>
  <c r="P1231" i="2"/>
  <c r="N1231" i="2"/>
  <c r="Q1230" i="2"/>
  <c r="R1230" i="2" s="1"/>
  <c r="K1230" i="2"/>
  <c r="K1229" i="2"/>
  <c r="Q1229" i="2" s="1"/>
  <c r="R1229" i="2" s="1"/>
  <c r="R1228" i="2"/>
  <c r="Q1228" i="2"/>
  <c r="P1228" i="2"/>
  <c r="N1228" i="2"/>
  <c r="K1228" i="2"/>
  <c r="R1227" i="2"/>
  <c r="Q1227" i="2"/>
  <c r="Q1226" i="2"/>
  <c r="R1226" i="2" s="1"/>
  <c r="R1225" i="2"/>
  <c r="Q1225" i="2"/>
  <c r="K1224" i="2"/>
  <c r="Q1224" i="2" s="1"/>
  <c r="R1224" i="2" s="1"/>
  <c r="Q1223" i="2"/>
  <c r="R1223" i="2" s="1"/>
  <c r="Q1222" i="2"/>
  <c r="R1222" i="2" s="1"/>
  <c r="K1222" i="2"/>
  <c r="R1221" i="2"/>
  <c r="Q1221" i="2"/>
  <c r="R1220" i="2"/>
  <c r="Q1220" i="2"/>
  <c r="K1219" i="2"/>
  <c r="Q1219" i="2" s="1"/>
  <c r="R1219" i="2" s="1"/>
  <c r="Q1218" i="2"/>
  <c r="R1218" i="2" s="1"/>
  <c r="K1218" i="2"/>
  <c r="R1217" i="2"/>
  <c r="K1217" i="2"/>
  <c r="Q1217" i="2" s="1"/>
  <c r="R1216" i="2"/>
  <c r="Q1216" i="2"/>
  <c r="K1216" i="2"/>
  <c r="K1215" i="2"/>
  <c r="Q1215" i="2" s="1"/>
  <c r="R1215" i="2" s="1"/>
  <c r="P1214" i="2"/>
  <c r="N1214" i="2"/>
  <c r="K1214" i="2"/>
  <c r="R1213" i="2"/>
  <c r="Q1213" i="2"/>
  <c r="K1212" i="2"/>
  <c r="Q1212" i="2" s="1"/>
  <c r="R1212" i="2" s="1"/>
  <c r="Q1211" i="2"/>
  <c r="R1211" i="2" s="1"/>
  <c r="K1211" i="2"/>
  <c r="R1210" i="2"/>
  <c r="Q1210" i="2"/>
  <c r="K1209" i="2"/>
  <c r="Q1209" i="2" s="1"/>
  <c r="R1209" i="2" s="1"/>
  <c r="R1208" i="2"/>
  <c r="Q1208" i="2"/>
  <c r="K1208" i="2"/>
  <c r="R1207" i="2"/>
  <c r="Q1207" i="2"/>
  <c r="R1206" i="2"/>
  <c r="Q1206" i="2"/>
  <c r="Q1205" i="2"/>
  <c r="R1205" i="2" s="1"/>
  <c r="K1205" i="2"/>
  <c r="Q1204" i="2"/>
  <c r="R1204" i="2" s="1"/>
  <c r="Q1203" i="2"/>
  <c r="R1203" i="2" s="1"/>
  <c r="N1203" i="2"/>
  <c r="K1202" i="2"/>
  <c r="Q1202" i="2" s="1"/>
  <c r="R1202" i="2" s="1"/>
  <c r="Q1201" i="2"/>
  <c r="R1201" i="2" s="1"/>
  <c r="K1201" i="2"/>
  <c r="R1200" i="2"/>
  <c r="K1200" i="2"/>
  <c r="Q1200" i="2" s="1"/>
  <c r="R1199" i="2"/>
  <c r="Q1199" i="2"/>
  <c r="Q1198" i="2"/>
  <c r="R1198" i="2" s="1"/>
  <c r="K1198" i="2"/>
  <c r="R1197" i="2"/>
  <c r="Q1197" i="2"/>
  <c r="R1196" i="2"/>
  <c r="K1196" i="2"/>
  <c r="Q1196" i="2" s="1"/>
  <c r="Q1195" i="2"/>
  <c r="R1195" i="2" s="1"/>
  <c r="K1195" i="2"/>
  <c r="K1194" i="2"/>
  <c r="Q1194" i="2" s="1"/>
  <c r="R1194" i="2" s="1"/>
  <c r="Q1193" i="2"/>
  <c r="R1193" i="2" s="1"/>
  <c r="K1193" i="2"/>
  <c r="R1192" i="2"/>
  <c r="Q1192" i="2"/>
  <c r="R1191" i="2"/>
  <c r="Q1191" i="2"/>
  <c r="K1190" i="2"/>
  <c r="Q1190" i="2" s="1"/>
  <c r="R1190" i="2" s="1"/>
  <c r="Q1189" i="2"/>
  <c r="R1189" i="2" s="1"/>
  <c r="Q1188" i="2"/>
  <c r="R1188" i="2" s="1"/>
  <c r="K1187" i="2"/>
  <c r="Q1187" i="2" s="1"/>
  <c r="R1187" i="2" s="1"/>
  <c r="P1186" i="2"/>
  <c r="N1186" i="2"/>
  <c r="K1185" i="2"/>
  <c r="Q1185" i="2" s="1"/>
  <c r="R1185" i="2" s="1"/>
  <c r="R1184" i="2"/>
  <c r="Q1184" i="2"/>
  <c r="Q1183" i="2"/>
  <c r="R1183" i="2" s="1"/>
  <c r="P1182" i="2"/>
  <c r="N1182" i="2"/>
  <c r="K1182" i="2"/>
  <c r="Q1182" i="2" s="1"/>
  <c r="R1182" i="2" s="1"/>
  <c r="K1181" i="2"/>
  <c r="Q1181" i="2" s="1"/>
  <c r="R1181" i="2" s="1"/>
  <c r="Q1180" i="2"/>
  <c r="R1180" i="2" s="1"/>
  <c r="K1179" i="2"/>
  <c r="Q1179" i="2" s="1"/>
  <c r="R1179" i="2" s="1"/>
  <c r="R1178" i="2"/>
  <c r="Q1178" i="2"/>
  <c r="K1177" i="2"/>
  <c r="Q1177" i="2" s="1"/>
  <c r="R1177" i="2" s="1"/>
  <c r="Q1176" i="2"/>
  <c r="R1176" i="2" s="1"/>
  <c r="K1176" i="2"/>
  <c r="K1175" i="2"/>
  <c r="Q1175" i="2" s="1"/>
  <c r="R1175" i="2" s="1"/>
  <c r="Q1174" i="2"/>
  <c r="R1174" i="2" s="1"/>
  <c r="K1174" i="2"/>
  <c r="R1173" i="2"/>
  <c r="K1173" i="2"/>
  <c r="Q1173" i="2" s="1"/>
  <c r="Q1172" i="2"/>
  <c r="R1172" i="2" s="1"/>
  <c r="K1172" i="2"/>
  <c r="K1171" i="2"/>
  <c r="Q1171" i="2" s="1"/>
  <c r="R1171" i="2" s="1"/>
  <c r="Q1170" i="2"/>
  <c r="R1170" i="2" s="1"/>
  <c r="Q1169" i="2"/>
  <c r="R1169" i="2" s="1"/>
  <c r="N1169" i="2"/>
  <c r="K1168" i="2"/>
  <c r="Q1168" i="2" s="1"/>
  <c r="R1168" i="2" s="1"/>
  <c r="Q1167" i="2"/>
  <c r="R1167" i="2" s="1"/>
  <c r="P1167" i="2"/>
  <c r="N1167" i="2"/>
  <c r="K1167" i="2"/>
  <c r="R1166" i="2"/>
  <c r="Q1166" i="2"/>
  <c r="K1165" i="2"/>
  <c r="Q1165" i="2" s="1"/>
  <c r="R1165" i="2" s="1"/>
  <c r="Q1164" i="2"/>
  <c r="R1164" i="2" s="1"/>
  <c r="N1164" i="2"/>
  <c r="K1163" i="2"/>
  <c r="Q1163" i="2" s="1"/>
  <c r="R1163" i="2" s="1"/>
  <c r="Q1162" i="2"/>
  <c r="R1162" i="2" s="1"/>
  <c r="Q1161" i="2"/>
  <c r="R1161" i="2" s="1"/>
  <c r="K1161" i="2"/>
  <c r="L1160" i="2"/>
  <c r="Q1160" i="2" s="1"/>
  <c r="R1160" i="2" s="1"/>
  <c r="Q1159" i="2"/>
  <c r="R1159" i="2" s="1"/>
  <c r="Q1158" i="2"/>
  <c r="R1158" i="2" s="1"/>
  <c r="K1158" i="2"/>
  <c r="P1157" i="2"/>
  <c r="N1157" i="2"/>
  <c r="K1157" i="2"/>
  <c r="Q1156" i="2"/>
  <c r="R1156" i="2" s="1"/>
  <c r="R1155" i="2"/>
  <c r="Q1155" i="2"/>
  <c r="P1155" i="2"/>
  <c r="Q1154" i="2"/>
  <c r="R1154" i="2" s="1"/>
  <c r="P1154" i="2"/>
  <c r="N1154" i="2"/>
  <c r="K1154" i="2"/>
  <c r="R1153" i="2"/>
  <c r="Q1153" i="2"/>
  <c r="P1153" i="2"/>
  <c r="Q1152" i="2"/>
  <c r="R1152" i="2" s="1"/>
  <c r="P1152" i="2"/>
  <c r="Q1151" i="2"/>
  <c r="R1151" i="2" s="1"/>
  <c r="P1151" i="2"/>
  <c r="R1150" i="2"/>
  <c r="Q1150" i="2"/>
  <c r="Q1149" i="2"/>
  <c r="R1149" i="2" s="1"/>
  <c r="K1148" i="2"/>
  <c r="Q1148" i="2" s="1"/>
  <c r="R1148" i="2" s="1"/>
  <c r="Q1147" i="2"/>
  <c r="R1147" i="2" s="1"/>
  <c r="K1147" i="2"/>
  <c r="Q1146" i="2"/>
  <c r="R1146" i="2" s="1"/>
  <c r="R1145" i="2"/>
  <c r="Q1145" i="2"/>
  <c r="R1144" i="2"/>
  <c r="Q1144" i="2"/>
  <c r="R1143" i="2"/>
  <c r="Q1143" i="2"/>
  <c r="K1142" i="2"/>
  <c r="Q1142" i="2" s="1"/>
  <c r="R1142" i="2" s="1"/>
  <c r="Q1141" i="2"/>
  <c r="R1141" i="2" s="1"/>
  <c r="Q1140" i="2"/>
  <c r="R1140" i="2" s="1"/>
  <c r="K1140" i="2"/>
  <c r="K1139" i="2"/>
  <c r="Q1139" i="2" s="1"/>
  <c r="R1139" i="2" s="1"/>
  <c r="Q1138" i="2"/>
  <c r="R1138" i="2" s="1"/>
  <c r="Q1137" i="2"/>
  <c r="R1137" i="2" s="1"/>
  <c r="K1137" i="2"/>
  <c r="P1136" i="2"/>
  <c r="Q1136" i="2" s="1"/>
  <c r="R1136" i="2" s="1"/>
  <c r="P1135" i="2"/>
  <c r="N1135" i="2"/>
  <c r="Q1135" i="2" s="1"/>
  <c r="R1135" i="2" s="1"/>
  <c r="K1134" i="2"/>
  <c r="Q1134" i="2" s="1"/>
  <c r="R1134" i="2" s="1"/>
  <c r="K1133" i="2"/>
  <c r="Q1133" i="2" s="1"/>
  <c r="R1133" i="2" s="1"/>
  <c r="Q1132" i="2"/>
  <c r="R1132" i="2" s="1"/>
  <c r="K1132" i="2"/>
  <c r="K1131" i="2"/>
  <c r="Q1131" i="2" s="1"/>
  <c r="R1131" i="2" s="1"/>
  <c r="Q1130" i="2"/>
  <c r="R1130" i="2" s="1"/>
  <c r="K1130" i="2"/>
  <c r="R1129" i="2"/>
  <c r="Q1129" i="2"/>
  <c r="Q1128" i="2"/>
  <c r="R1128" i="2" s="1"/>
  <c r="R1127" i="2"/>
  <c r="Q1127" i="2"/>
  <c r="R1126" i="2"/>
  <c r="Q1126" i="2"/>
  <c r="N1125" i="2"/>
  <c r="Q1125" i="2" s="1"/>
  <c r="R1125" i="2" s="1"/>
  <c r="Q1124" i="2"/>
  <c r="R1124" i="2" s="1"/>
  <c r="Q1123" i="2"/>
  <c r="R1123" i="2" s="1"/>
  <c r="Q1122" i="2"/>
  <c r="R1122" i="2" s="1"/>
  <c r="K1122" i="2"/>
  <c r="Q1121" i="2"/>
  <c r="R1121" i="2" s="1"/>
  <c r="R1120" i="2"/>
  <c r="Q1120" i="2"/>
  <c r="R1119" i="2"/>
  <c r="Q1119" i="2"/>
  <c r="R1118" i="2"/>
  <c r="K1118" i="2"/>
  <c r="Q1118" i="2" s="1"/>
  <c r="Q1117" i="2"/>
  <c r="R1117" i="2" s="1"/>
  <c r="K1116" i="2"/>
  <c r="Q1116" i="2" s="1"/>
  <c r="R1116" i="2" s="1"/>
  <c r="P1115" i="2"/>
  <c r="N1115" i="2"/>
  <c r="K1115" i="2"/>
  <c r="Q1115" i="2" s="1"/>
  <c r="R1115" i="2" s="1"/>
  <c r="Q1114" i="2"/>
  <c r="R1114" i="2" s="1"/>
  <c r="R1113" i="2"/>
  <c r="Q1113" i="2"/>
  <c r="K1113" i="2"/>
  <c r="Q1112" i="2"/>
  <c r="R1112" i="2" s="1"/>
  <c r="R1111" i="2"/>
  <c r="K1111" i="2"/>
  <c r="Q1111" i="2" s="1"/>
  <c r="R1110" i="2"/>
  <c r="Q1110" i="2"/>
  <c r="N1110" i="2"/>
  <c r="K1109" i="2"/>
  <c r="Q1109" i="2" s="1"/>
  <c r="R1109" i="2" s="1"/>
  <c r="Q1108" i="2"/>
  <c r="R1108" i="2" s="1"/>
  <c r="P1108" i="2"/>
  <c r="R1107" i="2"/>
  <c r="P1107" i="2"/>
  <c r="N1107" i="2"/>
  <c r="K1107" i="2"/>
  <c r="Q1107" i="2" s="1"/>
  <c r="Q1106" i="2"/>
  <c r="R1106" i="2" s="1"/>
  <c r="P1106" i="2"/>
  <c r="R1105" i="2"/>
  <c r="P1105" i="2"/>
  <c r="N1105" i="2"/>
  <c r="K1105" i="2"/>
  <c r="Q1105" i="2" s="1"/>
  <c r="Q1104" i="2"/>
  <c r="R1104" i="2" s="1"/>
  <c r="R1103" i="2"/>
  <c r="Q1103" i="2"/>
  <c r="N1102" i="2"/>
  <c r="Q1102" i="2" s="1"/>
  <c r="R1102" i="2" s="1"/>
  <c r="Q1101" i="2"/>
  <c r="R1101" i="2" s="1"/>
  <c r="R1100" i="2"/>
  <c r="Q1100" i="2"/>
  <c r="Q1099" i="2"/>
  <c r="R1099" i="2" s="1"/>
  <c r="Q1098" i="2"/>
  <c r="R1098" i="2" s="1"/>
  <c r="Q1097" i="2"/>
  <c r="R1097" i="2" s="1"/>
  <c r="R1096" i="2"/>
  <c r="P1096" i="2"/>
  <c r="Q1096" i="2" s="1"/>
  <c r="P1095" i="2"/>
  <c r="N1095" i="2"/>
  <c r="Q1095" i="2" s="1"/>
  <c r="R1095" i="2" s="1"/>
  <c r="K1095" i="2"/>
  <c r="R1094" i="2"/>
  <c r="K1094" i="2"/>
  <c r="Q1094" i="2" s="1"/>
  <c r="Q1093" i="2"/>
  <c r="R1093" i="2" s="1"/>
  <c r="K1093" i="2"/>
  <c r="K1092" i="2"/>
  <c r="Q1092" i="2" s="1"/>
  <c r="R1092" i="2" s="1"/>
  <c r="K1091" i="2"/>
  <c r="Q1091" i="2" s="1"/>
  <c r="R1091" i="2" s="1"/>
  <c r="K1090" i="2"/>
  <c r="Q1090" i="2" s="1"/>
  <c r="R1090" i="2" s="1"/>
  <c r="Q1089" i="2"/>
  <c r="R1089" i="2" s="1"/>
  <c r="Q1088" i="2"/>
  <c r="R1088" i="2" s="1"/>
  <c r="Q1087" i="2"/>
  <c r="R1087" i="2" s="1"/>
  <c r="R1086" i="2"/>
  <c r="Q1086" i="2"/>
  <c r="Q1085" i="2"/>
  <c r="R1085" i="2" s="1"/>
  <c r="K1085" i="2"/>
  <c r="Q1084" i="2"/>
  <c r="R1084" i="2" s="1"/>
  <c r="Q1083" i="2"/>
  <c r="R1083" i="2" s="1"/>
  <c r="R1082" i="2"/>
  <c r="Q1082" i="2"/>
  <c r="N1082" i="2"/>
  <c r="Q1081" i="2"/>
  <c r="R1081" i="2" s="1"/>
  <c r="K1080" i="2"/>
  <c r="Q1080" i="2" s="1"/>
  <c r="R1080" i="2" s="1"/>
  <c r="Q1079" i="2"/>
  <c r="R1079" i="2" s="1"/>
  <c r="K1079" i="2"/>
  <c r="P1078" i="2"/>
  <c r="N1078" i="2"/>
  <c r="K1078" i="2"/>
  <c r="Q1078" i="2" s="1"/>
  <c r="R1078" i="2" s="1"/>
  <c r="Q1077" i="2"/>
  <c r="R1077" i="2" s="1"/>
  <c r="K1077" i="2"/>
  <c r="P1076" i="2"/>
  <c r="N1076" i="2"/>
  <c r="Q1076" i="2" s="1"/>
  <c r="R1076" i="2" s="1"/>
  <c r="P1075" i="2"/>
  <c r="Q1075" i="2" s="1"/>
  <c r="R1075" i="2" s="1"/>
  <c r="R1074" i="2"/>
  <c r="P1074" i="2"/>
  <c r="N1074" i="2"/>
  <c r="Q1074" i="2" s="1"/>
  <c r="R1073" i="2"/>
  <c r="Q1073" i="2"/>
  <c r="R1072" i="2"/>
  <c r="Q1072" i="2"/>
  <c r="R1071" i="2"/>
  <c r="Q1071" i="2"/>
  <c r="K1070" i="2"/>
  <c r="Q1070" i="2" s="1"/>
  <c r="R1070" i="2" s="1"/>
  <c r="Q1069" i="2"/>
  <c r="R1069" i="2" s="1"/>
  <c r="K1069" i="2"/>
  <c r="R1068" i="2"/>
  <c r="Q1068" i="2"/>
  <c r="K1067" i="2"/>
  <c r="Q1067" i="2" s="1"/>
  <c r="R1067" i="2" s="1"/>
  <c r="Q1066" i="2"/>
  <c r="R1066" i="2" s="1"/>
  <c r="Q1065" i="2"/>
  <c r="R1065" i="2" s="1"/>
  <c r="K1064" i="2"/>
  <c r="Q1064" i="2" s="1"/>
  <c r="R1064" i="2" s="1"/>
  <c r="R1063" i="2"/>
  <c r="Q1063" i="2"/>
  <c r="K1062" i="2"/>
  <c r="Q1062" i="2" s="1"/>
  <c r="R1062" i="2" s="1"/>
  <c r="K1061" i="2"/>
  <c r="Q1061" i="2" s="1"/>
  <c r="R1061" i="2" s="1"/>
  <c r="R1060" i="2"/>
  <c r="Q1060" i="2"/>
  <c r="K1059" i="2"/>
  <c r="Q1059" i="2" s="1"/>
  <c r="R1059" i="2" s="1"/>
  <c r="N1058" i="2"/>
  <c r="Q1058" i="2" s="1"/>
  <c r="R1058" i="2" s="1"/>
  <c r="R1057" i="2"/>
  <c r="Q1057" i="2"/>
  <c r="R1056" i="2"/>
  <c r="Q1056" i="2"/>
  <c r="K1056" i="2"/>
  <c r="K1055" i="2"/>
  <c r="Q1055" i="2" s="1"/>
  <c r="R1055" i="2" s="1"/>
  <c r="N1054" i="2"/>
  <c r="Q1054" i="2" s="1"/>
  <c r="R1054" i="2" s="1"/>
  <c r="Q1053" i="2"/>
  <c r="R1053" i="2" s="1"/>
  <c r="P1053" i="2"/>
  <c r="P1052" i="2"/>
  <c r="N1052" i="2"/>
  <c r="K1052" i="2"/>
  <c r="Q1052" i="2" s="1"/>
  <c r="R1052" i="2" s="1"/>
  <c r="Q1051" i="2"/>
  <c r="R1051" i="2" s="1"/>
  <c r="Q1050" i="2"/>
  <c r="R1050" i="2" s="1"/>
  <c r="Q1049" i="2"/>
  <c r="R1049" i="2" s="1"/>
  <c r="R1048" i="2"/>
  <c r="Q1048" i="2"/>
  <c r="K1048" i="2"/>
  <c r="R1047" i="2"/>
  <c r="Q1047" i="2"/>
  <c r="K1046" i="2"/>
  <c r="Q1046" i="2" s="1"/>
  <c r="R1046" i="2" s="1"/>
  <c r="Q1045" i="2"/>
  <c r="R1045" i="2" s="1"/>
  <c r="K1045" i="2"/>
  <c r="N1044" i="2"/>
  <c r="Q1044" i="2" s="1"/>
  <c r="R1044" i="2" s="1"/>
  <c r="Q1043" i="2"/>
  <c r="R1043" i="2" s="1"/>
  <c r="Q1042" i="2"/>
  <c r="R1042" i="2" s="1"/>
  <c r="Q1041" i="2"/>
  <c r="R1041" i="2" s="1"/>
  <c r="K1041" i="2"/>
  <c r="N1040" i="2"/>
  <c r="Q1040" i="2" s="1"/>
  <c r="R1040" i="2" s="1"/>
  <c r="Q1039" i="2"/>
  <c r="R1039" i="2" s="1"/>
  <c r="Q1038" i="2"/>
  <c r="R1038" i="2" s="1"/>
  <c r="K1038" i="2"/>
  <c r="Q1037" i="2"/>
  <c r="R1037" i="2" s="1"/>
  <c r="R1036" i="2"/>
  <c r="Q1036" i="2"/>
  <c r="Q1035" i="2"/>
  <c r="R1035" i="2" s="1"/>
  <c r="N1035" i="2"/>
  <c r="K1034" i="2"/>
  <c r="Q1034" i="2" s="1"/>
  <c r="R1034" i="2" s="1"/>
  <c r="Q1033" i="2"/>
  <c r="R1033" i="2" s="1"/>
  <c r="R1032" i="2"/>
  <c r="Q1032" i="2"/>
  <c r="K1032" i="2"/>
  <c r="K1031" i="2"/>
  <c r="Q1031" i="2" s="1"/>
  <c r="R1031" i="2" s="1"/>
  <c r="Q1030" i="2"/>
  <c r="R1030" i="2" s="1"/>
  <c r="K1030" i="2"/>
  <c r="R1029" i="2"/>
  <c r="Q1029" i="2"/>
  <c r="Q1028" i="2"/>
  <c r="R1028" i="2" s="1"/>
  <c r="P1027" i="2"/>
  <c r="N1027" i="2"/>
  <c r="Q1027" i="2" s="1"/>
  <c r="R1027" i="2" s="1"/>
  <c r="R1026" i="2"/>
  <c r="Q1026" i="2"/>
  <c r="P1026" i="2"/>
  <c r="N1026" i="2"/>
  <c r="K1026" i="2"/>
  <c r="Q1025" i="2"/>
  <c r="R1025" i="2" s="1"/>
  <c r="Q1024" i="2"/>
  <c r="R1024" i="2" s="1"/>
  <c r="K1024" i="2"/>
  <c r="Q1023" i="2"/>
  <c r="R1023" i="2" s="1"/>
  <c r="Q1022" i="2"/>
  <c r="R1022" i="2" s="1"/>
  <c r="P1021" i="2"/>
  <c r="N1021" i="2"/>
  <c r="Q1021" i="2" s="1"/>
  <c r="R1021" i="2" s="1"/>
  <c r="P1020" i="2"/>
  <c r="N1020" i="2"/>
  <c r="K1020" i="2"/>
  <c r="Q1020" i="2" s="1"/>
  <c r="R1020" i="2" s="1"/>
  <c r="R1019" i="2"/>
  <c r="Q1019" i="2"/>
  <c r="N1019" i="2"/>
  <c r="Q1018" i="2"/>
  <c r="R1018" i="2" s="1"/>
  <c r="Q1017" i="2"/>
  <c r="R1017" i="2" s="1"/>
  <c r="R1016" i="2"/>
  <c r="P1016" i="2"/>
  <c r="Q1016" i="2" s="1"/>
  <c r="R1015" i="2"/>
  <c r="P1015" i="2"/>
  <c r="Q1015" i="2" s="1"/>
  <c r="P1014" i="2"/>
  <c r="Q1014" i="2" s="1"/>
  <c r="R1014" i="2" s="1"/>
  <c r="Q1013" i="2"/>
  <c r="R1013" i="2" s="1"/>
  <c r="K1012" i="2"/>
  <c r="Q1012" i="2" s="1"/>
  <c r="R1012" i="2" s="1"/>
  <c r="Q1011" i="2"/>
  <c r="R1011" i="2" s="1"/>
  <c r="K1010" i="2"/>
  <c r="Q1010" i="2" s="1"/>
  <c r="R1010" i="2" s="1"/>
  <c r="R1009" i="2"/>
  <c r="Q1009" i="2"/>
  <c r="Q1008" i="2"/>
  <c r="R1008" i="2" s="1"/>
  <c r="R1007" i="2"/>
  <c r="Q1007" i="2"/>
  <c r="K1006" i="2"/>
  <c r="Q1006" i="2" s="1"/>
  <c r="R1006" i="2" s="1"/>
  <c r="K1005" i="2"/>
  <c r="Q1005" i="2" s="1"/>
  <c r="R1005" i="2" s="1"/>
  <c r="R1004" i="2"/>
  <c r="K1004" i="2"/>
  <c r="Q1004" i="2" s="1"/>
  <c r="R1003" i="2"/>
  <c r="Q1003" i="2"/>
  <c r="K1003" i="2"/>
  <c r="K1002" i="2"/>
  <c r="Q1002" i="2" s="1"/>
  <c r="R1002" i="2" s="1"/>
  <c r="Q1001" i="2"/>
  <c r="R1001" i="2" s="1"/>
  <c r="Q1000" i="2"/>
  <c r="R1000" i="2" s="1"/>
  <c r="K1000" i="2"/>
  <c r="Q999" i="2"/>
  <c r="R999" i="2" s="1"/>
  <c r="Q998" i="2"/>
  <c r="R998" i="2" s="1"/>
  <c r="Q997" i="2"/>
  <c r="R997" i="2" s="1"/>
  <c r="K996" i="2"/>
  <c r="Q996" i="2" s="1"/>
  <c r="R996" i="2" s="1"/>
  <c r="Q995" i="2"/>
  <c r="R995" i="2" s="1"/>
  <c r="R994" i="2"/>
  <c r="Q994" i="2"/>
  <c r="R993" i="2"/>
  <c r="Q993" i="2"/>
  <c r="K993" i="2"/>
  <c r="Q992" i="2"/>
  <c r="R992" i="2" s="1"/>
  <c r="R991" i="2"/>
  <c r="Q991" i="2"/>
  <c r="K991" i="2"/>
  <c r="Q990" i="2"/>
  <c r="R990" i="2" s="1"/>
  <c r="K989" i="2"/>
  <c r="Q989" i="2" s="1"/>
  <c r="R989" i="2" s="1"/>
  <c r="R988" i="2"/>
  <c r="Q988" i="2"/>
  <c r="Q987" i="2"/>
  <c r="R987" i="2" s="1"/>
  <c r="N987" i="2"/>
  <c r="Q986" i="2"/>
  <c r="R986" i="2" s="1"/>
  <c r="Q985" i="2"/>
  <c r="R985" i="2" s="1"/>
  <c r="Q984" i="2"/>
  <c r="R984" i="2" s="1"/>
  <c r="Q983" i="2"/>
  <c r="R983" i="2" s="1"/>
  <c r="K983" i="2"/>
  <c r="Q982" i="2"/>
  <c r="R982" i="2" s="1"/>
  <c r="Q981" i="2"/>
  <c r="R981" i="2" s="1"/>
  <c r="N981" i="2"/>
  <c r="R980" i="2"/>
  <c r="Q980" i="2"/>
  <c r="K979" i="2"/>
  <c r="Q979" i="2" s="1"/>
  <c r="R979" i="2" s="1"/>
  <c r="R978" i="2"/>
  <c r="Q978" i="2"/>
  <c r="K978" i="2"/>
  <c r="R977" i="2"/>
  <c r="Q977" i="2"/>
  <c r="K977" i="2"/>
  <c r="N976" i="2"/>
  <c r="Q976" i="2" s="1"/>
  <c r="R976" i="2" s="1"/>
  <c r="R975" i="2"/>
  <c r="Q975" i="2"/>
  <c r="K975" i="2"/>
  <c r="P974" i="2"/>
  <c r="N974" i="2"/>
  <c r="Q974" i="2" s="1"/>
  <c r="R974" i="2" s="1"/>
  <c r="N973" i="2"/>
  <c r="K973" i="2"/>
  <c r="R972" i="2"/>
  <c r="Q972" i="2"/>
  <c r="K971" i="2"/>
  <c r="Q971" i="2" s="1"/>
  <c r="R971" i="2" s="1"/>
  <c r="Q970" i="2"/>
  <c r="R970" i="2" s="1"/>
  <c r="P970" i="2"/>
  <c r="K970" i="2"/>
  <c r="Q969" i="2"/>
  <c r="R969" i="2" s="1"/>
  <c r="Q968" i="2"/>
  <c r="R968" i="2" s="1"/>
  <c r="N968" i="2"/>
  <c r="N967" i="2"/>
  <c r="Q967" i="2" s="1"/>
  <c r="R967" i="2" s="1"/>
  <c r="K966" i="2"/>
  <c r="Q966" i="2" s="1"/>
  <c r="R966" i="2" s="1"/>
  <c r="K965" i="2"/>
  <c r="Q965" i="2" s="1"/>
  <c r="R965" i="2" s="1"/>
  <c r="Q964" i="2"/>
  <c r="R964" i="2" s="1"/>
  <c r="P964" i="2"/>
  <c r="P963" i="2"/>
  <c r="Q963" i="2" s="1"/>
  <c r="R963" i="2" s="1"/>
  <c r="Q962" i="2"/>
  <c r="R962" i="2" s="1"/>
  <c r="P962" i="2"/>
  <c r="R961" i="2"/>
  <c r="P961" i="2"/>
  <c r="Q961" i="2" s="1"/>
  <c r="Q960" i="2"/>
  <c r="R960" i="2" s="1"/>
  <c r="Q959" i="2"/>
  <c r="R959" i="2" s="1"/>
  <c r="Q958" i="2"/>
  <c r="R958" i="2" s="1"/>
  <c r="K957" i="2"/>
  <c r="Q957" i="2" s="1"/>
  <c r="R957" i="2" s="1"/>
  <c r="R956" i="2"/>
  <c r="Q956" i="2"/>
  <c r="R955" i="2"/>
  <c r="K955" i="2"/>
  <c r="Q955" i="2" s="1"/>
  <c r="K954" i="2"/>
  <c r="Q954" i="2" s="1"/>
  <c r="R954" i="2" s="1"/>
  <c r="Q953" i="2"/>
  <c r="R953" i="2" s="1"/>
  <c r="K953" i="2"/>
  <c r="Q952" i="2"/>
  <c r="R952" i="2" s="1"/>
  <c r="K951" i="2"/>
  <c r="Q951" i="2" s="1"/>
  <c r="R951" i="2" s="1"/>
  <c r="R950" i="2"/>
  <c r="Q950" i="2"/>
  <c r="R949" i="2"/>
  <c r="Q949" i="2"/>
  <c r="R948" i="2"/>
  <c r="Q948" i="2"/>
  <c r="Q947" i="2"/>
  <c r="R947" i="2" s="1"/>
  <c r="Q946" i="2"/>
  <c r="R946" i="2" s="1"/>
  <c r="Q945" i="2"/>
  <c r="R945" i="2" s="1"/>
  <c r="K945" i="2"/>
  <c r="Q944" i="2"/>
  <c r="R944" i="2" s="1"/>
  <c r="Q943" i="2"/>
  <c r="R943" i="2" s="1"/>
  <c r="R942" i="2"/>
  <c r="Q942" i="2"/>
  <c r="R941" i="2"/>
  <c r="Q941" i="2"/>
  <c r="K941" i="2"/>
  <c r="K940" i="2"/>
  <c r="Q940" i="2" s="1"/>
  <c r="R940" i="2" s="1"/>
  <c r="R939" i="2"/>
  <c r="Q939" i="2"/>
  <c r="R938" i="2"/>
  <c r="Q938" i="2"/>
  <c r="K938" i="2"/>
  <c r="N937" i="2"/>
  <c r="Q937" i="2" s="1"/>
  <c r="R937" i="2" s="1"/>
  <c r="R936" i="2"/>
  <c r="Q936" i="2"/>
  <c r="R935" i="2"/>
  <c r="Q935" i="2"/>
  <c r="Q934" i="2"/>
  <c r="R934" i="2" s="1"/>
  <c r="Q933" i="2"/>
  <c r="R933" i="2" s="1"/>
  <c r="R932" i="2"/>
  <c r="K932" i="2"/>
  <c r="Q932" i="2" s="1"/>
  <c r="R931" i="2"/>
  <c r="K931" i="2"/>
  <c r="Q931" i="2" s="1"/>
  <c r="Q930" i="2"/>
  <c r="R930" i="2" s="1"/>
  <c r="R929" i="2"/>
  <c r="Q929" i="2"/>
  <c r="R928" i="2"/>
  <c r="Q928" i="2"/>
  <c r="K928" i="2"/>
  <c r="K927" i="2"/>
  <c r="Q927" i="2" s="1"/>
  <c r="R927" i="2" s="1"/>
  <c r="N926" i="2"/>
  <c r="Q926" i="2" s="1"/>
  <c r="R926" i="2" s="1"/>
  <c r="K925" i="2"/>
  <c r="Q925" i="2" s="1"/>
  <c r="R925" i="2" s="1"/>
  <c r="P924" i="2"/>
  <c r="N924" i="2"/>
  <c r="K924" i="2"/>
  <c r="Q924" i="2" s="1"/>
  <c r="R924" i="2" s="1"/>
  <c r="K923" i="2"/>
  <c r="Q923" i="2" s="1"/>
  <c r="R923" i="2" s="1"/>
  <c r="N922" i="2"/>
  <c r="Q922" i="2" s="1"/>
  <c r="R922" i="2" s="1"/>
  <c r="Q921" i="2"/>
  <c r="R921" i="2" s="1"/>
  <c r="R920" i="2"/>
  <c r="Q920" i="2"/>
  <c r="R919" i="2"/>
  <c r="Q919" i="2"/>
  <c r="Q918" i="2"/>
  <c r="R918" i="2" s="1"/>
  <c r="K918" i="2"/>
  <c r="R917" i="2"/>
  <c r="Q917" i="2"/>
  <c r="P917" i="2"/>
  <c r="N917" i="2"/>
  <c r="K917" i="2"/>
  <c r="Q916" i="2"/>
  <c r="R916" i="2" s="1"/>
  <c r="Q915" i="2"/>
  <c r="R915" i="2" s="1"/>
  <c r="K915" i="2"/>
  <c r="Q914" i="2"/>
  <c r="R914" i="2" s="1"/>
  <c r="K914" i="2"/>
  <c r="R913" i="2"/>
  <c r="K913" i="2"/>
  <c r="Q913" i="2" s="1"/>
  <c r="Q912" i="2"/>
  <c r="R912" i="2" s="1"/>
  <c r="Q911" i="2"/>
  <c r="R911" i="2" s="1"/>
  <c r="P911" i="2"/>
  <c r="Q910" i="2"/>
  <c r="R910" i="2" s="1"/>
  <c r="P910" i="2"/>
  <c r="N910" i="2"/>
  <c r="K910" i="2"/>
  <c r="Q909" i="2"/>
  <c r="R909" i="2" s="1"/>
  <c r="K909" i="2"/>
  <c r="K908" i="2"/>
  <c r="Q908" i="2" s="1"/>
  <c r="R908" i="2" s="1"/>
  <c r="Q907" i="2"/>
  <c r="R907" i="2" s="1"/>
  <c r="Q906" i="2"/>
  <c r="R906" i="2" s="1"/>
  <c r="Q905" i="2"/>
  <c r="R905" i="2" s="1"/>
  <c r="R904" i="2"/>
  <c r="Q904" i="2"/>
  <c r="Q903" i="2"/>
  <c r="R903" i="2" s="1"/>
  <c r="Q902" i="2"/>
  <c r="R902" i="2" s="1"/>
  <c r="Q901" i="2"/>
  <c r="R901" i="2" s="1"/>
  <c r="N900" i="2"/>
  <c r="Q900" i="2" s="1"/>
  <c r="R900" i="2" s="1"/>
  <c r="R899" i="2"/>
  <c r="Q899" i="2"/>
  <c r="K898" i="2"/>
  <c r="Q898" i="2" s="1"/>
  <c r="R898" i="2" s="1"/>
  <c r="Q897" i="2"/>
  <c r="R897" i="2" s="1"/>
  <c r="Q896" i="2"/>
  <c r="R896" i="2" s="1"/>
  <c r="P896" i="2"/>
  <c r="P895" i="2"/>
  <c r="Q895" i="2" s="1"/>
  <c r="R895" i="2" s="1"/>
  <c r="Q894" i="2"/>
  <c r="R894" i="2" s="1"/>
  <c r="P894" i="2"/>
  <c r="R893" i="2"/>
  <c r="P893" i="2"/>
  <c r="Q893" i="2" s="1"/>
  <c r="Q892" i="2"/>
  <c r="R892" i="2" s="1"/>
  <c r="P892" i="2"/>
  <c r="R891" i="2"/>
  <c r="Q891" i="2"/>
  <c r="R890" i="2"/>
  <c r="Q890" i="2"/>
  <c r="Q889" i="2"/>
  <c r="R889" i="2" s="1"/>
  <c r="P888" i="2"/>
  <c r="Q888" i="2" s="1"/>
  <c r="R888" i="2" s="1"/>
  <c r="N888" i="2"/>
  <c r="K888" i="2"/>
  <c r="K887" i="2"/>
  <c r="Q887" i="2" s="1"/>
  <c r="R887" i="2" s="1"/>
  <c r="Q886" i="2"/>
  <c r="R886" i="2" s="1"/>
  <c r="K885" i="2"/>
  <c r="Q885" i="2" s="1"/>
  <c r="R885" i="2" s="1"/>
  <c r="Q884" i="2"/>
  <c r="R884" i="2" s="1"/>
  <c r="Q883" i="2"/>
  <c r="R883" i="2" s="1"/>
  <c r="P882" i="2"/>
  <c r="Q882" i="2" s="1"/>
  <c r="R882" i="2" s="1"/>
  <c r="P881" i="2"/>
  <c r="N881" i="2"/>
  <c r="K881" i="2"/>
  <c r="Q881" i="2" s="1"/>
  <c r="R881" i="2" s="1"/>
  <c r="Q880" i="2"/>
  <c r="R880" i="2" s="1"/>
  <c r="Q879" i="2"/>
  <c r="R879" i="2" s="1"/>
  <c r="K879" i="2"/>
  <c r="P878" i="2"/>
  <c r="Q878" i="2" s="1"/>
  <c r="R878" i="2" s="1"/>
  <c r="R877" i="2"/>
  <c r="Q877" i="2"/>
  <c r="Q876" i="2"/>
  <c r="R876" i="2" s="1"/>
  <c r="K876" i="2"/>
  <c r="Q875" i="2"/>
  <c r="R875" i="2" s="1"/>
  <c r="Q874" i="2"/>
  <c r="R874" i="2" s="1"/>
  <c r="R873" i="2"/>
  <c r="Q873" i="2"/>
  <c r="R872" i="2"/>
  <c r="Q872" i="2"/>
  <c r="Q871" i="2"/>
  <c r="R871" i="2" s="1"/>
  <c r="R870" i="2"/>
  <c r="Q870" i="2"/>
  <c r="Q869" i="2"/>
  <c r="R869" i="2" s="1"/>
  <c r="R868" i="2"/>
  <c r="Q868" i="2"/>
  <c r="Q867" i="2"/>
  <c r="R867" i="2" s="1"/>
  <c r="Q866" i="2"/>
  <c r="R866" i="2" s="1"/>
  <c r="Q865" i="2"/>
  <c r="R865" i="2" s="1"/>
  <c r="R864" i="2"/>
  <c r="P864" i="2"/>
  <c r="N864" i="2"/>
  <c r="K864" i="2"/>
  <c r="Q864" i="2" s="1"/>
  <c r="Q863" i="2"/>
  <c r="R863" i="2" s="1"/>
  <c r="K863" i="2"/>
  <c r="R862" i="2"/>
  <c r="Q862" i="2"/>
  <c r="K862" i="2"/>
  <c r="K861" i="2"/>
  <c r="Q861" i="2" s="1"/>
  <c r="R861" i="2" s="1"/>
  <c r="Q860" i="2"/>
  <c r="R860" i="2" s="1"/>
  <c r="K860" i="2"/>
  <c r="R859" i="2"/>
  <c r="Q859" i="2"/>
  <c r="Q858" i="2"/>
  <c r="R858" i="2" s="1"/>
  <c r="L858" i="2"/>
  <c r="R857" i="2"/>
  <c r="Q857" i="2"/>
  <c r="R856" i="2"/>
  <c r="Q856" i="2"/>
  <c r="K856" i="2"/>
  <c r="K855" i="2"/>
  <c r="Q855" i="2" s="1"/>
  <c r="R855" i="2" s="1"/>
  <c r="Q854" i="2"/>
  <c r="R854" i="2" s="1"/>
  <c r="R853" i="2"/>
  <c r="Q853" i="2"/>
  <c r="K852" i="2"/>
  <c r="Q852" i="2" s="1"/>
  <c r="R852" i="2" s="1"/>
  <c r="Q851" i="2"/>
  <c r="R851" i="2" s="1"/>
  <c r="Q850" i="2"/>
  <c r="R850" i="2" s="1"/>
  <c r="Q849" i="2"/>
  <c r="R849" i="2" s="1"/>
  <c r="Q848" i="2"/>
  <c r="R848" i="2" s="1"/>
  <c r="Q847" i="2"/>
  <c r="R847" i="2" s="1"/>
  <c r="R846" i="2"/>
  <c r="Q846" i="2"/>
  <c r="K845" i="2"/>
  <c r="Q845" i="2" s="1"/>
  <c r="R845" i="2" s="1"/>
  <c r="Q844" i="2"/>
  <c r="R844" i="2" s="1"/>
  <c r="K844" i="2"/>
  <c r="R843" i="2"/>
  <c r="Q843" i="2"/>
  <c r="Q842" i="2"/>
  <c r="R842" i="2" s="1"/>
  <c r="R841" i="2"/>
  <c r="Q841" i="2"/>
  <c r="R840" i="2"/>
  <c r="Q840" i="2"/>
  <c r="K839" i="2"/>
  <c r="Q839" i="2" s="1"/>
  <c r="R839" i="2" s="1"/>
  <c r="Q838" i="2"/>
  <c r="R838" i="2" s="1"/>
  <c r="R837" i="2"/>
  <c r="Q837" i="2"/>
  <c r="N837" i="2"/>
  <c r="Q836" i="2"/>
  <c r="R836" i="2" s="1"/>
  <c r="N836" i="2"/>
  <c r="R835" i="2"/>
  <c r="K835" i="2"/>
  <c r="Q835" i="2" s="1"/>
  <c r="R834" i="2"/>
  <c r="Q834" i="2"/>
  <c r="K834" i="2"/>
  <c r="P833" i="2"/>
  <c r="N833" i="2"/>
  <c r="R832" i="2"/>
  <c r="Q832" i="2"/>
  <c r="K832" i="2"/>
  <c r="K831" i="2"/>
  <c r="Q831" i="2" s="1"/>
  <c r="R831" i="2" s="1"/>
  <c r="Q830" i="2"/>
  <c r="R830" i="2" s="1"/>
  <c r="N830" i="2"/>
  <c r="R829" i="2"/>
  <c r="Q829" i="2"/>
  <c r="Q828" i="2"/>
  <c r="R828" i="2" s="1"/>
  <c r="R827" i="2"/>
  <c r="Q827" i="2"/>
  <c r="K827" i="2"/>
  <c r="R826" i="2"/>
  <c r="Q826" i="2"/>
  <c r="Q825" i="2"/>
  <c r="R825" i="2" s="1"/>
  <c r="Q824" i="2"/>
  <c r="R824" i="2" s="1"/>
  <c r="Q823" i="2"/>
  <c r="R823" i="2" s="1"/>
  <c r="P823" i="2"/>
  <c r="Q822" i="2"/>
  <c r="R822" i="2" s="1"/>
  <c r="P822" i="2"/>
  <c r="R821" i="2"/>
  <c r="P821" i="2"/>
  <c r="Q821" i="2" s="1"/>
  <c r="R820" i="2"/>
  <c r="Q820" i="2"/>
  <c r="P820" i="2"/>
  <c r="P819" i="2"/>
  <c r="Q819" i="2" s="1"/>
  <c r="R819" i="2" s="1"/>
  <c r="Q818" i="2"/>
  <c r="R818" i="2" s="1"/>
  <c r="P818" i="2"/>
  <c r="R817" i="2"/>
  <c r="Q817" i="2"/>
  <c r="P817" i="2"/>
  <c r="Q816" i="2"/>
  <c r="R816" i="2" s="1"/>
  <c r="R815" i="2"/>
  <c r="P815" i="2"/>
  <c r="Q815" i="2" s="1"/>
  <c r="Q814" i="2"/>
  <c r="R814" i="2" s="1"/>
  <c r="P814" i="2"/>
  <c r="N814" i="2"/>
  <c r="K814" i="2"/>
  <c r="R813" i="2"/>
  <c r="P813" i="2"/>
  <c r="Q813" i="2" s="1"/>
  <c r="Q812" i="2"/>
  <c r="R812" i="2" s="1"/>
  <c r="P812" i="2"/>
  <c r="N812" i="2"/>
  <c r="K812" i="2"/>
  <c r="R811" i="2"/>
  <c r="P811" i="2"/>
  <c r="Q811" i="2" s="1"/>
  <c r="N811" i="2"/>
  <c r="Q810" i="2"/>
  <c r="R810" i="2" s="1"/>
  <c r="K810" i="2"/>
  <c r="Q809" i="2"/>
  <c r="R809" i="2" s="1"/>
  <c r="K809" i="2"/>
  <c r="R808" i="2"/>
  <c r="Q808" i="2"/>
  <c r="R807" i="2"/>
  <c r="Q807" i="2"/>
  <c r="R806" i="2"/>
  <c r="K806" i="2"/>
  <c r="Q806" i="2" s="1"/>
  <c r="Q805" i="2"/>
  <c r="R805" i="2" s="1"/>
  <c r="Q804" i="2"/>
  <c r="R804" i="2" s="1"/>
  <c r="K803" i="2"/>
  <c r="Q803" i="2" s="1"/>
  <c r="R803" i="2" s="1"/>
  <c r="Q802" i="2"/>
  <c r="R802" i="2" s="1"/>
  <c r="K802" i="2"/>
  <c r="Q801" i="2"/>
  <c r="R801" i="2" s="1"/>
  <c r="R800" i="2"/>
  <c r="Q800" i="2"/>
  <c r="R799" i="2"/>
  <c r="Q799" i="2"/>
  <c r="R798" i="2"/>
  <c r="Q798" i="2"/>
  <c r="Q797" i="2"/>
  <c r="R797" i="2" s="1"/>
  <c r="K797" i="2"/>
  <c r="Q796" i="2"/>
  <c r="R796" i="2" s="1"/>
  <c r="Q795" i="2"/>
  <c r="R795" i="2" s="1"/>
  <c r="K795" i="2"/>
  <c r="Q794" i="2"/>
  <c r="R794" i="2" s="1"/>
  <c r="K794" i="2"/>
  <c r="Q793" i="2"/>
  <c r="R793" i="2" s="1"/>
  <c r="Q792" i="2"/>
  <c r="R792" i="2" s="1"/>
  <c r="Q791" i="2"/>
  <c r="R791" i="2" s="1"/>
  <c r="Q790" i="2"/>
  <c r="R790" i="2" s="1"/>
  <c r="K790" i="2"/>
  <c r="R789" i="2"/>
  <c r="N789" i="2"/>
  <c r="Q789" i="2" s="1"/>
  <c r="Q788" i="2"/>
  <c r="R788" i="2" s="1"/>
  <c r="K788" i="2"/>
  <c r="R787" i="2"/>
  <c r="Q787" i="2"/>
  <c r="R786" i="2"/>
  <c r="K786" i="2"/>
  <c r="Q786" i="2" s="1"/>
  <c r="Q785" i="2"/>
  <c r="R785" i="2" s="1"/>
  <c r="Q784" i="2"/>
  <c r="R784" i="2" s="1"/>
  <c r="Q783" i="2"/>
  <c r="R783" i="2" s="1"/>
  <c r="Q782" i="2"/>
  <c r="R782" i="2" s="1"/>
  <c r="K781" i="2"/>
  <c r="Q781" i="2" s="1"/>
  <c r="R781" i="2" s="1"/>
  <c r="K780" i="2"/>
  <c r="Q780" i="2" s="1"/>
  <c r="R780" i="2" s="1"/>
  <c r="P779" i="2"/>
  <c r="N779" i="2"/>
  <c r="K779" i="2"/>
  <c r="Q779" i="2" s="1"/>
  <c r="R779" i="2" s="1"/>
  <c r="R778" i="2"/>
  <c r="Q778" i="2"/>
  <c r="N777" i="2"/>
  <c r="Q777" i="2" s="1"/>
  <c r="R777" i="2" s="1"/>
  <c r="Q776" i="2"/>
  <c r="R776" i="2" s="1"/>
  <c r="R775" i="2"/>
  <c r="Q775" i="2"/>
  <c r="K775" i="2"/>
  <c r="K774" i="2"/>
  <c r="Q774" i="2" s="1"/>
  <c r="R774" i="2" s="1"/>
  <c r="K773" i="2"/>
  <c r="Q773" i="2" s="1"/>
  <c r="R773" i="2" s="1"/>
  <c r="K772" i="2"/>
  <c r="Q772" i="2" s="1"/>
  <c r="R772" i="2" s="1"/>
  <c r="Q771" i="2"/>
  <c r="R771" i="2" s="1"/>
  <c r="Q770" i="2"/>
  <c r="R770" i="2" s="1"/>
  <c r="K770" i="2"/>
  <c r="R769" i="2"/>
  <c r="K769" i="2"/>
  <c r="Q769" i="2" s="1"/>
  <c r="Q768" i="2"/>
  <c r="R768" i="2" s="1"/>
  <c r="K768" i="2"/>
  <c r="R767" i="2"/>
  <c r="Q767" i="2"/>
  <c r="R766" i="2"/>
  <c r="Q766" i="2"/>
  <c r="R765" i="2"/>
  <c r="Q765" i="2"/>
  <c r="R764" i="2"/>
  <c r="K764" i="2"/>
  <c r="Q764" i="2" s="1"/>
  <c r="R763" i="2"/>
  <c r="Q763" i="2"/>
  <c r="K763" i="2"/>
  <c r="K762" i="2"/>
  <c r="Q762" i="2" s="1"/>
  <c r="R762" i="2" s="1"/>
  <c r="N761" i="2"/>
  <c r="Q761" i="2" s="1"/>
  <c r="R761" i="2" s="1"/>
  <c r="K760" i="2"/>
  <c r="Q760" i="2" s="1"/>
  <c r="R760" i="2" s="1"/>
  <c r="Q759" i="2"/>
  <c r="R759" i="2" s="1"/>
  <c r="Q758" i="2"/>
  <c r="R758" i="2" s="1"/>
  <c r="Q757" i="2"/>
  <c r="R757" i="2" s="1"/>
  <c r="K757" i="2"/>
  <c r="R756" i="2"/>
  <c r="P756" i="2"/>
  <c r="Q756" i="2" s="1"/>
  <c r="Q755" i="2"/>
  <c r="R755" i="2" s="1"/>
  <c r="P755" i="2"/>
  <c r="R754" i="2"/>
  <c r="P754" i="2"/>
  <c r="Q754" i="2" s="1"/>
  <c r="Q753" i="2"/>
  <c r="R753" i="2" s="1"/>
  <c r="P752" i="2"/>
  <c r="Q752" i="2" s="1"/>
  <c r="R752" i="2" s="1"/>
  <c r="P751" i="2"/>
  <c r="Q751" i="2" s="1"/>
  <c r="R751" i="2" s="1"/>
  <c r="Q750" i="2"/>
  <c r="R750" i="2" s="1"/>
  <c r="Q749" i="2"/>
  <c r="R749" i="2" s="1"/>
  <c r="P749" i="2"/>
  <c r="N749" i="2"/>
  <c r="K749" i="2"/>
  <c r="R748" i="2"/>
  <c r="P748" i="2"/>
  <c r="Q748" i="2" s="1"/>
  <c r="Q747" i="2"/>
  <c r="R747" i="2" s="1"/>
  <c r="P747" i="2"/>
  <c r="N747" i="2"/>
  <c r="Q746" i="2"/>
  <c r="R746" i="2" s="1"/>
  <c r="P746" i="2"/>
  <c r="K745" i="2"/>
  <c r="Q745" i="2" s="1"/>
  <c r="R745" i="2" s="1"/>
  <c r="Q744" i="2"/>
  <c r="R744" i="2" s="1"/>
  <c r="P744" i="2"/>
  <c r="N744" i="2"/>
  <c r="K744" i="2"/>
  <c r="R743" i="2"/>
  <c r="Q743" i="2"/>
  <c r="R742" i="2"/>
  <c r="Q742" i="2"/>
  <c r="R741" i="2"/>
  <c r="Q741" i="2"/>
  <c r="R740" i="2"/>
  <c r="Q740" i="2"/>
  <c r="R739" i="2"/>
  <c r="K739" i="2"/>
  <c r="Q739" i="2" s="1"/>
  <c r="R738" i="2"/>
  <c r="Q738" i="2"/>
  <c r="K738" i="2"/>
  <c r="R737" i="2"/>
  <c r="Q737" i="2"/>
  <c r="K736" i="2"/>
  <c r="Q736" i="2" s="1"/>
  <c r="R736" i="2" s="1"/>
  <c r="Q735" i="2"/>
  <c r="R735" i="2" s="1"/>
  <c r="Q734" i="2"/>
  <c r="R734" i="2" s="1"/>
  <c r="K734" i="2"/>
  <c r="K733" i="2"/>
  <c r="Q733" i="2" s="1"/>
  <c r="R733" i="2" s="1"/>
  <c r="Q732" i="2"/>
  <c r="R732" i="2" s="1"/>
  <c r="Q731" i="2"/>
  <c r="R731" i="2" s="1"/>
  <c r="K731" i="2"/>
  <c r="K730" i="2"/>
  <c r="Q730" i="2" s="1"/>
  <c r="R730" i="2" s="1"/>
  <c r="Q729" i="2"/>
  <c r="R729" i="2" s="1"/>
  <c r="Q728" i="2"/>
  <c r="R728" i="2" s="1"/>
  <c r="K728" i="2"/>
  <c r="N727" i="2"/>
  <c r="Q727" i="2" s="1"/>
  <c r="R727" i="2" s="1"/>
  <c r="Q726" i="2"/>
  <c r="R726" i="2" s="1"/>
  <c r="K726" i="2"/>
  <c r="R725" i="2"/>
  <c r="P725" i="2"/>
  <c r="Q725" i="2" s="1"/>
  <c r="Q724" i="2"/>
  <c r="R724" i="2" s="1"/>
  <c r="K724" i="2"/>
  <c r="R723" i="2"/>
  <c r="Q723" i="2"/>
  <c r="R722" i="2"/>
  <c r="Q722" i="2"/>
  <c r="R721" i="2"/>
  <c r="L721" i="2"/>
  <c r="Q721" i="2" s="1"/>
  <c r="R720" i="2"/>
  <c r="Q720" i="2"/>
  <c r="K720" i="2"/>
  <c r="R719" i="2"/>
  <c r="Q719" i="2"/>
  <c r="K718" i="2"/>
  <c r="Q718" i="2" s="1"/>
  <c r="R718" i="2" s="1"/>
  <c r="Q717" i="2"/>
  <c r="R717" i="2" s="1"/>
  <c r="Q716" i="2"/>
  <c r="R716" i="2" s="1"/>
  <c r="Q715" i="2"/>
  <c r="R715" i="2" s="1"/>
  <c r="K715" i="2"/>
  <c r="R714" i="2"/>
  <c r="Q714" i="2"/>
  <c r="R713" i="2"/>
  <c r="Q713" i="2"/>
  <c r="R712" i="2"/>
  <c r="Q712" i="2"/>
  <c r="R711" i="2"/>
  <c r="K711" i="2"/>
  <c r="Q711" i="2" s="1"/>
  <c r="R710" i="2"/>
  <c r="Q710" i="2"/>
  <c r="K710" i="2"/>
  <c r="K709" i="2"/>
  <c r="Q709" i="2" s="1"/>
  <c r="R709" i="2" s="1"/>
  <c r="P708" i="2"/>
  <c r="N708" i="2"/>
  <c r="Q708" i="2" s="1"/>
  <c r="R708" i="2" s="1"/>
  <c r="K708" i="2"/>
  <c r="Q707" i="2"/>
  <c r="R707" i="2" s="1"/>
  <c r="K706" i="2"/>
  <c r="Q706" i="2" s="1"/>
  <c r="R706" i="2" s="1"/>
  <c r="Q705" i="2"/>
  <c r="R705" i="2" s="1"/>
  <c r="N705" i="2"/>
  <c r="R704" i="2"/>
  <c r="K704" i="2"/>
  <c r="Q704" i="2" s="1"/>
  <c r="Q703" i="2"/>
  <c r="R703" i="2" s="1"/>
  <c r="K703" i="2"/>
  <c r="R702" i="2"/>
  <c r="K702" i="2"/>
  <c r="Q702" i="2" s="1"/>
  <c r="Q701" i="2"/>
  <c r="R701" i="2" s="1"/>
  <c r="P701" i="2"/>
  <c r="P700" i="2"/>
  <c r="Q700" i="2" s="1"/>
  <c r="R700" i="2" s="1"/>
  <c r="Q699" i="2"/>
  <c r="R699" i="2" s="1"/>
  <c r="P699" i="2"/>
  <c r="N699" i="2"/>
  <c r="K699" i="2"/>
  <c r="Q698" i="2"/>
  <c r="R698" i="2" s="1"/>
  <c r="P698" i="2"/>
  <c r="Q697" i="2"/>
  <c r="R697" i="2" s="1"/>
  <c r="P697" i="2"/>
  <c r="N697" i="2"/>
  <c r="K697" i="2"/>
  <c r="P696" i="2"/>
  <c r="Q696" i="2" s="1"/>
  <c r="R696" i="2" s="1"/>
  <c r="P695" i="2"/>
  <c r="N695" i="2"/>
  <c r="Q695" i="2" s="1"/>
  <c r="R695" i="2" s="1"/>
  <c r="K695" i="2"/>
  <c r="Q694" i="2"/>
  <c r="R694" i="2" s="1"/>
  <c r="P694" i="2"/>
  <c r="N694" i="2"/>
  <c r="K693" i="2"/>
  <c r="Q693" i="2" s="1"/>
  <c r="R693" i="2" s="1"/>
  <c r="Q692" i="2"/>
  <c r="R692" i="2" s="1"/>
  <c r="R691" i="2"/>
  <c r="Q691" i="2"/>
  <c r="Q690" i="2"/>
  <c r="R690" i="2" s="1"/>
  <c r="K690" i="2"/>
  <c r="R689" i="2"/>
  <c r="Q689" i="2"/>
  <c r="R688" i="2"/>
  <c r="Q688" i="2"/>
  <c r="R687" i="2"/>
  <c r="K687" i="2"/>
  <c r="Q687" i="2" s="1"/>
  <c r="Q686" i="2"/>
  <c r="R686" i="2" s="1"/>
  <c r="Q685" i="2"/>
  <c r="R685" i="2" s="1"/>
  <c r="R684" i="2"/>
  <c r="Q684" i="2"/>
  <c r="K684" i="2"/>
  <c r="R683" i="2"/>
  <c r="Q683" i="2"/>
  <c r="P682" i="2"/>
  <c r="N682" i="2"/>
  <c r="K682" i="2"/>
  <c r="P681" i="2"/>
  <c r="N681" i="2"/>
  <c r="Q681" i="2" s="1"/>
  <c r="R681" i="2" s="1"/>
  <c r="K681" i="2"/>
  <c r="Q680" i="2"/>
  <c r="R680" i="2" s="1"/>
  <c r="K680" i="2"/>
  <c r="Q679" i="2"/>
  <c r="R679" i="2" s="1"/>
  <c r="K679" i="2"/>
  <c r="R678" i="2"/>
  <c r="K678" i="2"/>
  <c r="Q678" i="2" s="1"/>
  <c r="R677" i="2"/>
  <c r="Q677" i="2"/>
  <c r="Q676" i="2"/>
  <c r="R676" i="2" s="1"/>
  <c r="Q675" i="2"/>
  <c r="R675" i="2" s="1"/>
  <c r="N675" i="2"/>
  <c r="Q674" i="2"/>
  <c r="R674" i="2" s="1"/>
  <c r="K673" i="2"/>
  <c r="Q673" i="2" s="1"/>
  <c r="R673" i="2" s="1"/>
  <c r="Q672" i="2"/>
  <c r="R672" i="2" s="1"/>
  <c r="K672" i="2"/>
  <c r="Q671" i="2"/>
  <c r="R671" i="2" s="1"/>
  <c r="K670" i="2"/>
  <c r="Q670" i="2" s="1"/>
  <c r="R670" i="2" s="1"/>
  <c r="Q669" i="2"/>
  <c r="R669" i="2" s="1"/>
  <c r="Q668" i="2"/>
  <c r="R668" i="2" s="1"/>
  <c r="Q667" i="2"/>
  <c r="R667" i="2" s="1"/>
  <c r="Q666" i="2"/>
  <c r="R666" i="2" s="1"/>
  <c r="K666" i="2"/>
  <c r="R665" i="2"/>
  <c r="Q665" i="2"/>
  <c r="Q664" i="2"/>
  <c r="R664" i="2" s="1"/>
  <c r="K663" i="2"/>
  <c r="Q663" i="2" s="1"/>
  <c r="R663" i="2" s="1"/>
  <c r="Q662" i="2"/>
  <c r="R662" i="2" s="1"/>
  <c r="K662" i="2"/>
  <c r="Q661" i="2"/>
  <c r="R661" i="2" s="1"/>
  <c r="K661" i="2"/>
  <c r="Q660" i="2"/>
  <c r="R660" i="2" s="1"/>
  <c r="K660" i="2"/>
  <c r="R659" i="2"/>
  <c r="Q659" i="2"/>
  <c r="N658" i="2"/>
  <c r="Q658" i="2" s="1"/>
  <c r="R658" i="2" s="1"/>
  <c r="Q657" i="2"/>
  <c r="R657" i="2" s="1"/>
  <c r="Q656" i="2"/>
  <c r="R656" i="2" s="1"/>
  <c r="Q655" i="2"/>
  <c r="R655" i="2" s="1"/>
  <c r="R654" i="2"/>
  <c r="Q654" i="2"/>
  <c r="Q653" i="2"/>
  <c r="R653" i="2" s="1"/>
  <c r="Q652" i="2"/>
  <c r="R652" i="2" s="1"/>
  <c r="K652" i="2"/>
  <c r="Q651" i="2"/>
  <c r="R651" i="2" s="1"/>
  <c r="K651" i="2"/>
  <c r="Q650" i="2"/>
  <c r="R650" i="2" s="1"/>
  <c r="K650" i="2"/>
  <c r="R649" i="2"/>
  <c r="K649" i="2"/>
  <c r="Q649" i="2" s="1"/>
  <c r="R648" i="2"/>
  <c r="Q648" i="2"/>
  <c r="K648" i="2"/>
  <c r="K647" i="2"/>
  <c r="Q647" i="2" s="1"/>
  <c r="R647" i="2" s="1"/>
  <c r="Q646" i="2"/>
  <c r="R646" i="2" s="1"/>
  <c r="R645" i="2"/>
  <c r="Q645" i="2"/>
  <c r="Q644" i="2"/>
  <c r="R644" i="2" s="1"/>
  <c r="K644" i="2"/>
  <c r="R643" i="2"/>
  <c r="K643" i="2"/>
  <c r="Q643" i="2" s="1"/>
  <c r="Q642" i="2"/>
  <c r="R642" i="2" s="1"/>
  <c r="K642" i="2"/>
  <c r="R641" i="2"/>
  <c r="Q641" i="2"/>
  <c r="K640" i="2"/>
  <c r="Q640" i="2" s="1"/>
  <c r="R640" i="2" s="1"/>
  <c r="Q639" i="2"/>
  <c r="R639" i="2" s="1"/>
  <c r="Q638" i="2"/>
  <c r="R638" i="2" s="1"/>
  <c r="Q637" i="2"/>
  <c r="R637" i="2" s="1"/>
  <c r="Q636" i="2"/>
  <c r="R636" i="2" s="1"/>
  <c r="R635" i="2"/>
  <c r="Q635" i="2"/>
  <c r="Q634" i="2"/>
  <c r="R634" i="2" s="1"/>
  <c r="Q633" i="2"/>
  <c r="R633" i="2" s="1"/>
  <c r="L633" i="2"/>
  <c r="Q632" i="2"/>
  <c r="R632" i="2" s="1"/>
  <c r="K631" i="2"/>
  <c r="Q631" i="2" s="1"/>
  <c r="R631" i="2" s="1"/>
  <c r="Q630" i="2"/>
  <c r="R630" i="2" s="1"/>
  <c r="Q629" i="2"/>
  <c r="R629" i="2" s="1"/>
  <c r="Q628" i="2"/>
  <c r="R628" i="2" s="1"/>
  <c r="K628" i="2"/>
  <c r="R627" i="2"/>
  <c r="K627" i="2"/>
  <c r="Q627" i="2" s="1"/>
  <c r="Q626" i="2"/>
  <c r="R626" i="2" s="1"/>
  <c r="Q625" i="2"/>
  <c r="R625" i="2" s="1"/>
  <c r="N625" i="2"/>
  <c r="R624" i="2"/>
  <c r="K624" i="2"/>
  <c r="Q624" i="2" s="1"/>
  <c r="Q623" i="2"/>
  <c r="R623" i="2" s="1"/>
  <c r="K623" i="2"/>
  <c r="R622" i="2"/>
  <c r="K622" i="2"/>
  <c r="Q622" i="2" s="1"/>
  <c r="Q621" i="2"/>
  <c r="R621" i="2" s="1"/>
  <c r="P620" i="2"/>
  <c r="N620" i="2"/>
  <c r="Q620" i="2" s="1"/>
  <c r="R620" i="2" s="1"/>
  <c r="L620" i="2"/>
  <c r="K620" i="2"/>
  <c r="Q619" i="2"/>
  <c r="R619" i="2" s="1"/>
  <c r="K619" i="2"/>
  <c r="K618" i="2"/>
  <c r="Q618" i="2" s="1"/>
  <c r="R618" i="2" s="1"/>
  <c r="Q617" i="2"/>
  <c r="R617" i="2" s="1"/>
  <c r="K617" i="2"/>
  <c r="K616" i="2"/>
  <c r="Q616" i="2" s="1"/>
  <c r="R616" i="2" s="1"/>
  <c r="Q615" i="2"/>
  <c r="R615" i="2" s="1"/>
  <c r="K615" i="2"/>
  <c r="P614" i="2"/>
  <c r="N614" i="2"/>
  <c r="K614" i="2"/>
  <c r="R613" i="2"/>
  <c r="Q613" i="2"/>
  <c r="K613" i="2"/>
  <c r="K612" i="2"/>
  <c r="Q612" i="2" s="1"/>
  <c r="R612" i="2" s="1"/>
  <c r="K611" i="2"/>
  <c r="Q611" i="2" s="1"/>
  <c r="R611" i="2" s="1"/>
  <c r="K610" i="2"/>
  <c r="Q610" i="2" s="1"/>
  <c r="R610" i="2" s="1"/>
  <c r="Q609" i="2"/>
  <c r="R609" i="2" s="1"/>
  <c r="K609" i="2"/>
  <c r="P608" i="2"/>
  <c r="Q608" i="2" s="1"/>
  <c r="R608" i="2" s="1"/>
  <c r="Q607" i="2"/>
  <c r="R607" i="2" s="1"/>
  <c r="P607" i="2"/>
  <c r="N607" i="2"/>
  <c r="K607" i="2"/>
  <c r="R606" i="2"/>
  <c r="Q606" i="2"/>
  <c r="N605" i="2"/>
  <c r="Q605" i="2" s="1"/>
  <c r="R605" i="2" s="1"/>
  <c r="Q604" i="2"/>
  <c r="R604" i="2" s="1"/>
  <c r="Q603" i="2"/>
  <c r="R603" i="2" s="1"/>
  <c r="Q602" i="2"/>
  <c r="R602" i="2" s="1"/>
  <c r="P602" i="2"/>
  <c r="P601" i="2"/>
  <c r="Q601" i="2" s="1"/>
  <c r="R601" i="2" s="1"/>
  <c r="Q600" i="2"/>
  <c r="R600" i="2" s="1"/>
  <c r="P600" i="2"/>
  <c r="N600" i="2"/>
  <c r="K600" i="2"/>
  <c r="R599" i="2"/>
  <c r="Q599" i="2"/>
  <c r="K598" i="2"/>
  <c r="Q598" i="2" s="1"/>
  <c r="R598" i="2" s="1"/>
  <c r="Q597" i="2"/>
  <c r="R597" i="2" s="1"/>
  <c r="K597" i="2"/>
  <c r="K596" i="2"/>
  <c r="Q596" i="2" s="1"/>
  <c r="R596" i="2" s="1"/>
  <c r="Q595" i="2"/>
  <c r="R595" i="2" s="1"/>
  <c r="Q594" i="2"/>
  <c r="R594" i="2" s="1"/>
  <c r="Q593" i="2"/>
  <c r="R593" i="2" s="1"/>
  <c r="K593" i="2"/>
  <c r="R592" i="2"/>
  <c r="Q592" i="2"/>
  <c r="R591" i="2"/>
  <c r="Q591" i="2"/>
  <c r="R590" i="2"/>
  <c r="Q590" i="2"/>
  <c r="R589" i="2"/>
  <c r="Q589" i="2"/>
  <c r="R588" i="2"/>
  <c r="Q588" i="2"/>
  <c r="K587" i="2"/>
  <c r="Q587" i="2" s="1"/>
  <c r="R587" i="2" s="1"/>
  <c r="Q586" i="2"/>
  <c r="R586" i="2" s="1"/>
  <c r="Q585" i="2"/>
  <c r="R585" i="2" s="1"/>
  <c r="Q584" i="2"/>
  <c r="R584" i="2" s="1"/>
  <c r="Q583" i="2"/>
  <c r="R583" i="2" s="1"/>
  <c r="Q582" i="2"/>
  <c r="R582" i="2" s="1"/>
  <c r="Q581" i="2"/>
  <c r="R581" i="2" s="1"/>
  <c r="K581" i="2"/>
  <c r="R580" i="2"/>
  <c r="Q580" i="2"/>
  <c r="R579" i="2"/>
  <c r="Q579" i="2"/>
  <c r="R578" i="2"/>
  <c r="Q578" i="2"/>
  <c r="K577" i="2"/>
  <c r="Q577" i="2" s="1"/>
  <c r="R577" i="2" s="1"/>
  <c r="Q576" i="2"/>
  <c r="R576" i="2" s="1"/>
  <c r="Q575" i="2"/>
  <c r="R575" i="2" s="1"/>
  <c r="Q574" i="2"/>
  <c r="R574" i="2" s="1"/>
  <c r="Q573" i="2"/>
  <c r="R573" i="2" s="1"/>
  <c r="Q572" i="2"/>
  <c r="R572" i="2" s="1"/>
  <c r="K572" i="2"/>
  <c r="N571" i="2"/>
  <c r="Q571" i="2" s="1"/>
  <c r="R571" i="2" s="1"/>
  <c r="Q570" i="2"/>
  <c r="R570" i="2" s="1"/>
  <c r="P570" i="2"/>
  <c r="N570" i="2"/>
  <c r="K570" i="2"/>
  <c r="R569" i="2"/>
  <c r="Q569" i="2"/>
  <c r="N568" i="2"/>
  <c r="Q568" i="2" s="1"/>
  <c r="R568" i="2" s="1"/>
  <c r="Q567" i="2"/>
  <c r="R567" i="2" s="1"/>
  <c r="Q566" i="2"/>
  <c r="R566" i="2" s="1"/>
  <c r="Q565" i="2"/>
  <c r="R565" i="2" s="1"/>
  <c r="Q564" i="2"/>
  <c r="R564" i="2" s="1"/>
  <c r="Q563" i="2"/>
  <c r="R563" i="2" s="1"/>
  <c r="Q562" i="2"/>
  <c r="R562" i="2" s="1"/>
  <c r="Q561" i="2"/>
  <c r="R561" i="2" s="1"/>
  <c r="Q560" i="2"/>
  <c r="R560" i="2" s="1"/>
  <c r="Q559" i="2"/>
  <c r="R559" i="2" s="1"/>
  <c r="N559" i="2"/>
  <c r="P558" i="2"/>
  <c r="N558" i="2"/>
  <c r="K558" i="2"/>
  <c r="Q558" i="2" s="1"/>
  <c r="R558" i="2" s="1"/>
  <c r="Q557" i="2"/>
  <c r="R557" i="2" s="1"/>
  <c r="K557" i="2"/>
  <c r="K556" i="2"/>
  <c r="Q556" i="2" s="1"/>
  <c r="R556" i="2" s="1"/>
  <c r="Q555" i="2"/>
  <c r="R555" i="2" s="1"/>
  <c r="Q554" i="2"/>
  <c r="R554" i="2" s="1"/>
  <c r="Q553" i="2"/>
  <c r="R553" i="2" s="1"/>
  <c r="Q552" i="2"/>
  <c r="R552" i="2" s="1"/>
  <c r="Q551" i="2"/>
  <c r="R551" i="2" s="1"/>
  <c r="Q550" i="2"/>
  <c r="R550" i="2" s="1"/>
  <c r="Q549" i="2"/>
  <c r="R549" i="2" s="1"/>
  <c r="K549" i="2"/>
  <c r="R548" i="2"/>
  <c r="Q548" i="2"/>
  <c r="K547" i="2"/>
  <c r="Q547" i="2" s="1"/>
  <c r="R547" i="2" s="1"/>
  <c r="Q546" i="2"/>
  <c r="R546" i="2" s="1"/>
  <c r="Q545" i="2"/>
  <c r="R545" i="2" s="1"/>
  <c r="N545" i="2"/>
  <c r="N544" i="2"/>
  <c r="Q544" i="2" s="1"/>
  <c r="R544" i="2" s="1"/>
  <c r="Q543" i="2"/>
  <c r="R543" i="2" s="1"/>
  <c r="K543" i="2"/>
  <c r="R542" i="2"/>
  <c r="Q542" i="2"/>
  <c r="K541" i="2"/>
  <c r="Q541" i="2" s="1"/>
  <c r="R541" i="2" s="1"/>
  <c r="Q540" i="2"/>
  <c r="R540" i="2" s="1"/>
  <c r="P540" i="2"/>
  <c r="P539" i="2"/>
  <c r="Q539" i="2" s="1"/>
  <c r="R539" i="2" s="1"/>
  <c r="P538" i="2"/>
  <c r="N538" i="2"/>
  <c r="Q538" i="2" s="1"/>
  <c r="R538" i="2" s="1"/>
  <c r="Q537" i="2"/>
  <c r="R537" i="2" s="1"/>
  <c r="Q536" i="2"/>
  <c r="R536" i="2" s="1"/>
  <c r="Q535" i="2"/>
  <c r="R535" i="2" s="1"/>
  <c r="Q534" i="2"/>
  <c r="R534" i="2" s="1"/>
  <c r="K534" i="2"/>
  <c r="R533" i="2"/>
  <c r="Q533" i="2"/>
  <c r="K532" i="2"/>
  <c r="Q532" i="2" s="1"/>
  <c r="R532" i="2" s="1"/>
  <c r="Q531" i="2"/>
  <c r="R531" i="2" s="1"/>
  <c r="Q530" i="2"/>
  <c r="R530" i="2" s="1"/>
  <c r="Q529" i="2"/>
  <c r="R529" i="2" s="1"/>
  <c r="Q528" i="2"/>
  <c r="R528" i="2" s="1"/>
  <c r="P528" i="2"/>
  <c r="Q527" i="2"/>
  <c r="R527" i="2" s="1"/>
  <c r="K527" i="2"/>
  <c r="R526" i="2"/>
  <c r="Q526" i="2"/>
  <c r="R525" i="2"/>
  <c r="Q525" i="2"/>
  <c r="R524" i="2"/>
  <c r="Q524" i="2"/>
  <c r="R523" i="2"/>
  <c r="Q523" i="2"/>
  <c r="R522" i="2"/>
  <c r="Q522" i="2"/>
  <c r="K521" i="2"/>
  <c r="Q521" i="2" s="1"/>
  <c r="R521" i="2" s="1"/>
  <c r="Q520" i="2"/>
  <c r="R520" i="2" s="1"/>
  <c r="K520" i="2"/>
  <c r="R519" i="2"/>
  <c r="Q519" i="2"/>
  <c r="K518" i="2"/>
  <c r="Q518" i="2" s="1"/>
  <c r="R518" i="2" s="1"/>
  <c r="P517" i="2"/>
  <c r="N517" i="2"/>
  <c r="K517" i="2"/>
  <c r="Q517" i="2" s="1"/>
  <c r="R517" i="2" s="1"/>
  <c r="R516" i="2"/>
  <c r="Q516" i="2"/>
  <c r="N515" i="2"/>
  <c r="Q515" i="2" s="1"/>
  <c r="R515" i="2" s="1"/>
  <c r="Q514" i="2"/>
  <c r="R514" i="2" s="1"/>
  <c r="Q513" i="2"/>
  <c r="R513" i="2" s="1"/>
  <c r="Q512" i="2"/>
  <c r="R512" i="2" s="1"/>
  <c r="K512" i="2"/>
  <c r="Q511" i="2"/>
  <c r="R510" i="2"/>
  <c r="Q510" i="2"/>
  <c r="K509" i="2"/>
  <c r="Q509" i="2" s="1"/>
  <c r="R509" i="2" s="1"/>
  <c r="Q508" i="2"/>
  <c r="R508" i="2" s="1"/>
  <c r="N508" i="2"/>
  <c r="K507" i="2"/>
  <c r="Q507" i="2" s="1"/>
  <c r="R507" i="2" s="1"/>
  <c r="Q506" i="2"/>
  <c r="R506" i="2" s="1"/>
  <c r="K506" i="2"/>
  <c r="R505" i="2"/>
  <c r="Q505" i="2"/>
  <c r="R504" i="2"/>
  <c r="Q504" i="2"/>
  <c r="R503" i="2"/>
  <c r="Q503" i="2"/>
  <c r="R502" i="2"/>
  <c r="Q502" i="2"/>
  <c r="R501" i="2"/>
  <c r="Q501" i="2"/>
  <c r="R500" i="2"/>
  <c r="Q500" i="2"/>
  <c r="R499" i="2"/>
  <c r="Q499" i="2"/>
  <c r="R498" i="2"/>
  <c r="Q498" i="2"/>
  <c r="K497" i="2"/>
  <c r="Q497" i="2" s="1"/>
  <c r="R497" i="2" s="1"/>
  <c r="Q496" i="2"/>
  <c r="R496" i="2" s="1"/>
  <c r="Q495" i="2"/>
  <c r="R495" i="2" s="1"/>
  <c r="Q494" i="2"/>
  <c r="R494" i="2" s="1"/>
  <c r="N494" i="2"/>
  <c r="N493" i="2"/>
  <c r="Q493" i="2" s="1"/>
  <c r="R493" i="2" s="1"/>
  <c r="Q492" i="2"/>
  <c r="R492" i="2" s="1"/>
  <c r="K492" i="2"/>
  <c r="N491" i="2"/>
  <c r="Q491" i="2" s="1"/>
  <c r="R491" i="2" s="1"/>
  <c r="Q490" i="2"/>
  <c r="R490" i="2" s="1"/>
  <c r="Q489" i="2"/>
  <c r="R489" i="2" s="1"/>
  <c r="P489" i="2"/>
  <c r="K488" i="2"/>
  <c r="Q488" i="2" s="1"/>
  <c r="R488" i="2" s="1"/>
  <c r="Q487" i="2"/>
  <c r="R487" i="2" s="1"/>
  <c r="P487" i="2"/>
  <c r="P486" i="2"/>
  <c r="Q486" i="2" s="1"/>
  <c r="R486" i="2" s="1"/>
  <c r="Q485" i="2"/>
  <c r="R485" i="2" s="1"/>
  <c r="Q484" i="2"/>
  <c r="R484" i="2" s="1"/>
  <c r="P484" i="2"/>
  <c r="P483" i="2"/>
  <c r="Q483" i="2" s="1"/>
  <c r="R483" i="2" s="1"/>
  <c r="Q482" i="2"/>
  <c r="R482" i="2" s="1"/>
  <c r="P482" i="2"/>
  <c r="N482" i="2"/>
  <c r="Q481" i="2"/>
  <c r="R481" i="2" s="1"/>
  <c r="Q480" i="2"/>
  <c r="R480" i="2" s="1"/>
  <c r="Q479" i="2"/>
  <c r="R479" i="2" s="1"/>
  <c r="Q478" i="2"/>
  <c r="R478" i="2" s="1"/>
  <c r="K478" i="2"/>
  <c r="R477" i="2"/>
  <c r="Q477" i="2"/>
  <c r="R476" i="2"/>
  <c r="Q476" i="2"/>
  <c r="N475" i="2"/>
  <c r="Q475" i="2" s="1"/>
  <c r="R475" i="2" s="1"/>
  <c r="Q474" i="2"/>
  <c r="R474" i="2" s="1"/>
  <c r="Q473" i="2"/>
  <c r="R473" i="2" s="1"/>
  <c r="Q472" i="2"/>
  <c r="R472" i="2" s="1"/>
  <c r="Q471" i="2"/>
  <c r="R471" i="2" s="1"/>
  <c r="N471" i="2"/>
  <c r="K470" i="2"/>
  <c r="Q470" i="2" s="1"/>
  <c r="R470" i="2" s="1"/>
  <c r="Q469" i="2"/>
  <c r="R469" i="2" s="1"/>
  <c r="Q468" i="2"/>
  <c r="R468" i="2" s="1"/>
  <c r="K468" i="2"/>
  <c r="K467" i="2"/>
  <c r="Q467" i="2" s="1"/>
  <c r="R467" i="2" s="1"/>
  <c r="Q466" i="2"/>
  <c r="R466" i="2" s="1"/>
  <c r="Q465" i="2"/>
  <c r="R465" i="2" s="1"/>
  <c r="Q464" i="2"/>
  <c r="R464" i="2" s="1"/>
  <c r="P464" i="2"/>
  <c r="N464" i="2"/>
  <c r="K464" i="2"/>
  <c r="K463" i="2"/>
  <c r="Q463" i="2" s="1"/>
  <c r="R463" i="2" s="1"/>
  <c r="Q462" i="2"/>
  <c r="R462" i="2" s="1"/>
  <c r="N462" i="2"/>
  <c r="R461" i="2"/>
  <c r="Q461" i="2"/>
  <c r="R460" i="2"/>
  <c r="Q460" i="2"/>
  <c r="K459" i="2"/>
  <c r="Q459" i="2" s="1"/>
  <c r="R459" i="2" s="1"/>
  <c r="Q458" i="2"/>
  <c r="R458" i="2" s="1"/>
  <c r="Q457" i="2"/>
  <c r="R457" i="2" s="1"/>
  <c r="Q456" i="2"/>
  <c r="R456" i="2" s="1"/>
  <c r="Q455" i="2"/>
  <c r="R455" i="2" s="1"/>
  <c r="K455" i="2"/>
  <c r="K454" i="2"/>
  <c r="Q454" i="2" s="1"/>
  <c r="R454" i="2" s="1"/>
  <c r="Q453" i="2"/>
  <c r="R453" i="2" s="1"/>
  <c r="N453" i="2"/>
  <c r="R452" i="2"/>
  <c r="Q452" i="2"/>
  <c r="R451" i="2"/>
  <c r="Q451" i="2"/>
  <c r="R450" i="2"/>
  <c r="Q450" i="2"/>
  <c r="K449" i="2"/>
  <c r="Q449" i="2" s="1"/>
  <c r="R449" i="2" s="1"/>
  <c r="Q448" i="2"/>
  <c r="R448" i="2" s="1"/>
  <c r="K448" i="2"/>
  <c r="R447" i="2"/>
  <c r="Q447" i="2"/>
  <c r="R446" i="2"/>
  <c r="Q446" i="2"/>
  <c r="R445" i="2"/>
  <c r="Q445" i="2"/>
  <c r="Q444" i="2"/>
  <c r="R444" i="2" s="1"/>
  <c r="Q443" i="2"/>
  <c r="R443" i="2" s="1"/>
  <c r="Q442" i="2"/>
  <c r="R442" i="2" s="1"/>
  <c r="Q441" i="2"/>
  <c r="R441" i="2" s="1"/>
  <c r="Q440" i="2"/>
  <c r="R440" i="2" s="1"/>
  <c r="K440" i="2"/>
  <c r="R439" i="2"/>
  <c r="Q439" i="2"/>
  <c r="K438" i="2"/>
  <c r="Q438" i="2" s="1"/>
  <c r="R438" i="2" s="1"/>
  <c r="Q437" i="2"/>
  <c r="R437" i="2" s="1"/>
  <c r="K437" i="2"/>
  <c r="R436" i="2"/>
  <c r="Q436" i="2"/>
  <c r="R435" i="2"/>
  <c r="Q435" i="2"/>
  <c r="P434" i="2"/>
  <c r="N434" i="2"/>
  <c r="K434" i="2"/>
  <c r="Q434" i="2" s="1"/>
  <c r="R434" i="2" s="1"/>
  <c r="Q433" i="2"/>
  <c r="R433" i="2" s="1"/>
  <c r="K433" i="2"/>
  <c r="K432" i="2"/>
  <c r="Q432" i="2" s="1"/>
  <c r="R432" i="2" s="1"/>
  <c r="Q431" i="2"/>
  <c r="R431" i="2" s="1"/>
  <c r="N431" i="2"/>
  <c r="K430" i="2"/>
  <c r="Q430" i="2" s="1"/>
  <c r="R430" i="2" s="1"/>
  <c r="Q429" i="2"/>
  <c r="R429" i="2" s="1"/>
  <c r="P429" i="2"/>
  <c r="N429" i="2"/>
  <c r="K429" i="2"/>
  <c r="R428" i="2"/>
  <c r="Q428" i="2"/>
  <c r="P427" i="2"/>
  <c r="Q427" i="2" s="1"/>
  <c r="R427" i="2" s="1"/>
  <c r="Q426" i="2"/>
  <c r="R426" i="2" s="1"/>
  <c r="P426" i="2"/>
  <c r="N426" i="2"/>
  <c r="K426" i="2"/>
  <c r="R425" i="2"/>
  <c r="Q425" i="2"/>
  <c r="K424" i="2"/>
  <c r="Q424" i="2" s="1"/>
  <c r="R424" i="2" s="1"/>
  <c r="Q423" i="2"/>
  <c r="R423" i="2" s="1"/>
  <c r="K423" i="2"/>
  <c r="P422" i="2"/>
  <c r="Q422" i="2" s="1"/>
  <c r="R422" i="2" s="1"/>
  <c r="Q421" i="2"/>
  <c r="R421" i="2" s="1"/>
  <c r="P421" i="2"/>
  <c r="P420" i="2"/>
  <c r="N420" i="2"/>
  <c r="K420" i="2"/>
  <c r="Q420" i="2" s="1"/>
  <c r="R420" i="2" s="1"/>
  <c r="Q419" i="2"/>
  <c r="R419" i="2" s="1"/>
  <c r="P419" i="2"/>
  <c r="P418" i="2"/>
  <c r="Q418" i="2" s="1"/>
  <c r="R418" i="2" s="1"/>
  <c r="Q417" i="2"/>
  <c r="R417" i="2" s="1"/>
  <c r="P417" i="2"/>
  <c r="N417" i="2"/>
  <c r="Q416" i="2"/>
  <c r="R416" i="2" s="1"/>
  <c r="P416" i="2"/>
  <c r="R415" i="2"/>
  <c r="Q415" i="2"/>
  <c r="R414" i="2"/>
  <c r="Q414" i="2"/>
  <c r="K413" i="2"/>
  <c r="Q413" i="2" s="1"/>
  <c r="R413" i="2" s="1"/>
  <c r="Q412" i="2"/>
  <c r="R412" i="2" s="1"/>
  <c r="K412" i="2"/>
  <c r="R411" i="2"/>
  <c r="Q411" i="2"/>
  <c r="K410" i="2"/>
  <c r="Q410" i="2" s="1"/>
  <c r="R410" i="2" s="1"/>
  <c r="Q409" i="2"/>
  <c r="R409" i="2" s="1"/>
  <c r="K409" i="2"/>
  <c r="R408" i="2"/>
  <c r="Q408" i="2"/>
  <c r="P407" i="2"/>
  <c r="K407" i="2"/>
  <c r="Q407" i="2" s="1"/>
  <c r="R407" i="2" s="1"/>
  <c r="Q406" i="2"/>
  <c r="R406" i="2" s="1"/>
  <c r="K406" i="2"/>
  <c r="K405" i="2"/>
  <c r="Q405" i="2" s="1"/>
  <c r="R405" i="2" s="1"/>
  <c r="Q404" i="2"/>
  <c r="R404" i="2" s="1"/>
  <c r="K404" i="2"/>
  <c r="R403" i="2"/>
  <c r="Q403" i="2"/>
  <c r="P403" i="2"/>
  <c r="Q402" i="2"/>
  <c r="R402" i="2" s="1"/>
  <c r="Q401" i="2"/>
  <c r="R401" i="2" s="1"/>
  <c r="Q400" i="2"/>
  <c r="R400" i="2" s="1"/>
  <c r="K400" i="2"/>
  <c r="R399" i="2"/>
  <c r="Q399" i="2"/>
  <c r="R398" i="2"/>
  <c r="Q398" i="2"/>
  <c r="R397" i="2"/>
  <c r="Q397" i="2"/>
  <c r="R396" i="2"/>
  <c r="Q396" i="2"/>
  <c r="R395" i="2"/>
  <c r="Q395" i="2"/>
  <c r="R394" i="2"/>
  <c r="Q394" i="2"/>
  <c r="K393" i="2"/>
  <c r="Q393" i="2" s="1"/>
  <c r="R393" i="2" s="1"/>
  <c r="R392" i="2"/>
  <c r="Q392" i="2"/>
  <c r="Q391" i="2"/>
  <c r="R391" i="2" s="1"/>
  <c r="Q390" i="2"/>
  <c r="R390" i="2" s="1"/>
  <c r="Q389" i="2"/>
  <c r="R389" i="2" s="1"/>
  <c r="R388" i="2"/>
  <c r="Q388" i="2"/>
  <c r="Q387" i="2"/>
  <c r="R387" i="2" s="1"/>
  <c r="Q386" i="2"/>
  <c r="R386" i="2" s="1"/>
  <c r="K386" i="2"/>
  <c r="R385" i="2"/>
  <c r="Q385" i="2"/>
  <c r="K385" i="2"/>
  <c r="Q384" i="2"/>
  <c r="R384" i="2" s="1"/>
  <c r="Q383" i="2"/>
  <c r="R383" i="2" s="1"/>
  <c r="Q382" i="2"/>
  <c r="R382" i="2" s="1"/>
  <c r="K382" i="2"/>
  <c r="K381" i="2"/>
  <c r="Q381" i="2" s="1"/>
  <c r="R381" i="2" s="1"/>
  <c r="Q380" i="2"/>
  <c r="R380" i="2" s="1"/>
  <c r="Q379" i="2"/>
  <c r="R379" i="2" s="1"/>
  <c r="R378" i="2"/>
  <c r="Q378" i="2"/>
  <c r="K378" i="2"/>
  <c r="N377" i="2"/>
  <c r="Q377" i="2" s="1"/>
  <c r="R377" i="2" s="1"/>
  <c r="Q376" i="2"/>
  <c r="R376" i="2" s="1"/>
  <c r="R375" i="2"/>
  <c r="Q375" i="2"/>
  <c r="K375" i="2"/>
  <c r="K374" i="2"/>
  <c r="Q374" i="2" s="1"/>
  <c r="R374" i="2" s="1"/>
  <c r="Q373" i="2"/>
  <c r="R373" i="2" s="1"/>
  <c r="R372" i="2"/>
  <c r="Q372" i="2"/>
  <c r="P372" i="2"/>
  <c r="Q371" i="2"/>
  <c r="R371" i="2" s="1"/>
  <c r="N371" i="2"/>
  <c r="R370" i="2"/>
  <c r="Q370" i="2"/>
  <c r="K370" i="2"/>
  <c r="Q369" i="2"/>
  <c r="R369" i="2" s="1"/>
  <c r="N369" i="2"/>
  <c r="K368" i="2"/>
  <c r="Q368" i="2" s="1"/>
  <c r="R368" i="2" s="1"/>
  <c r="R367" i="2"/>
  <c r="Q367" i="2"/>
  <c r="K367" i="2"/>
  <c r="K366" i="2"/>
  <c r="Q366" i="2" s="1"/>
  <c r="R366" i="2" s="1"/>
  <c r="Q365" i="2"/>
  <c r="R365" i="2" s="1"/>
  <c r="K365" i="2"/>
  <c r="K364" i="2"/>
  <c r="Q364" i="2" s="1"/>
  <c r="R364" i="2" s="1"/>
  <c r="Q363" i="2"/>
  <c r="R363" i="2" s="1"/>
  <c r="N363" i="2"/>
  <c r="R362" i="2"/>
  <c r="Q362" i="2"/>
  <c r="K362" i="2"/>
  <c r="Q361" i="2"/>
  <c r="R361" i="2" s="1"/>
  <c r="K361" i="2"/>
  <c r="P360" i="2"/>
  <c r="Q360" i="2" s="1"/>
  <c r="R360" i="2" s="1"/>
  <c r="R359" i="2"/>
  <c r="Q359" i="2"/>
  <c r="P359" i="2"/>
  <c r="P358" i="2"/>
  <c r="Q358" i="2" s="1"/>
  <c r="R358" i="2" s="1"/>
  <c r="Q357" i="2"/>
  <c r="R357" i="2" s="1"/>
  <c r="P357" i="2"/>
  <c r="P356" i="2"/>
  <c r="N356" i="2"/>
  <c r="Q356" i="2"/>
  <c r="R356" i="2" s="1"/>
  <c r="Q355" i="2"/>
  <c r="R355" i="2" s="1"/>
  <c r="R354" i="2"/>
  <c r="Q354" i="2"/>
  <c r="Q353" i="2"/>
  <c r="R353" i="2" s="1"/>
  <c r="Q352" i="2"/>
  <c r="R352" i="2" s="1"/>
  <c r="Q351" i="2"/>
  <c r="R351" i="2" s="1"/>
  <c r="R350" i="2"/>
  <c r="Q350" i="2"/>
  <c r="K350" i="2"/>
  <c r="R349" i="2"/>
  <c r="Q349" i="2"/>
  <c r="R348" i="2"/>
  <c r="Q348" i="2"/>
  <c r="R347" i="2"/>
  <c r="Q347" i="2"/>
  <c r="P347" i="2"/>
  <c r="N347" i="2"/>
  <c r="K346" i="2"/>
  <c r="Q346" i="2" s="1"/>
  <c r="R346" i="2" s="1"/>
  <c r="Q345" i="2"/>
  <c r="R345" i="2" s="1"/>
  <c r="R344" i="2"/>
  <c r="Q344" i="2"/>
  <c r="K344" i="2"/>
  <c r="K343" i="2"/>
  <c r="Q343" i="2" s="1"/>
  <c r="R343" i="2" s="1"/>
  <c r="Q342" i="2"/>
  <c r="R342" i="2" s="1"/>
  <c r="P342" i="2"/>
  <c r="N342" i="2"/>
  <c r="Q341" i="2"/>
  <c r="R341" i="2" s="1"/>
  <c r="K341" i="2"/>
  <c r="K340" i="2"/>
  <c r="Q340" i="2" s="1"/>
  <c r="R340" i="2" s="1"/>
  <c r="Q339" i="2"/>
  <c r="R339" i="2" s="1"/>
  <c r="Q338" i="2"/>
  <c r="R338" i="2" s="1"/>
  <c r="Q337" i="2"/>
  <c r="R337" i="2" s="1"/>
  <c r="K337" i="2"/>
  <c r="R336" i="2"/>
  <c r="Q336" i="2"/>
  <c r="K336" i="2"/>
  <c r="Q335" i="2"/>
  <c r="R335" i="2" s="1"/>
  <c r="K335" i="2"/>
  <c r="R334" i="2"/>
  <c r="Q334" i="2"/>
  <c r="R333" i="2"/>
  <c r="Q333" i="2"/>
  <c r="R332" i="2"/>
  <c r="Q332" i="2"/>
  <c r="R331" i="2"/>
  <c r="Q331" i="2"/>
  <c r="K330" i="2"/>
  <c r="Q330" i="2" s="1"/>
  <c r="R330" i="2" s="1"/>
  <c r="R329" i="2"/>
  <c r="Q329" i="2"/>
  <c r="K329" i="2"/>
  <c r="R328" i="2"/>
  <c r="Q328" i="2"/>
  <c r="P327" i="2"/>
  <c r="Q327" i="2" s="1"/>
  <c r="R327" i="2" s="1"/>
  <c r="P326" i="2"/>
  <c r="N326" i="2"/>
  <c r="Q326" i="2" s="1"/>
  <c r="R326" i="2" s="1"/>
  <c r="K326" i="2"/>
  <c r="K325" i="2"/>
  <c r="Q325" i="2" s="1"/>
  <c r="R325" i="2" s="1"/>
  <c r="R324" i="2"/>
  <c r="Q324" i="2"/>
  <c r="Q323" i="2"/>
  <c r="R323" i="2" s="1"/>
  <c r="K323" i="2"/>
  <c r="R322" i="2"/>
  <c r="Q322" i="2"/>
  <c r="P321" i="2"/>
  <c r="N321" i="2"/>
  <c r="K321" i="2"/>
  <c r="Q321" i="2" s="1"/>
  <c r="R321" i="2" s="1"/>
  <c r="Q320" i="2"/>
  <c r="R320" i="2" s="1"/>
  <c r="K320" i="2"/>
  <c r="R319" i="2"/>
  <c r="Q319" i="2"/>
  <c r="R318" i="2"/>
  <c r="Q318" i="2"/>
  <c r="K317" i="2"/>
  <c r="Q317" i="2" s="1"/>
  <c r="R317" i="2" s="1"/>
  <c r="Q316" i="2"/>
  <c r="R316" i="2" s="1"/>
  <c r="K316" i="2"/>
  <c r="N315" i="2"/>
  <c r="Q315" i="2" s="1"/>
  <c r="R315" i="2" s="1"/>
  <c r="Q314" i="2"/>
  <c r="R314" i="2" s="1"/>
  <c r="K314" i="2"/>
  <c r="R313" i="2"/>
  <c r="Q313" i="2"/>
  <c r="R312" i="2"/>
  <c r="Q312" i="2"/>
  <c r="R311" i="2"/>
  <c r="Q311" i="2"/>
  <c r="L310" i="2"/>
  <c r="Q310" i="2" s="1"/>
  <c r="R310" i="2" s="1"/>
  <c r="R309" i="2"/>
  <c r="Q309" i="2"/>
  <c r="N309" i="2"/>
  <c r="N308" i="2"/>
  <c r="Q308" i="2" s="1"/>
  <c r="R308" i="2" s="1"/>
  <c r="Q307" i="2"/>
  <c r="R307" i="2" s="1"/>
  <c r="R306" i="2"/>
  <c r="Q306" i="2"/>
  <c r="K306" i="2"/>
  <c r="K305" i="2"/>
  <c r="Q305" i="2" s="1"/>
  <c r="R305" i="2" s="1"/>
  <c r="Q304" i="2"/>
  <c r="R304" i="2" s="1"/>
  <c r="K304" i="2"/>
  <c r="K303" i="2"/>
  <c r="Q303" i="2" s="1"/>
  <c r="R303" i="2" s="1"/>
  <c r="P302" i="2"/>
  <c r="N302" i="2"/>
  <c r="K302" i="2"/>
  <c r="Q302" i="2" s="1"/>
  <c r="R302" i="2" s="1"/>
  <c r="K301" i="2"/>
  <c r="Q301" i="2" s="1"/>
  <c r="R301" i="2" s="1"/>
  <c r="Q300" i="2"/>
  <c r="R300" i="2" s="1"/>
  <c r="K300" i="2"/>
  <c r="R299" i="2"/>
  <c r="Q299" i="2"/>
  <c r="K299" i="2"/>
  <c r="Q298" i="2"/>
  <c r="R298" i="2" s="1"/>
  <c r="N298" i="2"/>
  <c r="P297" i="2"/>
  <c r="Q297" i="2" s="1"/>
  <c r="R297" i="2" s="1"/>
  <c r="R296" i="2"/>
  <c r="Q296" i="2"/>
  <c r="P296" i="2"/>
  <c r="P295" i="2"/>
  <c r="Q295" i="2" s="1"/>
  <c r="R295" i="2" s="1"/>
  <c r="Q294" i="2"/>
  <c r="R294" i="2" s="1"/>
  <c r="P294" i="2"/>
  <c r="N294" i="2"/>
  <c r="K294" i="2"/>
  <c r="P293" i="2"/>
  <c r="Q293" i="2" s="1"/>
  <c r="R293" i="2" s="1"/>
  <c r="Q292" i="2"/>
  <c r="R292" i="2" s="1"/>
  <c r="P292" i="2"/>
  <c r="P291" i="2"/>
  <c r="Q291" i="2" s="1"/>
  <c r="R291" i="2" s="1"/>
  <c r="Q290" i="2"/>
  <c r="R290" i="2" s="1"/>
  <c r="P290" i="2"/>
  <c r="R289" i="2"/>
  <c r="Q289" i="2"/>
  <c r="R288" i="2"/>
  <c r="Q288" i="2"/>
  <c r="R287" i="2"/>
  <c r="Q287" i="2"/>
  <c r="R286" i="2"/>
  <c r="Q286" i="2"/>
  <c r="R285" i="2"/>
  <c r="Q285" i="2"/>
  <c r="R284" i="2"/>
  <c r="Q284" i="2"/>
  <c r="R283" i="2"/>
  <c r="Q283" i="2"/>
  <c r="R282" i="2"/>
  <c r="Q282" i="2"/>
  <c r="R281" i="2"/>
  <c r="Q281" i="2"/>
  <c r="K281" i="2"/>
  <c r="Q280" i="2"/>
  <c r="R280" i="2" s="1"/>
  <c r="Q279" i="2"/>
  <c r="R279" i="2" s="1"/>
  <c r="K279" i="2"/>
  <c r="R278" i="2"/>
  <c r="Q278" i="2"/>
  <c r="K278" i="2"/>
  <c r="Q277" i="2"/>
  <c r="R277" i="2" s="1"/>
  <c r="K277" i="2"/>
  <c r="K276" i="2"/>
  <c r="Q276" i="2" s="1"/>
  <c r="R276" i="2" s="1"/>
  <c r="R275" i="2"/>
  <c r="Q275" i="2"/>
  <c r="K275" i="2"/>
  <c r="R274" i="2"/>
  <c r="Q274" i="2"/>
  <c r="K273" i="2"/>
  <c r="Q273" i="2" s="1"/>
  <c r="R273" i="2" s="1"/>
  <c r="R272" i="2"/>
  <c r="Q272" i="2"/>
  <c r="Q271" i="2"/>
  <c r="R271" i="2" s="1"/>
  <c r="K271" i="2"/>
  <c r="N270" i="2"/>
  <c r="Q270" i="2" s="1"/>
  <c r="R270" i="2" s="1"/>
  <c r="R269" i="2"/>
  <c r="Q269" i="2"/>
  <c r="K269" i="2"/>
  <c r="P268" i="2"/>
  <c r="Q268" i="2" s="1"/>
  <c r="R268" i="2" s="1"/>
  <c r="Q267" i="2"/>
  <c r="R267" i="2" s="1"/>
  <c r="P267" i="2"/>
  <c r="N267" i="2"/>
  <c r="K267" i="2"/>
  <c r="K266" i="2"/>
  <c r="Q266" i="2" s="1"/>
  <c r="R266" i="2" s="1"/>
  <c r="Q265" i="2"/>
  <c r="R265" i="2" s="1"/>
  <c r="K265" i="2"/>
  <c r="Q264" i="2"/>
  <c r="R264" i="2" s="1"/>
  <c r="K263" i="2"/>
  <c r="Q263" i="2" s="1"/>
  <c r="R263" i="2" s="1"/>
  <c r="Q262" i="2"/>
  <c r="R262" i="2" s="1"/>
  <c r="N262" i="2"/>
  <c r="Q261" i="2"/>
  <c r="R261" i="2" s="1"/>
  <c r="N260" i="2"/>
  <c r="Q260" i="2" s="1"/>
  <c r="R260" i="2" s="1"/>
  <c r="Q259" i="2"/>
  <c r="R259" i="2" s="1"/>
  <c r="K259" i="2"/>
  <c r="K258" i="2"/>
  <c r="Q258" i="2" s="1"/>
  <c r="R258" i="2" s="1"/>
  <c r="Q257" i="2"/>
  <c r="R257" i="2" s="1"/>
  <c r="K257" i="2"/>
  <c r="R256" i="2"/>
  <c r="Q256" i="2"/>
  <c r="R255" i="2"/>
  <c r="Q255" i="2"/>
  <c r="R254" i="2"/>
  <c r="Q254" i="2"/>
  <c r="K253" i="2"/>
  <c r="Q253" i="2" s="1"/>
  <c r="R253" i="2" s="1"/>
  <c r="R252" i="2"/>
  <c r="Q252" i="2"/>
  <c r="Q251" i="2"/>
  <c r="R251" i="2" s="1"/>
  <c r="P251" i="2"/>
  <c r="P250" i="2"/>
  <c r="N250" i="2"/>
  <c r="K250" i="2"/>
  <c r="Q250" i="2" s="1"/>
  <c r="R250" i="2" s="1"/>
  <c r="Q249" i="2"/>
  <c r="R249" i="2" s="1"/>
  <c r="K249" i="2"/>
  <c r="R248" i="2"/>
  <c r="Q248" i="2"/>
  <c r="R247" i="2"/>
  <c r="Q247" i="2"/>
  <c r="R246" i="2"/>
  <c r="Q246" i="2"/>
  <c r="R245" i="2"/>
  <c r="Q245" i="2"/>
  <c r="K244" i="2"/>
  <c r="Q244" i="2" s="1"/>
  <c r="R244" i="2" s="1"/>
  <c r="R243" i="2"/>
  <c r="Q243" i="2"/>
  <c r="Q242" i="2"/>
  <c r="R242" i="2" s="1"/>
  <c r="Q241" i="2"/>
  <c r="R241" i="2" s="1"/>
  <c r="N241" i="2"/>
  <c r="R240" i="2"/>
  <c r="Q240" i="2"/>
  <c r="K239" i="2"/>
  <c r="Q239" i="2" s="1"/>
  <c r="R239" i="2" s="1"/>
  <c r="Q238" i="2"/>
  <c r="R238" i="2" s="1"/>
  <c r="K238" i="2"/>
  <c r="R237" i="2"/>
  <c r="Q237" i="2"/>
  <c r="N237" i="2"/>
  <c r="Q236" i="2"/>
  <c r="R236" i="2" s="1"/>
  <c r="N236" i="2"/>
  <c r="N235" i="2"/>
  <c r="Q235" i="2" s="1"/>
  <c r="R235" i="2" s="1"/>
  <c r="R234" i="2"/>
  <c r="Q234" i="2"/>
  <c r="K234" i="2"/>
  <c r="P233" i="2"/>
  <c r="Q233" i="2" s="1"/>
  <c r="R233" i="2" s="1"/>
  <c r="Q232" i="2"/>
  <c r="R232" i="2" s="1"/>
  <c r="P232" i="2"/>
  <c r="P231" i="2"/>
  <c r="Q231" i="2" s="1"/>
  <c r="R231" i="2" s="1"/>
  <c r="P230" i="2"/>
  <c r="N230" i="2"/>
  <c r="Q230" i="2" s="1"/>
  <c r="R230" i="2" s="1"/>
  <c r="R229" i="2"/>
  <c r="Q229" i="2"/>
  <c r="P229" i="2"/>
  <c r="P228" i="2"/>
  <c r="Q228" i="2" s="1"/>
  <c r="R228" i="2" s="1"/>
  <c r="Q227" i="2"/>
  <c r="R227" i="2" s="1"/>
  <c r="P227" i="2"/>
  <c r="P226" i="2"/>
  <c r="N226" i="2"/>
  <c r="K226" i="2"/>
  <c r="Q226" i="2" s="1"/>
  <c r="R226" i="2" s="1"/>
  <c r="Q225" i="2"/>
  <c r="R225" i="2" s="1"/>
  <c r="R224" i="2"/>
  <c r="Q224" i="2"/>
  <c r="K224" i="2"/>
  <c r="K223" i="2"/>
  <c r="Q223" i="2" s="1"/>
  <c r="R223" i="2" s="1"/>
  <c r="Q222" i="2"/>
  <c r="R222" i="2" s="1"/>
  <c r="R221" i="2"/>
  <c r="Q221" i="2"/>
  <c r="K221" i="2"/>
  <c r="K220" i="2"/>
  <c r="Q220" i="2" s="1"/>
  <c r="R220" i="2" s="1"/>
  <c r="Q219" i="2"/>
  <c r="R219" i="2" s="1"/>
  <c r="R218" i="2"/>
  <c r="Q218" i="2"/>
  <c r="Q217" i="2"/>
  <c r="R217" i="2" s="1"/>
  <c r="K217" i="2"/>
  <c r="K216" i="2"/>
  <c r="Q216" i="2" s="1"/>
  <c r="R216" i="2" s="1"/>
  <c r="R215" i="2"/>
  <c r="Q215" i="2"/>
  <c r="Q214" i="2"/>
  <c r="R214" i="2" s="1"/>
  <c r="Q213" i="2"/>
  <c r="R213" i="2" s="1"/>
  <c r="N213" i="2"/>
  <c r="R212" i="2"/>
  <c r="Q212" i="2"/>
  <c r="R211" i="2"/>
  <c r="Q211" i="2"/>
  <c r="R210" i="2"/>
  <c r="Q210" i="2"/>
  <c r="K209" i="2"/>
  <c r="Q209" i="2" s="1"/>
  <c r="R209" i="2" s="1"/>
  <c r="R208" i="2"/>
  <c r="Q208" i="2"/>
  <c r="Q207" i="2"/>
  <c r="R207" i="2" s="1"/>
  <c r="N207" i="2"/>
  <c r="P206" i="2"/>
  <c r="Q206" i="2" s="1"/>
  <c r="R206" i="2" s="1"/>
  <c r="N205" i="2"/>
  <c r="K205" i="2"/>
  <c r="Q205" i="2" s="1"/>
  <c r="R205" i="2" s="1"/>
  <c r="Q204" i="2"/>
  <c r="R204" i="2" s="1"/>
  <c r="Q203" i="2"/>
  <c r="R203" i="2" s="1"/>
  <c r="K203" i="2"/>
  <c r="R202" i="2"/>
  <c r="Q202" i="2"/>
  <c r="K201" i="2"/>
  <c r="Q201" i="2" s="1"/>
  <c r="R201" i="2" s="1"/>
  <c r="Q200" i="2"/>
  <c r="R200" i="2" s="1"/>
  <c r="R199" i="2"/>
  <c r="Q199" i="2"/>
  <c r="P199" i="2"/>
  <c r="P198" i="2"/>
  <c r="Q198" i="2" s="1"/>
  <c r="R198" i="2" s="1"/>
  <c r="Q197" i="2"/>
  <c r="R197" i="2" s="1"/>
  <c r="K197" i="2"/>
  <c r="K196" i="2"/>
  <c r="Q196" i="2" s="1"/>
  <c r="R196" i="2" s="1"/>
  <c r="Q195" i="2"/>
  <c r="R195" i="2" s="1"/>
  <c r="Q194" i="2"/>
  <c r="R194" i="2" s="1"/>
  <c r="K194" i="2"/>
  <c r="K193" i="2"/>
  <c r="Q193" i="2" s="1"/>
  <c r="R193" i="2" s="1"/>
  <c r="P192" i="2"/>
  <c r="N192" i="2"/>
  <c r="Q192" i="2" s="1"/>
  <c r="R192" i="2" s="1"/>
  <c r="R191" i="2"/>
  <c r="Q191" i="2"/>
  <c r="R190" i="2"/>
  <c r="Q190" i="2"/>
  <c r="R189" i="2"/>
  <c r="Q189" i="2"/>
  <c r="R188" i="2"/>
  <c r="Q188" i="2"/>
  <c r="Q187" i="2"/>
  <c r="R187" i="2" s="1"/>
  <c r="Q186" i="2"/>
  <c r="R186" i="2" s="1"/>
  <c r="Q185" i="2"/>
  <c r="R185" i="2" s="1"/>
  <c r="R184" i="2"/>
  <c r="Q184" i="2"/>
  <c r="K184" i="2"/>
  <c r="R183" i="2"/>
  <c r="Q183" i="2"/>
  <c r="R182" i="2"/>
  <c r="Q182" i="2"/>
  <c r="P181" i="2"/>
  <c r="N181" i="2"/>
  <c r="Q181" i="2"/>
  <c r="R181" i="2" s="1"/>
  <c r="Q180" i="2"/>
  <c r="R180" i="2" s="1"/>
  <c r="Q179" i="2"/>
  <c r="R179" i="2" s="1"/>
  <c r="K179" i="2"/>
  <c r="Q178" i="2"/>
  <c r="R178" i="2" s="1"/>
  <c r="K177" i="2"/>
  <c r="Q177" i="2" s="1"/>
  <c r="R177" i="2" s="1"/>
  <c r="R176" i="2"/>
  <c r="Q176" i="2"/>
  <c r="K176" i="2"/>
  <c r="R175" i="2"/>
  <c r="Q175" i="2"/>
  <c r="K174" i="2"/>
  <c r="Q174" i="2" s="1"/>
  <c r="R174" i="2" s="1"/>
  <c r="R173" i="2"/>
  <c r="Q173" i="2"/>
  <c r="K173" i="2"/>
  <c r="K172" i="2"/>
  <c r="Q172" i="2" s="1"/>
  <c r="R172" i="2" s="1"/>
  <c r="Q171" i="2"/>
  <c r="R171" i="2" s="1"/>
  <c r="K171" i="2"/>
  <c r="R170" i="2"/>
  <c r="Q170" i="2"/>
  <c r="R169" i="2"/>
  <c r="Q169" i="2"/>
  <c r="R168" i="2"/>
  <c r="Q168" i="2"/>
  <c r="R167" i="2"/>
  <c r="Q167" i="2"/>
  <c r="K167" i="2"/>
  <c r="Q166" i="2"/>
  <c r="R166" i="2" s="1"/>
  <c r="K166" i="2"/>
  <c r="R165" i="2"/>
  <c r="Q165" i="2"/>
  <c r="R164" i="2"/>
  <c r="Q164" i="2"/>
  <c r="R163" i="2"/>
  <c r="Q163" i="2"/>
  <c r="K162" i="2"/>
  <c r="Q162" i="2" s="1"/>
  <c r="R162" i="2" s="1"/>
  <c r="Q161" i="2"/>
  <c r="R161" i="2" s="1"/>
  <c r="K161" i="2"/>
  <c r="R160" i="2"/>
  <c r="Q160" i="2"/>
  <c r="K159" i="2"/>
  <c r="Q159" i="2" s="1"/>
  <c r="R159" i="2" s="1"/>
  <c r="Q158" i="2"/>
  <c r="R158" i="2" s="1"/>
  <c r="K158" i="2"/>
  <c r="K157" i="2"/>
  <c r="Q157" i="2" s="1"/>
  <c r="R157" i="2" s="1"/>
  <c r="Q156" i="2"/>
  <c r="R156" i="2" s="1"/>
  <c r="Q155" i="2"/>
  <c r="R155" i="2" s="1"/>
  <c r="K155" i="2"/>
  <c r="R154" i="2"/>
  <c r="Q154" i="2"/>
  <c r="P153" i="2"/>
  <c r="K153" i="2"/>
  <c r="Q153" i="2" s="1"/>
  <c r="R153" i="2" s="1"/>
  <c r="R152" i="2"/>
  <c r="Q152" i="2"/>
  <c r="K152" i="2"/>
  <c r="P151" i="2"/>
  <c r="Q151" i="2" s="1"/>
  <c r="R151" i="2" s="1"/>
  <c r="N151" i="2"/>
  <c r="R150" i="2"/>
  <c r="Q150" i="2"/>
  <c r="P150" i="2"/>
  <c r="N150" i="2"/>
  <c r="P149" i="2"/>
  <c r="Q149" i="2" s="1"/>
  <c r="R149" i="2" s="1"/>
  <c r="Q148" i="2"/>
  <c r="R148" i="2" s="1"/>
  <c r="K148" i="2"/>
  <c r="R147" i="2"/>
  <c r="Q147" i="2"/>
  <c r="R146" i="2"/>
  <c r="Q146" i="2"/>
  <c r="R145" i="2"/>
  <c r="Q145" i="2"/>
  <c r="R144" i="2"/>
  <c r="Q144" i="2"/>
  <c r="R143" i="2"/>
  <c r="Q143" i="2"/>
  <c r="K142" i="2"/>
  <c r="Q142" i="2" s="1"/>
  <c r="R142" i="2" s="1"/>
  <c r="Q141" i="2"/>
  <c r="R141" i="2" s="1"/>
  <c r="R140" i="2"/>
  <c r="Q140" i="2"/>
  <c r="Q139" i="2"/>
  <c r="R139" i="2" s="1"/>
  <c r="Q138" i="2"/>
  <c r="R138" i="2" s="1"/>
  <c r="Q137" i="2"/>
  <c r="R137" i="2" s="1"/>
  <c r="K137" i="2"/>
  <c r="R136" i="2"/>
  <c r="Q136" i="2"/>
  <c r="K135" i="2"/>
  <c r="Q135" i="2" s="1"/>
  <c r="R135" i="2" s="1"/>
  <c r="Q134" i="2"/>
  <c r="R134" i="2" s="1"/>
  <c r="R133" i="2"/>
  <c r="Q133" i="2"/>
  <c r="Q132" i="2"/>
  <c r="R132" i="2" s="1"/>
  <c r="Q131" i="2"/>
  <c r="R131" i="2" s="1"/>
  <c r="Q130" i="2"/>
  <c r="R130" i="2" s="1"/>
  <c r="R129" i="2"/>
  <c r="Q129" i="2"/>
  <c r="N129" i="2"/>
  <c r="R128" i="2"/>
  <c r="Q128" i="2"/>
  <c r="R127" i="2"/>
  <c r="Q127" i="2"/>
  <c r="P126" i="2"/>
  <c r="N126" i="2"/>
  <c r="K126" i="2"/>
  <c r="Q126" i="2" s="1"/>
  <c r="R126" i="2" s="1"/>
  <c r="Q125" i="2"/>
  <c r="R125" i="2" s="1"/>
  <c r="K125" i="2"/>
  <c r="R124" i="2"/>
  <c r="Q124" i="2"/>
  <c r="K124" i="2"/>
  <c r="Q123" i="2"/>
  <c r="R123" i="2" s="1"/>
  <c r="K123" i="2"/>
  <c r="K122" i="2"/>
  <c r="Q122" i="2" s="1"/>
  <c r="R122" i="2" s="1"/>
  <c r="Q121" i="2"/>
  <c r="R121" i="2" s="1"/>
  <c r="Q120" i="2"/>
  <c r="R120" i="2" s="1"/>
  <c r="K120" i="2"/>
  <c r="K119" i="2"/>
  <c r="Q119" i="2" s="1"/>
  <c r="R119" i="2" s="1"/>
  <c r="R118" i="2"/>
  <c r="Q118" i="2"/>
  <c r="K118" i="2"/>
  <c r="R117" i="2"/>
  <c r="Q117" i="2"/>
  <c r="R116" i="2"/>
  <c r="Q116" i="2"/>
  <c r="R115" i="2"/>
  <c r="Q115" i="2"/>
  <c r="K114" i="2"/>
  <c r="Q114" i="2" s="1"/>
  <c r="R114" i="2" s="1"/>
  <c r="Q113" i="2"/>
  <c r="R113" i="2" s="1"/>
  <c r="N113" i="2"/>
  <c r="R112" i="2"/>
  <c r="Q112" i="2"/>
  <c r="R111" i="2"/>
  <c r="Q111" i="2"/>
  <c r="R110" i="2"/>
  <c r="Q110" i="2"/>
  <c r="K109" i="2"/>
  <c r="Q109" i="2" s="1"/>
  <c r="R109" i="2" s="1"/>
  <c r="R108" i="2"/>
  <c r="Q108" i="2"/>
  <c r="Q107" i="2"/>
  <c r="R107" i="2" s="1"/>
  <c r="N107" i="2"/>
  <c r="R106" i="2"/>
  <c r="Q106" i="2"/>
  <c r="R105" i="2"/>
  <c r="Q105" i="2"/>
  <c r="K105" i="2"/>
  <c r="Q104" i="2"/>
  <c r="R104" i="2" s="1"/>
  <c r="N104" i="2"/>
  <c r="R103" i="2"/>
  <c r="Q103" i="2"/>
  <c r="R102" i="2"/>
  <c r="Q102" i="2"/>
  <c r="N102" i="2"/>
  <c r="Q101" i="2"/>
  <c r="R101" i="2" s="1"/>
  <c r="Q100" i="2"/>
  <c r="R100" i="2" s="1"/>
  <c r="Q99" i="2"/>
  <c r="R99" i="2" s="1"/>
  <c r="K99" i="2"/>
  <c r="K98" i="2"/>
  <c r="Q98" i="2" s="1"/>
  <c r="R98" i="2" s="1"/>
  <c r="N97" i="2"/>
  <c r="K97" i="2"/>
  <c r="Q97" i="2" s="1"/>
  <c r="R97" i="2" s="1"/>
  <c r="R96" i="2"/>
  <c r="Q96" i="2"/>
  <c r="Q95" i="2"/>
  <c r="R95" i="2" s="1"/>
  <c r="P95" i="2"/>
  <c r="N95" i="2"/>
  <c r="Q94" i="2"/>
  <c r="R94" i="2" s="1"/>
  <c r="K94" i="2"/>
  <c r="Q93" i="2"/>
  <c r="R93" i="2" s="1"/>
  <c r="R92" i="2"/>
  <c r="Q92" i="2"/>
  <c r="K91" i="2"/>
  <c r="Q91" i="2" s="1"/>
  <c r="R91" i="2" s="1"/>
  <c r="R90" i="2"/>
  <c r="Q90" i="2"/>
  <c r="Q89" i="2"/>
  <c r="R89" i="2" s="1"/>
  <c r="P88" i="2"/>
  <c r="N88" i="2"/>
  <c r="Q88" i="2" s="1"/>
  <c r="R88" i="2" s="1"/>
  <c r="R87" i="2"/>
  <c r="Q87" i="2"/>
  <c r="K87" i="2"/>
  <c r="K86" i="2"/>
  <c r="Q86" i="2" s="1"/>
  <c r="R86" i="2" s="1"/>
  <c r="Q85" i="2"/>
  <c r="R85" i="2" s="1"/>
  <c r="K85" i="2"/>
  <c r="K84" i="2"/>
  <c r="Q84" i="2" s="1"/>
  <c r="R84" i="2" s="1"/>
  <c r="Q83" i="2"/>
  <c r="R83" i="2" s="1"/>
  <c r="Q82" i="2"/>
  <c r="R82" i="2" s="1"/>
  <c r="P81" i="2"/>
  <c r="N81" i="2"/>
  <c r="K81" i="2"/>
  <c r="Q81" i="2" s="1"/>
  <c r="R81" i="2" s="1"/>
  <c r="Q80" i="2"/>
  <c r="R80" i="2" s="1"/>
  <c r="K80" i="2"/>
  <c r="K79" i="2"/>
  <c r="Q79" i="2" s="1"/>
  <c r="R79" i="2" s="1"/>
  <c r="Q78" i="2"/>
  <c r="R78" i="2" s="1"/>
  <c r="K78" i="2"/>
  <c r="R77" i="2"/>
  <c r="Q77" i="2"/>
  <c r="P77" i="2"/>
  <c r="Q76" i="2"/>
  <c r="R76" i="2" s="1"/>
  <c r="P76" i="2"/>
  <c r="N76" i="2"/>
  <c r="K76" i="2"/>
  <c r="R75" i="2"/>
  <c r="Q75" i="2"/>
  <c r="R74" i="2"/>
  <c r="Q74" i="2"/>
  <c r="R73" i="2"/>
  <c r="Q73" i="2"/>
  <c r="R72" i="2"/>
  <c r="Q72" i="2"/>
  <c r="R71" i="2"/>
  <c r="Q71" i="2"/>
  <c r="R70" i="2"/>
  <c r="Q70" i="2"/>
  <c r="R69" i="2"/>
  <c r="Q69" i="2"/>
  <c r="R68" i="2"/>
  <c r="Q68" i="2"/>
  <c r="R67" i="2"/>
  <c r="Q67" i="2"/>
  <c r="R66" i="2"/>
  <c r="Q66" i="2"/>
  <c r="K65" i="2"/>
  <c r="Q65" i="2" s="1"/>
  <c r="R65" i="2" s="1"/>
  <c r="Q64" i="2"/>
  <c r="R64" i="2" s="1"/>
  <c r="R63" i="2"/>
  <c r="Q63" i="2"/>
  <c r="K63" i="2"/>
  <c r="K62" i="2"/>
  <c r="Q62" i="2" s="1"/>
  <c r="R62" i="2" s="1"/>
  <c r="Q61" i="2"/>
  <c r="R61" i="2" s="1"/>
  <c r="L61" i="2"/>
  <c r="R60" i="2"/>
  <c r="Q60" i="2"/>
  <c r="K59" i="2"/>
  <c r="Q59" i="2" s="1"/>
  <c r="R59" i="2" s="1"/>
  <c r="Q58" i="2"/>
  <c r="R58" i="2" s="1"/>
  <c r="R57" i="2"/>
  <c r="Q57" i="2"/>
  <c r="Q56" i="2"/>
  <c r="R56" i="2" s="1"/>
  <c r="K56" i="2"/>
  <c r="R55" i="2"/>
  <c r="Q55" i="2"/>
  <c r="R54" i="2"/>
  <c r="Q54" i="2"/>
  <c r="K53" i="2"/>
  <c r="Q53" i="2" s="1"/>
  <c r="R53" i="2" s="1"/>
  <c r="Q52" i="2"/>
  <c r="R52" i="2" s="1"/>
  <c r="K52" i="2"/>
  <c r="R51" i="2"/>
  <c r="Q51" i="2"/>
  <c r="K51" i="2"/>
  <c r="Q50" i="2"/>
  <c r="R50" i="2" s="1"/>
  <c r="Q49" i="2"/>
  <c r="R49" i="2" s="1"/>
  <c r="K49" i="2"/>
  <c r="R48" i="2"/>
  <c r="Q48" i="2"/>
  <c r="K48" i="2"/>
  <c r="Q47" i="2"/>
  <c r="R47" i="2" s="1"/>
  <c r="Q46" i="2"/>
  <c r="R46" i="2" s="1"/>
  <c r="Q45" i="2"/>
  <c r="R45" i="2" s="1"/>
  <c r="K45" i="2"/>
  <c r="K44" i="2"/>
  <c r="Q44" i="2" s="1"/>
  <c r="R44" i="2" s="1"/>
  <c r="Q43" i="2"/>
  <c r="R43" i="2" s="1"/>
  <c r="P43" i="2"/>
  <c r="R42" i="2"/>
  <c r="Q42" i="2"/>
  <c r="P42" i="2"/>
  <c r="Q41" i="2"/>
  <c r="R41" i="2" s="1"/>
  <c r="K41" i="2"/>
  <c r="R40" i="2"/>
  <c r="Q40" i="2"/>
  <c r="R39" i="2"/>
  <c r="Q39" i="2"/>
  <c r="K38" i="2"/>
  <c r="Q38" i="2" s="1"/>
  <c r="R38" i="2" s="1"/>
  <c r="Q37" i="2"/>
  <c r="R37" i="2" s="1"/>
  <c r="Q36" i="2"/>
  <c r="R36" i="2" s="1"/>
  <c r="R35" i="2"/>
  <c r="Q35" i="2"/>
  <c r="Q34" i="2"/>
  <c r="R34" i="2" s="1"/>
  <c r="K34" i="2"/>
  <c r="R33" i="2"/>
  <c r="Q33" i="2"/>
  <c r="R32" i="2"/>
  <c r="Q32" i="2"/>
  <c r="N32" i="2"/>
  <c r="Q31" i="2"/>
  <c r="R31" i="2" s="1"/>
  <c r="Q30" i="2"/>
  <c r="R30" i="2" s="1"/>
  <c r="R29" i="2"/>
  <c r="Q29" i="2"/>
  <c r="R28" i="2"/>
  <c r="Q28" i="2"/>
  <c r="R27" i="2"/>
  <c r="Q27" i="2"/>
  <c r="K26" i="2"/>
  <c r="Q26" i="2" s="1"/>
  <c r="R26" i="2" s="1"/>
  <c r="R25" i="2"/>
  <c r="Q25" i="2"/>
  <c r="N25" i="2"/>
  <c r="N24" i="2"/>
  <c r="Q24" i="2" s="1"/>
  <c r="R24" i="2" s="1"/>
  <c r="Q23" i="2"/>
  <c r="R23" i="2" s="1"/>
  <c r="N23" i="2"/>
  <c r="P22" i="2"/>
  <c r="Q22" i="2" s="1"/>
  <c r="R22" i="2" s="1"/>
  <c r="P21" i="2"/>
  <c r="N21" i="2"/>
  <c r="Q21" i="2" s="1"/>
  <c r="R21" i="2" s="1"/>
  <c r="K21" i="2"/>
  <c r="R20" i="2"/>
  <c r="Q20" i="2"/>
  <c r="R19" i="2"/>
  <c r="Q19" i="2"/>
  <c r="N18" i="2"/>
  <c r="Q18" i="2" s="1"/>
  <c r="R18" i="2" s="1"/>
  <c r="R17" i="2"/>
  <c r="Q17" i="2"/>
  <c r="Q16" i="2"/>
  <c r="R16" i="2" s="1"/>
  <c r="N16" i="2"/>
  <c r="K15" i="2"/>
  <c r="Q15" i="2" s="1"/>
  <c r="R15" i="2" s="1"/>
  <c r="R14" i="2"/>
  <c r="Q14" i="2"/>
  <c r="K14" i="2"/>
  <c r="P13" i="2"/>
  <c r="Q13" i="2" s="1"/>
  <c r="R13" i="2" s="1"/>
  <c r="Q12" i="2"/>
  <c r="R12" i="2" s="1"/>
  <c r="K12" i="2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13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6" i="2" l="1"/>
  <c r="R511" i="2"/>
  <c r="R2206" i="2" s="1"/>
  <c r="Q833" i="2"/>
  <c r="R833" i="2" s="1"/>
  <c r="Q973" i="2"/>
  <c r="R973" i="2" s="1"/>
  <c r="Q614" i="2"/>
  <c r="R614" i="2" s="1"/>
  <c r="Q682" i="2"/>
  <c r="R682" i="2" s="1"/>
  <c r="Q1157" i="2"/>
  <c r="R1157" i="2" s="1"/>
  <c r="Q1214" i="2"/>
  <c r="R1214" i="2" s="1"/>
  <c r="Q1294" i="2"/>
  <c r="R1294" i="2" s="1"/>
  <c r="Q1231" i="2"/>
  <c r="R1231" i="2" s="1"/>
  <c r="Q1186" i="2"/>
  <c r="R1186" i="2" s="1"/>
  <c r="Q1400" i="2"/>
  <c r="R1400" i="2" s="1"/>
  <c r="Q1804" i="2"/>
  <c r="R1804" i="2" s="1"/>
  <c r="Q1501" i="2"/>
  <c r="R1501" i="2" s="1"/>
  <c r="Q1858" i="2"/>
  <c r="R1858" i="2" s="1"/>
  <c r="Q1856" i="2"/>
  <c r="R1856" i="2" s="1"/>
  <c r="K680" i="1"/>
  <c r="P2197" i="1" l="1"/>
  <c r="N2197" i="1"/>
  <c r="K2197" i="1"/>
  <c r="P2171" i="1"/>
  <c r="P2170" i="1"/>
  <c r="N2170" i="1"/>
  <c r="K2170" i="1"/>
  <c r="K2163" i="1"/>
  <c r="P2039" i="1"/>
  <c r="P2038" i="1"/>
  <c r="P2037" i="1"/>
  <c r="N2037" i="1"/>
  <c r="P2036" i="1"/>
  <c r="P1993" i="1"/>
  <c r="P1949" i="1"/>
  <c r="P1948" i="1"/>
  <c r="P1860" i="1"/>
  <c r="P1859" i="1"/>
  <c r="N1859" i="1"/>
  <c r="K1859" i="1"/>
  <c r="P1858" i="1"/>
  <c r="P1857" i="1"/>
  <c r="N1857" i="1"/>
  <c r="K1857" i="1"/>
  <c r="P1856" i="1"/>
  <c r="P1855" i="1"/>
  <c r="N1855" i="1"/>
  <c r="K1855" i="1"/>
  <c r="N1759" i="1"/>
  <c r="N2154" i="1"/>
  <c r="K1292" i="1"/>
  <c r="K1132" i="1"/>
  <c r="P1947" i="1" l="1"/>
  <c r="P1941" i="1"/>
  <c r="P1940" i="1"/>
  <c r="N1940" i="1"/>
  <c r="K1940" i="1"/>
  <c r="P2130" i="1"/>
  <c r="P2129" i="1"/>
  <c r="P2204" i="1"/>
  <c r="P2203" i="1"/>
  <c r="P2202" i="1"/>
  <c r="N2202" i="1"/>
  <c r="P2201" i="1"/>
  <c r="P2200" i="1"/>
  <c r="P2199" i="1"/>
  <c r="P2128" i="1"/>
  <c r="P2127" i="1"/>
  <c r="P2126" i="1"/>
  <c r="P2112" i="1"/>
  <c r="N2112" i="1"/>
  <c r="P2117" i="1"/>
  <c r="N2117" i="1"/>
  <c r="P2125" i="1"/>
  <c r="P2124" i="1"/>
  <c r="N2124" i="1"/>
  <c r="K2124" i="1"/>
  <c r="P2035" i="1"/>
  <c r="P2034" i="1"/>
  <c r="P2033" i="1"/>
  <c r="P2032" i="1"/>
  <c r="K2021" i="1"/>
  <c r="K2018" i="1"/>
  <c r="K2012" i="1"/>
  <c r="K1992" i="1"/>
  <c r="P1978" i="1"/>
  <c r="N1978" i="1"/>
  <c r="K1978" i="1"/>
  <c r="P1946" i="1"/>
  <c r="P1945" i="1"/>
  <c r="P1869" i="1"/>
  <c r="P1868" i="1"/>
  <c r="P1867" i="1"/>
  <c r="P1866" i="1"/>
  <c r="P1865" i="1"/>
  <c r="P1864" i="1"/>
  <c r="P1863" i="1"/>
  <c r="P1801" i="1"/>
  <c r="P1800" i="1"/>
  <c r="N1800" i="1"/>
  <c r="K1800" i="1"/>
  <c r="P1818" i="1"/>
  <c r="N1818" i="1"/>
  <c r="K1818" i="1"/>
  <c r="P1725" i="1"/>
  <c r="P1739" i="1"/>
  <c r="P1738" i="1"/>
  <c r="N1738" i="1"/>
  <c r="P1788" i="1"/>
  <c r="P1787" i="1"/>
  <c r="P1786" i="1"/>
  <c r="P1785" i="1"/>
  <c r="P1784" i="1"/>
  <c r="P1783" i="1"/>
  <c r="N1783" i="1"/>
  <c r="P1782" i="1"/>
  <c r="P1758" i="1"/>
  <c r="P1757" i="1"/>
  <c r="N1757" i="1"/>
  <c r="K1757" i="1"/>
  <c r="P1755" i="1"/>
  <c r="P1754" i="1"/>
  <c r="N1754" i="1"/>
  <c r="K1754" i="1"/>
  <c r="P1634" i="1"/>
  <c r="P1633" i="1"/>
  <c r="N1633" i="1"/>
  <c r="P1708" i="1"/>
  <c r="K1707" i="1"/>
  <c r="P1691" i="1"/>
  <c r="P1690" i="1"/>
  <c r="N1690" i="1"/>
  <c r="K1690" i="1"/>
  <c r="P1685" i="1"/>
  <c r="P1684" i="1"/>
  <c r="N1684" i="1"/>
  <c r="K1684" i="1"/>
  <c r="K1673" i="1"/>
  <c r="P1655" i="1"/>
  <c r="P1654" i="1"/>
  <c r="N1654" i="1"/>
  <c r="K1654" i="1"/>
  <c r="P1619" i="1"/>
  <c r="N1619" i="1"/>
  <c r="K1619" i="1"/>
  <c r="P1630" i="1"/>
  <c r="P1629" i="1"/>
  <c r="N1629" i="1"/>
  <c r="K1629" i="1"/>
  <c r="P1605" i="1"/>
  <c r="P1604" i="1"/>
  <c r="K1513" i="1"/>
  <c r="P1360" i="1"/>
  <c r="P1359" i="1"/>
  <c r="P1303" i="1"/>
  <c r="P1302" i="1"/>
  <c r="P1301" i="1"/>
  <c r="P1300" i="1"/>
  <c r="P1250" i="1"/>
  <c r="N1250" i="1"/>
  <c r="P1237" i="1"/>
  <c r="P1236" i="1"/>
  <c r="P1235" i="1"/>
  <c r="N1235" i="1"/>
  <c r="P1234" i="1"/>
  <c r="N1234" i="1"/>
  <c r="P1187" i="1"/>
  <c r="N1187" i="1"/>
  <c r="K1199" i="1"/>
  <c r="P1156" i="1"/>
  <c r="K1155" i="1"/>
  <c r="P1155" i="1"/>
  <c r="N1155" i="1"/>
  <c r="P1137" i="1"/>
  <c r="P1136" i="1"/>
  <c r="N1136" i="1"/>
  <c r="P1107" i="1"/>
  <c r="P1106" i="1"/>
  <c r="N1106" i="1"/>
  <c r="K1106" i="1"/>
  <c r="P1097" i="1"/>
  <c r="P1096" i="1"/>
  <c r="N1096" i="1"/>
  <c r="K1096" i="1"/>
  <c r="P1077" i="1"/>
  <c r="N1077" i="1"/>
  <c r="P1075" i="1"/>
  <c r="N1075" i="1"/>
  <c r="K1065" i="1"/>
  <c r="P975" i="1"/>
  <c r="N975" i="1"/>
  <c r="N974" i="1"/>
  <c r="K974" i="1"/>
  <c r="P965" i="1"/>
  <c r="P964" i="1"/>
  <c r="K954" i="1"/>
  <c r="P897" i="1"/>
  <c r="P889" i="1"/>
  <c r="N889" i="1"/>
  <c r="K889" i="1"/>
  <c r="P824" i="1"/>
  <c r="K781" i="1"/>
  <c r="P816" i="1"/>
  <c r="P815" i="1"/>
  <c r="N815" i="1"/>
  <c r="K815" i="1"/>
  <c r="P726" i="1"/>
  <c r="K725" i="1"/>
  <c r="L62" i="1"/>
  <c r="K2187" i="1"/>
  <c r="N2186" i="1"/>
  <c r="K2186" i="1"/>
  <c r="K2183" i="1"/>
  <c r="N2180" i="1"/>
  <c r="K2178" i="1"/>
  <c r="K2177" i="1"/>
  <c r="K2176" i="1"/>
  <c r="K2175" i="1"/>
  <c r="K2173" i="1"/>
  <c r="K2169" i="1"/>
  <c r="K2167" i="1"/>
  <c r="K2166" i="1"/>
  <c r="K2164" i="1"/>
  <c r="K2161" i="1"/>
  <c r="K2159" i="1"/>
  <c r="K2157" i="1"/>
  <c r="K2156" i="1"/>
  <c r="K2155" i="1"/>
  <c r="K2151" i="1"/>
  <c r="K2146" i="1"/>
  <c r="K2143" i="1"/>
  <c r="K2142" i="1"/>
  <c r="K2141" i="1"/>
  <c r="K2139" i="1"/>
  <c r="N2137" i="1"/>
  <c r="P2134" i="1"/>
  <c r="N2134" i="1"/>
  <c r="K2133" i="1"/>
  <c r="K2131" i="1"/>
  <c r="P1372" i="1"/>
  <c r="P78" i="1"/>
  <c r="P44" i="1"/>
  <c r="N546" i="1" l="1"/>
  <c r="P1943" i="1"/>
  <c r="P1942" i="1"/>
  <c r="P1938" i="1"/>
  <c r="N1938" i="1"/>
  <c r="K1938" i="1"/>
  <c r="P1862" i="1"/>
  <c r="N1862" i="1"/>
  <c r="P1861" i="1"/>
  <c r="P1854" i="1"/>
  <c r="P1853" i="1"/>
  <c r="N1853" i="1"/>
  <c r="K1853" i="1"/>
  <c r="P1781" i="1"/>
  <c r="P1780" i="1"/>
  <c r="P1779" i="1"/>
  <c r="P1715" i="1"/>
  <c r="P1714" i="1"/>
  <c r="N1714" i="1"/>
  <c r="K1742" i="1"/>
  <c r="K1734" i="1"/>
  <c r="P1711" i="1"/>
  <c r="P1710" i="1"/>
  <c r="P1709" i="1"/>
  <c r="P1603" i="1"/>
  <c r="P1602" i="1"/>
  <c r="N1602" i="1"/>
  <c r="K1602" i="1"/>
  <c r="P1579" i="1"/>
  <c r="P1578" i="1"/>
  <c r="N1578" i="1"/>
  <c r="P1563" i="1"/>
  <c r="K1574" i="1"/>
  <c r="K1534" i="1"/>
  <c r="N1499" i="1"/>
  <c r="N1481" i="1"/>
  <c r="N1475" i="1"/>
  <c r="K1468" i="1"/>
  <c r="N1446" i="1"/>
  <c r="N1443" i="1"/>
  <c r="N1503" i="1"/>
  <c r="K1397" i="1"/>
  <c r="K2119" i="1"/>
  <c r="K2116" i="1"/>
  <c r="K2111" i="1"/>
  <c r="K2109" i="1"/>
  <c r="K2105" i="1"/>
  <c r="K2103" i="1"/>
  <c r="K2102" i="1"/>
  <c r="N2101" i="1"/>
  <c r="K2099" i="1"/>
  <c r="K2098" i="1"/>
  <c r="K2095" i="1"/>
  <c r="K2093" i="1"/>
  <c r="K2089" i="1"/>
  <c r="K2081" i="1"/>
  <c r="P2080" i="1"/>
  <c r="N2080" i="1"/>
  <c r="K2080" i="1"/>
  <c r="P2078" i="1"/>
  <c r="N2078" i="1"/>
  <c r="K2078" i="1"/>
  <c r="K2076" i="1"/>
  <c r="K2075" i="1"/>
  <c r="K2071" i="1"/>
  <c r="K2066" i="1"/>
  <c r="N2065" i="1"/>
  <c r="K2064" i="1"/>
  <c r="K2063" i="1"/>
  <c r="K2061" i="1"/>
  <c r="K2060" i="1"/>
  <c r="K2059" i="1"/>
  <c r="N2058" i="1"/>
  <c r="N2057" i="1"/>
  <c r="N2056" i="1"/>
  <c r="K2055" i="1"/>
  <c r="K2054" i="1"/>
  <c r="K2053" i="1"/>
  <c r="N2052" i="1"/>
  <c r="N2051" i="1"/>
  <c r="K2050" i="1"/>
  <c r="K2049" i="1"/>
  <c r="N2048" i="1"/>
  <c r="K2047" i="1"/>
  <c r="K2043" i="1"/>
  <c r="N2042" i="1"/>
  <c r="K2041" i="1"/>
  <c r="K2017" i="1"/>
  <c r="N2010" i="1"/>
  <c r="K2009" i="1"/>
  <c r="K2008" i="1"/>
  <c r="K2006" i="1"/>
  <c r="N2003" i="1"/>
  <c r="K1997" i="1"/>
  <c r="K1996" i="1"/>
  <c r="K1995" i="1"/>
  <c r="K1994" i="1"/>
  <c r="N1991" i="1"/>
  <c r="K1991" i="1"/>
  <c r="K1990" i="1"/>
  <c r="K1988" i="1"/>
  <c r="N1987" i="1"/>
  <c r="K1985" i="1"/>
  <c r="K1984" i="1"/>
  <c r="K1974" i="1"/>
  <c r="K1961" i="1"/>
  <c r="K1973" i="1"/>
  <c r="K1971" i="1"/>
  <c r="K1967" i="1"/>
  <c r="K1966" i="1"/>
  <c r="K1965" i="1"/>
  <c r="N1962" i="1"/>
  <c r="K1958" i="1"/>
  <c r="K1957" i="1"/>
  <c r="K1955" i="1"/>
  <c r="K1952" i="1"/>
  <c r="K1951" i="1"/>
  <c r="K1937" i="1"/>
  <c r="K1933" i="1"/>
  <c r="K1932" i="1"/>
  <c r="K1930" i="1"/>
  <c r="K1929" i="1"/>
  <c r="K1928" i="1"/>
  <c r="K1927" i="1"/>
  <c r="K1925" i="1"/>
  <c r="K1924" i="1"/>
  <c r="K1923" i="1"/>
  <c r="K1922" i="1"/>
  <c r="K1919" i="1"/>
  <c r="K1917" i="1"/>
  <c r="K1916" i="1"/>
  <c r="K1910" i="1"/>
  <c r="K1909" i="1"/>
  <c r="K1907" i="1"/>
  <c r="N1906" i="1"/>
  <c r="K1904" i="1"/>
  <c r="K1903" i="1"/>
  <c r="K1900" i="1"/>
  <c r="K1899" i="1"/>
  <c r="K1898" i="1"/>
  <c r="K1897" i="1"/>
  <c r="K1895" i="1"/>
  <c r="K1892" i="1"/>
  <c r="K1891" i="1"/>
  <c r="K1888" i="1"/>
  <c r="P1886" i="1"/>
  <c r="N1886" i="1"/>
  <c r="K1886" i="1"/>
  <c r="K1883" i="1"/>
  <c r="K1882" i="1"/>
  <c r="K1881" i="1"/>
  <c r="K1880" i="1"/>
  <c r="K1879" i="1"/>
  <c r="K1878" i="1"/>
  <c r="K1877" i="1"/>
  <c r="K1875" i="1"/>
  <c r="N1874" i="1"/>
  <c r="K1874" i="1"/>
  <c r="K1872" i="1"/>
  <c r="K1871" i="1"/>
  <c r="K1870" i="1"/>
  <c r="P1526" i="1" l="1"/>
  <c r="P1525" i="1"/>
  <c r="K1495" i="1"/>
  <c r="N1477" i="1"/>
  <c r="P1458" i="1"/>
  <c r="P1457" i="1"/>
  <c r="N1457" i="1"/>
  <c r="K1457" i="1"/>
  <c r="P1442" i="1"/>
  <c r="N1420" i="1"/>
  <c r="N1396" i="1"/>
  <c r="K1396" i="1"/>
  <c r="P1371" i="1"/>
  <c r="N1371" i="1"/>
  <c r="K1371" i="1"/>
  <c r="P1364" i="1"/>
  <c r="P1363" i="1"/>
  <c r="N1363" i="1"/>
  <c r="K1362" i="1"/>
  <c r="P1358" i="1"/>
  <c r="P1357" i="1"/>
  <c r="P1299" i="1"/>
  <c r="P1298" i="1"/>
  <c r="P1297" i="1"/>
  <c r="N1297" i="1"/>
  <c r="K1297" i="1"/>
  <c r="K1261" i="1"/>
  <c r="P1233" i="1"/>
  <c r="P1232" i="1"/>
  <c r="N1232" i="1"/>
  <c r="K1232" i="1"/>
  <c r="K1209" i="1"/>
  <c r="K1206" i="1"/>
  <c r="K1203" i="1"/>
  <c r="K1202" i="1"/>
  <c r="K1191" i="1"/>
  <c r="P1183" i="1"/>
  <c r="N1183" i="1"/>
  <c r="K1183" i="1"/>
  <c r="K1182" i="1"/>
  <c r="K1173" i="1"/>
  <c r="K1166" i="1"/>
  <c r="N1059" i="1"/>
  <c r="P925" i="1"/>
  <c r="N925" i="1"/>
  <c r="K925" i="1"/>
  <c r="N923" i="1"/>
  <c r="K52" i="1"/>
  <c r="K50" i="1"/>
  <c r="K46" i="1"/>
  <c r="K13" i="1"/>
  <c r="K1852" i="1"/>
  <c r="K1851" i="1"/>
  <c r="K1850" i="1"/>
  <c r="K1849" i="1"/>
  <c r="K1847" i="1"/>
  <c r="K1846" i="1"/>
  <c r="K1844" i="1"/>
  <c r="K1842" i="1"/>
  <c r="K1839" i="1"/>
  <c r="K1838" i="1"/>
  <c r="L1837" i="1"/>
  <c r="K1837" i="1"/>
  <c r="K1834" i="1"/>
  <c r="K1832" i="1"/>
  <c r="K1829" i="1"/>
  <c r="K1828" i="1"/>
  <c r="K1826" i="1"/>
  <c r="P1823" i="1"/>
  <c r="K1822" i="1"/>
  <c r="K1821" i="1"/>
  <c r="L1820" i="1"/>
  <c r="N1817" i="1"/>
  <c r="K1816" i="1"/>
  <c r="K1815" i="1"/>
  <c r="K1814" i="1"/>
  <c r="K1813" i="1"/>
  <c r="K1808" i="1"/>
  <c r="P1807" i="1"/>
  <c r="N1807" i="1"/>
  <c r="K1807" i="1"/>
  <c r="P1806" i="1"/>
  <c r="N1806" i="1"/>
  <c r="K1806" i="1"/>
  <c r="P1805" i="1"/>
  <c r="N1805" i="1"/>
  <c r="K1805" i="1"/>
  <c r="K1802" i="1"/>
  <c r="K1799" i="1"/>
  <c r="K1797" i="1"/>
  <c r="K1796" i="1"/>
  <c r="K1795" i="1"/>
  <c r="N1794" i="1"/>
  <c r="K1793" i="1"/>
  <c r="K1790" i="1"/>
  <c r="K1789" i="1"/>
  <c r="K1776" i="1"/>
  <c r="K1774" i="1"/>
  <c r="K1773" i="1"/>
  <c r="K1772" i="1" l="1"/>
  <c r="K1771" i="1"/>
  <c r="K1765" i="1"/>
  <c r="K1764" i="1"/>
  <c r="K1763" i="1"/>
  <c r="K1762" i="1"/>
  <c r="K1761" i="1"/>
  <c r="K1760" i="1"/>
  <c r="N1752" i="1"/>
  <c r="K1751" i="1"/>
  <c r="L1749" i="1"/>
  <c r="K1749" i="1"/>
  <c r="N1748" i="1"/>
  <c r="K1747" i="1"/>
  <c r="N1746" i="1"/>
  <c r="K1746" i="1"/>
  <c r="K1745" i="1"/>
  <c r="K1743" i="1"/>
  <c r="K1741" i="1"/>
  <c r="N1741" i="1"/>
  <c r="N1740" i="1"/>
  <c r="K1737" i="1"/>
  <c r="K1736" i="1"/>
  <c r="N1735" i="1"/>
  <c r="K1733" i="1"/>
  <c r="K1732" i="1"/>
  <c r="K1731" i="1"/>
  <c r="K1730" i="1"/>
  <c r="K1729" i="1"/>
  <c r="N1728" i="1"/>
  <c r="K1727" i="1"/>
  <c r="K1726" i="1"/>
  <c r="K1724" i="1"/>
  <c r="K1720" i="1"/>
  <c r="K1719" i="1"/>
  <c r="K1717" i="1"/>
  <c r="K1716" i="1"/>
  <c r="K1713" i="1"/>
  <c r="K1706" i="1"/>
  <c r="K1704" i="1"/>
  <c r="K1703" i="1"/>
  <c r="K1699" i="1"/>
  <c r="K1696" i="1"/>
  <c r="K1695" i="1"/>
  <c r="K1694" i="1"/>
  <c r="K1692" i="1"/>
  <c r="K1683" i="1"/>
  <c r="K1681" i="1"/>
  <c r="K1678" i="1"/>
  <c r="K1674" i="1"/>
  <c r="P1672" i="1"/>
  <c r="N1672" i="1"/>
  <c r="K1672" i="1"/>
  <c r="K1670" i="1"/>
  <c r="L1668" i="1"/>
  <c r="K1668" i="1"/>
  <c r="K1667" i="1"/>
  <c r="K1664" i="1"/>
  <c r="K1663" i="1"/>
  <c r="N1662" i="1"/>
  <c r="N1660" i="1"/>
  <c r="K1659" i="1"/>
  <c r="K1658" i="1"/>
  <c r="K1657" i="1"/>
  <c r="K1656" i="1"/>
  <c r="K1653" i="1"/>
  <c r="K1652" i="1"/>
  <c r="K1651" i="1"/>
  <c r="K1647" i="1"/>
  <c r="N1646" i="1"/>
  <c r="K1645" i="1"/>
  <c r="N1643" i="1"/>
  <c r="K1642" i="1"/>
  <c r="P1640" i="1"/>
  <c r="N1640" i="1"/>
  <c r="K1640" i="1"/>
  <c r="N1639" i="1"/>
  <c r="K1637" i="1"/>
  <c r="N1636" i="1"/>
  <c r="K1632" i="1"/>
  <c r="K1628" i="1"/>
  <c r="K1626" i="1"/>
  <c r="K1625" i="1"/>
  <c r="P1622" i="1"/>
  <c r="N1622" i="1"/>
  <c r="K1622" i="1"/>
  <c r="K1621" i="1"/>
  <c r="K1620" i="1"/>
  <c r="K1618" i="1"/>
  <c r="N1617" i="1"/>
  <c r="K1615" i="1"/>
  <c r="K1614" i="1"/>
  <c r="K1612" i="1"/>
  <c r="K1610" i="1"/>
  <c r="K1608" i="1"/>
  <c r="K1607" i="1"/>
  <c r="P1600" i="1" l="1"/>
  <c r="N1600" i="1"/>
  <c r="K1600" i="1"/>
  <c r="K1596" i="1"/>
  <c r="K1595" i="1"/>
  <c r="K1583" i="1"/>
  <c r="K1577" i="1"/>
  <c r="K1573" i="1"/>
  <c r="K1572" i="1"/>
  <c r="K1571" i="1"/>
  <c r="K1569" i="1"/>
  <c r="K1567" i="1"/>
  <c r="K1564" i="1"/>
  <c r="K1562" i="1"/>
  <c r="K1557" i="1"/>
  <c r="N1555" i="1"/>
  <c r="N1554" i="1"/>
  <c r="K1553" i="1"/>
  <c r="N1551" i="1"/>
  <c r="N1547" i="1"/>
  <c r="K1547" i="1"/>
  <c r="K1546" i="1"/>
  <c r="K1545" i="1"/>
  <c r="K1544" i="1"/>
  <c r="K1542" i="1"/>
  <c r="K1541" i="1"/>
  <c r="N1539" i="1"/>
  <c r="K1537" i="1"/>
  <c r="N1536" i="1"/>
  <c r="K1535" i="1"/>
  <c r="K1531" i="1"/>
  <c r="K1530" i="1"/>
  <c r="N1529" i="1"/>
  <c r="K1527" i="1"/>
  <c r="K1518" i="1"/>
  <c r="K1508" i="1"/>
  <c r="K1504" i="1"/>
  <c r="P1502" i="1"/>
  <c r="N1502" i="1"/>
  <c r="K1502" i="1"/>
  <c r="K1498" i="1"/>
  <c r="K1497" i="1"/>
  <c r="K1496" i="1"/>
  <c r="K1492" i="1"/>
  <c r="K1485" i="1"/>
  <c r="K1484" i="1"/>
  <c r="K1483" i="1"/>
  <c r="K1482" i="1"/>
  <c r="N1480" i="1"/>
  <c r="P1479" i="1"/>
  <c r="N1479" i="1"/>
  <c r="K1478" i="1"/>
  <c r="K1474" i="1"/>
  <c r="K1473" i="1"/>
  <c r="K1471" i="1"/>
  <c r="K1469" i="1"/>
  <c r="K1464" i="1"/>
  <c r="K1461" i="1"/>
  <c r="N1459" i="1"/>
  <c r="N1455" i="1"/>
  <c r="K1454" i="1"/>
  <c r="K1451" i="1"/>
  <c r="N1449" i="1"/>
  <c r="P1448" i="1"/>
  <c r="N1448" i="1"/>
  <c r="K1435" i="1"/>
  <c r="K1430" i="1"/>
  <c r="N1429" i="1"/>
  <c r="K1428" i="1"/>
  <c r="K1423" i="1"/>
  <c r="K1422" i="1"/>
  <c r="K1419" i="1"/>
  <c r="K1416" i="1"/>
  <c r="K1413" i="1"/>
  <c r="N1411" i="1"/>
  <c r="K1410" i="1"/>
  <c r="K1409" i="1"/>
  <c r="K1408" i="1"/>
  <c r="K1407" i="1"/>
  <c r="K1405" i="1"/>
  <c r="N1403" i="1"/>
  <c r="P1401" i="1"/>
  <c r="N1401" i="1"/>
  <c r="K1400" i="1"/>
  <c r="K1399" i="1"/>
  <c r="K1395" i="1"/>
  <c r="K1393" i="1"/>
  <c r="K1392" i="1"/>
  <c r="K1391" i="1"/>
  <c r="K1390" i="1"/>
  <c r="K1389" i="1"/>
  <c r="K1388" i="1"/>
  <c r="K1386" i="1"/>
  <c r="K1385" i="1"/>
  <c r="N1384" i="1"/>
  <c r="K1382" i="1"/>
  <c r="K1380" i="1"/>
  <c r="N1379" i="1"/>
  <c r="N1377" i="1"/>
  <c r="K1376" i="1"/>
  <c r="N1373" i="1"/>
  <c r="K1370" i="1"/>
  <c r="K1369" i="1"/>
  <c r="K1368" i="1"/>
  <c r="K1367" i="1"/>
  <c r="N1366" i="1"/>
  <c r="K1365" i="1"/>
  <c r="P1361" i="1"/>
  <c r="N1361" i="1"/>
  <c r="K1356" i="1"/>
  <c r="K1355" i="1"/>
  <c r="K1352" i="1"/>
  <c r="P1351" i="1"/>
  <c r="K1349" i="1"/>
  <c r="K1347" i="1"/>
  <c r="K1348" i="1"/>
  <c r="P1346" i="1"/>
  <c r="N1346" i="1"/>
  <c r="K1346" i="1"/>
  <c r="K1342" i="1"/>
  <c r="K1341" i="1"/>
  <c r="K1336" i="1"/>
  <c r="K1334" i="1"/>
  <c r="L1330" i="1"/>
  <c r="K1329" i="1"/>
  <c r="K1327" i="1"/>
  <c r="K1326" i="1"/>
  <c r="K1325" i="1"/>
  <c r="K1324" i="1"/>
  <c r="K1323" i="1"/>
  <c r="K1321" i="1"/>
  <c r="K1319" i="1"/>
  <c r="K1318" i="1"/>
  <c r="N1316" i="1"/>
  <c r="N1315" i="1"/>
  <c r="P1314" i="1"/>
  <c r="N1314" i="1"/>
  <c r="K1314" i="1"/>
  <c r="K1313" i="1"/>
  <c r="K1311" i="1"/>
  <c r="K1310" i="1"/>
  <c r="K1309" i="1"/>
  <c r="K1306" i="1"/>
  <c r="K1305" i="1"/>
  <c r="K1304" i="1"/>
  <c r="P1295" i="1" l="1"/>
  <c r="N1295" i="1"/>
  <c r="K1295" i="1"/>
  <c r="K1293" i="1"/>
  <c r="K1291" i="1"/>
  <c r="N1289" i="1"/>
  <c r="K1289" i="1"/>
  <c r="K1284" i="1"/>
  <c r="K1281" i="1"/>
  <c r="K1280" i="1"/>
  <c r="K1279" i="1"/>
  <c r="K1278" i="1"/>
  <c r="K1276" i="1"/>
  <c r="K1274" i="1"/>
  <c r="K1273" i="1"/>
  <c r="K1272" i="1"/>
  <c r="K1270" i="1"/>
  <c r="K1269" i="1"/>
  <c r="K1268" i="1"/>
  <c r="P1267" i="1"/>
  <c r="N1267" i="1"/>
  <c r="K1267" i="1"/>
  <c r="K1265" i="1"/>
  <c r="K1264" i="1"/>
  <c r="K1262" i="1"/>
  <c r="K1258" i="1"/>
  <c r="K1257" i="1"/>
  <c r="P1256" i="1"/>
  <c r="K1256" i="1"/>
  <c r="K1254" i="1"/>
  <c r="K1253" i="1"/>
  <c r="K1252" i="1"/>
  <c r="K1251" i="1"/>
  <c r="K1249" i="1"/>
  <c r="K1246" i="1"/>
  <c r="P1248" i="1"/>
  <c r="N1248" i="1"/>
  <c r="K1248" i="1"/>
  <c r="K1244" i="1"/>
  <c r="K1242" i="1"/>
  <c r="K1240" i="1"/>
  <c r="K1239" i="1"/>
  <c r="K1238" i="1"/>
  <c r="P1154" i="1"/>
  <c r="P1153" i="1"/>
  <c r="P1152" i="1"/>
  <c r="P1109" i="1"/>
  <c r="P1108" i="1"/>
  <c r="N1108" i="1"/>
  <c r="K1108" i="1"/>
  <c r="K1119" i="1"/>
  <c r="P1076" i="1"/>
  <c r="P1022" i="1"/>
  <c r="N1022" i="1"/>
  <c r="P1021" i="1"/>
  <c r="N1021" i="1"/>
  <c r="K1021" i="1"/>
  <c r="K1049" i="1"/>
  <c r="K1062" i="1"/>
  <c r="K1060" i="1"/>
  <c r="K1070" i="1"/>
  <c r="P1054" i="1"/>
  <c r="P1053" i="1"/>
  <c r="N1053" i="1"/>
  <c r="K1053" i="1"/>
  <c r="N1045" i="1"/>
  <c r="N1041" i="1"/>
  <c r="P1028" i="1"/>
  <c r="N1028" i="1"/>
  <c r="P1027" i="1"/>
  <c r="N1027" i="1"/>
  <c r="K1027" i="1"/>
  <c r="P1017" i="1" l="1"/>
  <c r="P1016" i="1"/>
  <c r="P1015" i="1"/>
  <c r="P963" i="1"/>
  <c r="P962" i="1"/>
  <c r="K939" i="1"/>
  <c r="P912" i="1"/>
  <c r="K911" i="1"/>
  <c r="P911" i="1"/>
  <c r="N911" i="1"/>
  <c r="P896" i="1"/>
  <c r="P895" i="1"/>
  <c r="P894" i="1"/>
  <c r="P893" i="1"/>
  <c r="P883" i="1"/>
  <c r="P882" i="1"/>
  <c r="N882" i="1"/>
  <c r="K882" i="1"/>
  <c r="P865" i="1"/>
  <c r="N865" i="1"/>
  <c r="K865" i="1"/>
  <c r="K1231" i="1" l="1"/>
  <c r="K1230" i="1"/>
  <c r="P1229" i="1"/>
  <c r="N1229" i="1"/>
  <c r="K1229" i="1"/>
  <c r="K1225" i="1"/>
  <c r="K1223" i="1"/>
  <c r="K1220" i="1"/>
  <c r="K1219" i="1"/>
  <c r="K1218" i="1"/>
  <c r="K1217" i="1"/>
  <c r="K1216" i="1"/>
  <c r="P1215" i="1"/>
  <c r="N1215" i="1"/>
  <c r="K1215" i="1"/>
  <c r="K1213" i="1"/>
  <c r="K1212" i="1"/>
  <c r="K1210" i="1"/>
  <c r="N1204" i="1"/>
  <c r="K1201" i="1"/>
  <c r="K1197" i="1"/>
  <c r="K1196" i="1"/>
  <c r="K1195" i="1"/>
  <c r="K1194" i="1"/>
  <c r="K1188" i="1"/>
  <c r="K1186" i="1"/>
  <c r="K1180" i="1"/>
  <c r="K1178" i="1"/>
  <c r="K1177" i="1"/>
  <c r="K1176" i="1"/>
  <c r="K1175" i="1"/>
  <c r="K1174" i="1"/>
  <c r="K1172" i="1"/>
  <c r="N1170" i="1"/>
  <c r="K1169" i="1"/>
  <c r="P1168" i="1"/>
  <c r="N1168" i="1"/>
  <c r="K1168" i="1"/>
  <c r="N1165" i="1"/>
  <c r="K1164" i="1"/>
  <c r="K1162" i="1"/>
  <c r="L1161" i="1"/>
  <c r="K1159" i="1"/>
  <c r="P1158" i="1"/>
  <c r="N1158" i="1"/>
  <c r="K1158" i="1"/>
  <c r="K1149" i="1"/>
  <c r="K1148" i="1"/>
  <c r="K1143" i="1"/>
  <c r="K1141" i="1"/>
  <c r="K1140" i="1"/>
  <c r="K1138" i="1"/>
  <c r="K1135" i="1"/>
  <c r="K1134" i="1"/>
  <c r="K1133" i="1"/>
  <c r="K1131" i="1"/>
  <c r="N1126" i="1"/>
  <c r="K1123" i="1"/>
  <c r="K1117" i="1"/>
  <c r="P1116" i="1"/>
  <c r="N1116" i="1"/>
  <c r="K1116" i="1"/>
  <c r="K1114" i="1"/>
  <c r="K1112" i="1"/>
  <c r="N1111" i="1"/>
  <c r="K1110" i="1"/>
  <c r="N1105" i="1"/>
  <c r="N1103" i="1"/>
  <c r="K1098" i="1"/>
  <c r="K1095" i="1"/>
  <c r="K1094" i="1"/>
  <c r="K1093" i="1"/>
  <c r="K1092" i="1"/>
  <c r="K1091" i="1"/>
  <c r="K1086" i="1"/>
  <c r="N1083" i="1"/>
  <c r="K1081" i="1"/>
  <c r="K1080" i="1"/>
  <c r="P1079" i="1"/>
  <c r="N1079" i="1"/>
  <c r="K1079" i="1"/>
  <c r="K1078" i="1"/>
  <c r="P823" i="1" l="1"/>
  <c r="P822" i="1"/>
  <c r="P821" i="1"/>
  <c r="P820" i="1"/>
  <c r="P819" i="1"/>
  <c r="P818" i="1"/>
  <c r="P814" i="1"/>
  <c r="P813" i="1"/>
  <c r="N813" i="1"/>
  <c r="K813" i="1"/>
  <c r="P812" i="1"/>
  <c r="N812" i="1"/>
  <c r="P757" i="1"/>
  <c r="P756" i="1"/>
  <c r="P755" i="1"/>
  <c r="P753" i="1"/>
  <c r="P752" i="1"/>
  <c r="P750" i="1"/>
  <c r="N750" i="1"/>
  <c r="K750" i="1"/>
  <c r="P749" i="1"/>
  <c r="P748" i="1"/>
  <c r="N748" i="1"/>
  <c r="P747" i="1"/>
  <c r="K746" i="1"/>
  <c r="P745" i="1"/>
  <c r="N745" i="1"/>
  <c r="K745" i="1"/>
  <c r="K734" i="1"/>
  <c r="P702" i="1"/>
  <c r="P701" i="1"/>
  <c r="P700" i="1"/>
  <c r="N700" i="1"/>
  <c r="K700" i="1"/>
  <c r="P699" i="1"/>
  <c r="P698" i="1"/>
  <c r="N698" i="1"/>
  <c r="K698" i="1"/>
  <c r="P697" i="1"/>
  <c r="P696" i="1"/>
  <c r="N696" i="1"/>
  <c r="K696" i="1"/>
  <c r="P603" i="1"/>
  <c r="K588" i="1"/>
  <c r="P529" i="1"/>
  <c r="N529" i="1"/>
  <c r="K528" i="1"/>
  <c r="P518" i="1"/>
  <c r="N518" i="1"/>
  <c r="K518" i="1"/>
  <c r="N309" i="1"/>
  <c r="K1071" i="1"/>
  <c r="K1068" i="1"/>
  <c r="K1063" i="1"/>
  <c r="K1057" i="1"/>
  <c r="K1056" i="1"/>
  <c r="N1055" i="1"/>
  <c r="K1047" i="1"/>
  <c r="K1046" i="1"/>
  <c r="K1042" i="1"/>
  <c r="K1039" i="1"/>
  <c r="N1036" i="1"/>
  <c r="K1035" i="1"/>
  <c r="K1033" i="1"/>
  <c r="K1032" i="1"/>
  <c r="K1031" i="1"/>
  <c r="K1025" i="1"/>
  <c r="N1020" i="1"/>
  <c r="K1013" i="1"/>
  <c r="K1011" i="1"/>
  <c r="K1007" i="1"/>
  <c r="K1006" i="1"/>
  <c r="K1005" i="1"/>
  <c r="K1004" i="1"/>
  <c r="K1003" i="1"/>
  <c r="K1001" i="1"/>
  <c r="K997" i="1"/>
  <c r="K994" i="1"/>
  <c r="K992" i="1"/>
  <c r="K990" i="1"/>
  <c r="N988" i="1"/>
  <c r="K984" i="1"/>
  <c r="N982" i="1"/>
  <c r="K980" i="1" l="1"/>
  <c r="K979" i="1"/>
  <c r="K978" i="1"/>
  <c r="N977" i="1"/>
  <c r="K976" i="1"/>
  <c r="K972" i="1"/>
  <c r="P971" i="1"/>
  <c r="K971" i="1"/>
  <c r="N969" i="1"/>
  <c r="N968" i="1"/>
  <c r="K967" i="1"/>
  <c r="K966" i="1"/>
  <c r="K958" i="1"/>
  <c r="K956" i="1"/>
  <c r="K955" i="1"/>
  <c r="K952" i="1"/>
  <c r="K946" i="1"/>
  <c r="K942" i="1"/>
  <c r="K941" i="1"/>
  <c r="N938" i="1"/>
  <c r="K933" i="1"/>
  <c r="K932" i="1"/>
  <c r="K929" i="1"/>
  <c r="K928" i="1"/>
  <c r="N927" i="1"/>
  <c r="K926" i="1"/>
  <c r="K924" i="1"/>
  <c r="K919" i="1"/>
  <c r="P918" i="1"/>
  <c r="N918" i="1"/>
  <c r="K918" i="1"/>
  <c r="K916" i="1"/>
  <c r="K915" i="1"/>
  <c r="K914" i="1"/>
  <c r="K910" i="1"/>
  <c r="K909" i="1"/>
  <c r="N901" i="1"/>
  <c r="K899" i="1"/>
  <c r="K863" i="1"/>
  <c r="K862" i="1"/>
  <c r="K861" i="1"/>
  <c r="L859" i="1"/>
  <c r="K853" i="1"/>
  <c r="K846" i="1"/>
  <c r="K845" i="1"/>
  <c r="K835" i="1"/>
  <c r="K833" i="1"/>
  <c r="K832" i="1"/>
  <c r="K828" i="1"/>
  <c r="K888" i="1"/>
  <c r="K886" i="1"/>
  <c r="K880" i="1"/>
  <c r="P879" i="1"/>
  <c r="K877" i="1"/>
  <c r="K864" i="1"/>
  <c r="K857" i="1"/>
  <c r="K856" i="1"/>
  <c r="K852" i="1"/>
  <c r="N851" i="1"/>
  <c r="K843" i="1"/>
  <c r="K841" i="1"/>
  <c r="K840" i="1"/>
  <c r="N838" i="1"/>
  <c r="N837" i="1"/>
  <c r="K836" i="1"/>
  <c r="P834" i="1"/>
  <c r="N834" i="1"/>
  <c r="N831" i="1"/>
  <c r="K811" i="1" l="1"/>
  <c r="K810" i="1"/>
  <c r="K807" i="1"/>
  <c r="K805" i="1"/>
  <c r="K804" i="1"/>
  <c r="K803" i="1"/>
  <c r="K798" i="1"/>
  <c r="K796" i="1"/>
  <c r="K795" i="1"/>
  <c r="K791" i="1"/>
  <c r="N790" i="1"/>
  <c r="K789" i="1"/>
  <c r="K787" i="1"/>
  <c r="K782" i="1"/>
  <c r="P780" i="1"/>
  <c r="N780" i="1"/>
  <c r="K780" i="1"/>
  <c r="N778" i="1"/>
  <c r="K776" i="1"/>
  <c r="K775" i="1"/>
  <c r="K774" i="1"/>
  <c r="K773" i="1"/>
  <c r="K771" i="1"/>
  <c r="K770" i="1"/>
  <c r="K769" i="1"/>
  <c r="K765" i="1"/>
  <c r="K764" i="1"/>
  <c r="K763" i="1"/>
  <c r="N762" i="1"/>
  <c r="K761" i="1"/>
  <c r="K758" i="1"/>
  <c r="P695" i="1" l="1"/>
  <c r="N695" i="1"/>
  <c r="K694" i="1"/>
  <c r="N626" i="1"/>
  <c r="P621" i="1"/>
  <c r="N621" i="1"/>
  <c r="L621" i="1"/>
  <c r="K621" i="1"/>
  <c r="P609" i="1"/>
  <c r="P608" i="1"/>
  <c r="N608" i="1"/>
  <c r="K608" i="1"/>
  <c r="P602" i="1"/>
  <c r="P541" i="1"/>
  <c r="P540" i="1"/>
  <c r="P539" i="1"/>
  <c r="N539" i="1"/>
  <c r="P488" i="1"/>
  <c r="P487" i="1"/>
  <c r="P485" i="1"/>
  <c r="P484" i="1"/>
  <c r="P483" i="1"/>
  <c r="N483" i="1"/>
  <c r="K464" i="1"/>
  <c r="P428" i="1"/>
  <c r="P427" i="1"/>
  <c r="N427" i="1"/>
  <c r="K427" i="1"/>
  <c r="P422" i="1"/>
  <c r="P421" i="1"/>
  <c r="N421" i="1"/>
  <c r="K421" i="1"/>
  <c r="P420" i="1"/>
  <c r="P419" i="1"/>
  <c r="P418" i="1"/>
  <c r="N418" i="1"/>
  <c r="P417" i="1"/>
  <c r="P373" i="1"/>
  <c r="P372" i="1"/>
  <c r="N372" i="1"/>
  <c r="P423" i="1"/>
  <c r="K386" i="1"/>
  <c r="P361" i="1"/>
  <c r="P360" i="1"/>
  <c r="P359" i="1"/>
  <c r="P358" i="1"/>
  <c r="P357" i="1"/>
  <c r="N357" i="1"/>
  <c r="K357" i="1"/>
  <c r="P343" i="1"/>
  <c r="N343" i="1"/>
  <c r="P348" i="1"/>
  <c r="N348" i="1"/>
  <c r="P328" i="1"/>
  <c r="P327" i="1"/>
  <c r="N327" i="1"/>
  <c r="K327" i="1"/>
  <c r="P298" i="1"/>
  <c r="P297" i="1"/>
  <c r="P296" i="1"/>
  <c r="P295" i="1"/>
  <c r="N295" i="1"/>
  <c r="K295" i="1"/>
  <c r="P294" i="1"/>
  <c r="P293" i="1"/>
  <c r="P292" i="1"/>
  <c r="P291" i="1"/>
  <c r="P252" i="1"/>
  <c r="P251" i="1"/>
  <c r="N251" i="1"/>
  <c r="K251" i="1"/>
  <c r="K266" i="1"/>
  <c r="P269" i="1"/>
  <c r="P268" i="1"/>
  <c r="N268" i="1"/>
  <c r="K268" i="1"/>
  <c r="P234" i="1"/>
  <c r="P233" i="1"/>
  <c r="P232" i="1"/>
  <c r="P231" i="1"/>
  <c r="N231" i="1"/>
  <c r="P230" i="1"/>
  <c r="P229" i="1"/>
  <c r="P228" i="1"/>
  <c r="P227" i="1"/>
  <c r="N227" i="1"/>
  <c r="K227" i="1"/>
  <c r="P200" i="1"/>
  <c r="P199" i="1"/>
  <c r="P207" i="1"/>
  <c r="N206" i="1"/>
  <c r="K206" i="1"/>
  <c r="P182" i="1"/>
  <c r="N182" i="1"/>
  <c r="K182" i="1"/>
  <c r="P152" i="1"/>
  <c r="N152" i="1"/>
  <c r="P151" i="1"/>
  <c r="N151" i="1"/>
  <c r="P150" i="1"/>
  <c r="P96" i="1"/>
  <c r="N96" i="1"/>
  <c r="P89" i="1"/>
  <c r="N89" i="1"/>
  <c r="P83" i="1"/>
  <c r="P82" i="1"/>
  <c r="N82" i="1"/>
  <c r="K82" i="1"/>
  <c r="K149" i="1"/>
  <c r="P77" i="1"/>
  <c r="N77" i="1"/>
  <c r="K77" i="1"/>
  <c r="P43" i="1" l="1"/>
  <c r="P23" i="1"/>
  <c r="P22" i="1"/>
  <c r="N22" i="1"/>
  <c r="K22" i="1"/>
  <c r="K740" i="1"/>
  <c r="K739" i="1"/>
  <c r="K737" i="1"/>
  <c r="K735" i="1"/>
  <c r="K732" i="1"/>
  <c r="K731" i="1"/>
  <c r="K729" i="1"/>
  <c r="N728" i="1"/>
  <c r="K727" i="1"/>
  <c r="L722" i="1"/>
  <c r="K721" i="1"/>
  <c r="K719" i="1"/>
  <c r="K716" i="1"/>
  <c r="K712" i="1"/>
  <c r="K711" i="1"/>
  <c r="K710" i="1"/>
  <c r="P709" i="1"/>
  <c r="N709" i="1"/>
  <c r="K709" i="1"/>
  <c r="K707" i="1"/>
  <c r="N706" i="1"/>
  <c r="K705" i="1"/>
  <c r="K704" i="1"/>
  <c r="K703" i="1"/>
  <c r="K691" i="1"/>
  <c r="K688" i="1"/>
  <c r="K685" i="1"/>
  <c r="P683" i="1"/>
  <c r="N683" i="1"/>
  <c r="K683" i="1"/>
  <c r="P682" i="1"/>
  <c r="N682" i="1"/>
  <c r="K682" i="1"/>
  <c r="K681" i="1"/>
  <c r="K679" i="1"/>
  <c r="N676" i="1"/>
  <c r="K674" i="1"/>
  <c r="K673" i="1"/>
  <c r="K671" i="1"/>
  <c r="K667" i="1"/>
  <c r="K664" i="1"/>
  <c r="K663" i="1"/>
  <c r="K662" i="1"/>
  <c r="K661" i="1"/>
  <c r="N659" i="1"/>
  <c r="K653" i="1"/>
  <c r="K652" i="1"/>
  <c r="K651" i="1"/>
  <c r="K650" i="1"/>
  <c r="K649" i="1"/>
  <c r="K648" i="1"/>
  <c r="K645" i="1"/>
  <c r="K644" i="1"/>
  <c r="K643" i="1"/>
  <c r="K641" i="1"/>
  <c r="L634" i="1"/>
  <c r="K632" i="1"/>
  <c r="K629" i="1"/>
  <c r="K628" i="1"/>
  <c r="K625" i="1"/>
  <c r="K624" i="1"/>
  <c r="K623" i="1"/>
  <c r="K620" i="1"/>
  <c r="K619" i="1"/>
  <c r="K618" i="1"/>
  <c r="K617" i="1"/>
  <c r="K616" i="1"/>
  <c r="P615" i="1"/>
  <c r="N615" i="1"/>
  <c r="K615" i="1"/>
  <c r="K614" i="1"/>
  <c r="K613" i="1"/>
  <c r="K612" i="1"/>
  <c r="K611" i="1"/>
  <c r="K610" i="1"/>
  <c r="N606" i="1"/>
  <c r="P601" i="1" l="1"/>
  <c r="N601" i="1"/>
  <c r="K601" i="1"/>
  <c r="K599" i="1"/>
  <c r="K598" i="1"/>
  <c r="K597" i="1"/>
  <c r="K594" i="1"/>
  <c r="K582" i="1"/>
  <c r="K578" i="1"/>
  <c r="K573" i="1"/>
  <c r="N572" i="1"/>
  <c r="P571" i="1"/>
  <c r="N571" i="1"/>
  <c r="K571" i="1"/>
  <c r="N569" i="1"/>
  <c r="N560" i="1"/>
  <c r="P559" i="1"/>
  <c r="N559" i="1"/>
  <c r="K559" i="1"/>
  <c r="K558" i="1"/>
  <c r="K557" i="1"/>
  <c r="K550" i="1"/>
  <c r="K548" i="1"/>
  <c r="N545" i="1"/>
  <c r="K544" i="1"/>
  <c r="K542" i="1"/>
  <c r="K535" i="1"/>
  <c r="K533" i="1"/>
  <c r="K522" i="1"/>
  <c r="K521" i="1"/>
  <c r="K519" i="1"/>
  <c r="N516" i="1"/>
  <c r="K513" i="1"/>
  <c r="K510" i="1"/>
  <c r="N509" i="1"/>
  <c r="K508" i="1"/>
  <c r="K507" i="1"/>
  <c r="K498" i="1"/>
  <c r="N495" i="1"/>
  <c r="N494" i="1"/>
  <c r="K493" i="1"/>
  <c r="N492" i="1"/>
  <c r="P490" i="1"/>
  <c r="K489" i="1"/>
  <c r="K479" i="1"/>
  <c r="N476" i="1"/>
  <c r="N472" i="1"/>
  <c r="K471" i="1"/>
  <c r="K469" i="1"/>
  <c r="K468" i="1"/>
  <c r="P465" i="1"/>
  <c r="N465" i="1"/>
  <c r="K465" i="1"/>
  <c r="N463" i="1"/>
  <c r="K460" i="1"/>
  <c r="K456" i="1"/>
  <c r="K455" i="1"/>
  <c r="N454" i="1"/>
  <c r="K450" i="1"/>
  <c r="K449" i="1"/>
  <c r="N445" i="1"/>
  <c r="K441" i="1"/>
  <c r="K439" i="1"/>
  <c r="K438" i="1"/>
  <c r="P435" i="1"/>
  <c r="N435" i="1"/>
  <c r="K435" i="1"/>
  <c r="K434" i="1"/>
  <c r="K433" i="1"/>
  <c r="N432" i="1"/>
  <c r="K431" i="1"/>
  <c r="P430" i="1"/>
  <c r="N430" i="1"/>
  <c r="K430" i="1"/>
  <c r="K425" i="1"/>
  <c r="K424" i="1"/>
  <c r="K414" i="1"/>
  <c r="K413" i="1"/>
  <c r="K411" i="1"/>
  <c r="K410" i="1"/>
  <c r="P408" i="1"/>
  <c r="N408" i="1"/>
  <c r="K408" i="1"/>
  <c r="K407" i="1"/>
  <c r="K406" i="1"/>
  <c r="K405" i="1"/>
  <c r="P404" i="1"/>
  <c r="K401" i="1"/>
  <c r="K394" i="1"/>
  <c r="K387" i="1"/>
  <c r="K383" i="1"/>
  <c r="K382" i="1"/>
  <c r="K379" i="1"/>
  <c r="N378" i="1"/>
  <c r="K376" i="1"/>
  <c r="K375" i="1"/>
  <c r="K371" i="1"/>
  <c r="N370" i="1"/>
  <c r="K369" i="1"/>
  <c r="K368" i="1"/>
  <c r="K367" i="1"/>
  <c r="K366" i="1"/>
  <c r="K365" i="1"/>
  <c r="N364" i="1"/>
  <c r="K363" i="1"/>
  <c r="K362" i="1"/>
  <c r="K351" i="1" l="1"/>
  <c r="K347" i="1"/>
  <c r="K345" i="1"/>
  <c r="K344" i="1"/>
  <c r="K342" i="1"/>
  <c r="K341" i="1"/>
  <c r="K338" i="1"/>
  <c r="K337" i="1"/>
  <c r="K336" i="1"/>
  <c r="K331" i="1"/>
  <c r="K330" i="1"/>
  <c r="K326" i="1"/>
  <c r="K324" i="1"/>
  <c r="P322" i="1"/>
  <c r="N322" i="1"/>
  <c r="K322" i="1"/>
  <c r="K321" i="1"/>
  <c r="K318" i="1"/>
  <c r="K317" i="1"/>
  <c r="N316" i="1"/>
  <c r="K315" i="1"/>
  <c r="L311" i="1"/>
  <c r="N310" i="1"/>
  <c r="K307" i="1"/>
  <c r="K306" i="1"/>
  <c r="K305" i="1"/>
  <c r="K304" i="1"/>
  <c r="P303" i="1"/>
  <c r="N303" i="1"/>
  <c r="K303" i="1"/>
  <c r="K302" i="1"/>
  <c r="K301" i="1"/>
  <c r="K300" i="1"/>
  <c r="N299" i="1"/>
  <c r="K282" i="1" l="1"/>
  <c r="K280" i="1"/>
  <c r="K279" i="1"/>
  <c r="K278" i="1"/>
  <c r="K277" i="1"/>
  <c r="K276" i="1"/>
  <c r="K274" i="1"/>
  <c r="K272" i="1"/>
  <c r="N271" i="1"/>
  <c r="K270" i="1"/>
  <c r="K267" i="1"/>
  <c r="K264" i="1" l="1"/>
  <c r="N263" i="1"/>
  <c r="N261" i="1"/>
  <c r="K260" i="1"/>
  <c r="K259" i="1"/>
  <c r="K258" i="1" l="1"/>
  <c r="K254" i="1"/>
  <c r="K250" i="1"/>
  <c r="K245" i="1"/>
  <c r="N242" i="1"/>
  <c r="K240" i="1"/>
  <c r="K239" i="1"/>
  <c r="N238" i="1"/>
  <c r="N237" i="1"/>
  <c r="N236" i="1"/>
  <c r="K235" i="1"/>
  <c r="K225" i="1" l="1"/>
  <c r="K224" i="1"/>
  <c r="K222" i="1"/>
  <c r="K221" i="1"/>
  <c r="K218" i="1"/>
  <c r="K217" i="1"/>
  <c r="N214" i="1"/>
  <c r="K210" i="1"/>
  <c r="N208" i="1"/>
  <c r="K204" i="1"/>
  <c r="K202" i="1"/>
  <c r="K198" i="1"/>
  <c r="K197" i="1"/>
  <c r="K195" i="1"/>
  <c r="K194" i="1"/>
  <c r="P193" i="1"/>
  <c r="N193" i="1"/>
  <c r="K193" i="1"/>
  <c r="K188" i="1"/>
  <c r="K185" i="1"/>
  <c r="K180" i="1"/>
  <c r="P179" i="1"/>
  <c r="N179" i="1"/>
  <c r="K178" i="1"/>
  <c r="K177" i="1"/>
  <c r="K175" i="1"/>
  <c r="K174" i="1"/>
  <c r="K173" i="1"/>
  <c r="K172" i="1"/>
  <c r="K168" i="1"/>
  <c r="K167" i="1"/>
  <c r="K163" i="1"/>
  <c r="K162" i="1"/>
  <c r="K160" i="1"/>
  <c r="K159" i="1"/>
  <c r="K158" i="1"/>
  <c r="K156" i="1"/>
  <c r="P154" i="1"/>
  <c r="N154" i="1"/>
  <c r="K154" i="1"/>
  <c r="K153" i="1"/>
  <c r="K143" i="1" l="1"/>
  <c r="K138" i="1"/>
  <c r="K136" i="1"/>
  <c r="N130" i="1"/>
  <c r="P127" i="1"/>
  <c r="N127" i="1"/>
  <c r="K127" i="1"/>
  <c r="K126" i="1"/>
  <c r="K125" i="1"/>
  <c r="K124" i="1"/>
  <c r="K123" i="1"/>
  <c r="K121" i="1"/>
  <c r="K120" i="1"/>
  <c r="K119" i="1"/>
  <c r="K115" i="1"/>
  <c r="N114" i="1"/>
  <c r="K110" i="1"/>
  <c r="N108" i="1"/>
  <c r="K106" i="1"/>
  <c r="N105" i="1"/>
  <c r="N103" i="1"/>
  <c r="K100" i="1"/>
  <c r="K99" i="1"/>
  <c r="N98" i="1"/>
  <c r="K98" i="1"/>
  <c r="K95" i="1"/>
  <c r="K92" i="1"/>
  <c r="K88" i="1"/>
  <c r="K87" i="1"/>
  <c r="K86" i="1"/>
  <c r="K85" i="1"/>
  <c r="K81" i="1"/>
  <c r="K80" i="1"/>
  <c r="K79" i="1"/>
  <c r="K66" i="1"/>
  <c r="K64" i="1"/>
  <c r="K63" i="1"/>
  <c r="K60" i="1"/>
  <c r="K57" i="1"/>
  <c r="K54" i="1"/>
  <c r="K53" i="1"/>
  <c r="K49" i="1"/>
  <c r="K45" i="1"/>
  <c r="K42" i="1"/>
  <c r="K39" i="1"/>
  <c r="K35" i="1"/>
  <c r="N33" i="1"/>
  <c r="K27" i="1"/>
  <c r="N26" i="1"/>
  <c r="N25" i="1"/>
  <c r="N24" i="1"/>
  <c r="N19" i="1"/>
  <c r="N17" i="1"/>
  <c r="K16" i="1"/>
  <c r="K15" i="1"/>
  <c r="P14" i="1"/>
</calcChain>
</file>

<file path=xl/sharedStrings.xml><?xml version="1.0" encoding="utf-8"?>
<sst xmlns="http://schemas.openxmlformats.org/spreadsheetml/2006/main" count="31100" uniqueCount="7528">
  <si>
    <t>CODE / HEALTH CACILITY:10340001</t>
  </si>
  <si>
    <t>S U M M A R Y   OF  V OUC H E R S    F O R   R W A N D A  S O C I A L  S E C U R I T Y  B O A D (R S S B)</t>
  </si>
  <si>
    <t>DATE</t>
  </si>
  <si>
    <t>VOUCHER IDENTIFICATION</t>
  </si>
  <si>
    <t xml:space="preserve">BENEFICIARY' S AFFILIATION NUMBER </t>
  </si>
  <si>
    <t>BENEFICIARY' S AGE (…./…./….)</t>
  </si>
  <si>
    <t>BENEFICIARY' S SEX (F=Female, M=male)</t>
  </si>
  <si>
    <t>BENEFICIARY' S NAMES</t>
  </si>
  <si>
    <t>AFFILIATE'S NAMES</t>
  </si>
  <si>
    <t>AFFILIATE'S AFFECTATION</t>
  </si>
  <si>
    <t>COST FOR CONSULTATION</t>
  </si>
  <si>
    <t xml:space="preserve">COST FOR LABORATORY </t>
  </si>
  <si>
    <t>COST FOR MEDICAL IMAGING</t>
  </si>
  <si>
    <t>HOSPITALISATION</t>
  </si>
  <si>
    <t>COST FOR  PROCEDURES AND MATERIALS</t>
  </si>
  <si>
    <t>COST FOR OTHER CONSUMABLES</t>
  </si>
  <si>
    <t>MEDECINES</t>
  </si>
  <si>
    <t>TOTAL AMOUNT</t>
  </si>
  <si>
    <t>M</t>
  </si>
  <si>
    <t>F</t>
  </si>
  <si>
    <t>GAHINI SECTOR</t>
  </si>
  <si>
    <t>011883000</t>
  </si>
  <si>
    <t>MUREKATETE ANGELIQUE</t>
  </si>
  <si>
    <t>NZABAHABWA ALPHONSE</t>
  </si>
  <si>
    <t>KAYONZA  DISTRICT</t>
  </si>
  <si>
    <t>GS BUHABWA</t>
  </si>
  <si>
    <t>GS NYABIKIRI</t>
  </si>
  <si>
    <t>GS KABARE</t>
  </si>
  <si>
    <t>ES NDEGO</t>
  </si>
  <si>
    <t>KABARONDO SECTOR</t>
  </si>
  <si>
    <t>EP KAWANGIRE</t>
  </si>
  <si>
    <t>GS BIBARE</t>
  </si>
  <si>
    <t>RWINKWAVU HOSPITAL</t>
  </si>
  <si>
    <t>EUCL</t>
  </si>
  <si>
    <t>GS KAYONZA</t>
  </si>
  <si>
    <t>GS GAHINI</t>
  </si>
  <si>
    <t>MONTH: NOVEMBER 2025</t>
  </si>
  <si>
    <t>01/11/2025</t>
  </si>
  <si>
    <t>1/NAP25CF667/10340001/01/11/2025</t>
  </si>
  <si>
    <t>20202786Z</t>
  </si>
  <si>
    <t>2/NAP22BY66/10340001/01/11/2025</t>
  </si>
  <si>
    <t>015569239</t>
  </si>
  <si>
    <t>3/NAP23AT22/10340001/01/11/2025</t>
  </si>
  <si>
    <t>015746821</t>
  </si>
  <si>
    <t>4/NAP20S08/10340001/01/11/2025</t>
  </si>
  <si>
    <t>0002901</t>
  </si>
  <si>
    <t>5/NAP22CT77/10340001/01/11/2025</t>
  </si>
  <si>
    <t>015861452</t>
  </si>
  <si>
    <t>6/NAP24CI68/10340001/01/11/2025</t>
  </si>
  <si>
    <t>015735012</t>
  </si>
  <si>
    <t>7/NAP18C90/10340001/01/11/2025</t>
  </si>
  <si>
    <t>015629732</t>
  </si>
  <si>
    <t>8/NAP18D41/10340001/01/11/2025</t>
  </si>
  <si>
    <t>004379501</t>
  </si>
  <si>
    <t>9/NAP19BJ28/10340001/01/11/2025</t>
  </si>
  <si>
    <t>0074045</t>
  </si>
  <si>
    <t>10/NAP24N48/10340001/01/11/2025</t>
  </si>
  <si>
    <t>015930472</t>
  </si>
  <si>
    <t>11/NAP24BQ30/10340001/01/11/2025</t>
  </si>
  <si>
    <t>12/NAP25AC85/10340001/01/11/2025</t>
  </si>
  <si>
    <t>015789112</t>
  </si>
  <si>
    <t>13/NAP25O10/10340001/01/11/2025</t>
  </si>
  <si>
    <t>20193583X</t>
  </si>
  <si>
    <t>14/NAP25CF674/10340001/01/11/2025</t>
  </si>
  <si>
    <t>015900287</t>
  </si>
  <si>
    <t>15/NAP25CF675/10340001/01/11/2025</t>
  </si>
  <si>
    <t>015829095</t>
  </si>
  <si>
    <t>16/NAP25CF677/10340001/01/11/2025</t>
  </si>
  <si>
    <t>015615938</t>
  </si>
  <si>
    <t>17/NAP25CF679/10340001/01/11/2025</t>
  </si>
  <si>
    <t>015581628</t>
  </si>
  <si>
    <t>18/NAP23P56/10340001/01/11/2025</t>
  </si>
  <si>
    <t>20208338L</t>
  </si>
  <si>
    <t>19/NAP24AJ63/10340001/01/11/2025</t>
  </si>
  <si>
    <t>015933455</t>
  </si>
  <si>
    <t>20/NAP19AD42/10340001/01/11/2025</t>
  </si>
  <si>
    <t>014449200</t>
  </si>
  <si>
    <t>21/NAP24K17/10340001/01/11/2025</t>
  </si>
  <si>
    <t>015814522</t>
  </si>
  <si>
    <t>22/NAP19U45/10340001/01/11/2025</t>
  </si>
  <si>
    <t>0073693</t>
  </si>
  <si>
    <t>23/NAP22CH84/10340001/01/11/2025</t>
  </si>
  <si>
    <t>10834783V</t>
  </si>
  <si>
    <t>24/NAP20AJ48/10340001/01/11/2025</t>
  </si>
  <si>
    <t>006821900</t>
  </si>
  <si>
    <t>25/NAP20K64/10340001/01/11/2025</t>
  </si>
  <si>
    <t>0097581</t>
  </si>
  <si>
    <t>26/NAP21CY96/10340001/01/11/2025</t>
  </si>
  <si>
    <t>19647456R</t>
  </si>
  <si>
    <t>27/NAP25CD833/10340001/01/11/2025</t>
  </si>
  <si>
    <t>015895452</t>
  </si>
  <si>
    <t>28/NAP24AX19/10340001/01/11/2025</t>
  </si>
  <si>
    <t>015803600</t>
  </si>
  <si>
    <t>29/NAP21AT46/10340001/01/11/2025</t>
  </si>
  <si>
    <t>015795317</t>
  </si>
  <si>
    <t>30/NAP24BD81/10340001/01/11/2025</t>
  </si>
  <si>
    <t>015740998</t>
  </si>
  <si>
    <t>31/NAP25CF690/10340001/01/11/2025</t>
  </si>
  <si>
    <t>19389879y</t>
  </si>
  <si>
    <t>32/NAP25CF692/10340001/01/11/2025</t>
  </si>
  <si>
    <t>007644806</t>
  </si>
  <si>
    <t>33/NAP25CF692/10340001/01/11/2025</t>
  </si>
  <si>
    <t>34/NAP25CF694/10340001/01/11/2025</t>
  </si>
  <si>
    <t>015830927</t>
  </si>
  <si>
    <t>35/NAP25CF695/10340001/01/11/2025</t>
  </si>
  <si>
    <t>19959905X</t>
  </si>
  <si>
    <t>36/NAP20X22/10340001/01/11/2025</t>
  </si>
  <si>
    <t>0135784</t>
  </si>
  <si>
    <t>37/NAP25CF697/10340001/01/11/2025</t>
  </si>
  <si>
    <t>10882100E</t>
  </si>
  <si>
    <t>38/NAP25K40/10340001/01/11/2025</t>
  </si>
  <si>
    <t>015908673</t>
  </si>
  <si>
    <t>39/NAP22BF93/10340001/01/11/2025</t>
  </si>
  <si>
    <t>015773003</t>
  </si>
  <si>
    <t>40/NAP25X23/10340001/01/11/2025</t>
  </si>
  <si>
    <t>20443950R</t>
  </si>
  <si>
    <t>41/NAP25CD615/10340001/01/11/2025</t>
  </si>
  <si>
    <t>015994019</t>
  </si>
  <si>
    <t>42/NAP24J42/10340001/01/11/2025</t>
  </si>
  <si>
    <t>015773561</t>
  </si>
  <si>
    <t>43/NAP18A19/10340001/01/11/2025</t>
  </si>
  <si>
    <t>0152857</t>
  </si>
  <si>
    <t>44/NAP21X58/10340001/01/11/2025</t>
  </si>
  <si>
    <t>015779248</t>
  </si>
  <si>
    <t>45/NAP25CF702/10340001/01/11/2025</t>
  </si>
  <si>
    <t>20083027F</t>
  </si>
  <si>
    <t>46/NAP25BO40/10340001/01/11/2025</t>
  </si>
  <si>
    <t>015959804</t>
  </si>
  <si>
    <t>47/NAP25CF705/10340001/01/11/2025</t>
  </si>
  <si>
    <t>19931754V</t>
  </si>
  <si>
    <t>48/NAP22CX99/10340001/01/11/2025</t>
  </si>
  <si>
    <t>015868774</t>
  </si>
  <si>
    <t>49/NAP25AJ61/10340001/01/11/2025</t>
  </si>
  <si>
    <t>015875309</t>
  </si>
  <si>
    <t>50/NAP25CF708/10340001/01/11/2025</t>
  </si>
  <si>
    <t>015995918</t>
  </si>
  <si>
    <t>015901758</t>
  </si>
  <si>
    <t>015957879</t>
  </si>
  <si>
    <t>015797791</t>
  </si>
  <si>
    <t>19939848J</t>
  </si>
  <si>
    <t>015731659</t>
  </si>
  <si>
    <t>015823985</t>
  </si>
  <si>
    <t>015951113</t>
  </si>
  <si>
    <t>11031918H</t>
  </si>
  <si>
    <t>015978379</t>
  </si>
  <si>
    <t>015963662</t>
  </si>
  <si>
    <t>015774526</t>
  </si>
  <si>
    <t>015723603</t>
  </si>
  <si>
    <t>PROVIDENCE TUYISABE</t>
  </si>
  <si>
    <t>EGIDE BENIMANA</t>
  </si>
  <si>
    <t>UWITONDA LAYANA</t>
  </si>
  <si>
    <t>NYAKANA OSWALD</t>
  </si>
  <si>
    <t>RURANGIRWA FRANCOIS</t>
  </si>
  <si>
    <t>ISANO MILELE KEINESS</t>
  </si>
  <si>
    <t>NDATSIKIRA BLAITH KIRENGA</t>
  </si>
  <si>
    <t>OBED SHEMA</t>
  </si>
  <si>
    <t>MBABAZI JANE</t>
  </si>
  <si>
    <t>ATETE ELLA SALINA</t>
  </si>
  <si>
    <t>ALEXIS MUNYEMANA</t>
  </si>
  <si>
    <t>NSHUTI SABIN HIRWA</t>
  </si>
  <si>
    <t>UZARAMA ANASTASE</t>
  </si>
  <si>
    <t>SANGWA REESE DALTON</t>
  </si>
  <si>
    <t>BRYCE UMURERWA INES</t>
  </si>
  <si>
    <t>IZERE HAPPY</t>
  </si>
  <si>
    <t>ATETE GABI TAILLA</t>
  </si>
  <si>
    <t>NYIRAHATEGEKIMANA PHOIBE</t>
  </si>
  <si>
    <t>NAHAYO DONATH</t>
  </si>
  <si>
    <t>BAGWIRE LEONCIE</t>
  </si>
  <si>
    <t>JOSHUA NINZIZA MAHORO</t>
  </si>
  <si>
    <t>NZAKIZWANAYO SALOMON</t>
  </si>
  <si>
    <t>CLAUDINE MUKANDEREYE</t>
  </si>
  <si>
    <t>MUZIRANKONI OLIVE</t>
  </si>
  <si>
    <t>RWAGASANA FELICIEN</t>
  </si>
  <si>
    <t>SINDAYIGAYA JEAN MARIE VIANNEY</t>
  </si>
  <si>
    <t>PRECIOUS MPANO NGANJI</t>
  </si>
  <si>
    <t>SERGR MIHIGO NTWARI</t>
  </si>
  <si>
    <t>RWEMA KAYIRANGA TREVER</t>
  </si>
  <si>
    <t>AXEL BRAYAN NZIZA</t>
  </si>
  <si>
    <t>ISIMBI SONIA</t>
  </si>
  <si>
    <t>KANDAYIRE MARIA</t>
  </si>
  <si>
    <t>GATETE ELLIOTT IGABE</t>
  </si>
  <si>
    <t>NISHIMWE ADORIANE</t>
  </si>
  <si>
    <t>RUGIRA FULGENCE</t>
  </si>
  <si>
    <t>UWIMBABAZI DENYSE</t>
  </si>
  <si>
    <t>BERWA PROMESSE AMELIA</t>
  </si>
  <si>
    <t>IRAHAGIJE CHRIS EMILIAN</t>
  </si>
  <si>
    <t>DUSHIMIRIMANA LEONTINE</t>
  </si>
  <si>
    <t>AMOLA MWIRINZI MUHIZI</t>
  </si>
  <si>
    <t>NINZIZA KEVIN</t>
  </si>
  <si>
    <t>NIRERE SOPHIE</t>
  </si>
  <si>
    <t>IMPANO MUHUMUZA JOASH</t>
  </si>
  <si>
    <t>BIZIMUNGU JUSTIN</t>
  </si>
  <si>
    <t>JUSTIN MURAVA NGANJI</t>
  </si>
  <si>
    <t>BEBE DUSHIMIMANA DELPHINE</t>
  </si>
  <si>
    <t>ALVIN MANZI SHEMA</t>
  </si>
  <si>
    <t>NSHIMIYIMANA ALLY HASSAN</t>
  </si>
  <si>
    <t>NORA EDINA INEMA</t>
  </si>
  <si>
    <t>AKAMANZI ELLA DESANGES</t>
  </si>
  <si>
    <t>IZERE JOLLY CHRISTELLA</t>
  </si>
  <si>
    <t>CYUSA MUCYO ELIOT</t>
  </si>
  <si>
    <t>NZEYIMANA SYLVERE</t>
  </si>
  <si>
    <t>AMIE THEOPISTE IMBAHAFI ISHANGI</t>
  </si>
  <si>
    <t>NARD AMIE GLADNESS IRIHAFI</t>
  </si>
  <si>
    <t>ANNETTE MUKARUGEMA</t>
  </si>
  <si>
    <t>BUNGE FAUSTIN</t>
  </si>
  <si>
    <t>MINHO ARLO IRIHO MUNANA</t>
  </si>
  <si>
    <t>BONIFACE HAKIZIMANA</t>
  </si>
  <si>
    <t>KASINE SARAH</t>
  </si>
  <si>
    <t>MBABAZI DEBORAH</t>
  </si>
  <si>
    <t>HERSELF</t>
  </si>
  <si>
    <t>MUKABANZUBAZE APPOLINALIE</t>
  </si>
  <si>
    <t>PAUL KAZANENDA</t>
  </si>
  <si>
    <t>IHABAKIRA PERUTH</t>
  </si>
  <si>
    <t xml:space="preserve">JOSEPHAT RUPIGA </t>
  </si>
  <si>
    <t>MWESIGYE SAM</t>
  </si>
  <si>
    <t>UWAMPETSE MARIE CHANTAL</t>
  </si>
  <si>
    <t>JANVIERE BANUSHIMA</t>
  </si>
  <si>
    <t>MUKAMURIGO CLENIA</t>
  </si>
  <si>
    <t>UMUTESI M CLAIRE</t>
  </si>
  <si>
    <t>JEAN CLAUDE SHYIRAMBERE</t>
  </si>
  <si>
    <t>MUKAHABARUGIRA LEONTINE</t>
  </si>
  <si>
    <t>FLORENCE NIYIGABA</t>
  </si>
  <si>
    <t>NIYOMUKIZA REBECCA</t>
  </si>
  <si>
    <t>SEMAHE EMMANUEL</t>
  </si>
  <si>
    <t>ZIGIRUMUGABO CELESTIN</t>
  </si>
  <si>
    <t>MOISE NGIRUWONSANGA</t>
  </si>
  <si>
    <t xml:space="preserve">ROSE NIKUZE </t>
  </si>
  <si>
    <t>KAAYIRANGA FREDY</t>
  </si>
  <si>
    <t>AIMABLE MUTABARUKA</t>
  </si>
  <si>
    <t>BWANA ANISIUS</t>
  </si>
  <si>
    <t>SONIA ISIMBI</t>
  </si>
  <si>
    <t>SANDRINE UFITINEMA</t>
  </si>
  <si>
    <t>MUNYENSANGA JEAN DAMASCENE</t>
  </si>
  <si>
    <t>MUTARUTWA JEANNE</t>
  </si>
  <si>
    <t>NUWAYO EUGENIE</t>
  </si>
  <si>
    <t>ELISIE MPINGANZIMA</t>
  </si>
  <si>
    <t>DUSHIMIMANA DELPHINE</t>
  </si>
  <si>
    <t>SAPHINE NIYIGENA</t>
  </si>
  <si>
    <t>JULIET GATO</t>
  </si>
  <si>
    <t>PEACE MUREKATETE</t>
  </si>
  <si>
    <t>HABYARIMANA LADISLAS</t>
  </si>
  <si>
    <t>JEAN DAMASCÈNE NSENGIYUMVA</t>
  </si>
  <si>
    <t>ERIC HARERIMANA</t>
  </si>
  <si>
    <t>OSEE THEOPHILE UYIZERA</t>
  </si>
  <si>
    <t>FAUSTIN BUNGE</t>
  </si>
  <si>
    <t>IGABE OLIVE</t>
  </si>
  <si>
    <t>ANASTASIE NIKUZE</t>
  </si>
  <si>
    <t>RWIGAMBA ERIC</t>
  </si>
  <si>
    <t>KARAKE   NATHAN</t>
  </si>
  <si>
    <t>GS GISHANDA</t>
  </si>
  <si>
    <t>MINAFET</t>
  </si>
  <si>
    <t>AKAGERA GAME LODGE</t>
  </si>
  <si>
    <t>KABAYA HOSPITAL</t>
  </si>
  <si>
    <t>PANSIONNEL</t>
  </si>
  <si>
    <t>GS KITAZIGURWA</t>
  </si>
  <si>
    <t>SANTRE DE SANTE MUKARANGE</t>
  </si>
  <si>
    <t>KIBUNGO HEALTH CENTER</t>
  </si>
  <si>
    <t>ES DON BOSCO</t>
  </si>
  <si>
    <t>RSSB GAKENKE</t>
  </si>
  <si>
    <t>G S  NYABIKERI</t>
  </si>
  <si>
    <t>GS GAHUSHYI</t>
  </si>
  <si>
    <t>RSSB KGL</t>
  </si>
  <si>
    <t>GS GAHURIRE</t>
  </si>
  <si>
    <t>EP KIYENZI</t>
  </si>
  <si>
    <t>EP KIBARA</t>
  </si>
  <si>
    <t>GS NYANZA</t>
  </si>
  <si>
    <t>GS NYAGASIGA</t>
  </si>
  <si>
    <t>GS SHYANDA</t>
  </si>
  <si>
    <t>ES KABARONDO</t>
  </si>
  <si>
    <t>PANSIONNNE</t>
  </si>
  <si>
    <t>EP UMURAVA</t>
  </si>
  <si>
    <t>EP MUVANDIMWE</t>
  </si>
  <si>
    <t>EP NYAMIRAMA</t>
  </si>
  <si>
    <t>REG/ KAYONZA</t>
  </si>
  <si>
    <t>IPRC NGOMA</t>
  </si>
  <si>
    <t>GS KABARE 1</t>
  </si>
  <si>
    <t>PANSION</t>
  </si>
  <si>
    <t>GS NYAMIYAGA</t>
  </si>
  <si>
    <t>GS JURU</t>
  </si>
  <si>
    <t>SACCO MURUNDI</t>
  </si>
  <si>
    <t>GS KABIRIZI B</t>
  </si>
  <si>
    <t>EP SHYOGO</t>
  </si>
  <si>
    <t>RUGARAMA SECTOR</t>
  </si>
  <si>
    <t>GS NYARUBUYE</t>
  </si>
  <si>
    <t>MUKARANGE HEALTH CENTER</t>
  </si>
  <si>
    <t>EP NDEGO1</t>
  </si>
  <si>
    <t>EP NDEGO</t>
  </si>
  <si>
    <t>GS RUKARA CATHOLIC</t>
  </si>
  <si>
    <t>GS RUBONA</t>
  </si>
  <si>
    <t>GS GIKAYA</t>
  </si>
  <si>
    <t>EP MBURABUTURO</t>
  </si>
  <si>
    <t>CELL MURAMA</t>
  </si>
  <si>
    <t>GS RUGARAMA</t>
  </si>
  <si>
    <t>GS RWISIRABO</t>
  </si>
  <si>
    <t>EP NYAKABUNGO</t>
  </si>
  <si>
    <t>GS MWULIRE</t>
  </si>
  <si>
    <t>GREEN FINGER</t>
  </si>
  <si>
    <t>GREEN FINGERS</t>
  </si>
  <si>
    <t>CS MUKARANGE</t>
  </si>
  <si>
    <t>GS MUKARANGE</t>
  </si>
  <si>
    <t>GAHINI HOSPITAL</t>
  </si>
  <si>
    <t>GS  JURU</t>
  </si>
  <si>
    <t>19977611E</t>
  </si>
  <si>
    <t>02/11/2025</t>
  </si>
  <si>
    <t>1/NAP25CE294/10340001/02/11/2025</t>
  </si>
  <si>
    <t>19604150G</t>
  </si>
  <si>
    <t>2/NAP25CE770/10340001/02/11/2025</t>
  </si>
  <si>
    <t>20079967D</t>
  </si>
  <si>
    <t>3/NAP24R60/10340001/02/11/2025</t>
  </si>
  <si>
    <t>0135608</t>
  </si>
  <si>
    <t>4/NAP25AO70/10340001/02/11/2025</t>
  </si>
  <si>
    <t>015980172</t>
  </si>
  <si>
    <t>5/NAP24X07/10340001/02/11/2025</t>
  </si>
  <si>
    <t>015933881</t>
  </si>
  <si>
    <t>6/NAP25CF715/10340001/02/11/2025</t>
  </si>
  <si>
    <t>20121503N</t>
  </si>
  <si>
    <t>7/NAP22AU26/10340001/02/11/2025</t>
  </si>
  <si>
    <t>015799959</t>
  </si>
  <si>
    <t>8/NAP24BY06/10340001/02/11/2025</t>
  </si>
  <si>
    <t>015818586</t>
  </si>
  <si>
    <t>9/NAP25CF717/10340001/02/11/2025</t>
  </si>
  <si>
    <t>015818510</t>
  </si>
  <si>
    <t>10/NAP18E49/10340001/02/11/2025</t>
  </si>
  <si>
    <t>015672186</t>
  </si>
  <si>
    <t>11/NAP19AC50/10340001/02/11/2025</t>
  </si>
  <si>
    <t>12/NAP20W29/10340001/02/11/2025</t>
  </si>
  <si>
    <t>10797912K</t>
  </si>
  <si>
    <t>13/NAP25E67/10340001/02/11/2025</t>
  </si>
  <si>
    <t>20246472b</t>
  </si>
  <si>
    <t>14/NAP25AY79/10340001/02/11/2025</t>
  </si>
  <si>
    <t>20238038E</t>
  </si>
  <si>
    <t>15/NAP25CA74/10340001/02/11/2025</t>
  </si>
  <si>
    <t>015987829</t>
  </si>
  <si>
    <t>16/NAP25W72/10340001/02/11/2025</t>
  </si>
  <si>
    <t>015970261</t>
  </si>
  <si>
    <t>17/NAP25BV26/10340001/02/11/2025</t>
  </si>
  <si>
    <t>19694271j</t>
  </si>
  <si>
    <t>18/NAP19R40/10340001/02/11/2025</t>
  </si>
  <si>
    <t>015733991</t>
  </si>
  <si>
    <t>19/NAP25CF542/10340001/02/11/2025</t>
  </si>
  <si>
    <t>20203670W</t>
  </si>
  <si>
    <t>20/NAP25CF541/10340001/02/11/2025</t>
  </si>
  <si>
    <t>015994025</t>
  </si>
  <si>
    <t>21/NAP25CF720/10340001/02/11/2025</t>
  </si>
  <si>
    <t>015577119</t>
  </si>
  <si>
    <t>22/NAP25CF721/10340001/02/11/2025</t>
  </si>
  <si>
    <t>015695712</t>
  </si>
  <si>
    <t>23/NAP25CF722/10340001/02/11/2025</t>
  </si>
  <si>
    <t>015607641</t>
  </si>
  <si>
    <t>24/NAP24CF49/10340001/02/11/2025</t>
  </si>
  <si>
    <t>015775434</t>
  </si>
  <si>
    <t>25/NAP25CF724/10340001/02/11/2025</t>
  </si>
  <si>
    <t>015822219</t>
  </si>
  <si>
    <t>26/NAP23BV71/10340001/02/11/2025</t>
  </si>
  <si>
    <t>19919694t</t>
  </si>
  <si>
    <t>27/NAP24R10/10340001/02/11/2025</t>
  </si>
  <si>
    <t>015770307</t>
  </si>
  <si>
    <t>28/NAP25B98/10340001/02/11/2025</t>
  </si>
  <si>
    <t>015968411</t>
  </si>
  <si>
    <t>29/NAP24AL31/10340001/02/11/2025</t>
  </si>
  <si>
    <t>19710505T</t>
  </si>
  <si>
    <t>30/NAP23T92/10340001/02/11/2025</t>
  </si>
  <si>
    <t>19629414R</t>
  </si>
  <si>
    <t>31/NAP22BG53/10340001/02/11/2025</t>
  </si>
  <si>
    <t>015838093</t>
  </si>
  <si>
    <t>32/NAP21BJ49/10340001/02/11/2025</t>
  </si>
  <si>
    <t>015780200</t>
  </si>
  <si>
    <t>33/NAP19D73/10340001/02/11/2025</t>
  </si>
  <si>
    <t>015714601</t>
  </si>
  <si>
    <t>34/NAP25CF729/10340001/02/11/2025</t>
  </si>
  <si>
    <t>015988782</t>
  </si>
  <si>
    <t>35/NAP25AY26/10340001/02/11/2025</t>
  </si>
  <si>
    <t>19528829k</t>
  </si>
  <si>
    <t>36/NAP25BV26/10340001/02/11/2025</t>
  </si>
  <si>
    <t>37/NAP25CF721/10340001/02/11/2025</t>
  </si>
  <si>
    <t>38/NAP25CF732/10340001/02/11/2025</t>
  </si>
  <si>
    <t>20080127Y</t>
  </si>
  <si>
    <t>39/NAP22BY65/10340001/02/11/2025</t>
  </si>
  <si>
    <t>19919761G</t>
  </si>
  <si>
    <t>40/NAP19AD60/10340001/02/11/2025</t>
  </si>
  <si>
    <t>0072274</t>
  </si>
  <si>
    <t>41/NAP22BC55/10340001/02/11/2025</t>
  </si>
  <si>
    <t>015623718</t>
  </si>
  <si>
    <t>42/NAP25BD81/10340001/02/11/2025</t>
  </si>
  <si>
    <t>0053514</t>
  </si>
  <si>
    <t>43/NAP23BO42/10340001/02/11/2025</t>
  </si>
  <si>
    <t>0077393</t>
  </si>
  <si>
    <t>44/NAP19O49/10340001/02/11/2025</t>
  </si>
  <si>
    <t>0141591</t>
  </si>
  <si>
    <t>45/NAP19BG97/10340001/02/11/2025</t>
  </si>
  <si>
    <t>0075253</t>
  </si>
  <si>
    <t>46/NAP21BN46/10340001/02/11/2025</t>
  </si>
  <si>
    <t>0108149</t>
  </si>
  <si>
    <t>47/NAP25CF748/10340001/02/11/2025</t>
  </si>
  <si>
    <t>015530025</t>
  </si>
  <si>
    <t>48/NAP25BN72/10340001/02/11/2025</t>
  </si>
  <si>
    <t>20069834C</t>
  </si>
  <si>
    <t>49/NAP21CO62/10340001/02/11/2025</t>
  </si>
  <si>
    <t>015692888</t>
  </si>
  <si>
    <t>50/NAP20O40/10340001/02/11/2025</t>
  </si>
  <si>
    <t>015707866</t>
  </si>
  <si>
    <t>51/NAP25B39/10340001/02/11/2025</t>
  </si>
  <si>
    <t>015751467</t>
  </si>
  <si>
    <t>52/NAP22CP91/10340001/02/11/2025</t>
  </si>
  <si>
    <t>015866765</t>
  </si>
  <si>
    <t>53/NAP20Y82/10340001/02/11/2025</t>
  </si>
  <si>
    <t>015724794</t>
  </si>
  <si>
    <t>54/NAP25BZ30/10340001/02/11/2025</t>
  </si>
  <si>
    <t>015826207</t>
  </si>
  <si>
    <t>55/NAP25V17/10340001/02/11/2025</t>
  </si>
  <si>
    <t>015973676</t>
  </si>
  <si>
    <t>56/NAP23Z95/10340001/02/11/2025</t>
  </si>
  <si>
    <t>19790787Y</t>
  </si>
  <si>
    <t>57/NAP24AN14/10340001/02/11/2025</t>
  </si>
  <si>
    <t>015846124</t>
  </si>
  <si>
    <t>58/NAP24BW98/10340001/02/11/2025</t>
  </si>
  <si>
    <t>19556488y</t>
  </si>
  <si>
    <t>59/NAP18G31/10340001/02/11/2025</t>
  </si>
  <si>
    <t>10695549D</t>
  </si>
  <si>
    <t>60/NAP22F14/10340001/02/11/2025</t>
  </si>
  <si>
    <t>015532641</t>
  </si>
  <si>
    <t>61/NAP25CF749/10340001/02/11/2025</t>
  </si>
  <si>
    <t>015685328</t>
  </si>
  <si>
    <t>62/NAP21DD46/10340001/02/11/2025</t>
  </si>
  <si>
    <t>015792540</t>
  </si>
  <si>
    <t>63/NAP24CP31/10340001/02/11/2025</t>
  </si>
  <si>
    <t>015957700</t>
  </si>
  <si>
    <t>64/NAP24BJ84/10340001/02/11/2025</t>
  </si>
  <si>
    <t>015943618</t>
  </si>
  <si>
    <t>015978813</t>
  </si>
  <si>
    <t>015698565</t>
  </si>
  <si>
    <t>10928865Z</t>
  </si>
  <si>
    <t>19372208E</t>
  </si>
  <si>
    <t>015822004</t>
  </si>
  <si>
    <t>UWAMARIYA ANGELQUE</t>
  </si>
  <si>
    <t>JOSELYNE BAYISENGE</t>
  </si>
  <si>
    <t>BIMENYIMANA OBED</t>
  </si>
  <si>
    <t>JAYLA HAPPY GASARO</t>
  </si>
  <si>
    <t>TAYLOR GRIFFIN IGANZE</t>
  </si>
  <si>
    <t>BWANAKEYE FRANCOIS</t>
  </si>
  <si>
    <t>PRISCA NIYIGENA ISHEJA</t>
  </si>
  <si>
    <t>HERTIER NEZERWA</t>
  </si>
  <si>
    <t>BONHEUR IKUZO RWEMA</t>
  </si>
  <si>
    <t>ANGELO INEZA</t>
  </si>
  <si>
    <t>IRIBAGIZA FLORA</t>
  </si>
  <si>
    <t>SIBOMANA CHARLES</t>
  </si>
  <si>
    <t>LEONTINE NIYIBIZI</t>
  </si>
  <si>
    <t>ALLAN NGANIZI</t>
  </si>
  <si>
    <t>KISSA NARAH KUNDWA</t>
  </si>
  <si>
    <t>MUSABYUWERA CLAUDINE</t>
  </si>
  <si>
    <t>ISHEJA GAKWAYA GIANNA</t>
  </si>
  <si>
    <t>DUSENGUMUREMYI THEOGENE</t>
  </si>
  <si>
    <t>ISEZERANO AGAPE</t>
  </si>
  <si>
    <t>HOPE SANGWA</t>
  </si>
  <si>
    <t>KENNY DORIANE IMPANO</t>
  </si>
  <si>
    <t>CYURINYANA CLENIE</t>
  </si>
  <si>
    <t>LOUANGE DIVINE INEZA SAFINA</t>
  </si>
  <si>
    <t>SHILOH NEVAEH GWIZA</t>
  </si>
  <si>
    <t>UWIMANA SANDRINE</t>
  </si>
  <si>
    <t>HARRY ALVIN RWEMA NTAGANIRA</t>
  </si>
  <si>
    <t>HUGUETTE TETA</t>
  </si>
  <si>
    <t>UWAMAHORO ANGELIQUE</t>
  </si>
  <si>
    <t>UZAMUKUNDA FRANCINE</t>
  </si>
  <si>
    <t>BENTA GAFURAMA IREBE</t>
  </si>
  <si>
    <t>GAFURAMA GALEN RWEGO</t>
  </si>
  <si>
    <t>MWIZERWA AGASARO GABRIELLA</t>
  </si>
  <si>
    <t>NOVA CHIARA ISHYA BERWA</t>
  </si>
  <si>
    <t>AIME MARIE EPIPHANIE NIYONIRINGIYE</t>
  </si>
  <si>
    <t>MARIAM UMUBYEYI</t>
  </si>
  <si>
    <t>HAKORIMANA EVARISTE</t>
  </si>
  <si>
    <t>ODETTE NYIRANSABIMANA</t>
  </si>
  <si>
    <t>EMMANUEL BIGIRIMANA</t>
  </si>
  <si>
    <t>THEOGENE TUGIRIMANA</t>
  </si>
  <si>
    <t>NKUNDIYE EUGENE</t>
  </si>
  <si>
    <t>MUGIRANEZA SAMUEL</t>
  </si>
  <si>
    <t>TWIZEYIMANA AUGUSTIN</t>
  </si>
  <si>
    <t>DYLAN ISHEMA</t>
  </si>
  <si>
    <t>HONORINE UMUHOZA</t>
  </si>
  <si>
    <t>NEZA PRAISE JIREH</t>
  </si>
  <si>
    <t>SINGIZA CHRISTINE</t>
  </si>
  <si>
    <t>JOSEPHINE UWINEZA</t>
  </si>
  <si>
    <t>INEZA AUDRIC DANON</t>
  </si>
  <si>
    <t>INEZA MUGISHA DARCY</t>
  </si>
  <si>
    <t>NIBAGWIRE NORAH</t>
  </si>
  <si>
    <t>ISANO FARAJ</t>
  </si>
  <si>
    <t>CLAUDETTE MUSHIMIYIMANA</t>
  </si>
  <si>
    <t>UWITONZE GISA REAGAN</t>
  </si>
  <si>
    <t>FIELLETTE MUGUNGAKAZI</t>
  </si>
  <si>
    <t>MARIE ROSE UWERA</t>
  </si>
  <si>
    <t>KAYONGA BANA JEAN FONTAINE</t>
  </si>
  <si>
    <t>FRANCINE MUKANTABANA</t>
  </si>
  <si>
    <t>SHIMWA LENA AAYAN</t>
  </si>
  <si>
    <t>IVAN RURANGIRWA SHAMI</t>
  </si>
  <si>
    <t>IRISA AUXANE NAIS</t>
  </si>
  <si>
    <t>KAYIRANGA MUNANA JAYDEN</t>
  </si>
  <si>
    <t>GLORIA UWIKUNDA INGABIRE</t>
  </si>
  <si>
    <t>NAKAZUNGU SOLANGE</t>
  </si>
  <si>
    <t>MUBASHANKWAYA FULGENCE</t>
  </si>
  <si>
    <t>BRIELLA AGATESI</t>
  </si>
  <si>
    <t>BIRORI ETIENE</t>
  </si>
  <si>
    <t>DARIUS NDUWIMANA</t>
  </si>
  <si>
    <t>MUHAWENIMANA MARIE LOUISE</t>
  </si>
  <si>
    <t xml:space="preserve">JUSTIN IRADUKUNDA </t>
  </si>
  <si>
    <t>SHUMBUSHO JEAN DE DIEU</t>
  </si>
  <si>
    <t>BATAMURIZA OLIVER</t>
  </si>
  <si>
    <t>GAD NDAYISHIMIYE</t>
  </si>
  <si>
    <t>MUKANOHERI JOSEPHA</t>
  </si>
  <si>
    <t>THEOGENE DUSENGUMUREMYI</t>
  </si>
  <si>
    <t>VIOLETTE MUKARUHIRWA</t>
  </si>
  <si>
    <t>VALENS NZABONIMPA</t>
  </si>
  <si>
    <t>FEBRONIE KAYITESI</t>
  </si>
  <si>
    <t>DIANE GAHIMA</t>
  </si>
  <si>
    <t>FRANCIS NTAGANIRA</t>
  </si>
  <si>
    <t>CONSOLEE  UWAMARIYA</t>
  </si>
  <si>
    <t>JANE MASHARAZI</t>
  </si>
  <si>
    <t>MASHARAZI JANE</t>
  </si>
  <si>
    <t>MWIZERWA EMMANUEL</t>
  </si>
  <si>
    <t>JANVIERE UWINEZA</t>
  </si>
  <si>
    <t>ESDRAS HAKIZIMANA</t>
  </si>
  <si>
    <t>EGIDE INGABIRE</t>
  </si>
  <si>
    <t>INNOCENT MWISENEZA</t>
  </si>
  <si>
    <t>SINDIKUBWABO EDUARDE</t>
  </si>
  <si>
    <t>SIMPENZWE EMMANUEL</t>
  </si>
  <si>
    <t>INGABIRE GISELE</t>
  </si>
  <si>
    <t>MUDENGE ALLAN</t>
  </si>
  <si>
    <t>ROBERT RUGANGO</t>
  </si>
  <si>
    <t>MUKESHIYAREMYE JOSEPHINE</t>
  </si>
  <si>
    <t>NSABIMANA INNOCENT</t>
  </si>
  <si>
    <t>NSHIZIRUNGU BEATRICE</t>
  </si>
  <si>
    <t>INGABIRE  SAPHINE</t>
  </si>
  <si>
    <t>NDAYIZEYE EMMANUEL</t>
  </si>
  <si>
    <t>KAYIRANGA FRED</t>
  </si>
  <si>
    <t>UWAMAHORO BEATRICE</t>
  </si>
  <si>
    <t>LEONILE MUKAMANA</t>
  </si>
  <si>
    <t>EP MURAMBI</t>
  </si>
  <si>
    <t>GS GAHURIZO</t>
  </si>
  <si>
    <t>EP UMUNEZERO</t>
  </si>
  <si>
    <t>SACCO RURAMIRA</t>
  </si>
  <si>
    <t>RUKARA SECTOR</t>
  </si>
  <si>
    <t>EP RUGENDABARI</t>
  </si>
  <si>
    <t>GS NYAMUGARI</t>
  </si>
  <si>
    <t>GS AKABUGA</t>
  </si>
  <si>
    <t>AEE RWANDA</t>
  </si>
  <si>
    <t>KIGARAMA TSS</t>
  </si>
  <si>
    <t>GS GAKENKE</t>
  </si>
  <si>
    <t>EP NKAMBA</t>
  </si>
  <si>
    <t>GS ICYIZERE</t>
  </si>
  <si>
    <t>GS KITABURAZA</t>
  </si>
  <si>
    <t>GS KITABURAZ</t>
  </si>
  <si>
    <t>GS MIGERA</t>
  </si>
  <si>
    <t>GS BUSHENYI</t>
  </si>
  <si>
    <t>UMUTARA POLYTECHICAL GAKONI</t>
  </si>
  <si>
    <t>GS RYARUBAMBA</t>
  </si>
  <si>
    <t>G S GIKAYA</t>
  </si>
  <si>
    <t>G S NYAWERA</t>
  </si>
  <si>
    <t>GS NYAKARIRO</t>
  </si>
  <si>
    <t>EP INDATWA</t>
  </si>
  <si>
    <t>REG/KAYONZA</t>
  </si>
  <si>
    <t>GS NYARUGENGE</t>
  </si>
  <si>
    <t>EP KIGAYI</t>
  </si>
  <si>
    <t>GS MURINGA</t>
  </si>
  <si>
    <t>GS RUGOMA</t>
  </si>
  <si>
    <t>SACCO/KABARE</t>
  </si>
  <si>
    <t>MUTENDERI TSS</t>
  </si>
  <si>
    <t>GS MIGOGO</t>
  </si>
  <si>
    <t>ES NYAMIRAMA</t>
  </si>
  <si>
    <t>GS GAKONI  CATHORIC</t>
  </si>
  <si>
    <t>IMBUTO FOUNDATION</t>
  </si>
  <si>
    <t>SH INDUSTRIEL LTD</t>
  </si>
  <si>
    <t>CS RYAMANYONI</t>
  </si>
  <si>
    <t>REG KAYONZA</t>
  </si>
  <si>
    <t>ES KIZIGURO</t>
  </si>
  <si>
    <t>KABARE SECTOR</t>
  </si>
  <si>
    <t>EP REMERA</t>
  </si>
  <si>
    <t>KABARONDO HEALTH CENTER</t>
  </si>
  <si>
    <t>EP RUKARA PROTESTANT</t>
  </si>
  <si>
    <t>ES CYINZOVU</t>
  </si>
  <si>
    <t>E S RURAMIRA</t>
  </si>
  <si>
    <t>LYCEE ST MARCEL DE RUKARA</t>
  </si>
  <si>
    <t>GS BONAVANTURE</t>
  </si>
  <si>
    <t>GAHINI HEALTH CENTER</t>
  </si>
  <si>
    <t>RADIO MARIA RWANDA</t>
  </si>
  <si>
    <t>03/11/2025</t>
  </si>
  <si>
    <t>1/NAP25AA54/10340001/03/11/2025</t>
  </si>
  <si>
    <t>015589732</t>
  </si>
  <si>
    <t>2/NAP25CF764/10340001/03/11/2025</t>
  </si>
  <si>
    <t>0030739</t>
  </si>
  <si>
    <t>3/NAP24T53/10340001/03/11/2025</t>
  </si>
  <si>
    <t>20219028W</t>
  </si>
  <si>
    <t>4/NAP25CF768/10340001/03/11/2025</t>
  </si>
  <si>
    <t>015982225</t>
  </si>
  <si>
    <t>5/NAP19BA19/10340001/03/11/2025</t>
  </si>
  <si>
    <t>015924497</t>
  </si>
  <si>
    <t>6/NAP25CF770/10340001/03/11/2025</t>
  </si>
  <si>
    <t>19607808A</t>
  </si>
  <si>
    <t>7/NAP24CE42/10340001/03/11/2025</t>
  </si>
  <si>
    <t>015868943</t>
  </si>
  <si>
    <t>8/NAP23I86/10340001/03/11/2025</t>
  </si>
  <si>
    <t>015859267</t>
  </si>
  <si>
    <t>9/NAP19N44/10340001/03/11/2025</t>
  </si>
  <si>
    <t>015677042</t>
  </si>
  <si>
    <t>10/NAP25H49/10340001/03/11/2025</t>
  </si>
  <si>
    <t>20571180W</t>
  </si>
  <si>
    <t>11/NAP22CK20/10340001/03/11/2025</t>
  </si>
  <si>
    <t>015867839</t>
  </si>
  <si>
    <t>12/NAP21S11/10340001/03/11/2025</t>
  </si>
  <si>
    <t>0136017</t>
  </si>
  <si>
    <t>13/NAP25G97/10340001/03/11/2025</t>
  </si>
  <si>
    <t>007573002</t>
  </si>
  <si>
    <t>14/NAP24AN99/10340001/03/11/2025</t>
  </si>
  <si>
    <t>20059727K</t>
  </si>
  <si>
    <t>15/NAP25CF772/10340001/03/11/2025</t>
  </si>
  <si>
    <t>012030702</t>
  </si>
  <si>
    <t>16/NAP25CF773/10340001/03/11/2025</t>
  </si>
  <si>
    <t>015593097</t>
  </si>
  <si>
    <t>17/NAP25AR81/10340001/03/11/2025</t>
  </si>
  <si>
    <t>0069936</t>
  </si>
  <si>
    <t>18/NAP25CF775/10340001/03/11/2025</t>
  </si>
  <si>
    <t>015832092</t>
  </si>
  <si>
    <t>19/NAP25AH75/10340001/03/11/2025</t>
  </si>
  <si>
    <t>0000658</t>
  </si>
  <si>
    <t>20/NAP22AQ58/10340001/03/11/2025</t>
  </si>
  <si>
    <t>015832565</t>
  </si>
  <si>
    <t>21/NAP20AP74/10340001/03/11/2025</t>
  </si>
  <si>
    <t>015786552</t>
  </si>
  <si>
    <t>22/NAP23BE84/10340001/03/11/2025</t>
  </si>
  <si>
    <t>015900248</t>
  </si>
  <si>
    <t>23/NAP25CF782/10340001/03/11/2025</t>
  </si>
  <si>
    <t>015989979</t>
  </si>
  <si>
    <t>24/NAP19AQ58/10340001/03/11/2025</t>
  </si>
  <si>
    <t>10719302P</t>
  </si>
  <si>
    <t>25/NAP24CD27/10340001/03/11/2025</t>
  </si>
  <si>
    <t>015891352</t>
  </si>
  <si>
    <t>26/NAP22CW16/10340001/03/11/2025</t>
  </si>
  <si>
    <t>015873970</t>
  </si>
  <si>
    <t>27/NAP19L06/10340001/03/11/2025</t>
  </si>
  <si>
    <t>0076555</t>
  </si>
  <si>
    <t>28/NAP24BZ93/10340001/03/11/2025</t>
  </si>
  <si>
    <t>0071242</t>
  </si>
  <si>
    <t>29/NAP24CE42/10340001/03/11/2025</t>
  </si>
  <si>
    <t>30/NAP24F39/10340001/03/11/2025</t>
  </si>
  <si>
    <t>006460401</t>
  </si>
  <si>
    <t>31/NAP22AA98/10340001/03/11/2025</t>
  </si>
  <si>
    <t>10235535X</t>
  </si>
  <si>
    <t>32/NAP21D32/10340001/03/11/2025</t>
  </si>
  <si>
    <t>19876038G</t>
  </si>
  <si>
    <t>33/NAP23S80/10340001/03/11/2025</t>
  </si>
  <si>
    <t>34/NAP25CC54/10340001/03/11/2025</t>
  </si>
  <si>
    <t>0076237</t>
  </si>
  <si>
    <t>35/NAP25CF789/10340001/03/11/2025</t>
  </si>
  <si>
    <t>007205500</t>
  </si>
  <si>
    <t>36/NAP21CX11/10340001/03/11/2025</t>
  </si>
  <si>
    <t>015606931</t>
  </si>
  <si>
    <t>37/NAP24BX75/10340001/03/11/2025</t>
  </si>
  <si>
    <t>19992226M</t>
  </si>
  <si>
    <t>38/NAP19AP73/10340001/03/11/2025</t>
  </si>
  <si>
    <t>015929826</t>
  </si>
  <si>
    <t>39/NAP22BN98/10340001/03/11/2025</t>
  </si>
  <si>
    <t>0130414</t>
  </si>
  <si>
    <t>40/NAP24BY28/10340001/03/11/2025</t>
  </si>
  <si>
    <t>015541223</t>
  </si>
  <si>
    <t>41/NAP22CX47/10340001/03/11/2025</t>
  </si>
  <si>
    <t>015847247</t>
  </si>
  <si>
    <t>42/NAP25CF792/10340001/03/11/2025</t>
  </si>
  <si>
    <t>0148186</t>
  </si>
  <si>
    <t>43/NAP25CF795/10340001/03/11/2025</t>
  </si>
  <si>
    <t>015997060</t>
  </si>
  <si>
    <t>44/NAP24BA75/10340001/03/11/2025</t>
  </si>
  <si>
    <t>015932606</t>
  </si>
  <si>
    <t>45/NAP22CE68/10340001/03/11/2025</t>
  </si>
  <si>
    <t xml:space="preserve"> 015845059</t>
  </si>
  <si>
    <t>46/NAP22AM36/10340001/03/11/2025</t>
  </si>
  <si>
    <t>015813210</t>
  </si>
  <si>
    <t>47/NAP25CF802/10340001/03/11/2025</t>
  </si>
  <si>
    <t>10563169Q</t>
  </si>
  <si>
    <t>48/NAP22AS30/10340001/03/11/2025</t>
  </si>
  <si>
    <t>10471434J</t>
  </si>
  <si>
    <t>49/NAP25BI33/10340001/03/11/2025</t>
  </si>
  <si>
    <t>015984207</t>
  </si>
  <si>
    <t>50/NAP25CF805/10340001/03/11/2025</t>
  </si>
  <si>
    <t>20211365F</t>
  </si>
  <si>
    <t>51/NAP25AL17/10340001/03/11/2025</t>
  </si>
  <si>
    <t>52/NAP25CF806/10340001/03/11/2025</t>
  </si>
  <si>
    <t>015996338</t>
  </si>
  <si>
    <t>53/NAP22CL96/10340001/03/11/2025</t>
  </si>
  <si>
    <t>0108335</t>
  </si>
  <si>
    <t>54/NAP22AS86/10340001/03/11/2025</t>
  </si>
  <si>
    <t>015840296</t>
  </si>
  <si>
    <t>55/NAP25CF808/10340001/03/11/2025</t>
  </si>
  <si>
    <t>19942674K</t>
  </si>
  <si>
    <t>56/NAP22CW99/10340001/03/11/2025</t>
  </si>
  <si>
    <t>0077718</t>
  </si>
  <si>
    <t>57/NAP25U86/10340001/03/11/2025</t>
  </si>
  <si>
    <t>19944825E</t>
  </si>
  <si>
    <t>58/NAP22CS23/10340001/03/11/2025</t>
  </si>
  <si>
    <t>20217505D</t>
  </si>
  <si>
    <t>59/NAP23BR55/10340001/03/11/2025</t>
  </si>
  <si>
    <t>19918945F</t>
  </si>
  <si>
    <t>60/NAP21AJ64/10340001/03/11/2025</t>
  </si>
  <si>
    <t>10429501N</t>
  </si>
  <si>
    <t>61/NAP25CF815/10340001/03/11/2025</t>
  </si>
  <si>
    <t>015981027</t>
  </si>
  <si>
    <t>62/NAP23O61/10340001/03/11/2025</t>
  </si>
  <si>
    <t>015870111</t>
  </si>
  <si>
    <t>63/NAP25CE86/10340001/03/11/2025</t>
  </si>
  <si>
    <t>015727074</t>
  </si>
  <si>
    <t>64/NAP25BB72/10340001/03/11/2025</t>
  </si>
  <si>
    <t>015980114</t>
  </si>
  <si>
    <t>65/NAP23AP43/10340001/03/11/2025</t>
  </si>
  <si>
    <t>015893546</t>
  </si>
  <si>
    <t>66/NAP24V35/10340001/03/11/2025</t>
  </si>
  <si>
    <t>015880096</t>
  </si>
  <si>
    <t>67/NAP24AT38/10340001/03/11/2025</t>
  </si>
  <si>
    <t>10719273V</t>
  </si>
  <si>
    <t>68/NAP25X49/10340001/03/11/2025</t>
  </si>
  <si>
    <t>015974452</t>
  </si>
  <si>
    <t>69/NAP25CF820/10340001/03/11/2025</t>
  </si>
  <si>
    <t>015525094</t>
  </si>
  <si>
    <t>70/NAP18D58/10340001/03/11/2025</t>
  </si>
  <si>
    <t>0071841</t>
  </si>
  <si>
    <t>NYIRAROMBA PERUS</t>
  </si>
  <si>
    <t>MUNYANDAMUTSA JEAN PAUL</t>
  </si>
  <si>
    <t>AIMEE MIZERO</t>
  </si>
  <si>
    <t>NDANYUZWE EDWIN</t>
  </si>
  <si>
    <t>SHIMWA FANIQUE GAELLA</t>
  </si>
  <si>
    <t>LILIANE IZERE</t>
  </si>
  <si>
    <t>JAIRO SYMPATHIQUE AZABE UKUNDIMANA</t>
  </si>
  <si>
    <t>IREME REAGAN</t>
  </si>
  <si>
    <t>NZIZA ORNELLA</t>
  </si>
  <si>
    <t>NIYOMWUNGERI LILIANE</t>
  </si>
  <si>
    <t>OLIVA MUKARUGIGANA</t>
  </si>
  <si>
    <t>MUTABARUKA VENANT</t>
  </si>
  <si>
    <t>YEHOVANISI INGANIYEBYOSE</t>
  </si>
  <si>
    <t>CYPRIEN DUSABEYEZU</t>
  </si>
  <si>
    <t>QUEEN TETA</t>
  </si>
  <si>
    <t>WILLIAM NDONGOZI</t>
  </si>
  <si>
    <t>BYUKUSENGE KAGABA HILARIE</t>
  </si>
  <si>
    <t>CHRIS RUGEMA MUHIRWA</t>
  </si>
  <si>
    <t>KABARANGIRA JEAN CLAUDE</t>
  </si>
  <si>
    <t>GWIZA MUKUNZI DYLAN</t>
  </si>
  <si>
    <t>NDUHURA ESPERANCE</t>
  </si>
  <si>
    <t>CHANCE ADONIS ISHIMWE</t>
  </si>
  <si>
    <t>NAVA PETRA LOUANGE</t>
  </si>
  <si>
    <t>NYIRINDEKWE JEAN MARIE VIANNEY</t>
  </si>
  <si>
    <t>IMPANO OWEN LUCKY</t>
  </si>
  <si>
    <t>HOLY JOSHUA AYEBARE</t>
  </si>
  <si>
    <t>TWINOMUGISHA GRACE</t>
  </si>
  <si>
    <t>KAYIRANGA JEAN DAMASCENE</t>
  </si>
  <si>
    <t>KIRENGA SANDRE</t>
  </si>
  <si>
    <t>AGNES UWANTARE</t>
  </si>
  <si>
    <t>UMUHOZA ALINE</t>
  </si>
  <si>
    <t>SPECIOSE KEMIREMBE</t>
  </si>
  <si>
    <t>MUSABYIMANA ALPHONSINE</t>
  </si>
  <si>
    <t>IKUZO ANGELO DIMITRI PAYET</t>
  </si>
  <si>
    <t>CLEMENTINE ITANGISHATSE</t>
  </si>
  <si>
    <t>TEGERA HIGIRO JEAN NEPO</t>
  </si>
  <si>
    <t>BETTY NYIRASANGWA</t>
  </si>
  <si>
    <t>MUGANWA TETA NADIA</t>
  </si>
  <si>
    <t>BONET ANDREW HIRWA</t>
  </si>
  <si>
    <t>FRANCOISE TUMUKUNDE</t>
  </si>
  <si>
    <t>AMELIA IKUZO LIZZY</t>
  </si>
  <si>
    <t>NAVA JESSE AHIRWE</t>
  </si>
  <si>
    <t>ANAELLA NIMWIZA MUYENZI</t>
  </si>
  <si>
    <t>UMURISA MUYENZI ARIELLA</t>
  </si>
  <si>
    <t>GUIDO OLIVIER CISHAHAYO MIHIGO</t>
  </si>
  <si>
    <t>TUYISHIME CYPRIEN</t>
  </si>
  <si>
    <t>AHMED RUGWIRO</t>
  </si>
  <si>
    <t>UMUTESI PROVIDENCE</t>
  </si>
  <si>
    <t>LINDA ISHEJA CAMILLA</t>
  </si>
  <si>
    <t>PETRONILLE UWAJENEZA</t>
  </si>
  <si>
    <t>FIDELITE INEZA</t>
  </si>
  <si>
    <t>SIBOMANA ERIC</t>
  </si>
  <si>
    <t>HITAYEZU PIERRE CELESTIN</t>
  </si>
  <si>
    <t>VUGUZIGA THEONESTE</t>
  </si>
  <si>
    <t>ANET BAGWANEZA</t>
  </si>
  <si>
    <t>MWIZERWA JEREMIE</t>
  </si>
  <si>
    <t>MUSORE KABOTCHO ESPOIR</t>
  </si>
  <si>
    <t>ISHIMWE ELION DARION EDI OTIS</t>
  </si>
  <si>
    <t>KANAMUGIRE AGABE EVANDER</t>
  </si>
  <si>
    <t>ATETE RICAH GIFT</t>
  </si>
  <si>
    <t>DIVINE INGABIRE</t>
  </si>
  <si>
    <t>NGANJI CLEO SANCHEZ</t>
  </si>
  <si>
    <t>NGANJI AAYAN AHIRWE</t>
  </si>
  <si>
    <t>NYINAWUMUNTU DORREN</t>
  </si>
  <si>
    <t>MUNYAKAZI COLLIN NGANJI</t>
  </si>
  <si>
    <t>MANZI BRITON</t>
  </si>
  <si>
    <t>GEORGES RUDASHIRIKAKA</t>
  </si>
  <si>
    <t>KADUSHI NGABO JEAN BERCHIMAS</t>
  </si>
  <si>
    <t>JEAN PAUL MUNYANDAMUTSA</t>
  </si>
  <si>
    <t>FRANCOISE MUGENI</t>
  </si>
  <si>
    <t>CHRISTINE UWANTEGE</t>
  </si>
  <si>
    <t>BUCYANA  AUGUSTIN</t>
  </si>
  <si>
    <t xml:space="preserve"> JUSTIN HABAKURAMA</t>
  </si>
  <si>
    <t>ANCILLE NYIRATUZA</t>
  </si>
  <si>
    <t>CLAIRE MUHAWENIMANA</t>
  </si>
  <si>
    <t>EUGENIE UWANGABE</t>
  </si>
  <si>
    <t>ANNICK UMURAZA</t>
  </si>
  <si>
    <t>SIMPLICE  NGIRABAKUNZI</t>
  </si>
  <si>
    <t>NGIRABAKUNZI SIMPLICE</t>
  </si>
  <si>
    <t>MUKAMUTESI PROVIDENCE</t>
  </si>
  <si>
    <t>EPIPHANIE NISINGIZWE</t>
  </si>
  <si>
    <t>MANIRIHO FRANCOIS</t>
  </si>
  <si>
    <t>EGIDIA UWIMANA</t>
  </si>
  <si>
    <t>NANDEBWA NKOBWA</t>
  </si>
  <si>
    <t>MARIYAMUNGU PIERRE</t>
  </si>
  <si>
    <t>SINDIKUBWABO ELYSEE</t>
  </si>
  <si>
    <t>MUREKATETE CONSOLEE</t>
  </si>
  <si>
    <t>UFITINEMA FRANCOISE</t>
  </si>
  <si>
    <t>UMUTONI DIANE</t>
  </si>
  <si>
    <t>BIZIMUNGU JOEL</t>
  </si>
  <si>
    <t>HABIMANA JEAN PIERRE</t>
  </si>
  <si>
    <t xml:space="preserve">JUSTINE UWIMBABAZI </t>
  </si>
  <si>
    <t>UWIMBABAZI JUSTINE</t>
  </si>
  <si>
    <t>NDAYISABA SELEMAN</t>
  </si>
  <si>
    <t>NOELLA AKAYEZU</t>
  </si>
  <si>
    <t>INGABIRE ANGE ENATHA</t>
  </si>
  <si>
    <t>PHILOMENE DUSABUMUKIZA</t>
  </si>
  <si>
    <t>JEAN PIERRE KANAMUGIRE</t>
  </si>
  <si>
    <t>MUSHAKAMBA EMMY</t>
  </si>
  <si>
    <t>CLEOPHAS NSHIMIYIMANA</t>
  </si>
  <si>
    <t>NSHIMIYIMANA CLEOPHASE</t>
  </si>
  <si>
    <t>MUKAMURENZI SOLANGE</t>
  </si>
  <si>
    <t>DORREN NYINAWUMUNTU</t>
  </si>
  <si>
    <t>JANE MURERWA</t>
  </si>
  <si>
    <t>PANSIONEL</t>
  </si>
  <si>
    <t>PARLIAMENT</t>
  </si>
  <si>
    <t>GS MURAMBI</t>
  </si>
  <si>
    <t>GS RUDABUKIRWA</t>
  </si>
  <si>
    <t>GS SAKE</t>
  </si>
  <si>
    <t>RURAMIRA SECTOR</t>
  </si>
  <si>
    <t>RUKARA MODEL SCHOOL</t>
  </si>
  <si>
    <t>NYAKAGEZI CELL</t>
  </si>
  <si>
    <t>G S MURAMA</t>
  </si>
  <si>
    <t>CS KAGUGU</t>
  </si>
  <si>
    <t>CS KIGINA</t>
  </si>
  <si>
    <t>MPANGA SECTOR</t>
  </si>
  <si>
    <t>GS RUSHENYI</t>
  </si>
  <si>
    <t>GS MWEYA</t>
  </si>
  <si>
    <t>EP MUKARANGE PROTESTANT</t>
  </si>
  <si>
    <t>KAYONZA  MODERN</t>
  </si>
  <si>
    <t>EP NYAKANAZI</t>
  </si>
  <si>
    <t xml:space="preserve">GS NYARUBUYE </t>
  </si>
  <si>
    <t>MUSAZA SECTOR</t>
  </si>
  <si>
    <t>EP  NYAMIRAMA</t>
  </si>
  <si>
    <t>RUKARA MODOL SCHOOL</t>
  </si>
  <si>
    <t>GS MURAMBI 1</t>
  </si>
  <si>
    <t>EP NYANZA</t>
  </si>
  <si>
    <t>EP RUGUNGA</t>
  </si>
  <si>
    <t>EP KINUNGA</t>
  </si>
  <si>
    <t>SECTOR MUTENDERI</t>
  </si>
  <si>
    <t>GATSIBO DISTICT</t>
  </si>
  <si>
    <t>EP BUTANGA</t>
  </si>
  <si>
    <t>NATIONAL LAND AUTHOLITH</t>
  </si>
  <si>
    <t>GS RWIMITERERI</t>
  </si>
  <si>
    <t>A M C</t>
  </si>
  <si>
    <t>GS NYAGASOZI</t>
  </si>
  <si>
    <t>GS RUKARA CATHOLIQUE</t>
  </si>
  <si>
    <t>AKAGERA NATIONAL PARK</t>
  </si>
  <si>
    <t>GS KAREGE</t>
  </si>
  <si>
    <t xml:space="preserve">KARAMA SECTOR </t>
  </si>
  <si>
    <t>NATIONAL LAND AUTHORITY</t>
  </si>
  <si>
    <t>GS RUTONDE</t>
  </si>
  <si>
    <t>GASABO DISTRICT</t>
  </si>
  <si>
    <t>04/11/2025</t>
  </si>
  <si>
    <t>1/NAP25CF823/10340001/04/11/2025</t>
  </si>
  <si>
    <t>015881262</t>
  </si>
  <si>
    <t>2/NAP24BB32/10340001/04/11/2025</t>
  </si>
  <si>
    <t>015760025</t>
  </si>
  <si>
    <t>3/NAP25CB53/10340001/04/11/2025</t>
  </si>
  <si>
    <t>10919315E</t>
  </si>
  <si>
    <t>4/NAP24A13/10340001/04/11/2025</t>
  </si>
  <si>
    <t>015610583</t>
  </si>
  <si>
    <t>5/NAP25N85/10340001/04/11/2025</t>
  </si>
  <si>
    <t>015670466</t>
  </si>
  <si>
    <t>6/NAP25BZ97/10340001/04/11/2025</t>
  </si>
  <si>
    <t>007347900</t>
  </si>
  <si>
    <t>7/NAP19BH43/10340001/04/11/2025</t>
  </si>
  <si>
    <t>007573100</t>
  </si>
  <si>
    <t>8/NAP18F21/10340001/04/11/2025</t>
  </si>
  <si>
    <t>0106121</t>
  </si>
  <si>
    <t>9/NAP19F78/10340001/04/11/2025</t>
  </si>
  <si>
    <t>010612101</t>
  </si>
  <si>
    <t>10/NAP18F21/10340001/04/11/2025</t>
  </si>
  <si>
    <t>11/NAP25BN29/10340001/04/11/2025</t>
  </si>
  <si>
    <t>015876059</t>
  </si>
  <si>
    <t>12/NAP25BW36/10340001/04/11/2025</t>
  </si>
  <si>
    <t>015928302</t>
  </si>
  <si>
    <t>13/NAP20N82/10340001/04/11/2025</t>
  </si>
  <si>
    <t>015545070</t>
  </si>
  <si>
    <t>14/NAP25CF720/10340001/04/11/2025</t>
  </si>
  <si>
    <t>15/NAP19A73/10340001/04/11/2025</t>
  </si>
  <si>
    <t>0077161</t>
  </si>
  <si>
    <t>16/NAP25AI86/10340001/04/11/2025</t>
  </si>
  <si>
    <t>006747500</t>
  </si>
  <si>
    <t>17/NAP22CP91/10340001/04/11/2025</t>
  </si>
  <si>
    <t>18/NAP23CK23/10340001/04/11/2025</t>
  </si>
  <si>
    <t>19528841f</t>
  </si>
  <si>
    <t>19/NAP22L78/10340001/04/11/2025</t>
  </si>
  <si>
    <t>015826849</t>
  </si>
  <si>
    <t>20/NAP19A47/10340001/04/11/2025</t>
  </si>
  <si>
    <t>015600480</t>
  </si>
  <si>
    <t>21/NAP23S71/10340001/04/11/2025</t>
  </si>
  <si>
    <t>015811329</t>
  </si>
  <si>
    <t>22/NAP24AJ34/10340001/04/11/2025</t>
  </si>
  <si>
    <t>20059838E</t>
  </si>
  <si>
    <t>23/NAP23AK05/10340001/04/11/2025</t>
  </si>
  <si>
    <t>015670683</t>
  </si>
  <si>
    <t>24/NAP25CF847/10340001/04/11/2025</t>
  </si>
  <si>
    <t>015780905</t>
  </si>
  <si>
    <t>25/NAP25CF849/10340001/04/11/2025</t>
  </si>
  <si>
    <t>015944691</t>
  </si>
  <si>
    <t>26/NAP22BG20/10340001/04/11/2025</t>
  </si>
  <si>
    <t>19691080J</t>
  </si>
  <si>
    <t>27/NAP25CF853/10340001/04/11/2025</t>
  </si>
  <si>
    <t>015889218</t>
  </si>
  <si>
    <t>28/NAP25CF853/10340001/04/11/2025</t>
  </si>
  <si>
    <t>29/NAP21AE16/10340001/04/11/2025</t>
  </si>
  <si>
    <t>0150269</t>
  </si>
  <si>
    <t>30/NAP22CF86/10340001/04/11/2025</t>
  </si>
  <si>
    <t>20127316H</t>
  </si>
  <si>
    <t>31/NAP20AP08/10340001/04/11/2025</t>
  </si>
  <si>
    <t>0072135</t>
  </si>
  <si>
    <t>32/NAP20X41/10340001/04/11/2025</t>
  </si>
  <si>
    <t>015756725</t>
  </si>
  <si>
    <t>34/NAP21AF81/10340001/04/11/2025</t>
  </si>
  <si>
    <t>007775901</t>
  </si>
  <si>
    <t>35/NAP20F45/10340001/04/11/2025</t>
  </si>
  <si>
    <t>0114511</t>
  </si>
  <si>
    <t>36/NAP21AS39/10340001/04/11/2025</t>
  </si>
  <si>
    <t>10719263M</t>
  </si>
  <si>
    <t>37/NAP25CB97/10340001/04/11/2025</t>
  </si>
  <si>
    <t>015993890</t>
  </si>
  <si>
    <t>38/NAP25CF863/10340001/04/11/2025</t>
  </si>
  <si>
    <t>20217511E</t>
  </si>
  <si>
    <t>39/NAP19N10/10340001/04/11/2025</t>
  </si>
  <si>
    <t>0073059</t>
  </si>
  <si>
    <t>40/NAP25AV55/10340001/04/11/2025</t>
  </si>
  <si>
    <t>015721294</t>
  </si>
  <si>
    <t>41/NAP25AF74/10340001/04/11/2025</t>
  </si>
  <si>
    <t>015787656</t>
  </si>
  <si>
    <t>42/NAP25AK45/10340001/04/11/2025</t>
  </si>
  <si>
    <t>015962898</t>
  </si>
  <si>
    <t>43/NAP23AM01/10340001/04/11/2025</t>
  </si>
  <si>
    <t>20169878L</t>
  </si>
  <si>
    <t>44/NAP23BH41/10340001/04/11/2025</t>
  </si>
  <si>
    <t>015866927</t>
  </si>
  <si>
    <t>45/NAP23B54/10340001/04/11/2025</t>
  </si>
  <si>
    <t>015825078</t>
  </si>
  <si>
    <t>46/NAP25CF866/10340001/04/11/2025</t>
  </si>
  <si>
    <t>015535847</t>
  </si>
  <si>
    <t>47/NAP25CF868/10340001/04/11/2025</t>
  </si>
  <si>
    <t>0108044</t>
  </si>
  <si>
    <t>48/NAP19BA03/10340001/04/11/2025</t>
  </si>
  <si>
    <t>0075257</t>
  </si>
  <si>
    <t>49/NAP19Q38/10340001/04/11/2025</t>
  </si>
  <si>
    <t>015629866</t>
  </si>
  <si>
    <t>50/NAP19D35/10340001/04/11/2025</t>
  </si>
  <si>
    <t>015703494</t>
  </si>
  <si>
    <t>51/NAP23CA83/10340001/04/11/2025</t>
  </si>
  <si>
    <t>015911454</t>
  </si>
  <si>
    <t>52/NAP25CF875/10340001/04/11/2025</t>
  </si>
  <si>
    <t>015505093</t>
  </si>
  <si>
    <t>53/NAP20BD04/10340001/04/11/2025</t>
  </si>
  <si>
    <t>015957988</t>
  </si>
  <si>
    <t>54/NAP20AK21/10340001/04/11/2025</t>
  </si>
  <si>
    <t>10719287M</t>
  </si>
  <si>
    <t>MUTESI KAREKEZI CELINE</t>
  </si>
  <si>
    <t>GWIZIMPUNDU DARLENE</t>
  </si>
  <si>
    <t>MARIE THERESE JAMBO</t>
  </si>
  <si>
    <t>MUKESHIMANA FRANCINE</t>
  </si>
  <si>
    <t>YOBOKA MUGISHA YVAN</t>
  </si>
  <si>
    <t>JOYEUSE MUTERAMBABAZI</t>
  </si>
  <si>
    <t>HAKIZIMANA JEAN CLAUDE</t>
  </si>
  <si>
    <t>UWIZEYE CARTAS</t>
  </si>
  <si>
    <t>MUGISHA ANSWER</t>
  </si>
  <si>
    <t>KUNDWA PAMELA NELLY</t>
  </si>
  <si>
    <t>KATUSIME AGNES</t>
  </si>
  <si>
    <t>ABAYO HIRWA ALINE</t>
  </si>
  <si>
    <t>RUBAGUMYA MOSES</t>
  </si>
  <si>
    <t>SIBOMUREMYI FESTUS</t>
  </si>
  <si>
    <t>JOSIANE UWAMAHORO</t>
  </si>
  <si>
    <t>ISHIMWE GHANI ASHRAF</t>
  </si>
  <si>
    <t>MUTONIWASE ARIANE</t>
  </si>
  <si>
    <t>MEIRA LAVIE ABIOLA MWENEDATA</t>
  </si>
  <si>
    <t>KANYARWANDA GASTON</t>
  </si>
  <si>
    <t>ISINGIZWE HONORE</t>
  </si>
  <si>
    <t>BEBE GAUDENCE MUJAWIMANA</t>
  </si>
  <si>
    <t>KEVINE UMWALI</t>
  </si>
  <si>
    <t>SARAH ISHIMWE</t>
  </si>
  <si>
    <t>ANNE MARIE NYIRABAKUNZI</t>
  </si>
  <si>
    <t>KAGINA THEOS MICHEL</t>
  </si>
  <si>
    <t>MBABAZI CLEMENCE</t>
  </si>
  <si>
    <t>MUKAMUSANGWA M.CLAIRE</t>
  </si>
  <si>
    <t>ABATONI JESSICA</t>
  </si>
  <si>
    <t>UMUGANWA FEZA</t>
  </si>
  <si>
    <t>NTEGE MOSES</t>
  </si>
  <si>
    <t>IGABE JOSELYNE</t>
  </si>
  <si>
    <t>ISHEJA ELLA DIVYA</t>
  </si>
  <si>
    <t>NDAHIRIWE DAVID</t>
  </si>
  <si>
    <t>BAZIRUWIHA JEAN CLAUDE</t>
  </si>
  <si>
    <t>MILO BLAISE</t>
  </si>
  <si>
    <t>AIMEE ALESSIA NYINAWUMUNTU ISIMBI</t>
  </si>
  <si>
    <t>EDEN AMELIA DUSABIMANA GANZA</t>
  </si>
  <si>
    <t>CLAUDETTE MANISHIMWE</t>
  </si>
  <si>
    <t>INEZA ADA ACHEL</t>
  </si>
  <si>
    <t>MUGISHA AKARABO FIDELA</t>
  </si>
  <si>
    <t>MWAMBUTSA GALEN GANZA</t>
  </si>
  <si>
    <t>BEBE EUGENIE MUJAWIMANA</t>
  </si>
  <si>
    <t>MAZURU JEAN D'AMOUR</t>
  </si>
  <si>
    <t>MWUNGERI DANIEL</t>
  </si>
  <si>
    <t>MUCYO KUNDWA DORA</t>
  </si>
  <si>
    <t>ESTHER TUMUKUNDE</t>
  </si>
  <si>
    <t>UWAMAHIRWE GAIEMENT</t>
  </si>
  <si>
    <t>NIYIGENA SHAKILA</t>
  </si>
  <si>
    <t>UWIZEYE JOSEPH</t>
  </si>
  <si>
    <t>GASPARD HABARUREMA</t>
  </si>
  <si>
    <t>JAMBO MARIE THERESE</t>
  </si>
  <si>
    <t>NDENGEYINKA  CHRISTOPHE</t>
  </si>
  <si>
    <t>BONIFRIDE UWAJENEZA</t>
  </si>
  <si>
    <t>JEAN BOSCO NSHIMIYIMANA</t>
  </si>
  <si>
    <t>NABANDA  CHRISTINE</t>
  </si>
  <si>
    <t>UWIZEYE CARITAS</t>
  </si>
  <si>
    <t>MWANIWABO MARIE JOSEE</t>
  </si>
  <si>
    <t>NOEL NIYONZIMA</t>
  </si>
  <si>
    <t>UWANTEGE JAQUELINE</t>
  </si>
  <si>
    <t>ZIGAMA JOSELYNE</t>
  </si>
  <si>
    <t>UWIHANGANYE HASSAN MUVARA SHINDO</t>
  </si>
  <si>
    <t>UWIZEYE  CARTAS</t>
  </si>
  <si>
    <t>CHRISTINE NIYIGENA</t>
  </si>
  <si>
    <t>HATANGIMANA JEAN BAPTISTE</t>
  </si>
  <si>
    <t>MARCEL BAPFAKWITA</t>
  </si>
  <si>
    <t>UMUHOZA THEOBARD</t>
  </si>
  <si>
    <t>PETER MUVANDIMWE</t>
  </si>
  <si>
    <t>NSENGIYUMVA  ALEX</t>
  </si>
  <si>
    <t>DUSABE ALPHONSINE</t>
  </si>
  <si>
    <t>HAVUGIMANA EVARISTE</t>
  </si>
  <si>
    <t>NAPOLEON SENDASHONGA</t>
  </si>
  <si>
    <t>EGIDIE BANYANGIRIKI</t>
  </si>
  <si>
    <t xml:space="preserve">JOSIANNE TUMUKUNDE </t>
  </si>
  <si>
    <t>MBIHAYUMUREMYI JEAN DEDIE</t>
  </si>
  <si>
    <t>NSENGIMANA OSWARD</t>
  </si>
  <si>
    <t>BENJAMIN MWAMBUTSA</t>
  </si>
  <si>
    <t>EUGENIE MUJAWIMANA</t>
  </si>
  <si>
    <t>MAZURU JEAN D AMOUR</t>
  </si>
  <si>
    <t>STEVEN BYABASHAYIJA</t>
  </si>
  <si>
    <t>IRANKUNDA SHABANI</t>
  </si>
  <si>
    <t>GS NYAGASAMBU</t>
  </si>
  <si>
    <t>GAHINI HOSPIAL</t>
  </si>
  <si>
    <t>MUHURA HEALTH CENTER</t>
  </si>
  <si>
    <t>BUSHIKIRI SECTOR</t>
  </si>
  <si>
    <t>KAYONZA DISTRICT</t>
  </si>
  <si>
    <t>RWAMAGANA DISTRICT</t>
  </si>
  <si>
    <t>AKAGERA MANAGMENT COMPANY</t>
  </si>
  <si>
    <t>AEE</t>
  </si>
  <si>
    <t>EP RWISIRABO</t>
  </si>
  <si>
    <t>GS KAWANGIRE</t>
  </si>
  <si>
    <t>GS HUMURE</t>
  </si>
  <si>
    <t>DIOCÈSE DE KIBUNGO</t>
  </si>
  <si>
    <t>GS RURAMIRA</t>
  </si>
  <si>
    <t>GS KITABI</t>
  </si>
  <si>
    <t>RITCO</t>
  </si>
  <si>
    <t>GS CYARWA</t>
  </si>
  <si>
    <t>GS NYANGE</t>
  </si>
  <si>
    <t>GS RWIMISHINYA</t>
  </si>
  <si>
    <t>GS RWINKWAVU</t>
  </si>
  <si>
    <t>EAV GITWE</t>
  </si>
  <si>
    <t>UR RUKARA COMPUS</t>
  </si>
  <si>
    <t>RWAMAGANA HOSPITAL</t>
  </si>
  <si>
    <t>ES KAYONZA MODERN</t>
  </si>
  <si>
    <t>GS NYAGAHANDAGAZA</t>
  </si>
  <si>
    <t>IPRC GISHARI</t>
  </si>
  <si>
    <t>A.M.C</t>
  </si>
  <si>
    <t>GORLAND SAFAR</t>
  </si>
  <si>
    <t>GS MIGONGO</t>
  </si>
  <si>
    <t>EP GACACA</t>
  </si>
  <si>
    <t>GS NKONDO 2</t>
  </si>
  <si>
    <t>GS GASECYE</t>
  </si>
  <si>
    <t>FAWE GAHINI</t>
  </si>
  <si>
    <t>TSS MUTENDERI</t>
  </si>
  <si>
    <t>KIRAMURUZI MODERN SCHOOL</t>
  </si>
  <si>
    <t>ECOLE SECONDAIRE KAYONZA</t>
  </si>
  <si>
    <t>ES KAYONZA</t>
  </si>
  <si>
    <t>EQUIP RWANDA</t>
  </si>
  <si>
    <t>KAZO SECTOR</t>
  </si>
  <si>
    <t>EP GAHINI</t>
  </si>
  <si>
    <t>05/11/2025</t>
  </si>
  <si>
    <t>1/NAP25S23/10340001/05/11/2025</t>
  </si>
  <si>
    <t>19359683C</t>
  </si>
  <si>
    <t>2/NAP19AD16/10340001/05/11/2025</t>
  </si>
  <si>
    <t>19569172P</t>
  </si>
  <si>
    <t>3/NAP25CF876/10340001/05/11/2025</t>
  </si>
  <si>
    <t>0073236</t>
  </si>
  <si>
    <t>4/NAP25CF879/10340001/05/11/2025</t>
  </si>
  <si>
    <t>015859785</t>
  </si>
  <si>
    <t>5/NAP25AC69/10340001/05/11/2025</t>
  </si>
  <si>
    <t>0122048</t>
  </si>
  <si>
    <t>6/NAP22BM63/10340001/05/11/2025</t>
  </si>
  <si>
    <t>20083487R</t>
  </si>
  <si>
    <t>7/NAP23AM50/10340001/05/11/2025</t>
  </si>
  <si>
    <t>20067962D</t>
  </si>
  <si>
    <t>8/NAP25BY19/10340001/05/11/2025</t>
  </si>
  <si>
    <t>015983298</t>
  </si>
  <si>
    <t>9/NAP24S19/10340001/05/11/2025</t>
  </si>
  <si>
    <t>015515035</t>
  </si>
  <si>
    <t>10/NAP24AP22/10340001/05/11/2025</t>
  </si>
  <si>
    <t>015650651</t>
  </si>
  <si>
    <t>11/NAP23BM36/10340001/05/11/2025</t>
  </si>
  <si>
    <t>015866562</t>
  </si>
  <si>
    <t>12/NAP25J61/10340001/05/11/2025</t>
  </si>
  <si>
    <t>015551281</t>
  </si>
  <si>
    <t>13/NAP25CF881/10340001/05/11/2025</t>
  </si>
  <si>
    <t>015821222</t>
  </si>
  <si>
    <t>14/NAP24CJ42/10340001/05/11/2025</t>
  </si>
  <si>
    <t>0069856</t>
  </si>
  <si>
    <t>15/NAP25CF885/10340001/05/11/2025</t>
  </si>
  <si>
    <t>016000873</t>
  </si>
  <si>
    <t>16/NAP25CF888/10340001/05/11/2025</t>
  </si>
  <si>
    <t>19762379J</t>
  </si>
  <si>
    <t>17/NAP23AX64/10340001/05/11/2025</t>
  </si>
  <si>
    <t>015883847</t>
  </si>
  <si>
    <t>18/NAP23T28/10340001/05/11/2025</t>
  </si>
  <si>
    <t>19467429S</t>
  </si>
  <si>
    <t>19/NAP24CT33/10340001/05/11/2025</t>
  </si>
  <si>
    <t>015865497</t>
  </si>
  <si>
    <t>20/NAP22D12/10340001/05/11/2025</t>
  </si>
  <si>
    <t>015651503</t>
  </si>
  <si>
    <t>21/NAP25AH87/10340001/05/11/2025</t>
  </si>
  <si>
    <t>0033544</t>
  </si>
  <si>
    <t>22/NAP20AP21/10340001/05/11/2025</t>
  </si>
  <si>
    <t>015619835</t>
  </si>
  <si>
    <t>23/NAP25CF891/10340001/05/11/2025</t>
  </si>
  <si>
    <t>015703565</t>
  </si>
  <si>
    <t>24/NAP25CF894/10340001/05/11/2025</t>
  </si>
  <si>
    <t>20272721V</t>
  </si>
  <si>
    <t>25/NAP23BK27/10340001/05/11/2025</t>
  </si>
  <si>
    <t>007489303</t>
  </si>
  <si>
    <t>26/NAP22N68/10340001/05/11/2025</t>
  </si>
  <si>
    <t>015792753</t>
  </si>
  <si>
    <t>27/NAP23T78/10340001/05/11/2025</t>
  </si>
  <si>
    <t>015725434</t>
  </si>
  <si>
    <t>28/NAP25CE102/10340001/05/11/2025</t>
  </si>
  <si>
    <t>19704461L</t>
  </si>
  <si>
    <t>29/NAP20AI30/10340001/05/11/2025</t>
  </si>
  <si>
    <t>015744254</t>
  </si>
  <si>
    <t>30/NAP24AL68/10340001/05/11/2025</t>
  </si>
  <si>
    <t>015940341</t>
  </si>
  <si>
    <t>015954369</t>
  </si>
  <si>
    <t>015864359</t>
  </si>
  <si>
    <t>20401882Z</t>
  </si>
  <si>
    <t>19924999E</t>
  </si>
  <si>
    <t>015705695</t>
  </si>
  <si>
    <t>015815700</t>
  </si>
  <si>
    <t>015863664</t>
  </si>
  <si>
    <t>19962067A</t>
  </si>
  <si>
    <t>015878438</t>
  </si>
  <si>
    <t>015722228</t>
  </si>
  <si>
    <t>015832701</t>
  </si>
  <si>
    <t>015864627</t>
  </si>
  <si>
    <t>015808683</t>
  </si>
  <si>
    <t>015652603</t>
  </si>
  <si>
    <t>015949829</t>
  </si>
  <si>
    <t>19373408y</t>
  </si>
  <si>
    <t>20082781H</t>
  </si>
  <si>
    <t>11107949M</t>
  </si>
  <si>
    <t>19959772J</t>
  </si>
  <si>
    <t>19541325N</t>
  </si>
  <si>
    <t>015621887</t>
  </si>
  <si>
    <t>015692147</t>
  </si>
  <si>
    <t>19404326S</t>
  </si>
  <si>
    <t>19727728Z</t>
  </si>
  <si>
    <t>NYIRAHAKIZIMANA PROVIDENCE</t>
  </si>
  <si>
    <t>MUKAMUGISHA FLORENCE</t>
  </si>
  <si>
    <t>NZABONIMPA VALENS</t>
  </si>
  <si>
    <t>HONORE HAKIZIMANA</t>
  </si>
  <si>
    <t>MUKANTWARI ESPERENCE</t>
  </si>
  <si>
    <t>TWIZEYIMANA EMMANUEL</t>
  </si>
  <si>
    <t>UWIMPAYE JACQUELINE</t>
  </si>
  <si>
    <t>EVA NAILA GANZA</t>
  </si>
  <si>
    <t>BENURUGO HOPE</t>
  </si>
  <si>
    <t>MANZI YUSUFU</t>
  </si>
  <si>
    <t>WHOSEBORNE IZERE HERO</t>
  </si>
  <si>
    <t>NIWEMANA GIHOZO RESPONSE</t>
  </si>
  <si>
    <t>JOYCE ISHIMWE</t>
  </si>
  <si>
    <t>MUKAMURENZI ALIVERA</t>
  </si>
  <si>
    <t>KAMUKAMA ALEXIS</t>
  </si>
  <si>
    <t>PIERRE MANIRAGABA</t>
  </si>
  <si>
    <t>HOLINESS IGABE BURANGA</t>
  </si>
  <si>
    <t>ADELINE AGATERETSWENIMANA</t>
  </si>
  <si>
    <t>SAMANTHA IRAKOZE ISHEJA</t>
  </si>
  <si>
    <t>INEZA NKUSI JOANNAH</t>
  </si>
  <si>
    <t>UWIZEYIMANA CELINE</t>
  </si>
  <si>
    <t>GANZA NEZA FRAYNE CONCORDE</t>
  </si>
  <si>
    <t>FRANCK BYIRINGIRO</t>
  </si>
  <si>
    <t>KABATESI XAVERINE</t>
  </si>
  <si>
    <t>IZABERA X</t>
  </si>
  <si>
    <t>ISHIMWE GASANA IVAN</t>
  </si>
  <si>
    <t>FRANCOISE UMURERWA</t>
  </si>
  <si>
    <t>JEANDEDIEU HAFASHIMANA</t>
  </si>
  <si>
    <t>MUGISHA MBERIMANA FABRICE</t>
  </si>
  <si>
    <t>INEZA BLANDINE</t>
  </si>
  <si>
    <t>RUGWIZA NDAYISENGA NELSON</t>
  </si>
  <si>
    <t>DUSIMBE AIMEE MAURA</t>
  </si>
  <si>
    <t>CANCILDE KAREMERA</t>
  </si>
  <si>
    <t>PEACE HOPE NTIHENDA</t>
  </si>
  <si>
    <t>HIRWA BEN JORDELL</t>
  </si>
  <si>
    <t>GABRIELLA SHIMWA AGAHIRE</t>
  </si>
  <si>
    <t>MANZI AIME JASPE</t>
  </si>
  <si>
    <t>RACHEL MUHORAKEYE</t>
  </si>
  <si>
    <t>IGABE MIGISHA IAN</t>
  </si>
  <si>
    <t>IMFURA MFITUMUKIZA BERTRAND</t>
  </si>
  <si>
    <t>IGANZE ANAYA WILLA</t>
  </si>
  <si>
    <t>ISIMBI KABANO NAILLA</t>
  </si>
  <si>
    <t>IGENO ASHLEY BRAVE</t>
  </si>
  <si>
    <t>JOSEPHINE MUSHIMIYIMANA</t>
  </si>
  <si>
    <t>SABATO DORCAS</t>
  </si>
  <si>
    <t>NYIRANSANZIMANA YVONNE</t>
  </si>
  <si>
    <t>MANIRARORA JEAN DE DIEU</t>
  </si>
  <si>
    <t>ERIC RWIGAMBA</t>
  </si>
  <si>
    <t>NAMBAJIMANA BENITHA</t>
  </si>
  <si>
    <t>TUMUKUNDE ANNET</t>
  </si>
  <si>
    <t>KABANO ALIELLA INEZA</t>
  </si>
  <si>
    <t>GANZA LOIC KABARISA</t>
  </si>
  <si>
    <t>JEANNINE INGABIRE</t>
  </si>
  <si>
    <t>KIZZA WILLIAM</t>
  </si>
  <si>
    <t>REBECCA UWIMANA</t>
  </si>
  <si>
    <t>JACQUELINE UWIMPAYE</t>
  </si>
  <si>
    <t>ZIGIRUMUGABA CELESTINE</t>
  </si>
  <si>
    <t>KAGWA HASSAN</t>
  </si>
  <si>
    <t xml:space="preserve">CHARTINE TUMUKUNDE </t>
  </si>
  <si>
    <t>DANIEL NANGWAHAFI</t>
  </si>
  <si>
    <t>ODETE MUREKATETE</t>
  </si>
  <si>
    <t>SOLANGE MUHAWENIMANA</t>
  </si>
  <si>
    <t>MUKAKAYANGE DEVOTHA</t>
  </si>
  <si>
    <t>NKUSI JEAN DE DIEU</t>
  </si>
  <si>
    <t>MAJYAMBERE NARCISSE</t>
  </si>
  <si>
    <t>UWAMARIYA LOUISE</t>
  </si>
  <si>
    <t>UWATETA MEDIATRICE</t>
  </si>
  <si>
    <t>GASANA INNOCENT</t>
  </si>
  <si>
    <t>MBERIMANA EMMANUEL</t>
  </si>
  <si>
    <t>MUSENGIMANA CLAUDINE</t>
  </si>
  <si>
    <t>MUREKATETE YVONNE</t>
  </si>
  <si>
    <t>NDAYISENGA GILBERT</t>
  </si>
  <si>
    <t>UHAWENAYO NEOPHYTE</t>
  </si>
  <si>
    <t>HATEGEKIMANA  ACHILE  SAMSON</t>
  </si>
  <si>
    <t>RACHEL MUHORACYEYE</t>
  </si>
  <si>
    <t xml:space="preserve">NSHAKIRIMANA </t>
  </si>
  <si>
    <t>MFITUMUKIZA  NEHEMIE</t>
  </si>
  <si>
    <t>NEHEMIE MFITUMUKIZA</t>
  </si>
  <si>
    <t>KABALISA DIEUDONNE</t>
  </si>
  <si>
    <t>ANGELIQUE MUKANDAYISHIMIYE</t>
  </si>
  <si>
    <t>FIDELE IYAMUREMYE</t>
  </si>
  <si>
    <t>REKAYABO JEAN BOSCO</t>
  </si>
  <si>
    <t>KABALISA DIEUDONE</t>
  </si>
  <si>
    <t>KABARISA  DIEU  DONNE</t>
  </si>
  <si>
    <t>GS NYAGIHUNIKA</t>
  </si>
  <si>
    <t>GS MUKO  1</t>
  </si>
  <si>
    <t>EP NYARUSOZI</t>
  </si>
  <si>
    <t>GS BUGAMBIRA</t>
  </si>
  <si>
    <t>DASSO/KAYONZA</t>
  </si>
  <si>
    <t>AFRICAN CHILD ACADEMY</t>
  </si>
  <si>
    <t>GS NYAGATOVU</t>
  </si>
  <si>
    <t>GS RWIKINIRO</t>
  </si>
  <si>
    <t>GS KIZIGURO</t>
  </si>
  <si>
    <t>GS RUTARE</t>
  </si>
  <si>
    <t>GS BRIGHT VISION</t>
  </si>
  <si>
    <t>GS BLIGHT VISION</t>
  </si>
  <si>
    <t>GS PAYSANNAT G</t>
  </si>
  <si>
    <t>ES RURAMIRA</t>
  </si>
  <si>
    <t>KIRAMURUZI SECTOR</t>
  </si>
  <si>
    <t>CS NYAMIRAMA</t>
  </si>
  <si>
    <t>C S GAKENKE</t>
  </si>
  <si>
    <t>EP MUMURI</t>
  </si>
  <si>
    <t>KARAMA SECTOR</t>
  </si>
  <si>
    <t>GS SYANGA</t>
  </si>
  <si>
    <t>GS GATORE</t>
  </si>
  <si>
    <t>GS RUGOGWE</t>
  </si>
  <si>
    <t>HERSLF</t>
  </si>
  <si>
    <t>GATSIBO DISTRICT</t>
  </si>
  <si>
    <t>EP GISUBIZO</t>
  </si>
  <si>
    <t>GS MUZIZI</t>
  </si>
  <si>
    <t>GS NYAWERA</t>
  </si>
  <si>
    <t>NYAMIRAMA TVET</t>
  </si>
  <si>
    <t>KIBUNGO HOSPITAL</t>
  </si>
  <si>
    <t>GS GATEGERA</t>
  </si>
  <si>
    <t>GS  NYAWERA</t>
  </si>
  <si>
    <t>GAHINI SACCO</t>
  </si>
  <si>
    <t>06/11/2025</t>
  </si>
  <si>
    <t>1/NAP19E73/10340001/06/11/2025</t>
  </si>
  <si>
    <t>007743302</t>
  </si>
  <si>
    <t>2/NAP20E37/10340001/06/11/2025</t>
  </si>
  <si>
    <t>015687235</t>
  </si>
  <si>
    <t>3/NAP20E35/10340001/06/11/2025</t>
  </si>
  <si>
    <t>10433148A</t>
  </si>
  <si>
    <t>4/NAP25CF926/10340001/06/11/2025</t>
  </si>
  <si>
    <t>015850379</t>
  </si>
  <si>
    <t>5/NAP24CZ89/10340001/06/11/2025</t>
  </si>
  <si>
    <t>19650080R</t>
  </si>
  <si>
    <t>6/NAP25CF930/10340001/06/11/2025</t>
  </si>
  <si>
    <t>015903245</t>
  </si>
  <si>
    <t>7/NAP20I47/10340001/06/11/2025</t>
  </si>
  <si>
    <t>0149915</t>
  </si>
  <si>
    <t>8/NAP21T60/10340001/06/11/2025</t>
  </si>
  <si>
    <t>015684304</t>
  </si>
  <si>
    <t>9/NAP24CZ89/10340001/06/11/2025</t>
  </si>
  <si>
    <t>10/NAP25N20/10340001/06/11/2025</t>
  </si>
  <si>
    <t>015971642</t>
  </si>
  <si>
    <t>11/NAP25CF936/10340001/06/11/2025</t>
  </si>
  <si>
    <t>015736080</t>
  </si>
  <si>
    <t>12/NAP23BJ88/10340001/06/11/2025</t>
  </si>
  <si>
    <t>19956907z</t>
  </si>
  <si>
    <t>13/NAP23F59/10340001/06/11/2025</t>
  </si>
  <si>
    <t>19917394T</t>
  </si>
  <si>
    <t>14/NAP25CF941/10340001/06/11/2025</t>
  </si>
  <si>
    <t>015875214</t>
  </si>
  <si>
    <t>15/NAP25CF943/10340001/06/11/2025</t>
  </si>
  <si>
    <t>015505302</t>
  </si>
  <si>
    <t>16/NAP22BZ07/10340001/06/11/2025</t>
  </si>
  <si>
    <t>17/NAP19AD16/10340001/06/11/2025</t>
  </si>
  <si>
    <t>18/NAP20AN85/10340001/06/11/2025</t>
  </si>
  <si>
    <t>015762539</t>
  </si>
  <si>
    <t>19/NAP25CF945/10340001/06/11/2025</t>
  </si>
  <si>
    <t>10799034V</t>
  </si>
  <si>
    <t>20/NAP24CN05/10340001/06/11/2025</t>
  </si>
  <si>
    <t>015626864</t>
  </si>
  <si>
    <t>21/NAP24M31/10340001/06/11/2025</t>
  </si>
  <si>
    <t>015885762</t>
  </si>
  <si>
    <t>22/NAP20AY79/10340001/06/11/2025</t>
  </si>
  <si>
    <t>0097578</t>
  </si>
  <si>
    <t>23/NAP19B77/10340001/06/11/2025</t>
  </si>
  <si>
    <t>0070718</t>
  </si>
  <si>
    <t>24/NAP23Y01/10340001/06/11/2025</t>
  </si>
  <si>
    <t>0066683</t>
  </si>
  <si>
    <t>25/NAP25CF266/10340001/06/11/2025</t>
  </si>
  <si>
    <t>20179472X</t>
  </si>
  <si>
    <t>26/NAP25CF943/10340001/06/11/2025</t>
  </si>
  <si>
    <t>27/NAP24BZ66/10340001/06/11/2025</t>
  </si>
  <si>
    <t>002732800</t>
  </si>
  <si>
    <t>28/NAP24AY39/10340001/06/11/2025</t>
  </si>
  <si>
    <t>015939308</t>
  </si>
  <si>
    <t>29/NAP22AI25/10340001/06/11/2025</t>
  </si>
  <si>
    <t>015788378</t>
  </si>
  <si>
    <t>30/NAP25AO88/10340001/06/11/2025</t>
  </si>
  <si>
    <t>20110503F</t>
  </si>
  <si>
    <t>31/NAP21AJ88/10340001/06/11/2025</t>
  </si>
  <si>
    <t>012114300</t>
  </si>
  <si>
    <t>32/NAP24BE89/10340001/06/11/2025</t>
  </si>
  <si>
    <t>015614255</t>
  </si>
  <si>
    <t>33/NAP25BE55/10340001/06/11/2025</t>
  </si>
  <si>
    <t>20650442W</t>
  </si>
  <si>
    <t>34/NAP20L61/10340001/06/11/2025</t>
  </si>
  <si>
    <t>0064651</t>
  </si>
  <si>
    <t>35/NAP23CN42/10340001/06/11/2025</t>
  </si>
  <si>
    <t>015914708</t>
  </si>
  <si>
    <t>36/NAP24AT99/10340001/06/11/2025</t>
  </si>
  <si>
    <t>015917115</t>
  </si>
  <si>
    <t>37/NAP25CF967/10340001/06/11/2025</t>
  </si>
  <si>
    <t>19919479H</t>
  </si>
  <si>
    <t>38/NAP20Q89/10340001/06/11/2025</t>
  </si>
  <si>
    <t>015761468</t>
  </si>
  <si>
    <t>39/NAP24AJ30/10340001/06/11/2025</t>
  </si>
  <si>
    <t>19486585N</t>
  </si>
  <si>
    <t>40/NAP22AA90/10340001/06/11/2025</t>
  </si>
  <si>
    <t>19925384G</t>
  </si>
  <si>
    <t>41/NAP25CF623/10340001/06/11/2025</t>
  </si>
  <si>
    <t>006888200</t>
  </si>
  <si>
    <t>42/NAP25CF979/10340001/06/11/2025</t>
  </si>
  <si>
    <t>015750394</t>
  </si>
  <si>
    <t>43/NAP22AH84/10340001/06/11/2025</t>
  </si>
  <si>
    <t>19351044Y</t>
  </si>
  <si>
    <t>44/NAP23CM10/10340001/06/11/2025</t>
  </si>
  <si>
    <t>015921622</t>
  </si>
  <si>
    <t>45/NAP24AF62/10340001/06/11/2025</t>
  </si>
  <si>
    <t>19925015C</t>
  </si>
  <si>
    <t>46/NAP21W73/10340001/06/11/2025</t>
  </si>
  <si>
    <t>19450493B</t>
  </si>
  <si>
    <t>47/NAP20O74/10340001/06/11/2025</t>
  </si>
  <si>
    <t>015573616</t>
  </si>
  <si>
    <t>20628510N</t>
  </si>
  <si>
    <t>015977561</t>
  </si>
  <si>
    <t>015977558</t>
  </si>
  <si>
    <t>007545000</t>
  </si>
  <si>
    <t>015825882</t>
  </si>
  <si>
    <t>015727531</t>
  </si>
  <si>
    <t>UTAKALIZA BENITHA</t>
  </si>
  <si>
    <t>MUVARA KEVINE UMWARI</t>
  </si>
  <si>
    <t>YANKURIJE VESTINE</t>
  </si>
  <si>
    <t>HOPE PROMESSE INEZA</t>
  </si>
  <si>
    <t>NEEMA ALINE</t>
  </si>
  <si>
    <t>AMANDA BRIELLA DUSENGIMANA</t>
  </si>
  <si>
    <t>HABUMUGISHA EUGENE</t>
  </si>
  <si>
    <t>IHIRWE YUBILE HAULA</t>
  </si>
  <si>
    <t>OZZY NTSINZI</t>
  </si>
  <si>
    <t>NIYOBYOSE ANGE PAMELLA</t>
  </si>
  <si>
    <t>UWIMBABAZI JOSELYNE</t>
  </si>
  <si>
    <t>MANIKUZE AYIRINE</t>
  </si>
  <si>
    <t>NGABO AIME LANDRY</t>
  </si>
  <si>
    <t>IRAKOZE JOLLY QUEEN</t>
  </si>
  <si>
    <t>NIYONZIMA JEAN BAPTISTE</t>
  </si>
  <si>
    <t>MANZI NELSON</t>
  </si>
  <si>
    <t>MUKUZEYEZU INNOCENT</t>
  </si>
  <si>
    <t>NYIRAMAHORO JEANNE D`ARC</t>
  </si>
  <si>
    <t>AGATAAKO MILA REESE</t>
  </si>
  <si>
    <t>NTIVUNWA EMMANUEL</t>
  </si>
  <si>
    <t>KABAGEMA H.JOSEPHINE</t>
  </si>
  <si>
    <t>MARTINE NIYOKINDI</t>
  </si>
  <si>
    <t>KAYESU DONATHA</t>
  </si>
  <si>
    <t>NZEYIMANA FRODUAR</t>
  </si>
  <si>
    <t>ETHAN IRASUBIZA ISHIMWE</t>
  </si>
  <si>
    <t>ARNOLD ISHIMWE NGENZI</t>
  </si>
  <si>
    <t>BEATRICE NYIRANSABIMANA</t>
  </si>
  <si>
    <t>KANSIIME WINNIE</t>
  </si>
  <si>
    <t>KAMANZI TITE</t>
  </si>
  <si>
    <t>VALENTINE NIYIREMA ISHIMWE</t>
  </si>
  <si>
    <t>NTIRENGANYA ANNONCEE</t>
  </si>
  <si>
    <t>INEZA AUDREY STESSY</t>
  </si>
  <si>
    <t>ELLA CHRISTELLA KUNDWA</t>
  </si>
  <si>
    <t>BEBE UMUTANGAMPUNDU ADELINE</t>
  </si>
  <si>
    <t>ABATESI VUGUZIGA ALICE</t>
  </si>
  <si>
    <t>JEANNETTE AHADI MUPENZI</t>
  </si>
  <si>
    <t>IKIMPAYE CLARISSE</t>
  </si>
  <si>
    <t>GILBERT SEZIBERA</t>
  </si>
  <si>
    <t>SHALLON KEZA</t>
  </si>
  <si>
    <t>UWIMANA EGIDIA</t>
  </si>
  <si>
    <t>GLORY JOSHUA ATUHAIRWE</t>
  </si>
  <si>
    <t>SYLVAIN KAPITENI</t>
  </si>
  <si>
    <t>NYIRANSEKUYE FURAHA</t>
  </si>
  <si>
    <t>ZARIMPUHWE DOUCE MOISE</t>
  </si>
  <si>
    <t>SANDRINE RAFIKI BRAZIYA</t>
  </si>
  <si>
    <t>SHINE AAIRA IRAKOZE</t>
  </si>
  <si>
    <t>SHAHEER BRIGHT MUNYEMBARAGA</t>
  </si>
  <si>
    <t>RUGOYEZA BAYENA</t>
  </si>
  <si>
    <t>IMANZI RYAN GOODNESS</t>
  </si>
  <si>
    <t>ISHEMA IVAN GOODMAN</t>
  </si>
  <si>
    <t>KABANYANA  ALLEN</t>
  </si>
  <si>
    <t>YANKURIJE  VESTINE</t>
  </si>
  <si>
    <t>XAVIER NIYITEGEKA</t>
  </si>
  <si>
    <t>YUBILE JEAN</t>
  </si>
  <si>
    <t>SIMPLICE NGIRABAKUNZI</t>
  </si>
  <si>
    <t>TWAGIRIMANA JEAN PIERRE</t>
  </si>
  <si>
    <t>OLIVE UWIRAGIYE</t>
  </si>
  <si>
    <t>SERAPHINE MUKASHYAKA</t>
  </si>
  <si>
    <t>MIZINGA NATHAN</t>
  </si>
  <si>
    <t>NTEZIMANA LEONIDAS</t>
  </si>
  <si>
    <t>CHRISTIAN BIMENYIMANA</t>
  </si>
  <si>
    <t>USABINEMA CHRISTINE</t>
  </si>
  <si>
    <t xml:space="preserve">SANDRINE IRADUKUNDA </t>
  </si>
  <si>
    <t>IRADUKUNDA SANDRINE</t>
  </si>
  <si>
    <t>KATONGOLE SAM MWIZERWA</t>
  </si>
  <si>
    <t>NYIRASANGWA ESTHER</t>
  </si>
  <si>
    <t>UWITONZE ODETTE</t>
  </si>
  <si>
    <t>ALEX MUNYANEZA</t>
  </si>
  <si>
    <t>ADELINE UMUTANGAMPUNDU</t>
  </si>
  <si>
    <t>MUDUMIZI PATRICK</t>
  </si>
  <si>
    <t>JUDITH MUKANDAHAYO</t>
  </si>
  <si>
    <t>ENOCK RUTAGONYA</t>
  </si>
  <si>
    <t>UWIMANA EGIDIE</t>
  </si>
  <si>
    <t>YANKURIJE MARIE JANNE</t>
  </si>
  <si>
    <t>MAKENGO  MIKARA</t>
  </si>
  <si>
    <t>MUREKEZI CLAUDE</t>
  </si>
  <si>
    <t>MUREKEZI  CLOUDE</t>
  </si>
  <si>
    <t>UR RUKARA CAMPUS</t>
  </si>
  <si>
    <t>CSMZ</t>
  </si>
  <si>
    <t>EP BIRYOGO</t>
  </si>
  <si>
    <t>GS  GAKONI  CATHORIC</t>
  </si>
  <si>
    <t>GS NYABISINDU</t>
  </si>
  <si>
    <t>GS NTETE</t>
  </si>
  <si>
    <t>EP RWINKUBA</t>
  </si>
  <si>
    <t>PS BUSHENYI</t>
  </si>
  <si>
    <t>NZIGE HEALTH CENTER</t>
  </si>
  <si>
    <t>RUKIRA SECTOR</t>
  </si>
  <si>
    <t>RISA</t>
  </si>
  <si>
    <t>GS MUHURA</t>
  </si>
  <si>
    <t>COLLEGE LUMIERE GASHONGA</t>
  </si>
  <si>
    <t>GAKONI TSS</t>
  </si>
  <si>
    <t>EP MIYANGA</t>
  </si>
  <si>
    <t>GS KIBAYA</t>
  </si>
  <si>
    <t>EP  KABUYA</t>
  </si>
  <si>
    <t>GAKONI TVT</t>
  </si>
  <si>
    <t>KAYONZA DISTICT</t>
  </si>
  <si>
    <t>EP GASHYA</t>
  </si>
  <si>
    <t>CS RUTARE</t>
  </si>
  <si>
    <t>GS KABEZA</t>
  </si>
  <si>
    <t>EP MUKARANGE PROTESTE</t>
  </si>
  <si>
    <t>GS MUKARANGE CATHOLIQUE</t>
  </si>
  <si>
    <t>CENTRE DE SANTE RUTARE</t>
  </si>
  <si>
    <t>GAHARA SECTOR</t>
  </si>
  <si>
    <t>GS  KAYONZA</t>
  </si>
  <si>
    <t>DISTRICT KAYONZA</t>
  </si>
  <si>
    <t>07/11/2025</t>
  </si>
  <si>
    <t>1/NAP25CF986/10340001/07/11/2025</t>
  </si>
  <si>
    <t>0143741</t>
  </si>
  <si>
    <t>2/NAP25J21/10340001/07/11/2025</t>
  </si>
  <si>
    <t>10482550F</t>
  </si>
  <si>
    <t>3/NAP21BL54/10340001/07/11/2025</t>
  </si>
  <si>
    <t>0068682</t>
  </si>
  <si>
    <t>4/NAP25Y41/10340001/07/11/2025</t>
  </si>
  <si>
    <t>015778186</t>
  </si>
  <si>
    <t>5/NAP25CF989/10340001/07/11/2025</t>
  </si>
  <si>
    <t>0066675</t>
  </si>
  <si>
    <t>6/NAP21Y47/10340001/07/11/2025</t>
  </si>
  <si>
    <t>10691739M</t>
  </si>
  <si>
    <t>7/NAP19W49/10340001/07/11/2025</t>
  </si>
  <si>
    <t>015730000</t>
  </si>
  <si>
    <t>8/NAP25CE941/10340001/07/11/2025</t>
  </si>
  <si>
    <t>007025901</t>
  </si>
  <si>
    <t>9/NAP25Z91/10340001/07/11/2025</t>
  </si>
  <si>
    <t>015828074</t>
  </si>
  <si>
    <t>10/NAP24BB12/10340001/07/11/2025</t>
  </si>
  <si>
    <t>015636773</t>
  </si>
  <si>
    <t>11/NAP25CF991/10340001/07/11/2025</t>
  </si>
  <si>
    <t>015902131</t>
  </si>
  <si>
    <t>12/NAP25CF692/10340001/07/11/2025</t>
  </si>
  <si>
    <t>13/NAP22CN03/10340001/07/11/2025</t>
  </si>
  <si>
    <t>0073658</t>
  </si>
  <si>
    <t>14/NAP19F35/10340001/07/11/2025</t>
  </si>
  <si>
    <t>015509558</t>
  </si>
  <si>
    <t>15/NAP25CF994/10340001/07/11/2025</t>
  </si>
  <si>
    <t>001865604</t>
  </si>
  <si>
    <t>16/NAP25CF879/10340001/07/11/2025</t>
  </si>
  <si>
    <t>17/NAP19BI05/10340001/07/11/2025</t>
  </si>
  <si>
    <t>0129606</t>
  </si>
  <si>
    <t>18/NAP24AH57/10340001/07/11/2025</t>
  </si>
  <si>
    <t>0076603</t>
  </si>
  <si>
    <t>19/NAP24Z69/10340001/07/11/2025</t>
  </si>
  <si>
    <t>015616278</t>
  </si>
  <si>
    <t>20/NAP24BH19/10340001/07/11/2025</t>
  </si>
  <si>
    <t>015869141</t>
  </si>
  <si>
    <t>21/NAP25CE937/10340001/07/11/2025</t>
  </si>
  <si>
    <t>015727621</t>
  </si>
  <si>
    <t>22/NAP23AH73/10340001/07/11/2025</t>
  </si>
  <si>
    <t>0132190</t>
  </si>
  <si>
    <t>23/NAP23G24/10340001/07/11/2025</t>
  </si>
  <si>
    <t>0126003</t>
  </si>
  <si>
    <t>24/NAP25CF341/10340001/07/11/2025</t>
  </si>
  <si>
    <t>015746292</t>
  </si>
  <si>
    <t>25/NAP19AR33/10340001/07/11/2025</t>
  </si>
  <si>
    <t>014323900</t>
  </si>
  <si>
    <t>26/NAP25CG09/10340001/07/11/2025</t>
  </si>
  <si>
    <t>20082779M</t>
  </si>
  <si>
    <t>27/NAP25CG11/10340001/07/11/2025</t>
  </si>
  <si>
    <t>015596788</t>
  </si>
  <si>
    <t>28/NAP25CG13/10340001/07/11/2025</t>
  </si>
  <si>
    <t>19636996M</t>
  </si>
  <si>
    <t>29/NAP25CG14/10340001/07/11/2025</t>
  </si>
  <si>
    <t>20132688R</t>
  </si>
  <si>
    <t>30/NAP25CE788/10340001/07/11/2025</t>
  </si>
  <si>
    <t>20394628K</t>
  </si>
  <si>
    <t>31/NAP25CG16/10340001/07/11/2025</t>
  </si>
  <si>
    <t>007048002</t>
  </si>
  <si>
    <t>32/NAP24AL68/10340001/07/11/2025</t>
  </si>
  <si>
    <t>33/NAP23AB74/10340001/07/11/2025</t>
  </si>
  <si>
    <t>015577220</t>
  </si>
  <si>
    <t>34/NAP25S24/10340001/07/11/2025</t>
  </si>
  <si>
    <t>0069783</t>
  </si>
  <si>
    <t>35/NAP20S76/10340001/07/11/2025</t>
  </si>
  <si>
    <t>0076134</t>
  </si>
  <si>
    <t>36/NAP24AC64/10340001/07/11/2025</t>
  </si>
  <si>
    <t>37/NAP24BN48/10340001/07/11/2025</t>
  </si>
  <si>
    <t>010204700</t>
  </si>
  <si>
    <t>38/NAP22AY87/10340001/07/11/2025</t>
  </si>
  <si>
    <t>0111463</t>
  </si>
  <si>
    <t>39/NAP23Y76/10340001/07/11/2025</t>
  </si>
  <si>
    <t>19992427f</t>
  </si>
  <si>
    <t>40/NAP19T49/10340001/07/11/2025</t>
  </si>
  <si>
    <t>015728434</t>
  </si>
  <si>
    <t>41/NAP23CC91/10340001/07/11/2025</t>
  </si>
  <si>
    <t>015917090</t>
  </si>
  <si>
    <t>42/NAP25CG22/10340001/07/11/2025</t>
  </si>
  <si>
    <t>0152235</t>
  </si>
  <si>
    <t>43/NAP20N41/10340001/07/11/2025</t>
  </si>
  <si>
    <t>015960570</t>
  </si>
  <si>
    <t>44/NAP24C46/10340001/07/11/2025</t>
  </si>
  <si>
    <t>19992331L</t>
  </si>
  <si>
    <t>45/NAP24BH29/10340001/07/11/2025</t>
  </si>
  <si>
    <t>015937907</t>
  </si>
  <si>
    <t>46/NAP23BM39/10340001/07/11/2025</t>
  </si>
  <si>
    <t>0071696</t>
  </si>
  <si>
    <t>47/NAP23U73/10340001/07/11/2025</t>
  </si>
  <si>
    <t>015871988</t>
  </si>
  <si>
    <t>48/NAP23BI27/10340001/07/11/2025</t>
  </si>
  <si>
    <t>015808429</t>
  </si>
  <si>
    <t>49/NAP25BM23/10340001/07/11/2025</t>
  </si>
  <si>
    <t>19906995b</t>
  </si>
  <si>
    <t>50/NAP25CG27/10340001/07/11/2025</t>
  </si>
  <si>
    <t>015792667</t>
  </si>
  <si>
    <t>51/NAP23AI08/10340001/07/11/2025</t>
  </si>
  <si>
    <t>19767044G</t>
  </si>
  <si>
    <t>52/NAP25CG34/10340001/07/11/2025</t>
  </si>
  <si>
    <t>015922991</t>
  </si>
  <si>
    <t>53/NAP19U88/10340001/07/11/2025</t>
  </si>
  <si>
    <t>0073524</t>
  </si>
  <si>
    <t>54/NAP24BF29/10340001/07/11/2025</t>
  </si>
  <si>
    <t>015944416</t>
  </si>
  <si>
    <t>55/NAP25CG40/10340001/07/11/2025</t>
  </si>
  <si>
    <t>015821032</t>
  </si>
  <si>
    <t>56/NAP21AV71/10340001/07/11/2025</t>
  </si>
  <si>
    <t>015786235</t>
  </si>
  <si>
    <t>57/NAP24K08/10340001/07/11/2025</t>
  </si>
  <si>
    <t>015902029</t>
  </si>
  <si>
    <t>58/NAP23AF69/10340001/07/11/2025</t>
  </si>
  <si>
    <t>015876040</t>
  </si>
  <si>
    <t>IRIBAGIZA HYACINTHE</t>
  </si>
  <si>
    <t>NTAWANGA JUSTIN</t>
  </si>
  <si>
    <t>MUKUNGAYIRE MARIE JOSIANNE</t>
  </si>
  <si>
    <t>ORA ABIKUNDA</t>
  </si>
  <si>
    <t>UWIZEYE BEATRICE</t>
  </si>
  <si>
    <t>HAKIZIMANA FIDELE</t>
  </si>
  <si>
    <t>IMFURA MUTABAZI LELIA</t>
  </si>
  <si>
    <t>SEBANANI MARDOCHEE</t>
  </si>
  <si>
    <t>LINDA KAYLA IRAMPOJEJE</t>
  </si>
  <si>
    <t>EUSTRADA MUKASHEMA</t>
  </si>
  <si>
    <t>MUTESI EVA SADIE CHANIA</t>
  </si>
  <si>
    <t>MUKANGABONZIZA JACQUELINE</t>
  </si>
  <si>
    <t>CYUSA FIACLE</t>
  </si>
  <si>
    <t>IRADUKUNDA KEVINE</t>
  </si>
  <si>
    <t>UWIMANA GODELIEVE</t>
  </si>
  <si>
    <t>INGABIRE MARIE CHANTAL</t>
  </si>
  <si>
    <t>IMENA EBBA SHILLOH</t>
  </si>
  <si>
    <t>KABUHIRE INNOCENT</t>
  </si>
  <si>
    <t>BIZIMANA PASCAL</t>
  </si>
  <si>
    <t>MUREKATETE BEATRICE</t>
  </si>
  <si>
    <t>NEHEMIA INGENZI</t>
  </si>
  <si>
    <t>MUSANABERA CLEMENTINE</t>
  </si>
  <si>
    <t>TURIKUMUKIZA EMMANUEL</t>
  </si>
  <si>
    <t>INEZA EMERY</t>
  </si>
  <si>
    <t>DATIVE UWITIJE</t>
  </si>
  <si>
    <t>UWANJYE PITIE</t>
  </si>
  <si>
    <t>IRABIZI ROSELINE NKURUNZIZA</t>
  </si>
  <si>
    <t>UMUTONIWASE DIANE</t>
  </si>
  <si>
    <t>UWIMANA ESRON</t>
  </si>
  <si>
    <t>UWIMANA MATHILDE</t>
  </si>
  <si>
    <t>BAGIRISHYA ADALBERT</t>
  </si>
  <si>
    <t>MUKARUSAGARA BEATA</t>
  </si>
  <si>
    <t>BYUKUSENGE BRIGITTE</t>
  </si>
  <si>
    <t>MUKAKARERA EURELIE</t>
  </si>
  <si>
    <t>ALEXIA UWIMANA</t>
  </si>
  <si>
    <t>ITUZE SHIMA HORNELLA</t>
  </si>
  <si>
    <t>ASSIDU SUBLIME DUSANAWE</t>
  </si>
  <si>
    <t>BEBE JACQUELINE MASENGESHO</t>
  </si>
  <si>
    <t>IRANZI JASPER</t>
  </si>
  <si>
    <t>KIBERINKA YVONNE</t>
  </si>
  <si>
    <t>KAMIKAZI SKYLA AGANZE</t>
  </si>
  <si>
    <t>JACQUELINE MUKARURANGWA</t>
  </si>
  <si>
    <t>CRESSIDA INEZA MUTAGANZWA</t>
  </si>
  <si>
    <t>NTAHOBARI MAURICE</t>
  </si>
  <si>
    <t>TUYISHIMIRE EMERANCE</t>
  </si>
  <si>
    <t>SEBUKINO PAUL</t>
  </si>
  <si>
    <t>NZABONIMPA CLAUDE</t>
  </si>
  <si>
    <t>MUDAKUBANA EDOUARD</t>
  </si>
  <si>
    <t>KARAKE NATHAN</t>
  </si>
  <si>
    <t>KYLIE WILLOW KAYITARE</t>
  </si>
  <si>
    <t>IMPANO SANGWA AIME MODESTE</t>
  </si>
  <si>
    <t>KAMALI TETA QUEEN</t>
  </si>
  <si>
    <t>BWIZA GABRIELLA</t>
  </si>
  <si>
    <t>MUTESI CHRISTINE</t>
  </si>
  <si>
    <t>MANIRAKIZA JEAN</t>
  </si>
  <si>
    <t>MUTABAZI PAUL</t>
  </si>
  <si>
    <t>VENERANDA DUSHIME</t>
  </si>
  <si>
    <t>ERIC SIBOMANA</t>
  </si>
  <si>
    <t>NKUSI STANISLAS</t>
  </si>
  <si>
    <t>PHILOMENE KWIHANGANA NIYIBIZI</t>
  </si>
  <si>
    <t>UWAMAHORO JEREMIE</t>
  </si>
  <si>
    <t>MWIZERWA PLACIDE</t>
  </si>
  <si>
    <t>MUREKATETE PEACE</t>
  </si>
  <si>
    <t>UWANYIRIGIRA VANILLA</t>
  </si>
  <si>
    <t>MUKANDAHIRO IMMACULEE</t>
  </si>
  <si>
    <t>NTIGURIRWA J DAMASCENE</t>
  </si>
  <si>
    <t>UMUKUNZI LILIANE</t>
  </si>
  <si>
    <t>MUSABYEYEZU GEORGETTE</t>
  </si>
  <si>
    <t>KAGOYIRE CHARLOTTE</t>
  </si>
  <si>
    <t>FERDINAND HAKIZIMANA</t>
  </si>
  <si>
    <t>MACUMI  PATIEN</t>
  </si>
  <si>
    <t>NEOPHYTE UHAWENAYO</t>
  </si>
  <si>
    <t>JACQUELINE MASENGESHO</t>
  </si>
  <si>
    <t>MAURICE MWIZERWA</t>
  </si>
  <si>
    <t xml:space="preserve"> ABDOULKALIM MUTAGANZWA</t>
  </si>
  <si>
    <t>NCAHINYERETSE SANDRINE</t>
  </si>
  <si>
    <t>UWAMBAJIMANA PHILOMEN</t>
  </si>
  <si>
    <t>JOSELYNE MUKAMUNEZA</t>
  </si>
  <si>
    <t>STEVEN KAYITARE</t>
  </si>
  <si>
    <t>TUYISHIMIRE RUTH</t>
  </si>
  <si>
    <t>KAMALI  GEOFFREY</t>
  </si>
  <si>
    <t>PAUL BIGIRIMANA</t>
  </si>
  <si>
    <t>BIGIRIMANA  PAUL</t>
  </si>
  <si>
    <t>GS KAZO</t>
  </si>
  <si>
    <t>GS GATEGERO</t>
  </si>
  <si>
    <t>IPRC TUMBA</t>
  </si>
  <si>
    <t>RSSB REMERA</t>
  </si>
  <si>
    <t>TVT KARAMA</t>
  </si>
  <si>
    <t>PANSIONNE</t>
  </si>
  <si>
    <t>EP RWESERO</t>
  </si>
  <si>
    <t>CS GAKENKE</t>
  </si>
  <si>
    <t>GS RUGANDA</t>
  </si>
  <si>
    <t>E.S.KABARONDO</t>
  </si>
  <si>
    <t xml:space="preserve">EP MBURABUTURO </t>
  </si>
  <si>
    <t>GS KIRAMURUZI</t>
  </si>
  <si>
    <t>GS PAYSANNAT D</t>
  </si>
  <si>
    <t>EP TUNDUTI</t>
  </si>
  <si>
    <t>GS RWAKABANDA</t>
  </si>
  <si>
    <t>GS SERESI</t>
  </si>
  <si>
    <t>GS GIHUMBA</t>
  </si>
  <si>
    <t>GS BUBAZI</t>
  </si>
  <si>
    <t>GS GIHINGA</t>
  </si>
  <si>
    <t>EP KAYITA</t>
  </si>
  <si>
    <t>GS NKONDO2</t>
  </si>
  <si>
    <t>G S RWAKABANDA</t>
  </si>
  <si>
    <t xml:space="preserve">E P PRIMAIRE PROTSTANT </t>
  </si>
  <si>
    <t>GS NYANKURAZO</t>
  </si>
  <si>
    <t>KIGALI CHRISTIAN SCHOOL</t>
  </si>
  <si>
    <t>AKAGERA MANAGEMENT CAMPANY</t>
  </si>
  <si>
    <t>GS GAKOROKOMBE</t>
  </si>
  <si>
    <t>EP GARA</t>
  </si>
  <si>
    <t>08/11/2025</t>
  </si>
  <si>
    <t>1/NAP24I39/10340001/08/11/2025</t>
  </si>
  <si>
    <t>2/NAP22BY66/10340001/08/11/2025</t>
  </si>
  <si>
    <t>3/NAP25AY38/10340001/08/11/2025</t>
  </si>
  <si>
    <t>015826302</t>
  </si>
  <si>
    <t>4/NAP25AJ63/10340001/08/11/2025</t>
  </si>
  <si>
    <t>007204900</t>
  </si>
  <si>
    <t>5/NAP25G05/10340001/08/11/2025</t>
  </si>
  <si>
    <t>015855469</t>
  </si>
  <si>
    <t>6/NAP24V22/10340001/08/11/2025</t>
  </si>
  <si>
    <t>015700833</t>
  </si>
  <si>
    <t>7/NAP25CF293/10340001/08/11/2025</t>
  </si>
  <si>
    <t>015764984</t>
  </si>
  <si>
    <t>8/NAP25AC85/10340001/08/11/2025</t>
  </si>
  <si>
    <t>9/NAP24AW13/10340001/08/11/2025</t>
  </si>
  <si>
    <t>015936640</t>
  </si>
  <si>
    <t>10/NAP22BD27/10340001/08/11/2025</t>
  </si>
  <si>
    <t>015832860</t>
  </si>
  <si>
    <t>11/NAP23AZ24/10340001/08/11/2025</t>
  </si>
  <si>
    <t>0127413</t>
  </si>
  <si>
    <t>12/NAP25F81/10340001/08/11/2025</t>
  </si>
  <si>
    <t>002278302</t>
  </si>
  <si>
    <t>13/NAP25CG52/10340001/08/11/2025</t>
  </si>
  <si>
    <t>015559651</t>
  </si>
  <si>
    <t>14/NAP24CU68/10340001/08/11/2025</t>
  </si>
  <si>
    <t>015963729</t>
  </si>
  <si>
    <t>15/NAP25CG54/10340001/08/11/2025</t>
  </si>
  <si>
    <t>20230925P</t>
  </si>
  <si>
    <t>16/NAP25CF661/10340001/08/11/2025</t>
  </si>
  <si>
    <t>015526510</t>
  </si>
  <si>
    <t>17/NAP25CG56/10340001/08/11/2025</t>
  </si>
  <si>
    <t>015998425</t>
  </si>
  <si>
    <t>18/NAP19AP05/10340001/08/11/2025</t>
  </si>
  <si>
    <t>015699530</t>
  </si>
  <si>
    <t>19/NAP23AW97/10340001/08/11/2025</t>
  </si>
  <si>
    <t>015894935</t>
  </si>
  <si>
    <t>20/NAP25CG57/10340001/08/11/2025</t>
  </si>
  <si>
    <t>015554486</t>
  </si>
  <si>
    <t>21/NAP21BP56/10340001/08/11/2025</t>
  </si>
  <si>
    <t>015729461</t>
  </si>
  <si>
    <t>22/NAP19Q90/10340001/08/11/2025</t>
  </si>
  <si>
    <t>0070699</t>
  </si>
  <si>
    <t>23/NAP20T42/10340001/08/11/2025</t>
  </si>
  <si>
    <t>015767495</t>
  </si>
  <si>
    <t>24/NAP25CG58/10340001/08/11/2025</t>
  </si>
  <si>
    <t>015873149</t>
  </si>
  <si>
    <t>25/NAP25CG61/10340001/08/11/2025</t>
  </si>
  <si>
    <t>015787867</t>
  </si>
  <si>
    <t>26/NAP25CF111/10340001/08/11/2025</t>
  </si>
  <si>
    <t>007524200</t>
  </si>
  <si>
    <t>27/NAP22BA54/10340001/08/11/2025</t>
  </si>
  <si>
    <t>19613400M</t>
  </si>
  <si>
    <t>28/NAP23BR24/10340001/08/11/2025</t>
  </si>
  <si>
    <t>015812157</t>
  </si>
  <si>
    <t>29/NAP24BW14/10340001/08/11/2025</t>
  </si>
  <si>
    <t>014831101</t>
  </si>
  <si>
    <t>30/NAP21DG79/10340001/08/11/2025</t>
  </si>
  <si>
    <t>19349613V</t>
  </si>
  <si>
    <t>31/NAP23AB66/10340001/08/11/2025</t>
  </si>
  <si>
    <t>015874682</t>
  </si>
  <si>
    <t>32/NAP19AN57/10340001/08/11/2025</t>
  </si>
  <si>
    <t>015699891</t>
  </si>
  <si>
    <t>33/NAP19G80/10340001/08/11/2025</t>
  </si>
  <si>
    <t>015729156</t>
  </si>
  <si>
    <t>34/NAP21DA24/10340001/08/11/2025</t>
  </si>
  <si>
    <t>015820196</t>
  </si>
  <si>
    <t>35/NAP23CC56/10340001/08/11/2025</t>
  </si>
  <si>
    <t>11031838R</t>
  </si>
  <si>
    <t>36/NAP22BD30/10340001/08/11/2025</t>
  </si>
  <si>
    <t>015785826</t>
  </si>
  <si>
    <t>37/NAP24F54/10340001/08/11/2025</t>
  </si>
  <si>
    <t>015847202</t>
  </si>
  <si>
    <t>38/NAP23T78/10340001/08/11/2025</t>
  </si>
  <si>
    <t>39/NAP23O66/10340001/08/11/2025</t>
  </si>
  <si>
    <t>015767648</t>
  </si>
  <si>
    <t>40/NAP25CF332/10340001/08/11/2025</t>
  </si>
  <si>
    <t>015999216</t>
  </si>
  <si>
    <t>41/NAP22CO31/10340001/08/11/2025</t>
  </si>
  <si>
    <t>19556501H</t>
  </si>
  <si>
    <t>42/NAP22CK21/10340001/08/11/2025</t>
  </si>
  <si>
    <t xml:space="preserve"> 015742470</t>
  </si>
  <si>
    <t>43/NAP23AL31/10340001/08/11/2025</t>
  </si>
  <si>
    <t>19867502V</t>
  </si>
  <si>
    <t>44/NAP24CE50/10340001/08/11/2025</t>
  </si>
  <si>
    <t>015953850</t>
  </si>
  <si>
    <t>45/NAP19AW12/10340001/08/11/2025</t>
  </si>
  <si>
    <t>016001026</t>
  </si>
  <si>
    <t>46/NAP25CG72/10340001/08/11/2025</t>
  </si>
  <si>
    <t>20150289A</t>
  </si>
  <si>
    <t>47/NAP24AO83/10340001/08/11/2025</t>
  </si>
  <si>
    <t>10547213V</t>
  </si>
  <si>
    <t>48/NAP23AR21/10340001/08/11/2025</t>
  </si>
  <si>
    <t>007367901</t>
  </si>
  <si>
    <t>MUTABAZI NOLAN RYAN</t>
  </si>
  <si>
    <t>NSABIMANA ALEXIS</t>
  </si>
  <si>
    <t>IHIRWE GAELLA</t>
  </si>
  <si>
    <t>CHANELLE IRAHARI GIHOZO</t>
  </si>
  <si>
    <t>UWERA FRIDOUS</t>
  </si>
  <si>
    <t>AHIRWE HUGUETTE OZELLA</t>
  </si>
  <si>
    <t>ABAYO BELIVER</t>
  </si>
  <si>
    <t>NKURUNZIZA DANIEL</t>
  </si>
  <si>
    <t>BWIZA CHANIA IZERE</t>
  </si>
  <si>
    <t>AIMEE KEVINE INEZA IHIRWE</t>
  </si>
  <si>
    <t>BLESSING UMWALI UWASE</t>
  </si>
  <si>
    <t>BEBE MUKAGABIRO ALICE</t>
  </si>
  <si>
    <t>IZERINEZA ELLA REGINE</t>
  </si>
  <si>
    <t>GAVIN IGANZE EMMY CARL</t>
  </si>
  <si>
    <t>AKUZWE RWEMA BRAZI</t>
  </si>
  <si>
    <t>RWEMA BAKHITA AKIRA</t>
  </si>
  <si>
    <t>MANZI BRUCE STEVEN</t>
  </si>
  <si>
    <t>GAEL GANZA MBONYI</t>
  </si>
  <si>
    <t>KABERA MARIAM</t>
  </si>
  <si>
    <t>KAYIRERE JACQUELINE</t>
  </si>
  <si>
    <t>MUKASHEMA JUDITH</t>
  </si>
  <si>
    <t>MUKANDAKEBUKA JOYCE</t>
  </si>
  <si>
    <t>BATAMULIZA VICTORIA</t>
  </si>
  <si>
    <t>MUSABYEMARIYA TEDDY</t>
  </si>
  <si>
    <t>ORA JOY NIYITEGEKA</t>
  </si>
  <si>
    <t>FRANCOISD'ASSISE IKUZO</t>
  </si>
  <si>
    <t>UWIMANA MAGNIFIQUE</t>
  </si>
  <si>
    <t>MWESIGYE LIAM JAYSON</t>
  </si>
  <si>
    <t>NTWARI TUYISENGE PARFAIT</t>
  </si>
  <si>
    <t>RUBIMBURA YVANY</t>
  </si>
  <si>
    <t>NTWARI EMMA LUNA</t>
  </si>
  <si>
    <t>THEODORE UKWIZAGIRA</t>
  </si>
  <si>
    <t>MASABO INKINDI KAYLA</t>
  </si>
  <si>
    <t>TUYISENGE MARIE CLAIRE</t>
  </si>
  <si>
    <t>KANAMUGIRE GAELLE SANGWA</t>
  </si>
  <si>
    <t>NISINGIZWE AMELIA RAGUEL</t>
  </si>
  <si>
    <t>SASHA IVANA RUDASINGWA</t>
  </si>
  <si>
    <t>ERNESTE IRAGENA</t>
  </si>
  <si>
    <t>JAIDEN IMENA RUDASUMBWA</t>
  </si>
  <si>
    <t>MUKABYIRINGIRO ESPERANCE</t>
  </si>
  <si>
    <t>MARIE CHANTAL MUKAMANA</t>
  </si>
  <si>
    <t>MUVANGE CHARBEL RWEMA</t>
  </si>
  <si>
    <t>NTWARI THEONESTE</t>
  </si>
  <si>
    <t>49/NAP19S25/10340001/08/11/2025</t>
  </si>
  <si>
    <t>015871548</t>
  </si>
  <si>
    <t>MURORUNKWERE</t>
  </si>
  <si>
    <t>UWERA ESPERANCE</t>
  </si>
  <si>
    <t>GAD BIDERI BUKURU</t>
  </si>
  <si>
    <t>ANNICK MUKASHARANGABO</t>
  </si>
  <si>
    <t>MUNYAWERA NGERUZA</t>
  </si>
  <si>
    <t>UWAYO PHOIBE</t>
  </si>
  <si>
    <t>UWAVUTSE JEANNETTE</t>
  </si>
  <si>
    <t>DUSABAMAHORO</t>
  </si>
  <si>
    <t>PELERINE UWINEZA</t>
  </si>
  <si>
    <t xml:space="preserve">FRANCOISE NAPOLEON </t>
  </si>
  <si>
    <t>ALICE MUKAGABIRO</t>
  </si>
  <si>
    <t>VIATEUR SEMPAMA</t>
  </si>
  <si>
    <t>UWINADUTIJE EMMANUEL</t>
  </si>
  <si>
    <t>NDAYISENGA  FRAVIEN</t>
  </si>
  <si>
    <t xml:space="preserve"> FLAVIEN NDAYISENGA</t>
  </si>
  <si>
    <t>NDAYISENGA THEONESTE</t>
  </si>
  <si>
    <t>NKURUNZIZA  ANATORY</t>
  </si>
  <si>
    <t>EUGENE UBARIJORO</t>
  </si>
  <si>
    <t>SAMUEL MUSAGARA</t>
  </si>
  <si>
    <t>NTAGANDA GASPARD</t>
  </si>
  <si>
    <t>EMILE NIYITEGEKA</t>
  </si>
  <si>
    <t>HAKUZWEMUNGU BEATRICE</t>
  </si>
  <si>
    <t>BAGWANEZA JOVIA</t>
  </si>
  <si>
    <t>TUYISENGE  PACIFIQUE</t>
  </si>
  <si>
    <t>RUBERANZIZA  ALBERT</t>
  </si>
  <si>
    <t>IYAMUREMYE EMMANUEL</t>
  </si>
  <si>
    <t>MASABO SILAS</t>
  </si>
  <si>
    <t>IYAKAREMYE ALEXIS</t>
  </si>
  <si>
    <t>PACIFIQUE NISINGIZWE</t>
  </si>
  <si>
    <t xml:space="preserve"> SYLIVIE UWAMAHORO</t>
  </si>
  <si>
    <t>ESPERANCE UWIZEYE</t>
  </si>
  <si>
    <t>SALOMON NZAKIZWANAYO</t>
  </si>
  <si>
    <t xml:space="preserve">NTURO MICHEL MUVANGE </t>
  </si>
  <si>
    <t>REGINE MUSANABERA</t>
  </si>
  <si>
    <t>CS RWINKWAVU</t>
  </si>
  <si>
    <t>GS MUKARANGE PROTESTE</t>
  </si>
  <si>
    <t>EP NYABUBARE</t>
  </si>
  <si>
    <t>GS RUNGANGO</t>
  </si>
  <si>
    <t>GS KABARE2</t>
  </si>
  <si>
    <t>CS GASANGE</t>
  </si>
  <si>
    <t>EP RUYONZA</t>
  </si>
  <si>
    <t>MWARIMU  SACCO  NGOMA</t>
  </si>
  <si>
    <t>UMWARIMU SACCO</t>
  </si>
  <si>
    <t>NDERA HOSPITAL</t>
  </si>
  <si>
    <t>HOSPITAL BUTALO</t>
  </si>
  <si>
    <t>EP KIRAMURUZI MODERN</t>
  </si>
  <si>
    <t>G S NYAGASAMBU</t>
  </si>
  <si>
    <t>EP KABARONDO A</t>
  </si>
  <si>
    <t>GS  AL-SAFWA</t>
  </si>
  <si>
    <t>RTCO  KIGALI</t>
  </si>
  <si>
    <t>ES MAGI</t>
  </si>
  <si>
    <t>DON BOSCO</t>
  </si>
  <si>
    <t>EASTEN AFRICAN CARGO</t>
  </si>
  <si>
    <t>NYAGATARE SECTOR</t>
  </si>
  <si>
    <t>GS SHIMWA PAUL</t>
  </si>
  <si>
    <t>GS MUKO1</t>
  </si>
  <si>
    <t>RWIMIYAGA SECTOR</t>
  </si>
  <si>
    <t>KAZPO SECTOR</t>
  </si>
  <si>
    <t>09/11/2025</t>
  </si>
  <si>
    <t>1/NAP21G17/10340001/09/11/2025</t>
  </si>
  <si>
    <t>11008338J</t>
  </si>
  <si>
    <t>2/NAP25CG76/10340001/09/11/2025</t>
  </si>
  <si>
    <t>015771585</t>
  </si>
  <si>
    <t>3/NAP22BO94/10340001/09/11/2025</t>
  </si>
  <si>
    <t>015644210</t>
  </si>
  <si>
    <t>4/NAP19E36/10340001/09/11/2025</t>
  </si>
  <si>
    <t>015685691</t>
  </si>
  <si>
    <t>5/NAP22BL78/10340001/09/11/2025</t>
  </si>
  <si>
    <t>015685693</t>
  </si>
  <si>
    <t>6/NAP24Y94/10340001/09/11/2025</t>
  </si>
  <si>
    <t>015565385</t>
  </si>
  <si>
    <t>7/NAP22BB04/10340001/09/11/2025</t>
  </si>
  <si>
    <t>015847065</t>
  </si>
  <si>
    <t>8/NAP19BC06/10340001/09/11/2025</t>
  </si>
  <si>
    <t>0074769</t>
  </si>
  <si>
    <t>9/NAP25CD508/10340001/09/11/2025</t>
  </si>
  <si>
    <t>015993087</t>
  </si>
  <si>
    <t>10/NAP21Q30/10340001/09/11/2025</t>
  </si>
  <si>
    <t>0125572</t>
  </si>
  <si>
    <t>11/NAP20Y21/10340001/09/11/2025</t>
  </si>
  <si>
    <t>015780272</t>
  </si>
  <si>
    <t>12/NAP23X08/10340001/09/11/2025</t>
  </si>
  <si>
    <t>19701376m</t>
  </si>
  <si>
    <t>13/NAP25BL75/10340001/09/11/2025</t>
  </si>
  <si>
    <t>015760226</t>
  </si>
  <si>
    <t>14/NAP24AH70/10340001/09/11/2025</t>
  </si>
  <si>
    <t>015933771</t>
  </si>
  <si>
    <t>15/NAP22B83/10340001/09/11/2025</t>
  </si>
  <si>
    <t>0138757</t>
  </si>
  <si>
    <t>16/NAP19BA27/10340001/09/11/2025</t>
  </si>
  <si>
    <t>015746847</t>
  </si>
  <si>
    <t>17/NAP22AJ40/10340001/09/11/2025</t>
  </si>
  <si>
    <t>015826464</t>
  </si>
  <si>
    <t>18/NAP23BG24/10340001/09/11/2025</t>
  </si>
  <si>
    <t>015892855</t>
  </si>
  <si>
    <t>19/NAP24D91/10340001/09/11/2025</t>
  </si>
  <si>
    <t>014087104</t>
  </si>
  <si>
    <t>20/NAP25BB85/10340001/09/11/2025</t>
  </si>
  <si>
    <t>015847924</t>
  </si>
  <si>
    <t>21/NAP25CF721/10340001/09/11/2025</t>
  </si>
  <si>
    <t>22/NAP23AN05/10340001/09/11/2025</t>
  </si>
  <si>
    <t>015878641</t>
  </si>
  <si>
    <t>23/NAP23CL75/10340001/09/11/2025</t>
  </si>
  <si>
    <t>015921666</t>
  </si>
  <si>
    <t>24/NAP19T10/10340001/09/11/2025</t>
  </si>
  <si>
    <t>10719250D</t>
  </si>
  <si>
    <t>25/NAP20K24/10340001/09/11/2025</t>
  </si>
  <si>
    <t>015749031</t>
  </si>
  <si>
    <t>26/NAP23BD64/10340001/09/11/2025</t>
  </si>
  <si>
    <t>19959793E</t>
  </si>
  <si>
    <t>27/NAP24CL09/10340001/09/11/2025</t>
  </si>
  <si>
    <t>015652710</t>
  </si>
  <si>
    <t>28/NAP25CE308/10340001/09/11/2025</t>
  </si>
  <si>
    <t>015875127</t>
  </si>
  <si>
    <t>29/NAP25BN41/10340001/09/11/2025</t>
  </si>
  <si>
    <t>015987456</t>
  </si>
  <si>
    <t>30/NAP19M89/10340001/09/11/2025</t>
  </si>
  <si>
    <t>015714697</t>
  </si>
  <si>
    <t>31/NAP22C19/10340001/09/11/2025</t>
  </si>
  <si>
    <t>015791225</t>
  </si>
  <si>
    <t>32/NAP21BK96/10340001/09/11/2025</t>
  </si>
  <si>
    <t>015957987</t>
  </si>
  <si>
    <t>33/NAP23U56/10340001/09/11/2025</t>
  </si>
  <si>
    <t>19995172X</t>
  </si>
  <si>
    <t>34/NAP24CI72/10340001/09/11/2025</t>
  </si>
  <si>
    <t>015957984</t>
  </si>
  <si>
    <t>35/NAP25BW67/10340001/09/11/2025</t>
  </si>
  <si>
    <t>20309669L</t>
  </si>
  <si>
    <t>36/NAP25BA94/10340001/09/11/2025</t>
  </si>
  <si>
    <t>015972777</t>
  </si>
  <si>
    <t>37/NAP22W06/10340001/09/11/2025</t>
  </si>
  <si>
    <t>19942179W</t>
  </si>
  <si>
    <t>38/NAP25BJ37/10340001/09/11/2025</t>
  </si>
  <si>
    <t>20090973X</t>
  </si>
  <si>
    <t>39/NAP22DB60/10340001/09/11/2025</t>
  </si>
  <si>
    <t>19476760N</t>
  </si>
  <si>
    <t>40/NAP25D32/10340001/09/11/2025</t>
  </si>
  <si>
    <t>0070899</t>
  </si>
  <si>
    <t>41/NAP23T29/10340001/09/11/2025</t>
  </si>
  <si>
    <t>015782213</t>
  </si>
  <si>
    <t>42/NAP24AW98/10340001/09/11/2025</t>
  </si>
  <si>
    <t>015889074</t>
  </si>
  <si>
    <t>43/NAP25BT32/10340001/09/11/2025</t>
  </si>
  <si>
    <t>015973964</t>
  </si>
  <si>
    <t>44/NAP24AO83/10340001/09/11/2025</t>
  </si>
  <si>
    <t>45/NAP23CS34/10340001/09/11/2025</t>
  </si>
  <si>
    <t>015884839</t>
  </si>
  <si>
    <t>46/NAP25K54/10340001/09/11/2025</t>
  </si>
  <si>
    <t>015964330</t>
  </si>
  <si>
    <t>47/NAP25CF09/10340001/09/11/2025</t>
  </si>
  <si>
    <t>015971390</t>
  </si>
  <si>
    <t>48/NAP18A69/10340001/09/11/2025</t>
  </si>
  <si>
    <t>10563607K</t>
  </si>
  <si>
    <t>49/NAP25BB65/10340001/09/11/2025</t>
  </si>
  <si>
    <t>015866107</t>
  </si>
  <si>
    <t>50/NAP25CE84/10340001/09/11/2025</t>
  </si>
  <si>
    <t>015702288</t>
  </si>
  <si>
    <t>51/NAP25BT32/10340001/09/11/2025</t>
  </si>
  <si>
    <t>52/NAP23CK85/10340001/09/11/2025</t>
  </si>
  <si>
    <t>015901632</t>
  </si>
  <si>
    <t>53/NAP19O27/10340001/09/11/2025</t>
  </si>
  <si>
    <t>0128919</t>
  </si>
  <si>
    <t>54/NAP19R87/10340001/09/11/2025</t>
  </si>
  <si>
    <t>0077673</t>
  </si>
  <si>
    <t>55/NAP24BP62/10340001/09/11/2025</t>
  </si>
  <si>
    <t>009891700</t>
  </si>
  <si>
    <t>56/NAP25CD759/10340001/09/11/2025</t>
  </si>
  <si>
    <t>015990009</t>
  </si>
  <si>
    <t>57/NAP25CG99/10340001/09/11/2025</t>
  </si>
  <si>
    <t>19957821Q</t>
  </si>
  <si>
    <t>58/NAP25AK90/10340001/09/11/2025</t>
  </si>
  <si>
    <t>015975836</t>
  </si>
  <si>
    <t>59/NAP24CS20/10340001/09/11/2025</t>
  </si>
  <si>
    <t>015826845</t>
  </si>
  <si>
    <t>60/NAP25AX77/10340001/09/11/2025</t>
  </si>
  <si>
    <t>20261026M</t>
  </si>
  <si>
    <t>DUSABIMANA ILDEPHONSE</t>
  </si>
  <si>
    <t>MARIE CHANTAL TUYISHIMIRE</t>
  </si>
  <si>
    <t>BIGIRABAGABO LUCK ATETE BLESSING</t>
  </si>
  <si>
    <t>MUHOZA ALAIN GISLAIN</t>
  </si>
  <si>
    <t>LINDA GISLAINE ASHIMWE</t>
  </si>
  <si>
    <t>UMUHOZA DOMITILLE</t>
  </si>
  <si>
    <t>KAYITARE SANO CORNEILLE</t>
  </si>
  <si>
    <t>MUKAMAKUTA JACQUELINE</t>
  </si>
  <si>
    <t>RUSI UZAYISENGA</t>
  </si>
  <si>
    <t>MUKAMINANI MARCELLA</t>
  </si>
  <si>
    <t>ATONE MUPENZI HELGA XAELLA</t>
  </si>
  <si>
    <t>UWAMAHORO CONFIANCE</t>
  </si>
  <si>
    <t>NIYIBIZI RACHEL</t>
  </si>
  <si>
    <t>REVELIEN KABEZA</t>
  </si>
  <si>
    <t>UMULISA CLENIA</t>
  </si>
  <si>
    <t>IZERE BYUSA NAELLA</t>
  </si>
  <si>
    <t>BAMUSONERE ESTHER</t>
  </si>
  <si>
    <t>MACY IGANZE MUDUMIZI</t>
  </si>
  <si>
    <t>UMUKUNZI JOVINE</t>
  </si>
  <si>
    <t>TUYISHIME GRACE</t>
  </si>
  <si>
    <t>LIYA AKUZWE KEZA</t>
  </si>
  <si>
    <t>MUGISHA ELINE ELIJAH</t>
  </si>
  <si>
    <t>SEVEN CECILY</t>
  </si>
  <si>
    <t>GIRANEZA SAIF ASSAD</t>
  </si>
  <si>
    <t>USABYINGABIRE GERMAINE</t>
  </si>
  <si>
    <t>RUTH MUTONI</t>
  </si>
  <si>
    <t>INGABIRE ANNE</t>
  </si>
  <si>
    <t>DELPHINE DUSABE</t>
  </si>
  <si>
    <t>KIREZI EGIDIE</t>
  </si>
  <si>
    <t>GAJU BIZIMANA MONIA</t>
  </si>
  <si>
    <t>KAZE EMMA SHEILA</t>
  </si>
  <si>
    <t>JOY GAHONGAYIRE</t>
  </si>
  <si>
    <t>JUSTINE MUKANKWAYA</t>
  </si>
  <si>
    <t>KAMIKAZI MARIE CHANTAL</t>
  </si>
  <si>
    <t>GAVIN AGABE SABIITI</t>
  </si>
  <si>
    <t>UWIMBABAZI ALIANCE</t>
  </si>
  <si>
    <t>MUKASHEMA EDITH</t>
  </si>
  <si>
    <t>TUYISHIME JOSELYNE</t>
  </si>
  <si>
    <t>NANDUHURA NARUKUNDO MELANIE</t>
  </si>
  <si>
    <t>MUTABAZI ANNE LINE</t>
  </si>
  <si>
    <t>HIRWA AIME PRINCE</t>
  </si>
  <si>
    <t>CLAUDINE BAMURANGE</t>
  </si>
  <si>
    <t>NANTABARA NABIKARI ESPERENCE</t>
  </si>
  <si>
    <t>AISHA KONY MUNYANA</t>
  </si>
  <si>
    <t>TUMUKUNDE SYLVIE</t>
  </si>
  <si>
    <t>NYIRANEZA JANVIERE</t>
  </si>
  <si>
    <t>ANGE DIVIN CYUZUZO</t>
  </si>
  <si>
    <t>KANGWISAGE CLAUDINE</t>
  </si>
  <si>
    <t>EMMA ALORA IMPANO</t>
  </si>
  <si>
    <t>MUTSINZI JEAN DE DIEU</t>
  </si>
  <si>
    <t>ISHIMWE FLORENCE</t>
  </si>
  <si>
    <t>UWAMAHORO M LOUISE</t>
  </si>
  <si>
    <t>ROMEO GWIZA ALVIN</t>
  </si>
  <si>
    <t>VESTINE NYIRANGABO</t>
  </si>
  <si>
    <t>GAFURAMA LIZA NAILLA</t>
  </si>
  <si>
    <t>ISHEJA MARIAM JONATHI</t>
  </si>
  <si>
    <t>FERDINAND KARWANIRA</t>
  </si>
  <si>
    <t>ILDEPHONSE DUSABIMANA</t>
  </si>
  <si>
    <t>THEONESTE BIGIRABAGABO</t>
  </si>
  <si>
    <t>BIHIBINDI  JEAN  DAMASCENE</t>
  </si>
  <si>
    <t>BIHIBINDI  JEAN DAMASCENE</t>
  </si>
  <si>
    <t>BIHIBINDI JEAN DAMASCENE</t>
  </si>
  <si>
    <t>KAYITARE PIERRE CELESTIN</t>
  </si>
  <si>
    <t>NDACYAYISENGA THIERRY</t>
  </si>
  <si>
    <t>NTAKIRUTIMANA VENUSTE</t>
  </si>
  <si>
    <t>UMUNYANA MARIE LOUISE</t>
  </si>
  <si>
    <t>MUSANABERA   ANTOINETTE</t>
  </si>
  <si>
    <t>FRANCOIS XAVIER HAKIZIMANA</t>
  </si>
  <si>
    <t>NTAGANDA ALOYS</t>
  </si>
  <si>
    <t>NGIRUMATSE DAMAS</t>
  </si>
  <si>
    <t>NIYONSENGA EPIPHANIE</t>
  </si>
  <si>
    <t>HABUMUGISHA FIDELE</t>
  </si>
  <si>
    <t>MUHIRE EMMANUEL</t>
  </si>
  <si>
    <t>NSANZIMANA OBED</t>
  </si>
  <si>
    <t>TWIZERIMANA JEAN</t>
  </si>
  <si>
    <t>MUSABYIMANA  SPECIOSE</t>
  </si>
  <si>
    <t>DAMIEN BIZIMANA</t>
  </si>
  <si>
    <t>MUSABYIMANA RHIN</t>
  </si>
  <si>
    <t>MUSABYIMANA  RHIN</t>
  </si>
  <si>
    <t>CALEB SABIITI</t>
  </si>
  <si>
    <t>KAYONDE STRATON</t>
  </si>
  <si>
    <t>NDAYISHIMIYE FRANCK</t>
  </si>
  <si>
    <t>ALPHONSE HABINEZA</t>
  </si>
  <si>
    <t>PROTAIS DUSENGIMANA</t>
  </si>
  <si>
    <t>ANATHOLE KAREMERA</t>
  </si>
  <si>
    <t>RWAGAFIRITA EMMANUEL</t>
  </si>
  <si>
    <t>RUTAGENGWA THEOPHILE</t>
  </si>
  <si>
    <t>VALENTINE MUTUMWINKA</t>
  </si>
  <si>
    <t xml:space="preserve">SAM GAFURAMA </t>
  </si>
  <si>
    <t>CELESTIN BIZIMANA</t>
  </si>
  <si>
    <t>EP KAGEYO</t>
  </si>
  <si>
    <t>APEN TVET SCHOOL</t>
  </si>
  <si>
    <t>MUKARANGE TVET SCHOOL</t>
  </si>
  <si>
    <t>CS RUKARA</t>
  </si>
  <si>
    <t>RUKARA HEALTH CENTER</t>
  </si>
  <si>
    <t>RWANDA REVENUE AUTHORITY</t>
  </si>
  <si>
    <t>MINEDUC</t>
  </si>
  <si>
    <t>GS MUZINGIRA</t>
  </si>
  <si>
    <t>GS  RUKARA  CATHORIC</t>
  </si>
  <si>
    <t>GS RWINKUBA</t>
  </si>
  <si>
    <t>ALTAC</t>
  </si>
  <si>
    <t>G S NYAGAHANDAGAZA</t>
  </si>
  <si>
    <t>ADEGE GITUZA</t>
  </si>
  <si>
    <t>GS MUCACA</t>
  </si>
  <si>
    <t>GS MUKARANGE CATHOLIC</t>
  </si>
  <si>
    <t>EP AMAREMBO</t>
  </si>
  <si>
    <t>MASAKA HOSPITAL</t>
  </si>
  <si>
    <t>GS  RWISIRABO</t>
  </si>
  <si>
    <t>GS KABARONDO B</t>
  </si>
  <si>
    <t>GATSIBO DISTRITC</t>
  </si>
  <si>
    <t>NYAMASHEKE DISTRICT</t>
  </si>
  <si>
    <t>GS KABUNGO</t>
  </si>
  <si>
    <t>GS RUYANZA</t>
  </si>
  <si>
    <t>GITOKI SECTOR</t>
  </si>
  <si>
    <t>EP RUTOBWE</t>
  </si>
  <si>
    <t>AKAGERA MANAGEMENT COMPANY</t>
  </si>
  <si>
    <t>GS GAHENGERI</t>
  </si>
  <si>
    <t>10/11/2025</t>
  </si>
  <si>
    <t>1/NAP24BR88/10340001/10/11/2025</t>
  </si>
  <si>
    <t>015593217</t>
  </si>
  <si>
    <t>2/NAP19AF67/10340001/10/11/2025</t>
  </si>
  <si>
    <t>10968639Q</t>
  </si>
  <si>
    <t>3/NAP23BN11/10340001/10/11/2025</t>
  </si>
  <si>
    <t>015877181</t>
  </si>
  <si>
    <t>4/NAP18D18/10340001/10/11/2025</t>
  </si>
  <si>
    <t>0083382</t>
  </si>
  <si>
    <t>5/NAP21H36/10340001/10/11/2025</t>
  </si>
  <si>
    <t>015782470</t>
  </si>
  <si>
    <t>6/NAP25CG108/10340001/10/11/2025</t>
  </si>
  <si>
    <t>10721263Y</t>
  </si>
  <si>
    <t>7/NAP23BN72/10340001/10/11/2025</t>
  </si>
  <si>
    <t>015880667</t>
  </si>
  <si>
    <t>8/NAP22CU96/10340001/10/11/2025</t>
  </si>
  <si>
    <t xml:space="preserve"> 015870520</t>
  </si>
  <si>
    <t>9/NAP25AA58/10340001/10/11/2025</t>
  </si>
  <si>
    <t>015831883</t>
  </si>
  <si>
    <t>10/NAP22K04/10340001/10/11/2025</t>
  </si>
  <si>
    <t>11/NAP22AD98/10340001/10/11/2025</t>
  </si>
  <si>
    <t>10485616a</t>
  </si>
  <si>
    <t>12/NAP24CO18/10340001/10/11/2025</t>
  </si>
  <si>
    <t>10725147H</t>
  </si>
  <si>
    <t>13/NAP24AK75/10340001/10/11/2025</t>
  </si>
  <si>
    <t>015634447</t>
  </si>
  <si>
    <t>14/NAP25AX60/10340001/10/11/2025</t>
  </si>
  <si>
    <t>10855963G</t>
  </si>
  <si>
    <t>15/NAP25CG109/10340001/10/11/2025</t>
  </si>
  <si>
    <t>015602641</t>
  </si>
  <si>
    <t>16/NAP25BN34/10340001/10/11/2025</t>
  </si>
  <si>
    <t>0071333</t>
  </si>
  <si>
    <t>17/NAP23CD15/10340001/10/11/2025</t>
  </si>
  <si>
    <t>002063606</t>
  </si>
  <si>
    <t>18/NAP25S52/10340001/10/11/2025</t>
  </si>
  <si>
    <t>015953051</t>
  </si>
  <si>
    <t>19/NAP21AP72/10340001/10/11/2025</t>
  </si>
  <si>
    <t>10925695S</t>
  </si>
  <si>
    <t>20/NAP25CG110/10340001/10/11/2025</t>
  </si>
  <si>
    <t>015746475</t>
  </si>
  <si>
    <t>21/NAP25I35/10340001/10/11/2025</t>
  </si>
  <si>
    <t>015768744</t>
  </si>
  <si>
    <t>22/NAP25BS99/10340001/10/11/2025</t>
  </si>
  <si>
    <t>015986502</t>
  </si>
  <si>
    <t>23/NAP25P68/10340001/10/11/2025</t>
  </si>
  <si>
    <t>19612528Y</t>
  </si>
  <si>
    <t>24/NAP25AA84/10340001/10/11/2025</t>
  </si>
  <si>
    <t>015829568</t>
  </si>
  <si>
    <t>25/NAP19T66/10340001/10/11/2025</t>
  </si>
  <si>
    <t>0074525</t>
  </si>
  <si>
    <t>26/NAP25BD77/10340001/10/11/2025</t>
  </si>
  <si>
    <t>0092204</t>
  </si>
  <si>
    <t>27/NAP25CG112/10340001/10/11/2025</t>
  </si>
  <si>
    <t>015879253</t>
  </si>
  <si>
    <t>28/NAP24S62/10340001/10/11/2025</t>
  </si>
  <si>
    <t>006851100</t>
  </si>
  <si>
    <t>29/NAP24BN13/10340001/10/11/2025</t>
  </si>
  <si>
    <t>0078078</t>
  </si>
  <si>
    <t>30/NAP25BL17/10340001/10/11/2025</t>
  </si>
  <si>
    <t>007214900</t>
  </si>
  <si>
    <t>31/NAP24CH80/10340001/10/11/2025</t>
  </si>
  <si>
    <t>0070653</t>
  </si>
  <si>
    <t>32/NAP18E35/10340001/10/11/2025</t>
  </si>
  <si>
    <t>0070326</t>
  </si>
  <si>
    <t>33/NAP20B13/10340001/10/11/2025</t>
  </si>
  <si>
    <t>0076282</t>
  </si>
  <si>
    <t>34/NAP22CF98/10340001/10/11/2025</t>
  </si>
  <si>
    <t>007628200</t>
  </si>
  <si>
    <t>35/NAP19N44/10340001/10/11/2025</t>
  </si>
  <si>
    <t>36/NAP25CD568/10340001/10/11/2025</t>
  </si>
  <si>
    <t>015994860</t>
  </si>
  <si>
    <t>37/NAP24BN66/10340001/10/11/2025</t>
  </si>
  <si>
    <t>0129833</t>
  </si>
  <si>
    <t>38/NAP19K20/10340001/10/11/2025</t>
  </si>
  <si>
    <t>39/NAP21AW82/10340001/10/11/2025</t>
  </si>
  <si>
    <t>015685292</t>
  </si>
  <si>
    <t>40/NAP25CG118/10340001/10/11/2025</t>
  </si>
  <si>
    <t>015754904</t>
  </si>
  <si>
    <t>41/NAP19O03/10340001/10/11/2025</t>
  </si>
  <si>
    <t>0067430</t>
  </si>
  <si>
    <t>42/NAP24E85/10340001/10/11/2025</t>
  </si>
  <si>
    <t>015925347</t>
  </si>
  <si>
    <t>43/NAP23F13/10340001/10/11/2025</t>
  </si>
  <si>
    <t>20117705M</t>
  </si>
  <si>
    <t>44/NAP25CG126/10340001/10/11/2025</t>
  </si>
  <si>
    <t>015554239</t>
  </si>
  <si>
    <t>45/NAP24AB59/10340001/10/11/2025</t>
  </si>
  <si>
    <t>006835200</t>
  </si>
  <si>
    <t>46/NAP19BK18/10340001/10/11/2025</t>
  </si>
  <si>
    <t>007459000</t>
  </si>
  <si>
    <t>47/NAP19P26/10340001/10/11/2025</t>
  </si>
  <si>
    <t>10411186T</t>
  </si>
  <si>
    <t>48/NAP25CG133/10340001/10/11/2025</t>
  </si>
  <si>
    <t>015529475</t>
  </si>
  <si>
    <t>49/NAP19U09/10340001/10/11/2025</t>
  </si>
  <si>
    <t>0097388</t>
  </si>
  <si>
    <t>50/NAP23X52/10340001/10/11/2025</t>
  </si>
  <si>
    <t>20231215Z</t>
  </si>
  <si>
    <t>51/NAP22BW99/10340001/10/11/2025</t>
  </si>
  <si>
    <t>19925122R</t>
  </si>
  <si>
    <t>52/NAP24CW39/10340001/10/11/2025</t>
  </si>
  <si>
    <t>015957692</t>
  </si>
  <si>
    <t>53/NAP19AZ71/10340001/10/11/2025</t>
  </si>
  <si>
    <t>015686005</t>
  </si>
  <si>
    <t>54/NAP18D34/10340001/10/11/2025</t>
  </si>
  <si>
    <t>015581168</t>
  </si>
  <si>
    <t>55/NAP25Q44/10340001/10/11/2025</t>
  </si>
  <si>
    <t>56/NAP25CG135/10340001/10/11/2025</t>
  </si>
  <si>
    <t>20008661P</t>
  </si>
  <si>
    <t>57/NAP23AX79/10340001/10/11/2025</t>
  </si>
  <si>
    <t>015879407</t>
  </si>
  <si>
    <t>58/NAP25CG139/10340001/10/11/2025</t>
  </si>
  <si>
    <t>015944411</t>
  </si>
  <si>
    <t>59/NAP21AZ51/10340001/10/11/2025</t>
  </si>
  <si>
    <t>11031459P</t>
  </si>
  <si>
    <t>60/NAP19AH54/10340001/10/11/2025</t>
  </si>
  <si>
    <t>0068545</t>
  </si>
  <si>
    <t>61/NAP25X50/10340001/10/11/2025</t>
  </si>
  <si>
    <t>015615939</t>
  </si>
  <si>
    <t>62/NAP25AG84/10340001/10/11/2025</t>
  </si>
  <si>
    <t>015782314</t>
  </si>
  <si>
    <t>63/NAP22AA90/10340001/10/11/2025</t>
  </si>
  <si>
    <t>64/NAP24CC48/10340001/10/11/2025</t>
  </si>
  <si>
    <t>015958033</t>
  </si>
  <si>
    <t>65/NAP25CG142/10340001/10/11/2025</t>
  </si>
  <si>
    <t>005416903</t>
  </si>
  <si>
    <t>66/NAP21P21/10340001/10/11/2025</t>
  </si>
  <si>
    <t>10887359L</t>
  </si>
  <si>
    <t>67/NAP25C03/10340001/10/11/2025</t>
  </si>
  <si>
    <t>11160078F</t>
  </si>
  <si>
    <t>68/NAP25K57/10340001/10/11/2025</t>
  </si>
  <si>
    <t>015975241</t>
  </si>
  <si>
    <t>69/NAP22V54/10340001/10/11/2025</t>
  </si>
  <si>
    <t>015759828</t>
  </si>
  <si>
    <t>70/NAP25CF131/10340001/10/11/2025</t>
  </si>
  <si>
    <t>10715046N</t>
  </si>
  <si>
    <t>71/NAP25CG144/10340001/10/11/2025</t>
  </si>
  <si>
    <t>015849659</t>
  </si>
  <si>
    <t>72/NAP23BP36/10340001/10/11/2025</t>
  </si>
  <si>
    <t>19918805Z</t>
  </si>
  <si>
    <t>73/NAP23Y36/10340001/10/11/2025</t>
  </si>
  <si>
    <t>015886482</t>
  </si>
  <si>
    <t>74/NAP19AC75/10340001/10/11/2025</t>
  </si>
  <si>
    <t>015730116</t>
  </si>
  <si>
    <t>75/NAP23BN89/10340001/10/11/2025</t>
  </si>
  <si>
    <t>015919381</t>
  </si>
  <si>
    <t>76/NAP22CX01/10340001/10/11/2025</t>
  </si>
  <si>
    <t>015864878</t>
  </si>
  <si>
    <t>77/NAP25AH09/10340001/10/11/2025</t>
  </si>
  <si>
    <t>015718828</t>
  </si>
  <si>
    <t>78/NAP21AF33/10340001/10/11/2025</t>
  </si>
  <si>
    <t>001428604</t>
  </si>
  <si>
    <t>79/NAP20Q89/10340001/10/11/2025</t>
  </si>
  <si>
    <t>80/NAP22D09/10340001/10/11/2025</t>
  </si>
  <si>
    <t>015819729</t>
  </si>
  <si>
    <t>81/NAP24CP27/10340001/10/11/2025</t>
  </si>
  <si>
    <t>015952728</t>
  </si>
  <si>
    <t>82/NAP23I28/10340001/10/11/2025</t>
  </si>
  <si>
    <t>83/NAP21CN65/10340001/10/11/2025</t>
  </si>
  <si>
    <t>015816529</t>
  </si>
  <si>
    <t>84/NAP19BC76/10340001/10/11/2025</t>
  </si>
  <si>
    <t>0070880</t>
  </si>
  <si>
    <t>85/NAP19B18/10340001/10/11/2025</t>
  </si>
  <si>
    <t>10924857M</t>
  </si>
  <si>
    <t>86/NAP24AU44/10340001/10/11/2025</t>
  </si>
  <si>
    <t>19953822F</t>
  </si>
  <si>
    <t>87/NAP24AO14/10340001/10/11/2025</t>
  </si>
  <si>
    <t>015931491</t>
  </si>
  <si>
    <t>88/NAP25CE512/10340001/10/11/2025</t>
  </si>
  <si>
    <t>19962865D</t>
  </si>
  <si>
    <t>KAMPIRE SERAPHINE</t>
  </si>
  <si>
    <t>NDAYAMBAJE CLAUDIEN</t>
  </si>
  <si>
    <t>GABRIELLA DUKUNDIMANA</t>
  </si>
  <si>
    <t>HATEGEKIMANA ACHILLE SAMSON</t>
  </si>
  <si>
    <t>NIYONAGIRA ANCILLE</t>
  </si>
  <si>
    <t>SOLANGE KANKINDI</t>
  </si>
  <si>
    <t>ABAYISENGA DEBORAH</t>
  </si>
  <si>
    <t>KENDRA BAHIZI WILLA</t>
  </si>
  <si>
    <t>IHIMBAZWE MPANO HAPPY</t>
  </si>
  <si>
    <t>KAMBARI VINCENT</t>
  </si>
  <si>
    <t>SILVIE NADIA INGABIRE</t>
  </si>
  <si>
    <t>UFITEYEZU VALENS</t>
  </si>
  <si>
    <t>MUKANIYIGENA CLAUDINE</t>
  </si>
  <si>
    <t>RACHEL UMURERWA</t>
  </si>
  <si>
    <t>FRANCOIS XAVIER NAHIMANA</t>
  </si>
  <si>
    <t>GIRASO XXX</t>
  </si>
  <si>
    <t>IKIREZI MIGISHA ALAN</t>
  </si>
  <si>
    <t>TUYISHIMIRE LAETITIA</t>
  </si>
  <si>
    <t>VESTINE MUKANYANDWI</t>
  </si>
  <si>
    <t>ISHEJA BABETTE</t>
  </si>
  <si>
    <t>DIELLA IHIRWE SANGWA</t>
  </si>
  <si>
    <t>KAYIREBWA CLEMENTINE</t>
  </si>
  <si>
    <t>AUCLINE IMENA KARORERO</t>
  </si>
  <si>
    <t>ZANINKA CHRISTINE</t>
  </si>
  <si>
    <t>MATHUSALEM KANOBANA</t>
  </si>
  <si>
    <t>BRUNO HIRWA</t>
  </si>
  <si>
    <t>MUTAREKURA JUSTIN</t>
  </si>
  <si>
    <t>HABANABAKIZE THARCISSE</t>
  </si>
  <si>
    <t>EMERENCE UWIMPUHWE</t>
  </si>
  <si>
    <t>GAKWENZIRE PIE</t>
  </si>
  <si>
    <t>MUSENGIMANA MARIE YVONNE</t>
  </si>
  <si>
    <t>MUJAWIMANA ROY</t>
  </si>
  <si>
    <t>GERVAIS KAYUMBA</t>
  </si>
  <si>
    <t>PRENCES INEZA TETA</t>
  </si>
  <si>
    <t>NDEGEYA ANTOINE</t>
  </si>
  <si>
    <t>IRAKOZE AIME CHRISTIAN</t>
  </si>
  <si>
    <t>SANO FELIX IGIRANEZA</t>
  </si>
  <si>
    <t>NAMBAJINTWALI ROSALIE</t>
  </si>
  <si>
    <t>BRYANA ISHIMWE GANZA</t>
  </si>
  <si>
    <t>DUSINGIZIMANA VALENS</t>
  </si>
  <si>
    <t>AIME CHRISTIAN HIRWA</t>
  </si>
  <si>
    <t>KAMPIRE IMMACULE</t>
  </si>
  <si>
    <t>KAVUTSE THEONESTE</t>
  </si>
  <si>
    <t>HABYARIMANA THOMAS</t>
  </si>
  <si>
    <t>HIRWA PRINCE SHALOM</t>
  </si>
  <si>
    <t>GATERA FAUSTIN</t>
  </si>
  <si>
    <t>ALLIANCE DUSABIMANA</t>
  </si>
  <si>
    <t>DONATHA MUKASHYAKA</t>
  </si>
  <si>
    <t>KAYISIRE REBECCA</t>
  </si>
  <si>
    <t>ISHIMWE JEHOVANIE</t>
  </si>
  <si>
    <t>MUTETERI MEBURA</t>
  </si>
  <si>
    <t>NIRAGIRE HADIDJA</t>
  </si>
  <si>
    <t>INEZA AMORA</t>
  </si>
  <si>
    <t>BRIETA ISARO MUNYABUHORO</t>
  </si>
  <si>
    <t>RUYUMBU INNOCENT</t>
  </si>
  <si>
    <t>MUCYO NDABARAMIYE DISMAS</t>
  </si>
  <si>
    <t>HOPE ITUZE MAHIRWE</t>
  </si>
  <si>
    <t>CYUBAHIRO VAINQUEUR</t>
  </si>
  <si>
    <t>MUGISHA INNOCENT</t>
  </si>
  <si>
    <t>JOYEUSE UMUTESI</t>
  </si>
  <si>
    <t>IKUZWE BLANDINE</t>
  </si>
  <si>
    <t>NAHIMANA VEDASTE</t>
  </si>
  <si>
    <t>FULLNESS BRAXTON IBIGWI</t>
  </si>
  <si>
    <t>IMENA NEDDY STEVEN</t>
  </si>
  <si>
    <t>MUKAGASANA CHRISTINE</t>
  </si>
  <si>
    <t>ALDO CYUSA BRIGHT</t>
  </si>
  <si>
    <t>UWINEZA CHANTAL</t>
  </si>
  <si>
    <t>ELISA REAGAN SANO</t>
  </si>
  <si>
    <t>KAMALI KING BRIAN</t>
  </si>
  <si>
    <t>KAMALI RYAN BERIC</t>
  </si>
  <si>
    <t>ALIA GISUBIZO KAZUBA</t>
  </si>
  <si>
    <t>ELBERT MUHIZI KIZA</t>
  </si>
  <si>
    <t>IYOGUSHIMWA CREDO</t>
  </si>
  <si>
    <t>KAREGEYA EVAN</t>
  </si>
  <si>
    <t>IZIGA MUDUMIZI NOREEN</t>
  </si>
  <si>
    <t>ISHIMWE GANZA CALEB</t>
  </si>
  <si>
    <t>BISANGWA EMMANUEL</t>
  </si>
  <si>
    <t>HABANABASHAKA JEAN PAUL</t>
  </si>
  <si>
    <t>DONYSE UMUHOZA</t>
  </si>
  <si>
    <t>INEZA GEILA</t>
  </si>
  <si>
    <t>MUKANDAYAMBAJE SYPHRONIE</t>
  </si>
  <si>
    <t>CLAUDIEN NDAYAMBAJE</t>
  </si>
  <si>
    <t>ROBERT BAJENEZA</t>
  </si>
  <si>
    <t>YEZARAKIZA CELCE</t>
  </si>
  <si>
    <t>KAMANDA JEAN BAPTISTE</t>
  </si>
  <si>
    <t xml:space="preserve">JEAN CLAUDE NKEZABAHIZI </t>
  </si>
  <si>
    <t>NZARAMBA EMMANUEL</t>
  </si>
  <si>
    <t>IRAGENA JEANNETTE</t>
  </si>
  <si>
    <t>MASENGESHO HIRAM</t>
  </si>
  <si>
    <t>THEOGENE SHUMBUSHO</t>
  </si>
  <si>
    <t>JEAN D'AMOUR NSHAKIRIMANA</t>
  </si>
  <si>
    <t>BAVAKURE VESTINE</t>
  </si>
  <si>
    <t>BAVAKURU FELIX</t>
  </si>
  <si>
    <t>EMMANUEL NIYODUSENGA</t>
  </si>
  <si>
    <t>JEANNE MUKABASINGA</t>
  </si>
  <si>
    <t>NIYODUSABA MATHILON</t>
  </si>
  <si>
    <t>NYIRANSABIMANA CONSOLEE</t>
  </si>
  <si>
    <t>RUTURA EMMANUEL</t>
  </si>
  <si>
    <t>ISAIE NSANZINEZA</t>
  </si>
  <si>
    <t>MUNYEMANA FELICIEN</t>
  </si>
  <si>
    <t>NGANUMUTSOBE ETIENNE</t>
  </si>
  <si>
    <t>KANAMUGIRE JEAN PIERRE</t>
  </si>
  <si>
    <t>KAJEJE ALPHONSE</t>
  </si>
  <si>
    <t>KAYITESI DALIA</t>
  </si>
  <si>
    <t>UWIZEYE BERNADETTE</t>
  </si>
  <si>
    <t>HASINGIZWIMANA ELIAS</t>
  </si>
  <si>
    <t>MUNYANEZA  ALEXIS</t>
  </si>
  <si>
    <t>JEAN DANIEL NIYONGIRA</t>
  </si>
  <si>
    <t>MUNYABUHORO IGNACE</t>
  </si>
  <si>
    <t>MUKANSANGA SYLVINE</t>
  </si>
  <si>
    <t>BAMURANGE LEATITIA</t>
  </si>
  <si>
    <t>UWAMAHORO JACQUELINE</t>
  </si>
  <si>
    <t>MARIE CLAIRE</t>
  </si>
  <si>
    <t>NTEZIMANA ETIENNE</t>
  </si>
  <si>
    <t>THEONESTE KUBANIRO</t>
  </si>
  <si>
    <t>CHANTAL UWINEZA</t>
  </si>
  <si>
    <t>KAMALI GEOFREY</t>
  </si>
  <si>
    <t>KAMALI GEOFFREY</t>
  </si>
  <si>
    <t>ENOCK NDAYISHIMIYE</t>
  </si>
  <si>
    <t xml:space="preserve">ERIC MANIRAKIZA </t>
  </si>
  <si>
    <t>NTIRANDEKURA  SCHADRACK</t>
  </si>
  <si>
    <t>KAREGEYA EUGENE</t>
  </si>
  <si>
    <t>EMMANUEL NZAMURAMBAHO</t>
  </si>
  <si>
    <t>BATAMURIZA PENINAH</t>
  </si>
  <si>
    <t>SYPHRONIE MUKANDAYAMBAJE</t>
  </si>
  <si>
    <t>GS GIHEKE</t>
  </si>
  <si>
    <t>ERM KICUKIRO</t>
  </si>
  <si>
    <t>GS KAGESHI</t>
  </si>
  <si>
    <t>GS NDEGO</t>
  </si>
  <si>
    <t>G S BIBARE</t>
  </si>
  <si>
    <t>GS NYAKARAMBI</t>
  </si>
  <si>
    <t>GS DE JURU</t>
  </si>
  <si>
    <t>GS RUSORORO</t>
  </si>
  <si>
    <t>MURAMBI SECTOR</t>
  </si>
  <si>
    <t>G S JURU</t>
  </si>
  <si>
    <t>EP BUSHWAGARA</t>
  </si>
  <si>
    <t>EP KIGARAMA</t>
  </si>
  <si>
    <t>GS SERSI</t>
  </si>
  <si>
    <t>PANSIONNEE</t>
  </si>
  <si>
    <t>EP KARAMBI</t>
  </si>
  <si>
    <t>GS NYAMIRAMA</t>
  </si>
  <si>
    <t>PANSIONE</t>
  </si>
  <si>
    <t>PANSIONNER</t>
  </si>
  <si>
    <t>GS KIRAMURUNZI</t>
  </si>
  <si>
    <t>GS GASANGE</t>
  </si>
  <si>
    <t>GS NYAMIYONGA</t>
  </si>
  <si>
    <t>G S GISHANDA</t>
  </si>
  <si>
    <t>E P RUGENDABARI</t>
  </si>
  <si>
    <t xml:space="preserve">EP KIYENZI </t>
  </si>
  <si>
    <t>EP KIRAMURUZI</t>
  </si>
  <si>
    <t>EP RUGWAGWA</t>
  </si>
  <si>
    <t>KAYONZA DESTRICT</t>
  </si>
  <si>
    <t>UMVA EXPERIENCES LTD</t>
  </si>
  <si>
    <t>ES CYARUBARE</t>
  </si>
  <si>
    <t>ES RURAMIRA TSS</t>
  </si>
  <si>
    <t>GS PAYSANT D</t>
  </si>
  <si>
    <t>GS GAKOMA A</t>
  </si>
  <si>
    <t>GS RURENGE PROTESTANT</t>
  </si>
  <si>
    <t>KAYONZA DISRTICT</t>
  </si>
  <si>
    <t>GS NYAGAHANDAGAZI</t>
  </si>
  <si>
    <t>GS SHA</t>
  </si>
  <si>
    <t>MINAGRI</t>
  </si>
  <si>
    <t>UR RUKAARA CAPUS</t>
  </si>
  <si>
    <t>GS RUBIRA</t>
  </si>
  <si>
    <t>11/11/2025</t>
  </si>
  <si>
    <t>1/NAP25CG151/10340001/11/11/2025</t>
  </si>
  <si>
    <t>015998603</t>
  </si>
  <si>
    <t>2/NAP25CG152/10340001/11/11/2025</t>
  </si>
  <si>
    <t>0077650</t>
  </si>
  <si>
    <t>3/NAP22CY43/10340001/11/11/2025</t>
  </si>
  <si>
    <t>015871024</t>
  </si>
  <si>
    <t>4/NAP24A13/10340001/11/11/2025</t>
  </si>
  <si>
    <t>5/NAP25CE06/10340001/11/11/2025</t>
  </si>
  <si>
    <t>015859611</t>
  </si>
  <si>
    <t>6/NAP25CG153/10340001/11/11/2025</t>
  </si>
  <si>
    <t>19895215J</t>
  </si>
  <si>
    <t>7/NAP22CX30/10340001/11/11/2025</t>
  </si>
  <si>
    <t>015871702</t>
  </si>
  <si>
    <t>8/NAP22CK21/10340001/11/11/2025</t>
  </si>
  <si>
    <t>9/NAP25CD929/10340001/11/11/2025</t>
  </si>
  <si>
    <t>015981355</t>
  </si>
  <si>
    <t>10/NAP24A23/10340001/11/11/2025</t>
  </si>
  <si>
    <t>015849571</t>
  </si>
  <si>
    <t>11/NAP23AJ63/10340001/11/11/2025</t>
  </si>
  <si>
    <t>015854299</t>
  </si>
  <si>
    <t>12/NAP25AZ63/10340001/11/11/2025</t>
  </si>
  <si>
    <t>015572126</t>
  </si>
  <si>
    <t>13/NAP25AZ63/10340001/11/11/2025</t>
  </si>
  <si>
    <t>14/NAP25CG160/10340001/11/11/2025</t>
  </si>
  <si>
    <t>016000491</t>
  </si>
  <si>
    <t>15/NAP25CG166/10340001/11/11/2025</t>
  </si>
  <si>
    <t>015752051</t>
  </si>
  <si>
    <t>16/NAP25CG167/10340001/11/11/2025</t>
  </si>
  <si>
    <t>015556973</t>
  </si>
  <si>
    <t>17/NAP25CG168/10340001/11/11/2025</t>
  </si>
  <si>
    <t>002221301</t>
  </si>
  <si>
    <t>18/NAP25CG169/10340001/11/11/2025</t>
  </si>
  <si>
    <t>015983859</t>
  </si>
  <si>
    <t>015906952</t>
  </si>
  <si>
    <t>20/NAP23X73/10340001/11/11/2025</t>
  </si>
  <si>
    <t xml:space="preserve"> 19385797S</t>
  </si>
  <si>
    <t>21/NAP23AG37/10340001/11/11/2025</t>
  </si>
  <si>
    <t>10715310H</t>
  </si>
  <si>
    <t>22/NAP22BJ19/10340001/11/11/2025</t>
  </si>
  <si>
    <t>015709488</t>
  </si>
  <si>
    <t>23/NAP23AA56/10340001/11/11/2025</t>
  </si>
  <si>
    <t>015776312</t>
  </si>
  <si>
    <t>24/NAP23AR13/10340001/11/11/2025</t>
  </si>
  <si>
    <t>015966477</t>
  </si>
  <si>
    <t>25/NAP25BY01/10340001/11/11/2025</t>
  </si>
  <si>
    <t>015826124</t>
  </si>
  <si>
    <t>26/NAP23V63/10340001/11/11/2025</t>
  </si>
  <si>
    <t>015794355</t>
  </si>
  <si>
    <t>27/NAP23CT59/10340001/11/11/2025</t>
  </si>
  <si>
    <t>20231593c</t>
  </si>
  <si>
    <t>28/NAP25CG209/10340001/11/11/2025</t>
  </si>
  <si>
    <t>015706786</t>
  </si>
  <si>
    <t>29/NAP20AX31/10340001/11/11/2025</t>
  </si>
  <si>
    <t>20232051N</t>
  </si>
  <si>
    <t>30/NAP25CG211/10340001/11/11/2025</t>
  </si>
  <si>
    <t>015961324</t>
  </si>
  <si>
    <t>31/NAP22AX61/10340001/11/11/2025</t>
  </si>
  <si>
    <t>0147702</t>
  </si>
  <si>
    <t>32/NAP23CH71/10340001/11/11/2025</t>
  </si>
  <si>
    <t>015766400</t>
  </si>
  <si>
    <t>33/NAP19R78/10340001/11/11/2025</t>
  </si>
  <si>
    <t>015733005</t>
  </si>
  <si>
    <t>34/NAP22CF66/10340001/11/11/2025</t>
  </si>
  <si>
    <t>0141734</t>
  </si>
  <si>
    <t>015855468</t>
  </si>
  <si>
    <t>003972700</t>
  </si>
  <si>
    <t>015883945</t>
  </si>
  <si>
    <t>015985404</t>
  </si>
  <si>
    <t>015836063</t>
  </si>
  <si>
    <t>015729471</t>
  </si>
  <si>
    <t>015887877</t>
  </si>
  <si>
    <t>015812405</t>
  </si>
  <si>
    <t>ALAIN FRANDY IBIGWI</t>
  </si>
  <si>
    <t>JANVIER SAFARI</t>
  </si>
  <si>
    <t>SAMIYA UFITESE ISIMBI</t>
  </si>
  <si>
    <t>MYLA IVANA IRANKUNDA</t>
  </si>
  <si>
    <t>LAURENCE NIYOBUHUNGIRO</t>
  </si>
  <si>
    <t>IRABA BELEN NANCY</t>
  </si>
  <si>
    <t>VERA IRAJE</t>
  </si>
  <si>
    <t>MWIZERWA EBENEZER</t>
  </si>
  <si>
    <t>WILSON MUGISHA</t>
  </si>
  <si>
    <t>ISHIMWE ALINE</t>
  </si>
  <si>
    <t>ASHER KIREZI</t>
  </si>
  <si>
    <t>MAXIME KWIZERA</t>
  </si>
  <si>
    <t>ISHIMWE NUMUKUNDWA</t>
  </si>
  <si>
    <t>AKILLA BENJAMIN GWIZA INEZA</t>
  </si>
  <si>
    <t>ISINGIZWE KELLY</t>
  </si>
  <si>
    <t>MWISENEZA JEAN PIERRE</t>
  </si>
  <si>
    <t>HARERIMANA JEAN BAPTISTE</t>
  </si>
  <si>
    <t>FRED UWIZEYE</t>
  </si>
  <si>
    <t>KUNDWA LOANA ASHIMWE</t>
  </si>
  <si>
    <t>IMANZI MURENZI AMIEL</t>
  </si>
  <si>
    <t>SANDRA NIMWIZA LIZA</t>
  </si>
  <si>
    <t>KAGERUKA MATTIEU</t>
  </si>
  <si>
    <t>BEBE AGRIPINE MUSAYIDIRE</t>
  </si>
  <si>
    <t>IBONWA CYNTHIA</t>
  </si>
  <si>
    <t>CRECIA PRECIOUS SHIMWA</t>
  </si>
  <si>
    <t>ADEODATUS NIYITEGEKA</t>
  </si>
  <si>
    <t>UWIMBABAZI OLIVE</t>
  </si>
  <si>
    <t>NIZEYIMANA EMMANUEL</t>
  </si>
  <si>
    <t>ISHIMWE GHISLAIN</t>
  </si>
  <si>
    <t>SEHIGI PIERRE NOLASQUE</t>
  </si>
  <si>
    <t>KIREZI BRENDA</t>
  </si>
  <si>
    <t>BELLA GIHOZO</t>
  </si>
  <si>
    <t>LILY SANDRA TIFFANY MAHORO</t>
  </si>
  <si>
    <t>MAHORO LILY GABRIELLA</t>
  </si>
  <si>
    <t>MUVARA MAYAH ELIORA</t>
  </si>
  <si>
    <t>IZERE MUVARA ELIO</t>
  </si>
  <si>
    <t>MARTIN MUJYAKERA</t>
  </si>
  <si>
    <t>VENUSTE NDAGIJIMANA</t>
  </si>
  <si>
    <t>APPOLINARIE UMUTONI</t>
  </si>
  <si>
    <t>BENJAMIN NGENDAHIMANA</t>
  </si>
  <si>
    <t>FAUSTIN UWIMANA</t>
  </si>
  <si>
    <t>MUJYAKERA MARTHIUS</t>
  </si>
  <si>
    <t>JEAN CLAUDE NIYONKURU</t>
  </si>
  <si>
    <t>MANZI MURENZI VINCENT</t>
  </si>
  <si>
    <t>DIVIN NDAGIJIMANA</t>
  </si>
  <si>
    <t>LYDIA MUKANEZA</t>
  </si>
  <si>
    <t>JEAN CLAUDE BIZIMUNGU</t>
  </si>
  <si>
    <t>VESTINE NIBOGORE</t>
  </si>
  <si>
    <t>UWASE BETTY</t>
  </si>
  <si>
    <t xml:space="preserve">CHARLOTTE UWIZEYE </t>
  </si>
  <si>
    <t>MURENZI JOHN</t>
  </si>
  <si>
    <t>JEANNINE MUTESI</t>
  </si>
  <si>
    <t>DINAH NAYEBARE</t>
  </si>
  <si>
    <t>JOHN DAMASCENE NTAWIRAGABO</t>
  </si>
  <si>
    <t>JOSELYNE DUSABEMARIYA</t>
  </si>
  <si>
    <t>DIANE UMUGANWA NYAGATARE</t>
  </si>
  <si>
    <t>NSEGIYUMVA  ALEX</t>
  </si>
  <si>
    <t>GAD BIDERI GAKURU</t>
  </si>
  <si>
    <t>UFITIMANA JACQUELINE</t>
  </si>
  <si>
    <t>NSENGIYIMVA ALEX</t>
  </si>
  <si>
    <t>GENEREUSE MUKASHEFU</t>
  </si>
  <si>
    <t>JEMIMA UWIMANA</t>
  </si>
  <si>
    <t>UWIMANA  JEMIMA</t>
  </si>
  <si>
    <t>UMWIZA SANDRINE</t>
  </si>
  <si>
    <t>SANDRINE UMWIZA</t>
  </si>
  <si>
    <t>HOSPITAL KIZIGURO</t>
  </si>
  <si>
    <t>GS ZAZA B</t>
  </si>
  <si>
    <t>GS GAHENGELI</t>
  </si>
  <si>
    <t>RAB</t>
  </si>
  <si>
    <t>GS GITABURAZA</t>
  </si>
  <si>
    <t>NPSC</t>
  </si>
  <si>
    <t>APENA TVT</t>
  </si>
  <si>
    <t>KIZIGURO HOSPITAL</t>
  </si>
  <si>
    <t>SECTOR MUHIKIRI</t>
  </si>
  <si>
    <t>SACCO REMERA NGOMA</t>
  </si>
  <si>
    <t>GS SHAGASHA</t>
  </si>
  <si>
    <t>TSS KAGEYO</t>
  </si>
  <si>
    <t>APTC</t>
  </si>
  <si>
    <t xml:space="preserve">AEE </t>
  </si>
  <si>
    <t>IEER</t>
  </si>
  <si>
    <t>RUGARAMA HEALTH CENTER</t>
  </si>
  <si>
    <t>HOSPITAL KIREHE</t>
  </si>
  <si>
    <t>GS MUTENGERI</t>
  </si>
  <si>
    <t>GS KIRINDA</t>
  </si>
  <si>
    <t>GS BUGESERA</t>
  </si>
  <si>
    <t>f</t>
  </si>
  <si>
    <t>015943612</t>
  </si>
  <si>
    <t>ANGEL DIMITRY PAYEV Ihuze</t>
  </si>
  <si>
    <t>elysee sindikubwabo</t>
  </si>
  <si>
    <t>kirehe district</t>
  </si>
  <si>
    <t>69/NAP21AT46/10340001/02/11/2025</t>
  </si>
  <si>
    <t>015932873</t>
  </si>
  <si>
    <t>KAMBA LEIA ISHIMWE</t>
  </si>
  <si>
    <t>WILLIAM KIZZA</t>
  </si>
  <si>
    <t>UR RUKARA</t>
  </si>
  <si>
    <t>REG</t>
  </si>
  <si>
    <t>015845059</t>
  </si>
  <si>
    <t>015713089</t>
  </si>
  <si>
    <t>NTAGANIRA Jean de dieu</t>
  </si>
  <si>
    <t>MUKAMURERA JOSELYNE</t>
  </si>
  <si>
    <t>33/NAP25CF829/10340001/04/11/2025</t>
  </si>
  <si>
    <t>015522878</t>
  </si>
  <si>
    <t>GAHAMANYI ANAISE</t>
  </si>
  <si>
    <t>SERAPHINE GASINGIRWA</t>
  </si>
  <si>
    <t>54/NAP24CB880/10340001/06/11/2025</t>
  </si>
  <si>
    <t>12/11/2025</t>
  </si>
  <si>
    <t>1/NAP23J04/10340001/12/11/2025</t>
  </si>
  <si>
    <t>010460601</t>
  </si>
  <si>
    <t>2/NAP24CA78/10340001/12/11/2025</t>
  </si>
  <si>
    <t>001932201</t>
  </si>
  <si>
    <t>3/NAP25CG224/10340001/12/11/2025</t>
  </si>
  <si>
    <t>009662601</t>
  </si>
  <si>
    <t>4/NAP24BV82/10340001/12/11/2025</t>
  </si>
  <si>
    <t>015588463</t>
  </si>
  <si>
    <t>5/NAP25CG226/10340001/12/11/2025</t>
  </si>
  <si>
    <t>015888836</t>
  </si>
  <si>
    <t>6/NAP24E21/10340001/12/11/2025</t>
  </si>
  <si>
    <t>015660206</t>
  </si>
  <si>
    <t>7/NAP25CB67/10340001/12/11/2025</t>
  </si>
  <si>
    <t>015902517</t>
  </si>
  <si>
    <t>8/NAP25CF909/10340001/12/11/2025</t>
  </si>
  <si>
    <t>9/NAP25BN37/10340001/12/11/2025</t>
  </si>
  <si>
    <t>20147544E</t>
  </si>
  <si>
    <t>10/NAP25CG230/10340001/12/11/2025</t>
  </si>
  <si>
    <t>015850837</t>
  </si>
  <si>
    <t>11/NAP24T21/10340001/12/11/2025</t>
  </si>
  <si>
    <t>10804522P</t>
  </si>
  <si>
    <t>12/NAP25CG231/10340001/12/11/2025</t>
  </si>
  <si>
    <t>015706858</t>
  </si>
  <si>
    <t>13/NAP25CG235/10340001/12/11/2025</t>
  </si>
  <si>
    <t>015742038</t>
  </si>
  <si>
    <t>14/NAP21AD30/10340001/12/11/2025</t>
  </si>
  <si>
    <t>015693164</t>
  </si>
  <si>
    <t>15/NAP25CG236/10340001/12/11/2025</t>
  </si>
  <si>
    <t>015957216</t>
  </si>
  <si>
    <t>16/NAP24W07/10340001/12/11/2025</t>
  </si>
  <si>
    <t>19918992Q</t>
  </si>
  <si>
    <t>17/NAP19I64/10340001/12/11/2025</t>
  </si>
  <si>
    <t>015615990</t>
  </si>
  <si>
    <t>18/NAP19BH47/10340001/12/11/2025</t>
  </si>
  <si>
    <t>015748495</t>
  </si>
  <si>
    <t>19/NAP23CD64/10340001/12/11/2025</t>
  </si>
  <si>
    <t>015899942</t>
  </si>
  <si>
    <t>20/NAP25CG236/10340001/12/11/2025</t>
  </si>
  <si>
    <t>21/NAP21DQ24/10340001/12/11/2025</t>
  </si>
  <si>
    <t>015786611</t>
  </si>
  <si>
    <t>22/NAP19C21/10340001/12/11/2025</t>
  </si>
  <si>
    <t>0121960</t>
  </si>
  <si>
    <t>23/NAP20A88/10340001/12/11/2025</t>
  </si>
  <si>
    <t>007025700</t>
  </si>
  <si>
    <t>24/NAP25AD76/10340001/12/11/2025</t>
  </si>
  <si>
    <t>015847423</t>
  </si>
  <si>
    <t>25/NAP25BN25/10340001/12/11/2025</t>
  </si>
  <si>
    <t>10443789h</t>
  </si>
  <si>
    <t>26/NAP23AX71/10340001/12/11/2025</t>
  </si>
  <si>
    <t>007520500</t>
  </si>
  <si>
    <t>27/NAP25CG246/10340001/12/11/2025</t>
  </si>
  <si>
    <t>28/NAP25CG248/10340001/12/11/2025</t>
  </si>
  <si>
    <t>016001804</t>
  </si>
  <si>
    <t>29/NAP25CG250/10340001/12/11/2025</t>
  </si>
  <si>
    <t>30/NAP22AU29/10340001/12/11/2025</t>
  </si>
  <si>
    <t>015807657</t>
  </si>
  <si>
    <t>31/NAP25AD76/10340001/12/11/2025</t>
  </si>
  <si>
    <t>32/NAP24CZ13/10340001/12/11/2025</t>
  </si>
  <si>
    <t>015951928</t>
  </si>
  <si>
    <t>33/NAP23CQ64/10340001/12/11/2025</t>
  </si>
  <si>
    <t>11121434E</t>
  </si>
  <si>
    <t>34/NAP19A57/10340001/12/11/2025</t>
  </si>
  <si>
    <t>015662923</t>
  </si>
  <si>
    <t>35/NAP19V84/10340001/12/11/2025</t>
  </si>
  <si>
    <t>015642976</t>
  </si>
  <si>
    <t>36/NAP20G86/10340001/12/11/2025</t>
  </si>
  <si>
    <t>015761188</t>
  </si>
  <si>
    <t>37/NAP22BS31/10340001/12/11/2025</t>
  </si>
  <si>
    <t>10975243H</t>
  </si>
  <si>
    <t>38/NAP25CG259/10340001/12/11/2025</t>
  </si>
  <si>
    <t>015971213</t>
  </si>
  <si>
    <t>39/NAP20C58/10340001/12/11/2025</t>
  </si>
  <si>
    <t>10943509A</t>
  </si>
  <si>
    <t>40/NAP22G96/10340001/12/11/2025</t>
  </si>
  <si>
    <t>015658725</t>
  </si>
  <si>
    <t>41/NAP25CG263/10340001/12/11/2025</t>
  </si>
  <si>
    <t>015984044</t>
  </si>
  <si>
    <t>42/NAP19D80/10340001/12/11/2025</t>
  </si>
  <si>
    <t>015590675</t>
  </si>
  <si>
    <t>43/NAP25CG265/10340001/12/11/2025</t>
  </si>
  <si>
    <t>015957003</t>
  </si>
  <si>
    <t>44/NAP23S27/10340001/12/11/2025</t>
  </si>
  <si>
    <t>015776916</t>
  </si>
  <si>
    <t>45/NAP23AF86/10340001/12/11/2025</t>
  </si>
  <si>
    <t>10745324n</t>
  </si>
  <si>
    <t>46/NAP19O03/10340001/12/11/2025</t>
  </si>
  <si>
    <t>47/NAP21AZ07/10340001/12/11/2025</t>
  </si>
  <si>
    <t>015807368</t>
  </si>
  <si>
    <t>48/NAP21AC74/10340001/12/11/2025</t>
  </si>
  <si>
    <t>0045329</t>
  </si>
  <si>
    <t>49/NAP19E20/10340001/12/11/2025</t>
  </si>
  <si>
    <t>015648016</t>
  </si>
  <si>
    <t>50/NAP25BP83/10340001/12/11/2025</t>
  </si>
  <si>
    <t>10856751Z</t>
  </si>
  <si>
    <t>51/NAP21P08/10340001/12/11/2025</t>
  </si>
  <si>
    <t>015787229</t>
  </si>
  <si>
    <t>52/NAP21CM03/10340001/12/11/2025</t>
  </si>
  <si>
    <t>015787226</t>
  </si>
  <si>
    <t>53/NAP24BN51/10340001/12/11/2025</t>
  </si>
  <si>
    <t>015903086</t>
  </si>
  <si>
    <t>54/NAP25CF580/10340001/12/11/2025</t>
  </si>
  <si>
    <t>015997828</t>
  </si>
  <si>
    <t>UWASE KAMIKAZI</t>
  </si>
  <si>
    <t>MUNEZERO HERVE BONFILS</t>
  </si>
  <si>
    <t>NSANZIMANA IRIZA CHANDELLE</t>
  </si>
  <si>
    <t>INEZA NICE</t>
  </si>
  <si>
    <t>JANVIERE NYIRAMUHIRE</t>
  </si>
  <si>
    <t>IRABIZI PRETTY EVA</t>
  </si>
  <si>
    <t>NEITHAN WILLIAM TEMPIER NDATSIKIRA</t>
  </si>
  <si>
    <t>ISABELLE NIYOKWIZERWA</t>
  </si>
  <si>
    <t>NEZERWA NSHUTI AMONIE</t>
  </si>
  <si>
    <t>NDUNGUTSE ETIENNE</t>
  </si>
  <si>
    <t>MARIAM IRADUKUNDA</t>
  </si>
  <si>
    <t>ROSINE NIYOYUKURI</t>
  </si>
  <si>
    <t>SHAMI CHRIS ALVIN</t>
  </si>
  <si>
    <t>GANZA KABAYIZA DAVE</t>
  </si>
  <si>
    <t>PELAGIE NIYIGENA</t>
  </si>
  <si>
    <t>NTWARI KITOKO BRUCE</t>
  </si>
  <si>
    <t>ELLIOLLAH IRISA</t>
  </si>
  <si>
    <t>KYLE HARVEY NTWALI</t>
  </si>
  <si>
    <t>MWISENEZA ANANIE</t>
  </si>
  <si>
    <t>MUKAKIBOGO COLLETTE</t>
  </si>
  <si>
    <t>MURAGWA GWIRA DARLENE</t>
  </si>
  <si>
    <t>MUNDANIKURE THEOPHILE</t>
  </si>
  <si>
    <t>MUHIMPUNDU XXX</t>
  </si>
  <si>
    <t>AHIMANA IHIRWE NEILLA HUGUETTE</t>
  </si>
  <si>
    <t>BEBE ANNETTE MUKARUGEMA</t>
  </si>
  <si>
    <t>MUTABAZI GANZA SHAHIDI</t>
  </si>
  <si>
    <t>H INEMA OLGA</t>
  </si>
  <si>
    <t>UWIZEYIMANA JEAN DE DEIU</t>
  </si>
  <si>
    <t>MUKAKAYANGE ANGELA</t>
  </si>
  <si>
    <t>KUNDWA LINDA</t>
  </si>
  <si>
    <t>MUNEZERO DENYSE</t>
  </si>
  <si>
    <t>CHARLES BIZIMANA</t>
  </si>
  <si>
    <t>TWAHIRWA ISIMBI GABRIELLA</t>
  </si>
  <si>
    <t>NYIRAHABIMANA XXX</t>
  </si>
  <si>
    <t>SALOMON RAFIKI</t>
  </si>
  <si>
    <t>IGABE DUSHIME LEANDRE</t>
  </si>
  <si>
    <t>ASIMWE KLAWS</t>
  </si>
  <si>
    <t>BEBE WINIFRID MUHIMPUNDU</t>
  </si>
  <si>
    <t>GIAN KABANO ASIMWE</t>
  </si>
  <si>
    <t>MUTARAMBIRWA DESIRE</t>
  </si>
  <si>
    <t>HAKIZIMANA EMMANUEL</t>
  </si>
  <si>
    <t>MUSABIYINGABIRE M.LOUISE</t>
  </si>
  <si>
    <t>MUHOZA JUDITH</t>
  </si>
  <si>
    <t>MUNYABUGINGO WILLIAM</t>
  </si>
  <si>
    <t>ABIJURU BIM AMANDINE</t>
  </si>
  <si>
    <t>BIMENYIMANA JEAN PIERRE</t>
  </si>
  <si>
    <t>GISA ETHAN</t>
  </si>
  <si>
    <t>IGISINGIZO INEZA IVY TEKLA</t>
  </si>
  <si>
    <t xml:space="preserve"> LILIANE UWIMANA</t>
  </si>
  <si>
    <t>BIHEZANDE EMABLE</t>
  </si>
  <si>
    <t>NSANZIMANA EUSTACHE</t>
  </si>
  <si>
    <t>FEZA NYIRAKARAKOWE</t>
  </si>
  <si>
    <t>BUNANE PHOCAS</t>
  </si>
  <si>
    <t>YANKURRIJE MARIE JEANNE</t>
  </si>
  <si>
    <t>NDATSIKIRA FULGENCE</t>
  </si>
  <si>
    <t>NYIRABUGINGO ROSE</t>
  </si>
  <si>
    <t>ISAAC SENGABO</t>
  </si>
  <si>
    <t>CLAUDINE MUKAHABINEZA</t>
  </si>
  <si>
    <t>NTIYAMIRA SYLVERE</t>
  </si>
  <si>
    <t>JEAN MARIE VIANNEY KABAYIZA</t>
  </si>
  <si>
    <t>SEBATWARE FIDELE</t>
  </si>
  <si>
    <t>TUYISENGE  BABRA</t>
  </si>
  <si>
    <t>UWAYEZU JEAN PAUL</t>
  </si>
  <si>
    <t>UWANYIRINGIRA ALPHONSINE</t>
  </si>
  <si>
    <t>GAKWANDI BONIFASI</t>
  </si>
  <si>
    <t>DAMASCENE MURAGWABAGABO</t>
  </si>
  <si>
    <t>GISAGARA MARTIN</t>
  </si>
  <si>
    <t>AHIMANA EMMANUEL</t>
  </si>
  <si>
    <t>ASSI UWIRAGIYE</t>
  </si>
  <si>
    <t>MUKANSANGA OLIVE</t>
  </si>
  <si>
    <t>SERUBABAZA EMMANUEL</t>
  </si>
  <si>
    <t>NGABIRE  NKUNDA  PHILIPPE</t>
  </si>
  <si>
    <t>RUGIRA JEAN BAPTIST</t>
  </si>
  <si>
    <t>FIDELE TWAHIRWA</t>
  </si>
  <si>
    <t>MUJYANAMA AIMABLE</t>
  </si>
  <si>
    <t>THEOPHILE MUNDANIKURE</t>
  </si>
  <si>
    <t>ASIIMWE  WILLIAM</t>
  </si>
  <si>
    <t>MUKURU ALFRED SSESSAZI</t>
  </si>
  <si>
    <t>ASIIMWE WILLIAM</t>
  </si>
  <si>
    <t>PHOIBE UWAYO</t>
  </si>
  <si>
    <t>MURENZI  THEOGENE</t>
  </si>
  <si>
    <t>MUSABIYINGABIRE MARIE LOUISE</t>
  </si>
  <si>
    <t>M.LOUISE MUSABIYINGABIRE</t>
  </si>
  <si>
    <t>WILLY RUZINDANA</t>
  </si>
  <si>
    <t>MUKAMANA MARIE CHANTAL</t>
  </si>
  <si>
    <t>GS NYARUSANGE</t>
  </si>
  <si>
    <t>GS NYAMATA</t>
  </si>
  <si>
    <t>GS KIMISANDE</t>
  </si>
  <si>
    <t>NGOMA DISTRICT</t>
  </si>
  <si>
    <t>PS RUMULI</t>
  </si>
  <si>
    <t>SAINT FAMILLE</t>
  </si>
  <si>
    <t>GS KABARONDO</t>
  </si>
  <si>
    <t>PS NYAMIYAGA</t>
  </si>
  <si>
    <t>MIKO SECTOR</t>
  </si>
  <si>
    <t>GS RWAMAGANA A</t>
  </si>
  <si>
    <t xml:space="preserve">GS MUHURA </t>
  </si>
  <si>
    <t>EP  MBURABUTURO</t>
  </si>
  <si>
    <t>GS  GATORE</t>
  </si>
  <si>
    <t>NYANZA MILK INDUSTRY</t>
  </si>
  <si>
    <t>GS KIMISANGE</t>
  </si>
  <si>
    <t>GS GATSIBO</t>
  </si>
  <si>
    <t>BUHOROTRADING LTD</t>
  </si>
  <si>
    <t>GS  MUZIZI</t>
  </si>
  <si>
    <t>EAST AFRICA</t>
  </si>
  <si>
    <t>GS MUKRANGE</t>
  </si>
  <si>
    <t>MUKARANGE VTC</t>
  </si>
  <si>
    <t>GS  MUKARANGE CATHOLIQUE</t>
  </si>
  <si>
    <t>EP GAKOROKOMBE</t>
  </si>
  <si>
    <t>13/11/2025</t>
  </si>
  <si>
    <t>1/NAP19L48/10340001/13/11/2025</t>
  </si>
  <si>
    <t>007071800</t>
  </si>
  <si>
    <t>2/NAP19C86/10340001/13/11/2025</t>
  </si>
  <si>
    <t>007071802</t>
  </si>
  <si>
    <t>3/NAP23CB57/10340001/13/11/2025</t>
  </si>
  <si>
    <t>10721038F</t>
  </si>
  <si>
    <t>4/NAP25CG266/10340001/13/11/2025</t>
  </si>
  <si>
    <t>015891599</t>
  </si>
  <si>
    <t>5/NAP25Z27/10340001/13/11/2025</t>
  </si>
  <si>
    <t>015906506</t>
  </si>
  <si>
    <t>6/NAP23CB57/10340001/13/11/2025</t>
  </si>
  <si>
    <t>7/NAP25CC84/10340001/13/11/2025</t>
  </si>
  <si>
    <t>20083435T</t>
  </si>
  <si>
    <t>8/NAP25CG267/10340001/13/11/2025</t>
  </si>
  <si>
    <t>015859557</t>
  </si>
  <si>
    <t>9/NAP25CG268/10340001/13/11/2025</t>
  </si>
  <si>
    <t>015609338</t>
  </si>
  <si>
    <t>10/NAP23J04/10340001/13/11/2025</t>
  </si>
  <si>
    <t>11/NAP25CG270/10340001/13/11/2025</t>
  </si>
  <si>
    <t>015892971</t>
  </si>
  <si>
    <t>12/NAP19BH77/10340001/13/11/2025</t>
  </si>
  <si>
    <t>0068595</t>
  </si>
  <si>
    <t>13/NAP25CG272/10340001/13/11/2025</t>
  </si>
  <si>
    <t>19627297H</t>
  </si>
  <si>
    <t>14/NAP20AF83/10340001/13/11/2025</t>
  </si>
  <si>
    <t>015723887</t>
  </si>
  <si>
    <t>15/NAP25CC10/10340001/13/11/2025</t>
  </si>
  <si>
    <t>015980112</t>
  </si>
  <si>
    <t>16/NAP25J90/10340001/13/11/2025</t>
  </si>
  <si>
    <t>015973031</t>
  </si>
  <si>
    <t>17/NAP25CG281/10340001/13/11/2025</t>
  </si>
  <si>
    <t>10877938X</t>
  </si>
  <si>
    <t>18/NAP22C57/10340001/13/11/2025</t>
  </si>
  <si>
    <t>0064915</t>
  </si>
  <si>
    <t>19/NAP22BH89/10340001/13/11/2025</t>
  </si>
  <si>
    <t>`10901299W</t>
  </si>
  <si>
    <t>20/NAP24CQ34/10340001/13/11/2025</t>
  </si>
  <si>
    <t>0143429</t>
  </si>
  <si>
    <t>21/NAP24S78/10340001/13/11/2025</t>
  </si>
  <si>
    <t>015932580</t>
  </si>
  <si>
    <t>22/NAP23Q30/10340001/13/11/2025</t>
  </si>
  <si>
    <t>015882827</t>
  </si>
  <si>
    <t>23/NAP24DA68/10340001/13/11/2025</t>
  </si>
  <si>
    <t>015965308</t>
  </si>
  <si>
    <t>24/NAP25F23/10340001/13/11/2025</t>
  </si>
  <si>
    <t>19345136G</t>
  </si>
  <si>
    <t>25/NAP25CE503/10340001/13/11/2025</t>
  </si>
  <si>
    <t>015995549</t>
  </si>
  <si>
    <t>26/NAP23BD56/10340001/13/11/2025</t>
  </si>
  <si>
    <t>015882697</t>
  </si>
  <si>
    <t>27/NAP25CG289/10340001/13/11/2025</t>
  </si>
  <si>
    <t>015987360</t>
  </si>
  <si>
    <t>28/NAP25CG290/10340001/13/11/2025</t>
  </si>
  <si>
    <t>015547046</t>
  </si>
  <si>
    <t>29/NAP20AW62/10340001/13/11/2025</t>
  </si>
  <si>
    <t>015780401</t>
  </si>
  <si>
    <t>30/NAP23AI23/10340001/13/11/2025</t>
  </si>
  <si>
    <t xml:space="preserve"> 20205179W</t>
  </si>
  <si>
    <t>31/NAP25S37/10340001/13/11/2025</t>
  </si>
  <si>
    <t>015969310</t>
  </si>
  <si>
    <t>32/NAP25CG295/10340001/13/11/2025</t>
  </si>
  <si>
    <t>016000012</t>
  </si>
  <si>
    <t>33/NAP25CG296/10340001/13/11/2025</t>
  </si>
  <si>
    <t>015848834</t>
  </si>
  <si>
    <t>34/NAP23X20/10340001/13/11/2025</t>
  </si>
  <si>
    <t>015870898</t>
  </si>
  <si>
    <t>35/NAP25CF260/10340001/13/11/2025</t>
  </si>
  <si>
    <t>19856234F</t>
  </si>
  <si>
    <t>36/NAP24AC89/10340001/13/11/2025</t>
  </si>
  <si>
    <t>015930132</t>
  </si>
  <si>
    <t>37/NAP19X98/10340001/13/11/2025</t>
  </si>
  <si>
    <t>0074393</t>
  </si>
  <si>
    <t>38/NAP25BL93/10340001/13/11/2025</t>
  </si>
  <si>
    <t>015880886</t>
  </si>
  <si>
    <t>39/NAP21A42/10340001/13/11/2025</t>
  </si>
  <si>
    <t>015776041</t>
  </si>
  <si>
    <t>40/NAP22AR01/10340001/13/11/2025</t>
  </si>
  <si>
    <t>19916154C</t>
  </si>
  <si>
    <t>41/NAP25CF708/10340001/13/11/2025</t>
  </si>
  <si>
    <t>42/NAP25CG299/10340001/13/11/2025</t>
  </si>
  <si>
    <t>015520685</t>
  </si>
  <si>
    <t>43/NAP25CA76/10340001/13/11/2025</t>
  </si>
  <si>
    <t>10896139G</t>
  </si>
  <si>
    <t>44/NAP20S48/10340001/13/11/2025</t>
  </si>
  <si>
    <t>0074495</t>
  </si>
  <si>
    <t>45/NAP20G79/10340001/13/11/2025</t>
  </si>
  <si>
    <t>015760455</t>
  </si>
  <si>
    <t>46/NAP24AE15/10340001/13/11/2025</t>
  </si>
  <si>
    <t>015925548</t>
  </si>
  <si>
    <t>47/NAP25BY06/10340001/13/11/2025</t>
  </si>
  <si>
    <t>19865573P</t>
  </si>
  <si>
    <t>48/NAP21BG88/10340001/13/11/2025</t>
  </si>
  <si>
    <t>015808414</t>
  </si>
  <si>
    <t>49/NAP20L92/10340001/13/11/2025</t>
  </si>
  <si>
    <t>015717756</t>
  </si>
  <si>
    <t>50/NAP20L93/10340001/13/11/2025</t>
  </si>
  <si>
    <t>015661665</t>
  </si>
  <si>
    <t>51/NAP20AP32/10340001/13/11/2025</t>
  </si>
  <si>
    <t>0131650</t>
  </si>
  <si>
    <t>52/NAP25CA76/10340001/13/11/2025</t>
  </si>
  <si>
    <t>53/NAP22AR09/10340001/13/11/2025</t>
  </si>
  <si>
    <t>015756827</t>
  </si>
  <si>
    <t>54/NAP25CF623/10340001/13/11/2025</t>
  </si>
  <si>
    <t>55/NAP24AJ02/10340001/13/11/2025</t>
  </si>
  <si>
    <t>015940676</t>
  </si>
  <si>
    <t>56/NAP23N04/10340001/13/11/2025</t>
  </si>
  <si>
    <t>10443742R</t>
  </si>
  <si>
    <t>57/NAP19A57/10340001/13/11/2025</t>
  </si>
  <si>
    <t>58/NAP23D33/10340001/13/11/2025</t>
  </si>
  <si>
    <t>015866228</t>
  </si>
  <si>
    <t>59/NAP24BJ35/10340001/13/11/2025</t>
  </si>
  <si>
    <t>015957990</t>
  </si>
  <si>
    <t>60/NAP23BQ21/10340001/13/11/2025</t>
  </si>
  <si>
    <t>0116823</t>
  </si>
  <si>
    <t>61/NAP20J38/10340001/13/11/2025</t>
  </si>
  <si>
    <t>015753802</t>
  </si>
  <si>
    <t>62/NAP23CL04/10340001/13/11/2025</t>
  </si>
  <si>
    <t>015906969</t>
  </si>
  <si>
    <t>63/NAP25CG303/10340001/13/11/2025</t>
  </si>
  <si>
    <t>015610943</t>
  </si>
  <si>
    <t>64/NAP24CP31/10340001/13/11/2025</t>
  </si>
  <si>
    <t>65/NAP25CG304/10340001/13/11/2025</t>
  </si>
  <si>
    <t>015926228</t>
  </si>
  <si>
    <t>GAKWAYA VICTOIRE</t>
  </si>
  <si>
    <t>IRANZI VICTOR</t>
  </si>
  <si>
    <t>SEKABIRA JAMES</t>
  </si>
  <si>
    <t>AKUZWE NTWARI ELOI</t>
  </si>
  <si>
    <t>PETER MUGABO</t>
  </si>
  <si>
    <t>DUSHIMIMANA HERALIE</t>
  </si>
  <si>
    <t>ELLA KEILLA AGAHOZO TETA</t>
  </si>
  <si>
    <t>BENJAMIN DUSABE</t>
  </si>
  <si>
    <t>ASHIMWE ISIMBI ALBINE</t>
  </si>
  <si>
    <t>MUNYANEZA FULGENCE</t>
  </si>
  <si>
    <t>ISHIMWE JOEL</t>
  </si>
  <si>
    <t>KAZARWA EUGENIE</t>
  </si>
  <si>
    <t>RAINA IRAGUHA ATETE</t>
  </si>
  <si>
    <t>ABIELLA BLESSY IGANZE</t>
  </si>
  <si>
    <t>MUKAMANA MARIE</t>
  </si>
  <si>
    <t>BARIGYE SAM</t>
  </si>
  <si>
    <t>ABIZERA MARIETTE</t>
  </si>
  <si>
    <t>MPANO SEZERANO DJAVILLA</t>
  </si>
  <si>
    <t>ELLAN IMENA SANGWA</t>
  </si>
  <si>
    <t>LIAM CHARMER HABINEZA</t>
  </si>
  <si>
    <t>GASERUKA DAVID</t>
  </si>
  <si>
    <t>DEBORAH BAZIYERA</t>
  </si>
  <si>
    <t>SAGE AYVAH INEMA</t>
  </si>
  <si>
    <t>AMAHORO SOLANGE</t>
  </si>
  <si>
    <t>IGIRANEZA SHEYNE</t>
  </si>
  <si>
    <t>AGATESI EMMANUELLA LUX</t>
  </si>
  <si>
    <t>UWASE CLAUDINE</t>
  </si>
  <si>
    <t>ABIEL GWIZA NEZA</t>
  </si>
  <si>
    <t>IKUZO HOPE MARY ABIONA</t>
  </si>
  <si>
    <t>SHIMIRWA MERCI UWASE</t>
  </si>
  <si>
    <t>MUKAKAMANZI JACKY</t>
  </si>
  <si>
    <t>TUYISINGIZE PATRICK</t>
  </si>
  <si>
    <t>ANGE PAMELA INEZA</t>
  </si>
  <si>
    <t>NTAGANDA PHILIBERT</t>
  </si>
  <si>
    <t>HEAVEN IRIHO BRIGHT</t>
  </si>
  <si>
    <t>IHOZO BONITA</t>
  </si>
  <si>
    <t>SAFI THERESE</t>
  </si>
  <si>
    <t>NSABIMANA ITUZE HOLLAND</t>
  </si>
  <si>
    <t>MUNYABUGINGO VALENS</t>
  </si>
  <si>
    <t>NIYONSENGA JOSEPHINE</t>
  </si>
  <si>
    <t>CYOMORO NDAYISHIMIYE ENOCK</t>
  </si>
  <si>
    <t>NTWALI JAYCE IGITANGAZA</t>
  </si>
  <si>
    <t>NIYIGENA LEODIE</t>
  </si>
  <si>
    <t>MAYAH NKUSI BIHOGO</t>
  </si>
  <si>
    <t>ISHEJA DARLENE GABIRWA</t>
  </si>
  <si>
    <t>GANZA SHAMI DYLAN</t>
  </si>
  <si>
    <t>BYUKUSENGE CHANTAL</t>
  </si>
  <si>
    <t>ISHEMA AGANZE KIAN</t>
  </si>
  <si>
    <t>INEZA GISORE JOYCE</t>
  </si>
  <si>
    <t>JEAN BOSCO NSANZIMANA</t>
  </si>
  <si>
    <t>GASARO ENORA JANKA</t>
  </si>
  <si>
    <t>INEZA TASNIM</t>
  </si>
  <si>
    <t>NIKOBAMYE ANASTASE</t>
  </si>
  <si>
    <t>ISHIMWE LUCKY LANDRY</t>
  </si>
  <si>
    <t>AMELIA IZIHIRWE LINA</t>
  </si>
  <si>
    <t>HAPPINESS SAMIA BWUZU</t>
  </si>
  <si>
    <t>JUSTINE ISHEMA</t>
  </si>
  <si>
    <t>KABAGEMA JOSEPHINE</t>
  </si>
  <si>
    <t>BAZARAMBIRWA JEAN DAMASCENE</t>
  </si>
  <si>
    <t>JEAN PIERRE HARORIMANA</t>
  </si>
  <si>
    <t>MUDUDA DUSABE EMMANUEL</t>
  </si>
  <si>
    <t>MARIECLAIRE MUTUYIMANA</t>
  </si>
  <si>
    <t>SERAPHINE DUSABIMANA</t>
  </si>
  <si>
    <t>NKURUNZIZA THEONESTE</t>
  </si>
  <si>
    <t>TURIKUMANA SYLIVESTRE</t>
  </si>
  <si>
    <t>UWIZEYE DELPHINE</t>
  </si>
  <si>
    <t>DINA GISUBIZO ZANINKA</t>
  </si>
  <si>
    <t>JANVIER NYIRIMANZI</t>
  </si>
  <si>
    <t>NDABAZIGIYE JEAN DAMASCENE</t>
  </si>
  <si>
    <t>BANABEZA JEAN BERCHMASE</t>
  </si>
  <si>
    <t>MUSANABERA ALPHONSINE</t>
  </si>
  <si>
    <t>HITAYESU EMMANUEL</t>
  </si>
  <si>
    <t>DANIEL DUSHIMIMANA</t>
  </si>
  <si>
    <t>ZACHARIE NDINDIRIYIMANA</t>
  </si>
  <si>
    <t>GRATIA NYIRIMBABAZI</t>
  </si>
  <si>
    <t>RUBAYIZA ORESTE</t>
  </si>
  <si>
    <t>MUREKATETE MARIE ANNE</t>
  </si>
  <si>
    <t>SYLVESTRE MANIRIHO</t>
  </si>
  <si>
    <t>NYANDWI GILBERT</t>
  </si>
  <si>
    <t>THERESE MUSABYEMARIYA</t>
  </si>
  <si>
    <t>NDAYISHIMIYE ENOCK</t>
  </si>
  <si>
    <t>MUTESI JANVIERE</t>
  </si>
  <si>
    <t>ISHIMWE CLARISSE</t>
  </si>
  <si>
    <t>BYUKUSENGE  CHANTAL</t>
  </si>
  <si>
    <t>UWAYEZU  WELLARS</t>
  </si>
  <si>
    <t>ONAPO PHILIPPE</t>
  </si>
  <si>
    <t>GISORE KAMWAGA RICHARD</t>
  </si>
  <si>
    <t>MUSENGIMANA THEOPHILE</t>
  </si>
  <si>
    <t>NIKOBAMYE ANASTESE</t>
  </si>
  <si>
    <t>BAHAYO RACHEL</t>
  </si>
  <si>
    <t>CLAUDETTE AFSA NIYIGENA</t>
  </si>
  <si>
    <t>MUTEMBEREZI AIMABLE</t>
  </si>
  <si>
    <t>GS BUTANGAMPUNDU</t>
  </si>
  <si>
    <t>DASSO</t>
  </si>
  <si>
    <t>MINISANTE</t>
  </si>
  <si>
    <t>GS NYARUNYINYA</t>
  </si>
  <si>
    <t>RRA</t>
  </si>
  <si>
    <t>KADUHA CELL</t>
  </si>
  <si>
    <t>CYARUBARE HEALTH CENTER</t>
  </si>
  <si>
    <t>MWIRI SECTOR</t>
  </si>
  <si>
    <t>GS MWUMBA</t>
  </si>
  <si>
    <t>EP MARIMBA</t>
  </si>
  <si>
    <t>EP MWEZI</t>
  </si>
  <si>
    <t>GS CYAGAJU</t>
  </si>
  <si>
    <t>RWIKWAVU HOSPITAL</t>
  </si>
  <si>
    <t>CS NYAKABUNGO</t>
  </si>
  <si>
    <t>KAGEYO HEALTH CNTER</t>
  </si>
  <si>
    <t>ES KADAHENDA</t>
  </si>
  <si>
    <t>CENTRE DE SANTE MUKARANGE</t>
  </si>
  <si>
    <t>EP RWINYANGE</t>
  </si>
  <si>
    <t>GS  MUKARANGE  CATHOLIQUE</t>
  </si>
  <si>
    <t>GS VILO</t>
  </si>
  <si>
    <t>SACCO/KABARONDO</t>
  </si>
  <si>
    <t>ZION TEMPRE KABARONDO</t>
  </si>
  <si>
    <t>KAYONZA MODERN</t>
  </si>
  <si>
    <t>GS  KABARE</t>
  </si>
  <si>
    <t>GS MUKO 1</t>
  </si>
  <si>
    <t>GISHYITA SECTOR</t>
  </si>
  <si>
    <t>RSSB/KIGALI</t>
  </si>
  <si>
    <t>14/11/2025</t>
  </si>
  <si>
    <t>1/NAP21X58/10340001/14/11/2025</t>
  </si>
  <si>
    <t>2/NAP25AV81/10340001/14/11/2025</t>
  </si>
  <si>
    <t>19495804M</t>
  </si>
  <si>
    <t>3/NAP19P26/10340001/14/11/2025</t>
  </si>
  <si>
    <t>4/NAP24V77/10340001/14/11/2025</t>
  </si>
  <si>
    <t>015764523</t>
  </si>
  <si>
    <t>5/NAP19BJ28/10340001/14/11/2025</t>
  </si>
  <si>
    <t>6/NAP24S99/10340001/14/11/2025</t>
  </si>
  <si>
    <t>015751863</t>
  </si>
  <si>
    <t>7/NAP25AB16/10340001/14/11/2025</t>
  </si>
  <si>
    <t>015717436</t>
  </si>
  <si>
    <t>8/NAP21BD12/10340001/14/11/2025</t>
  </si>
  <si>
    <t>0015839</t>
  </si>
  <si>
    <t>9/NAP25BI62/10340001/14/11/2025</t>
  </si>
  <si>
    <t>0074480</t>
  </si>
  <si>
    <t>10/NAP19L06/10340001/14/11/2025</t>
  </si>
  <si>
    <t>11/NAP24U57/10340001/14/11/2025</t>
  </si>
  <si>
    <t>015929561</t>
  </si>
  <si>
    <t>12/NAP19X27/10340001/14/11/2025</t>
  </si>
  <si>
    <t>0076339</t>
  </si>
  <si>
    <t>13/NAP25CE818/10340001/14/11/2025</t>
  </si>
  <si>
    <t>015959983</t>
  </si>
  <si>
    <t>14/NAP25CA44/10340001/14/11/2025</t>
  </si>
  <si>
    <t>015992324</t>
  </si>
  <si>
    <t>15/NAP22BS31/10340001/14/11/2025</t>
  </si>
  <si>
    <t>16/NAP20T90/10340001/14/11/2025</t>
  </si>
  <si>
    <t>007458900</t>
  </si>
  <si>
    <t>17/NAP25CG312/10340001/14/11/2025</t>
  </si>
  <si>
    <t>015840810</t>
  </si>
  <si>
    <t>18/NAP24AV94/10340001/14/11/2025</t>
  </si>
  <si>
    <t>015922685</t>
  </si>
  <si>
    <t>19/NAP22CF19/10340001/14/11/2025</t>
  </si>
  <si>
    <t>0109358</t>
  </si>
  <si>
    <t>20/NAP25AT91/10340001/14/11/2025</t>
  </si>
  <si>
    <t>015889068</t>
  </si>
  <si>
    <t>21/NAP25BF53/10340001/14/11/2025</t>
  </si>
  <si>
    <t>015720457</t>
  </si>
  <si>
    <t>22/NAP22BL85/10340001/14/11/2025</t>
  </si>
  <si>
    <t>015834362</t>
  </si>
  <si>
    <t>23/NAP25AT26/10340001/14/11/2025</t>
  </si>
  <si>
    <t>015643516</t>
  </si>
  <si>
    <t>24/NAP19E13/10340001/14/11/2025</t>
  </si>
  <si>
    <t>014210400</t>
  </si>
  <si>
    <t>25/NAP20T90/10340001/14/11/2025</t>
  </si>
  <si>
    <t>26/NAP24I97/10340001/14/11/2025</t>
  </si>
  <si>
    <t>19446185V</t>
  </si>
  <si>
    <t>27/NAP24BS69/10340001/14/11/2025</t>
  </si>
  <si>
    <t>015933383</t>
  </si>
  <si>
    <t>28/NAP25CG320/10340001/14/11/2025</t>
  </si>
  <si>
    <t>015700411</t>
  </si>
  <si>
    <t>29/NAP23CE21/10340001/14/11/2025</t>
  </si>
  <si>
    <t>015712857</t>
  </si>
  <si>
    <t>30/NAP21AN30/10340001/14/11/2025</t>
  </si>
  <si>
    <t>015796992</t>
  </si>
  <si>
    <t>31/NAP19BJ33/10340001/14/11/2025</t>
  </si>
  <si>
    <t>19330229A</t>
  </si>
  <si>
    <t>32/NAP25BP39/10340001/14/11/2025</t>
  </si>
  <si>
    <t>006906200</t>
  </si>
  <si>
    <t>33/NAP23CQ52/10340001/14/11/2025</t>
  </si>
  <si>
    <t>10719246y</t>
  </si>
  <si>
    <t>34/NAP24J30/10340001/14/11/2025</t>
  </si>
  <si>
    <t>20376396B</t>
  </si>
  <si>
    <t>35/NAP19AW82/10340001/14/11/2025</t>
  </si>
  <si>
    <t>0073412</t>
  </si>
  <si>
    <t>36/NAP25CG321/10340001/14/11/2025</t>
  </si>
  <si>
    <t>19386633L</t>
  </si>
  <si>
    <t>37/NAP25BV26/10340001/14/11/2025</t>
  </si>
  <si>
    <t>38/NAP19AD42/10340001/14/11/2025</t>
  </si>
  <si>
    <t>39/NAP25CE310/10340001/14/11/2025</t>
  </si>
  <si>
    <t>19342964Y</t>
  </si>
  <si>
    <t>40/NAP20O29/10340001/14/11/2025</t>
  </si>
  <si>
    <t>015759636</t>
  </si>
  <si>
    <t>41/NAP20AB83/10340001/14/11/2025</t>
  </si>
  <si>
    <t>0118771</t>
  </si>
  <si>
    <t>42/NAP20AT51/10340001/14/11/2025</t>
  </si>
  <si>
    <t>10632110J</t>
  </si>
  <si>
    <t>43/NAP24CW54/10340001/14/11/2025</t>
  </si>
  <si>
    <t>20525696B</t>
  </si>
  <si>
    <t>44/NAP23AU88/10340001/14/11/2025</t>
  </si>
  <si>
    <t>015832393</t>
  </si>
  <si>
    <t>45/NAP24AM61/10340001/14/11/2025</t>
  </si>
  <si>
    <t>015721310</t>
  </si>
  <si>
    <t>46/NAP21DT81/10340001/14/11/2025</t>
  </si>
  <si>
    <t>0075452</t>
  </si>
  <si>
    <t>47/NAP21F03/10340001/14/11/2025</t>
  </si>
  <si>
    <t>19603710K</t>
  </si>
  <si>
    <t>48/NAP24Z27/10340001/14/11/2025</t>
  </si>
  <si>
    <t>015924825</t>
  </si>
  <si>
    <t>49/NAP24Z28/10340001/14/11/2025</t>
  </si>
  <si>
    <t>015921814</t>
  </si>
  <si>
    <t>50/NAP25CG326/10340001/14/11/2025</t>
  </si>
  <si>
    <t>20128204K</t>
  </si>
  <si>
    <t>51/NAP23T78/10340001/14/11/2025</t>
  </si>
  <si>
    <t>52/NAP25CG331/10340001/14/11/2025</t>
  </si>
  <si>
    <t>015925086</t>
  </si>
  <si>
    <t>53/NAP20R75/10340001/14/11/2025</t>
  </si>
  <si>
    <t>10758250Q</t>
  </si>
  <si>
    <t>54/NAP25CG332/10340001/14/11/2025</t>
  </si>
  <si>
    <t>19485803Z</t>
  </si>
  <si>
    <t>55/NAP20O29/10340001/14/11/2025</t>
  </si>
  <si>
    <t>56/NAP20AL84/10340001/14/11/2025</t>
  </si>
  <si>
    <t>007347700</t>
  </si>
  <si>
    <t>57/NAP22CM08/10340001/14/11/2025</t>
  </si>
  <si>
    <t>015802122</t>
  </si>
  <si>
    <t>58/NAP24CT26/10340001/14/11/2025</t>
  </si>
  <si>
    <t>015964441</t>
  </si>
  <si>
    <t>59/NAP19BI47/10340001/14/11/2025</t>
  </si>
  <si>
    <t>015582003</t>
  </si>
  <si>
    <t>60/NAP20K27/10340001/14/11/2025</t>
  </si>
  <si>
    <t>015739979</t>
  </si>
  <si>
    <t>61/NAP19AR75/10340001/14/11/2025</t>
  </si>
  <si>
    <t>19505040V</t>
  </si>
  <si>
    <t>62/NAP23B62/10340001/14/11/2025</t>
  </si>
  <si>
    <t>0073919</t>
  </si>
  <si>
    <t>63/NAP22CO67/10340001/14/11/2025</t>
  </si>
  <si>
    <t>015866098</t>
  </si>
  <si>
    <t>KWIZERA DIEUDONNE</t>
  </si>
  <si>
    <t>AMAHIRWE INESS CHRISTELLA</t>
  </si>
  <si>
    <t>PRAISE R. KEZA</t>
  </si>
  <si>
    <t>MUKANDAYAMBAJE ALIDA</t>
  </si>
  <si>
    <t>KABUTO BARIGYE ALEX</t>
  </si>
  <si>
    <t>KARUGENGE SAMUEL</t>
  </si>
  <si>
    <t>IGIRANEZA ARNOLD FRANCIS</t>
  </si>
  <si>
    <t>UWAMWEZI CLAUDETTE</t>
  </si>
  <si>
    <t>FURAHA ABIRINGIYE LEA</t>
  </si>
  <si>
    <t>M CLENIA IGANZE</t>
  </si>
  <si>
    <t>TWAHIRWA PIERRE</t>
  </si>
  <si>
    <t>MFURA ENZO ALBER</t>
  </si>
  <si>
    <t>CYUSA IAN DELIGHT</t>
  </si>
  <si>
    <t>TWAGIRAYEZU DONATIEN</t>
  </si>
  <si>
    <t>EMMA NEIYLA GABIRWA</t>
  </si>
  <si>
    <t>MUDAHERANWA AGAPPE ICYEZA ISINGIZWE</t>
  </si>
  <si>
    <t>ARIZERWA DAVID DON DIVIN</t>
  </si>
  <si>
    <t>MUHORAKEYE JOSELINE</t>
  </si>
  <si>
    <t>TUYISENGE CHRISTINE</t>
  </si>
  <si>
    <t>NIYIBIZI JEAN BOSCO</t>
  </si>
  <si>
    <t>DIVINE UWIMANA</t>
  </si>
  <si>
    <t>ANISSA ILIZA</t>
  </si>
  <si>
    <t>BYIRINGIRO FLORENCE</t>
  </si>
  <si>
    <t>IRIZA NYLA</t>
  </si>
  <si>
    <t>GAUDIOSE SHONGOKA</t>
  </si>
  <si>
    <t>MUKARUGIRA ILLUMINEE</t>
  </si>
  <si>
    <t>ABAYISENGA CATHELINE</t>
  </si>
  <si>
    <t>MUKASHEMA ODETTE</t>
  </si>
  <si>
    <t>KAREMERA JOHN</t>
  </si>
  <si>
    <t>MUREBWAYIRE JACQUELINE</t>
  </si>
  <si>
    <t>NAMARA ANNET</t>
  </si>
  <si>
    <t>HABINEZA ALPHONSE</t>
  </si>
  <si>
    <t>TUMWESIGYE MBABAZI KILIAN</t>
  </si>
  <si>
    <t>UZAMUSHAKA MARIE JOSELINE</t>
  </si>
  <si>
    <t>MPANO ELISSA LOIC</t>
  </si>
  <si>
    <t>MARIE CHANTAL UWIMBABAZI</t>
  </si>
  <si>
    <t>MFITIMFURA EMMANUEL</t>
  </si>
  <si>
    <t>GIHOZO LANDRADA</t>
  </si>
  <si>
    <t>AKIMANA ALPHONSINE</t>
  </si>
  <si>
    <t>NSABIMANA JONATHAN</t>
  </si>
  <si>
    <t>FRANCOIS UMURERWA</t>
  </si>
  <si>
    <t>ELYVIRA CYUZUZO HOPE</t>
  </si>
  <si>
    <t>HABIMANA FURAHA PATIENCE</t>
  </si>
  <si>
    <t>NYIRAHABIMANA FRANCOISE</t>
  </si>
  <si>
    <t>DUSENGE ESTER</t>
  </si>
  <si>
    <t>BRUNO BLESSING IGABE</t>
  </si>
  <si>
    <t>AKAMANZI INEZA ARYA</t>
  </si>
  <si>
    <t>MBABAZI JEAN DE DIEU</t>
  </si>
  <si>
    <t>UWUMUGISHA MASENGESHO GLOIRE</t>
  </si>
  <si>
    <t>MUDENGE SAM</t>
  </si>
  <si>
    <t>KAYIJUKA J GILBERT</t>
  </si>
  <si>
    <t>IGANZE KIAN BRANDON</t>
  </si>
  <si>
    <t xml:space="preserve">GLORIOSE NYIRASAFARI </t>
  </si>
  <si>
    <t xml:space="preserve">JUSTINE BATAMURIZA </t>
  </si>
  <si>
    <t>ORESTE GATARAMA</t>
  </si>
  <si>
    <t>DATIVE MUKESHIMANA</t>
  </si>
  <si>
    <t>NTUYENABO FRANCIS</t>
  </si>
  <si>
    <t>ABDOULKALIM MUTAGANZWA</t>
  </si>
  <si>
    <t>KATUSIME  FRIDA</t>
  </si>
  <si>
    <t>MUSAFIRI NAPHTAR</t>
  </si>
  <si>
    <t>MUKANIZEYIMANA BELYSE</t>
  </si>
  <si>
    <t>UZARAMA ANASTASI</t>
  </si>
  <si>
    <t>JEAN D' AMOUR NSABIMANA</t>
  </si>
  <si>
    <t>MUGENGA  JONATHAN</t>
  </si>
  <si>
    <t>APHRODIS MUNGUYIKO</t>
  </si>
  <si>
    <t>ELYSE NSENGIYUMVA</t>
  </si>
  <si>
    <t>WILLIAM RWAMURANGWA K.</t>
  </si>
  <si>
    <t>HAGENIMANA JEROME</t>
  </si>
  <si>
    <t>NDAMAGE SILAS</t>
  </si>
  <si>
    <t>NTAGANDA J DAMASCENE</t>
  </si>
  <si>
    <t>VINCENT  MUKWIYE</t>
  </si>
  <si>
    <t>BUTOYA FLECIEN</t>
  </si>
  <si>
    <t>FELECIEN  BUTOYA</t>
  </si>
  <si>
    <t>MUKESHIMANA AGNES</t>
  </si>
  <si>
    <t>RUGAMBA ELISE</t>
  </si>
  <si>
    <t>BAZIBWIRA FELICITUS</t>
  </si>
  <si>
    <t>FRANK SAMUGABO</t>
  </si>
  <si>
    <t>MUREKATETE  ALICE</t>
  </si>
  <si>
    <t>MUKABALISA FRANCOISE</t>
  </si>
  <si>
    <t>JEAN DE DIEU TUYISENGE</t>
  </si>
  <si>
    <t>GS KARAMA</t>
  </si>
  <si>
    <t>GS GAHIMA</t>
  </si>
  <si>
    <t>GS GORORA</t>
  </si>
  <si>
    <t>GS  GAKENKE</t>
  </si>
  <si>
    <t>EP MUYANGE</t>
  </si>
  <si>
    <t>GS GISAKURA</t>
  </si>
  <si>
    <t>GS NYABIKERI</t>
  </si>
  <si>
    <t>GS MUKO2</t>
  </si>
  <si>
    <t>GS NDEKWE</t>
  </si>
  <si>
    <t>UMWARI SACCO</t>
  </si>
  <si>
    <t>UMURENGE SACCO</t>
  </si>
  <si>
    <t>GS  KAWANGIRE</t>
  </si>
  <si>
    <t>EP  RUGWAGWA</t>
  </si>
  <si>
    <t>MURAMA SECTOR</t>
  </si>
  <si>
    <t xml:space="preserve"> GASETSI HEALTH CENTER</t>
  </si>
  <si>
    <t>AVEGA/GATSIBO</t>
  </si>
  <si>
    <t>GS KAGRAMA</t>
  </si>
  <si>
    <t>KIYENZI CELL</t>
  </si>
  <si>
    <t>WASAC NGOMA</t>
  </si>
  <si>
    <t>HOSPITAL  GAHINI</t>
  </si>
  <si>
    <t>RUGENDABARI CELL</t>
  </si>
  <si>
    <t>PRESIDENCE</t>
  </si>
  <si>
    <t>15/11/2025</t>
  </si>
  <si>
    <t>1/NAP24AI19/10340001/15/11/2025</t>
  </si>
  <si>
    <t>015813326</t>
  </si>
  <si>
    <t>2/NAP24CW27/10340001/15/11/2025</t>
  </si>
  <si>
    <t>10493816G</t>
  </si>
  <si>
    <t>3/NAP22CA62/10340001/15/11/2025</t>
  </si>
  <si>
    <t>20203669H</t>
  </si>
  <si>
    <t>4/NAP24AJ63/10340001/15/11/2025</t>
  </si>
  <si>
    <t>5/NAP25O10/10340001/15/11/2025</t>
  </si>
  <si>
    <t>6/NAP22BK68/10340001/15/11/2025</t>
  </si>
  <si>
    <t>19958696S</t>
  </si>
  <si>
    <t>7/NAP24BF85/10340001/15/11/2025</t>
  </si>
  <si>
    <t>015838567</t>
  </si>
  <si>
    <t>8/NAP23S26/10340001/15/11/2025</t>
  </si>
  <si>
    <t>015784808</t>
  </si>
  <si>
    <t>9/NAP22CF13/10340001/15/11/2025</t>
  </si>
  <si>
    <t>0076447</t>
  </si>
  <si>
    <t>10/NAP24M84/10340001/15/11/2025</t>
  </si>
  <si>
    <t>015859491</t>
  </si>
  <si>
    <t>11/NAP21CB91/10340001/15/11/2025</t>
  </si>
  <si>
    <t>001604909</t>
  </si>
  <si>
    <t>12/NAP23AT93/10340001/15/11/2025</t>
  </si>
  <si>
    <t>015870112</t>
  </si>
  <si>
    <t>13/NAP23CQ78/10340001/15/11/2025</t>
  </si>
  <si>
    <t>015888175</t>
  </si>
  <si>
    <t>14/NAP23AB55/10340001/15/11/2025</t>
  </si>
  <si>
    <t>015888178</t>
  </si>
  <si>
    <t>15/NAP23CF54/10340001/15/11/2025</t>
  </si>
  <si>
    <t>015606472</t>
  </si>
  <si>
    <t>16/NAP25CG348/10340001/15/11/2025</t>
  </si>
  <si>
    <t>015773335</t>
  </si>
  <si>
    <t>17/NAP25BL75/10340001/15/11/2025</t>
  </si>
  <si>
    <t>18/NAP25CG359/10340001/15/11/2025</t>
  </si>
  <si>
    <t>015757751</t>
  </si>
  <si>
    <t>19/NAP24S76/10340001/15/11/2025</t>
  </si>
  <si>
    <t>015908639</t>
  </si>
  <si>
    <t>20/NAP25CG362/10340001/15/11/2025</t>
  </si>
  <si>
    <t>015923352</t>
  </si>
  <si>
    <t>21/NAP25BC44/10340001/15/11/2025</t>
  </si>
  <si>
    <t>015506765</t>
  </si>
  <si>
    <t>22/NAP20AL42/10340001/15/11/2025</t>
  </si>
  <si>
    <t>015763699</t>
  </si>
  <si>
    <t>23/NAP19AI27/10340001/15/11/2025</t>
  </si>
  <si>
    <t>015725059</t>
  </si>
  <si>
    <t>24/NAP25CG363/10340001/15/11/2025</t>
  </si>
  <si>
    <t>015809153</t>
  </si>
  <si>
    <t>25/NAP24D79/10340001/15/11/2025</t>
  </si>
  <si>
    <t>015743642</t>
  </si>
  <si>
    <t>26/NAP22CF96/10340001/15/11/2025</t>
  </si>
  <si>
    <t>015856184</t>
  </si>
  <si>
    <t>27/NAP25CE848/10340001/15/11/2025</t>
  </si>
  <si>
    <t>011895700</t>
  </si>
  <si>
    <t>28/NAP24CT87/10340001/15/11/2025</t>
  </si>
  <si>
    <t>015902054</t>
  </si>
  <si>
    <t>29/NAP23V90/10340001/15/11/2025</t>
  </si>
  <si>
    <t>0076448</t>
  </si>
  <si>
    <t>30/NAP25CD536/10340001/15/11/2025</t>
  </si>
  <si>
    <t>19617679D</t>
  </si>
  <si>
    <t>31/NAP21CT08/10340001/15/11/2025</t>
  </si>
  <si>
    <t>32/NAP19V76/10340001/15/11/2025</t>
  </si>
  <si>
    <t>10929151R</t>
  </si>
  <si>
    <t>33/NAP20N59/10340001/15/11/2025</t>
  </si>
  <si>
    <t>015583202</t>
  </si>
  <si>
    <t>34/NAP25CG367/10340001/15/11/2025</t>
  </si>
  <si>
    <t>015508854</t>
  </si>
  <si>
    <t>35/NAP22BY23/10340001/15/11/2025</t>
  </si>
  <si>
    <t>015859166</t>
  </si>
  <si>
    <t>36/NAP22K15/10340001/15/11/2025</t>
  </si>
  <si>
    <t>0140159</t>
  </si>
  <si>
    <t>37/NAP24AW79/10340001/15/11/2025</t>
  </si>
  <si>
    <t>19980982x</t>
  </si>
  <si>
    <t>38/NAP25CG369/10340001/15/11/2025</t>
  </si>
  <si>
    <t>015514011</t>
  </si>
  <si>
    <t>39/NAP25AE17/10340001/15/11/2025</t>
  </si>
  <si>
    <t>015731038</t>
  </si>
  <si>
    <t>40/NAP22K60/10340001/15/11/2025</t>
  </si>
  <si>
    <t>015730586</t>
  </si>
  <si>
    <t>41/NAP19D72/10340001/15/11/2025</t>
  </si>
  <si>
    <t>015674447</t>
  </si>
  <si>
    <t>42/NAP25BA30/10340001/15/11/2025</t>
  </si>
  <si>
    <t>015928150</t>
  </si>
  <si>
    <t>43/NAP20T91/10340001/15/11/2025</t>
  </si>
  <si>
    <t>0013841</t>
  </si>
  <si>
    <t>44/NAP24BP01/10340001/15/11/2025</t>
  </si>
  <si>
    <t>015917181</t>
  </si>
  <si>
    <t>45/NAP25CG378/10340001/15/11/2025</t>
  </si>
  <si>
    <t>20394582Y</t>
  </si>
  <si>
    <t>46/NAP23S72/10340001/15/11/2025</t>
  </si>
  <si>
    <t>015792845</t>
  </si>
  <si>
    <t>47/NAP25CF409/10340001/15/11/2025</t>
  </si>
  <si>
    <t>015980737</t>
  </si>
  <si>
    <t>48/NAP22N91/10340001/15/11/2025</t>
  </si>
  <si>
    <t>015827743</t>
  </si>
  <si>
    <t>IRIZA HOPE</t>
  </si>
  <si>
    <t>MARIZAMUNDA SILAS</t>
  </si>
  <si>
    <t>NZABONIMANA JONATHAN</t>
  </si>
  <si>
    <t>VALENTINE NYIRACUMI</t>
  </si>
  <si>
    <t>CLAUDE NIYIGENA</t>
  </si>
  <si>
    <t>ISHEJA BRIELLA</t>
  </si>
  <si>
    <t>MUKAMWIZA JEANNINE</t>
  </si>
  <si>
    <t>FAVOUR UWIDUHAYE AKAMANZI</t>
  </si>
  <si>
    <t>MUTONI JOLIE</t>
  </si>
  <si>
    <t>INEZA ISARO AMANDA</t>
  </si>
  <si>
    <t>MILA GABRIELLA ASHIMWE</t>
  </si>
  <si>
    <t>EUNICE KEREN ABAYO</t>
  </si>
  <si>
    <t>DEAR REAL AKAYO</t>
  </si>
  <si>
    <t>NIRINDE BARAME BALAAM</t>
  </si>
  <si>
    <t>GANZA QUEEN</t>
  </si>
  <si>
    <t>JOANA MEA AKOGUTETA</t>
  </si>
  <si>
    <t>MARIE JOLIE AGAHOZO</t>
  </si>
  <si>
    <t>UMUHIRE JOVIA</t>
  </si>
  <si>
    <t>MWIZERWA KUNDWA DESANGES</t>
  </si>
  <si>
    <t>LEANE AGANZE NSHUTI</t>
  </si>
  <si>
    <t>PEACE BRUNO BYISHIMO</t>
  </si>
  <si>
    <t>SANGWA ISHEJA AXCELLA</t>
  </si>
  <si>
    <t>NTWARI RURANGWA ANDREW</t>
  </si>
  <si>
    <t>DATIVA BATAMULIZA</t>
  </si>
  <si>
    <t>IYAN MANZI RUGENERA</t>
  </si>
  <si>
    <t>BWANA CANISIUS</t>
  </si>
  <si>
    <t>YAMBABARIYE MUKAZAYIRE PASCALINE</t>
  </si>
  <si>
    <t>KABATESI RUTH</t>
  </si>
  <si>
    <t>UWACU KAMIKAZI NELLY</t>
  </si>
  <si>
    <t>NZAYISENGA EUZEBIE</t>
  </si>
  <si>
    <t>MUKATURATSINZE MONIQUE</t>
  </si>
  <si>
    <t>IZATURINDA APPOPHIE</t>
  </si>
  <si>
    <t>NIYOMWUNGERI CLAUDINE</t>
  </si>
  <si>
    <t>IMPANO CYUSA BENITHA</t>
  </si>
  <si>
    <t>NZIZA MUSONI OLGA</t>
  </si>
  <si>
    <t>UWASE CHRISTINE</t>
  </si>
  <si>
    <t>CHRIS BRAVO CYUZUZO</t>
  </si>
  <si>
    <t>UMURERWA SHABAIRU FRANCOISE</t>
  </si>
  <si>
    <t>NZIZA SHILOH RUKESHANGOGA</t>
  </si>
  <si>
    <t>MUKESHIMANA SIFA</t>
  </si>
  <si>
    <t>AGAHOZO UMUBANO ISAAC</t>
  </si>
  <si>
    <t>AGANZE ASHER JAYDEN</t>
  </si>
  <si>
    <t>TUYISHIME YVETTE</t>
  </si>
  <si>
    <t>UWAMWEZI RACHEL</t>
  </si>
  <si>
    <t>PENINAH BATAMURIZA</t>
  </si>
  <si>
    <t>ALPHONSINE MUSABYIMANA</t>
  </si>
  <si>
    <t>RUGANGAMA  NDAYISENGA  NOE</t>
  </si>
  <si>
    <t>MUTETERI GORETH</t>
  </si>
  <si>
    <t>MUSHIMIYIMANA FRANCOISE</t>
  </si>
  <si>
    <t>FRANCOISE MUSHIMIYIMANA</t>
  </si>
  <si>
    <t>NAYIGA MEDIATRICE</t>
  </si>
  <si>
    <t>ABDON TUYISHIME</t>
  </si>
  <si>
    <t>DATHIVE NINDEMANA</t>
  </si>
  <si>
    <t>NDAYIZIGIYE CELESTINE</t>
  </si>
  <si>
    <t>MARIE AQUILINA UWUMUHIRE</t>
  </si>
  <si>
    <t>MUDAHUGA ELYSEE</t>
  </si>
  <si>
    <t>UWITONZE  DELPHINE</t>
  </si>
  <si>
    <t>PASCAL NSHIMYUMUREMYI</t>
  </si>
  <si>
    <t>JEAN BAPTISTE SANGWA</t>
  </si>
  <si>
    <t>COSMA GAKURU</t>
  </si>
  <si>
    <t>MUDAHOGA ELISE</t>
  </si>
  <si>
    <t>MUGABO  R THEOGENE</t>
  </si>
  <si>
    <t>KABATESI  RUTH</t>
  </si>
  <si>
    <t>NIYONSENGA NURU</t>
  </si>
  <si>
    <t>NSENGIMANA ILDEPHONSE</t>
  </si>
  <si>
    <t>SEFARANGA JOSEPH</t>
  </si>
  <si>
    <t>AIMEE THEOGENE SINDIKUBWABO</t>
  </si>
  <si>
    <t>JYAMUBANDI JEAN DE DIEU</t>
  </si>
  <si>
    <t>NYIRUMURINGA EMMANUEL</t>
  </si>
  <si>
    <t>CHRISTINE IRADUKUNDA</t>
  </si>
  <si>
    <t>NKURUNZIZA ANATORY</t>
  </si>
  <si>
    <t>DUSABIMANA JEANINE</t>
  </si>
  <si>
    <t>YABARAGIYE VALENTINE</t>
  </si>
  <si>
    <t>NIYIGENA JEAN CLAUDE</t>
  </si>
  <si>
    <t>EP NYABINAZI</t>
  </si>
  <si>
    <t>GS  KABARONDOC</t>
  </si>
  <si>
    <t>GS KARAMBI</t>
  </si>
  <si>
    <t>ENVIRO SERVE</t>
  </si>
  <si>
    <t>GS AKIMITONI</t>
  </si>
  <si>
    <t>RWINKWAVU SECTOR</t>
  </si>
  <si>
    <t>GS NYANZOVU</t>
  </si>
  <si>
    <t>EP BANDA</t>
  </si>
  <si>
    <t>MINIJUST</t>
  </si>
  <si>
    <t>EP NYAGATOVU</t>
  </si>
  <si>
    <t>NYAGATARE HOSPITAL</t>
  </si>
  <si>
    <t>EP GITEGA</t>
  </si>
  <si>
    <t>AL-SAFWA SCHOOL</t>
  </si>
  <si>
    <t>KIZIGURO SECONDARY SCHOOL</t>
  </si>
  <si>
    <t>16/11/2025</t>
  </si>
  <si>
    <t>1/NAP25CG384/10340001/16/11/2025</t>
  </si>
  <si>
    <t>015852329</t>
  </si>
  <si>
    <t>2/NAP25CG56/10340001/16/11/2025</t>
  </si>
  <si>
    <t>3/NAP25BC89/10340001/16/11/2025</t>
  </si>
  <si>
    <t>20080690S</t>
  </si>
  <si>
    <t>4/NAP24X40/10340001/16/11/2025</t>
  </si>
  <si>
    <t>015679891</t>
  </si>
  <si>
    <t>5/NAP24C69/10340001/16/11/2025</t>
  </si>
  <si>
    <t>0143216</t>
  </si>
  <si>
    <t>6/NAP25BF67/10340001/16/11/2025</t>
  </si>
  <si>
    <t>015970171</t>
  </si>
  <si>
    <t>7/NAP25BR86/10340001/16/11/2025</t>
  </si>
  <si>
    <t>015981247</t>
  </si>
  <si>
    <t>8/NAP25CG385/10340001/16/11/2025</t>
  </si>
  <si>
    <t>0130420</t>
  </si>
  <si>
    <t>9/NAP25AF49/10340001/16/11/2025</t>
  </si>
  <si>
    <t>015815119</t>
  </si>
  <si>
    <t>10/NAP21CL61/10340001/16/11/2025</t>
  </si>
  <si>
    <t>10869336x</t>
  </si>
  <si>
    <t>11/NAP23CE34/10340001/16/11/2025</t>
  </si>
  <si>
    <t>015807615</t>
  </si>
  <si>
    <t>12/NAP19P28/10340001/16/11/2025</t>
  </si>
  <si>
    <t>10719260L</t>
  </si>
  <si>
    <t>13/NAP24DB29/10340001/16/11/2025</t>
  </si>
  <si>
    <t>015962207</t>
  </si>
  <si>
    <t>14/NAP23CF31/10340001/16/11/2025</t>
  </si>
  <si>
    <t>015830487</t>
  </si>
  <si>
    <t>15/NAP22BF27/10340001/16/11/2025</t>
  </si>
  <si>
    <t>007453600</t>
  </si>
  <si>
    <t>16/NAP24CF36/10340001/16/11/2025</t>
  </si>
  <si>
    <t>19829727C</t>
  </si>
  <si>
    <t>17/NAP23CF62/10340001/16/11/2025</t>
  </si>
  <si>
    <t>015770524</t>
  </si>
  <si>
    <t>18/NAP18H10/10340001/16/11/2025</t>
  </si>
  <si>
    <t>015580519</t>
  </si>
  <si>
    <t>19/NAP23AW97/10340001/16/11/2025</t>
  </si>
  <si>
    <t>20/NAP24BE72/10340001/16/11/2025</t>
  </si>
  <si>
    <t>0072362</t>
  </si>
  <si>
    <t>21/NAP24G59/10340001/16/11/2025</t>
  </si>
  <si>
    <t>19992304P</t>
  </si>
  <si>
    <t>22/NAP23AX79/10340001/16/11/2025</t>
  </si>
  <si>
    <t>23/NAP23AO98/10340001/16/11/2025</t>
  </si>
  <si>
    <t>20082790G</t>
  </si>
  <si>
    <t>24/NAP24BH06/10340001/16/11/2025</t>
  </si>
  <si>
    <t>015959957</t>
  </si>
  <si>
    <t>25/NAP25CF15/10340001/16/11/2025</t>
  </si>
  <si>
    <t>015980570</t>
  </si>
  <si>
    <t>26/NAP23BI27/10340001/16/11/2025</t>
  </si>
  <si>
    <t>27/NAP20T91/10340001/16/11/2025</t>
  </si>
  <si>
    <t>28/NAP23AY99/10340001/16/11/2025</t>
  </si>
  <si>
    <t>015589235</t>
  </si>
  <si>
    <t>29/NAP22AL75/10340001/16/11/2025</t>
  </si>
  <si>
    <t>0139085</t>
  </si>
  <si>
    <t>015982526</t>
  </si>
  <si>
    <t>015712943</t>
  </si>
  <si>
    <t>015777847</t>
  </si>
  <si>
    <t>015729454</t>
  </si>
  <si>
    <t>015985185</t>
  </si>
  <si>
    <t>015942528</t>
  </si>
  <si>
    <t>015752779</t>
  </si>
  <si>
    <t>015784740</t>
  </si>
  <si>
    <t>015836940</t>
  </si>
  <si>
    <t>015762812</t>
  </si>
  <si>
    <t>20571944T</t>
  </si>
  <si>
    <t>015831262</t>
  </si>
  <si>
    <t>19431775V</t>
  </si>
  <si>
    <t>015763310</t>
  </si>
  <si>
    <t>015610667</t>
  </si>
  <si>
    <t>011225500</t>
  </si>
  <si>
    <t>015968945</t>
  </si>
  <si>
    <t>015950809</t>
  </si>
  <si>
    <t>20088887K</t>
  </si>
  <si>
    <t>0072443</t>
  </si>
  <si>
    <t>015910978</t>
  </si>
  <si>
    <t>015570398</t>
  </si>
  <si>
    <t>015947364</t>
  </si>
  <si>
    <t>015880551</t>
  </si>
  <si>
    <t>IMMACULLE MUKANOHERI</t>
  </si>
  <si>
    <t>DATIVE MUKAYIRANGA</t>
  </si>
  <si>
    <t>VESTINE NYIRINKINDI</t>
  </si>
  <si>
    <t>JEAN PIERRE DUFATANYE</t>
  </si>
  <si>
    <t>THEOPHILE MWNANGU</t>
  </si>
  <si>
    <t>UWANYIRIGIRA ALICE</t>
  </si>
  <si>
    <t>MASENGESHO MELISSE</t>
  </si>
  <si>
    <t>GATETE EPHREM</t>
  </si>
  <si>
    <t>NDIHOKUBWAYO ETIENNE</t>
  </si>
  <si>
    <t>NIYONZIMA THEONESTE</t>
  </si>
  <si>
    <t>JEAN BERCHMANS DUKUZUMUREMYI</t>
  </si>
  <si>
    <t>CHANTAL UWANYIRIGIRA</t>
  </si>
  <si>
    <t>UWAMBAJIMANA EMMANUEL</t>
  </si>
  <si>
    <t>NSHIZIRUNGU BETTY</t>
  </si>
  <si>
    <t>MUGASA THADDEE</t>
  </si>
  <si>
    <t>MUKAMUSONI ELISABETH</t>
  </si>
  <si>
    <t>CHARLES BAGANIZI</t>
  </si>
  <si>
    <t>JEAN PIERRE MUNYANEZA</t>
  </si>
  <si>
    <t>NGERAGEZE BONAVANTURE</t>
  </si>
  <si>
    <t>BELLY NKURUNZIZA</t>
  </si>
  <si>
    <t>NKURUNZIZA BELLY</t>
  </si>
  <si>
    <t>JOY MUKAMUNANA</t>
  </si>
  <si>
    <t>MUKAKAGWENE ALPHONSINE</t>
  </si>
  <si>
    <t>APHRODIS HAVUGIMANA</t>
  </si>
  <si>
    <t>GATERA BIZIMANA DAMIEN</t>
  </si>
  <si>
    <t>RUZINDANA AUGUSTIN</t>
  </si>
  <si>
    <t>UWIMANA ALOYS</t>
  </si>
  <si>
    <t>GERARDINE MUKESHIMANA</t>
  </si>
  <si>
    <t xml:space="preserve">CHARLOTTE MUKANDAYISENGA </t>
  </si>
  <si>
    <t>GRACE UWUMUZIGIRE'</t>
  </si>
  <si>
    <t>MUHORAKEYE RACHEL</t>
  </si>
  <si>
    <t>BYIRINGIRO DONATIEN</t>
  </si>
  <si>
    <t>PAMELLA MBABAZI</t>
  </si>
  <si>
    <t>FLORENCE UYAMBAJE</t>
  </si>
  <si>
    <t>KUNDWA ISHEJA TRACY</t>
  </si>
  <si>
    <t>AIMABLE TURIGENGA</t>
  </si>
  <si>
    <t>AUDREY AGABE</t>
  </si>
  <si>
    <t>SHEMA D HENRY</t>
  </si>
  <si>
    <t>DATIVA NYIRANEZA</t>
  </si>
  <si>
    <t>BELLYSIE GANZA NSHUTI</t>
  </si>
  <si>
    <t>HABIMANA JANVIER</t>
  </si>
  <si>
    <t>AMANI IHIRWE MWANANGU</t>
  </si>
  <si>
    <t>NIYOTWAGIRA SOLANGE</t>
  </si>
  <si>
    <t>CHRISTA KANGABE ESTHER IRERE</t>
  </si>
  <si>
    <t>JASPER OTIS ITUZE</t>
  </si>
  <si>
    <t>UMURISA ALPHONSINE</t>
  </si>
  <si>
    <t>NIYONSHUTI JEAN BAPTISTE</t>
  </si>
  <si>
    <t>AGAPE KUBWAYO NISHIMWE</t>
  </si>
  <si>
    <t>IGANZE MURENZI GAETAN</t>
  </si>
  <si>
    <t>MUKAMULIGO DEMETRIE</t>
  </si>
  <si>
    <t>ISHIMWE CLAUDETTE</t>
  </si>
  <si>
    <t>MARIE ROSINE UWIRINGIYIMANA</t>
  </si>
  <si>
    <t>MILANDA AGABE ARIELLA</t>
  </si>
  <si>
    <t>MIKA GWIZA INEZA</t>
  </si>
  <si>
    <t>BLESSING INEZA</t>
  </si>
  <si>
    <t>NSENGIYUMVA JEAN CLAUDE</t>
  </si>
  <si>
    <t>CARMEN BERWA</t>
  </si>
  <si>
    <t>AAYAN LENA SHIMWA</t>
  </si>
  <si>
    <t>NZIZA FRANK</t>
  </si>
  <si>
    <t>NEZA KELLY</t>
  </si>
  <si>
    <t>BAGANIZI GANZA OWEN JOYDEN</t>
  </si>
  <si>
    <t>INEZA NORA ABIGAEL</t>
  </si>
  <si>
    <t>CHANTAL NIYONIRINGIYE</t>
  </si>
  <si>
    <t>UMULISA SOLANGE</t>
  </si>
  <si>
    <t>INEZA KAYLEEN NKURUNZIZA</t>
  </si>
  <si>
    <t>SAM GASANA</t>
  </si>
  <si>
    <t>NZABANGABA VIATEUR</t>
  </si>
  <si>
    <t>KAYIRANGWA SONIA</t>
  </si>
  <si>
    <t>SHEMA ALAN BENSON</t>
  </si>
  <si>
    <t>JOSEPHINE KANAKINTAMA</t>
  </si>
  <si>
    <t>AMELIA GATERA GABIRWA</t>
  </si>
  <si>
    <t>NTWALI RUZINDANA KEVIN</t>
  </si>
  <si>
    <t>CONSOLEE MUKABYIRINGIRO</t>
  </si>
  <si>
    <t>IMPANO REMI MERVIEUX</t>
  </si>
  <si>
    <t>JESSIE AGANWE IKIZERE</t>
  </si>
  <si>
    <t>JEAN DE LA CROIX TUYISENGE</t>
  </si>
  <si>
    <t>NDAGIJIMANA J.PIERRE</t>
  </si>
  <si>
    <t>KARAKE GEORGINA</t>
  </si>
  <si>
    <t>AURORE ANNIELLA ITUZE</t>
  </si>
  <si>
    <t>ALLAIN PARFAIT MUHIZI</t>
  </si>
  <si>
    <t>BYIRINGIRO BERTRAND</t>
  </si>
  <si>
    <t>GS KIBYAGIRA</t>
  </si>
  <si>
    <t>TSS NYAMIRAMA</t>
  </si>
  <si>
    <t>GS MUKARANGE  CATHOLIC</t>
  </si>
  <si>
    <t>BURERA DISTRICT</t>
  </si>
  <si>
    <t>GS KABARONDO 2</t>
  </si>
  <si>
    <t>NKOMBO FAUNDATION</t>
  </si>
  <si>
    <t>RURENGE SECTOR</t>
  </si>
  <si>
    <t>EP RYAMANYONI</t>
  </si>
  <si>
    <t>EP KINZOVU</t>
  </si>
  <si>
    <t>G S KAYONZA</t>
  </si>
  <si>
    <t>EP RWINSHEKE</t>
  </si>
  <si>
    <t>ES MODERN</t>
  </si>
  <si>
    <t>SENIOR OFFICES</t>
  </si>
  <si>
    <t>BATIMA TSS</t>
  </si>
  <si>
    <t>BUTARO HOSPITAL</t>
  </si>
  <si>
    <t>GS GAKOMA</t>
  </si>
  <si>
    <t>KIREHE DISTRICT</t>
  </si>
  <si>
    <t>KIREHE HOSPITAL</t>
  </si>
  <si>
    <t>GS KIBONDO</t>
  </si>
  <si>
    <t>RUKARA MODERN SCHOOL</t>
  </si>
  <si>
    <t>IPRC/GISHARI</t>
  </si>
  <si>
    <t>FAWE GIRLS/GAHINI</t>
  </si>
  <si>
    <t>G S GAHINI</t>
  </si>
  <si>
    <t>RUYOGA TVET</t>
  </si>
  <si>
    <t>H C KITOKI</t>
  </si>
  <si>
    <t>GS KANAZI</t>
  </si>
  <si>
    <t>GS GATEBE</t>
  </si>
  <si>
    <t>GS ADELAIDE</t>
  </si>
  <si>
    <t>E S NDEGO</t>
  </si>
  <si>
    <t>015775351</t>
  </si>
  <si>
    <t>MUNEZERO ESTHER</t>
  </si>
  <si>
    <t>EP IGISUBIZO</t>
  </si>
  <si>
    <t>015829963</t>
  </si>
  <si>
    <t>IRIMASO WINNER GENUINE</t>
  </si>
  <si>
    <t>TUYIZERE ALBERT</t>
  </si>
  <si>
    <t>ES KABIRIZI</t>
  </si>
  <si>
    <t xml:space="preserve">     </t>
  </si>
  <si>
    <t>JEAN MARIE VIANNNEY NIYONSHIMA</t>
  </si>
  <si>
    <t xml:space="preserve">  </t>
  </si>
  <si>
    <t>0072864</t>
  </si>
  <si>
    <t>015882040</t>
  </si>
  <si>
    <t>NGABO RAYN STEVE</t>
  </si>
  <si>
    <t>JEAN PAUL UWAYEZU</t>
  </si>
  <si>
    <t>015896449</t>
  </si>
  <si>
    <t>YIHI JOEL</t>
  </si>
  <si>
    <t>MUSINDA ADELINE</t>
  </si>
  <si>
    <t>17/11/2025</t>
  </si>
  <si>
    <t>1/NAP25CG409/10340001/17/11/2025</t>
  </si>
  <si>
    <t>015928317</t>
  </si>
  <si>
    <t>2/NAP25CG411/10340001/17/11/2025</t>
  </si>
  <si>
    <t>015737286</t>
  </si>
  <si>
    <t>3/NAP25CG413/10340001/17/11/2025</t>
  </si>
  <si>
    <t>11182772T</t>
  </si>
  <si>
    <t>4/NAP22BL19/10340001/17/11/2025</t>
  </si>
  <si>
    <t>20059875H</t>
  </si>
  <si>
    <t>5/NAP19AL37/10340001/17/11/2025</t>
  </si>
  <si>
    <t>0075147</t>
  </si>
  <si>
    <t>6/NAP25N62/10340001/17/11/2025</t>
  </si>
  <si>
    <t>015961158</t>
  </si>
  <si>
    <t>7/NAP19AQ61/10340001/17/11/2025</t>
  </si>
  <si>
    <t>0073336</t>
  </si>
  <si>
    <t>8/NAP21DE22/10340001/17/11/2025</t>
  </si>
  <si>
    <t>015803571</t>
  </si>
  <si>
    <t>9/NAP24CF96/10340001/17/11/2025</t>
  </si>
  <si>
    <t>0106491</t>
  </si>
  <si>
    <t>10/NAP22CG40/10340001/17/11/2025</t>
  </si>
  <si>
    <t>015825289</t>
  </si>
  <si>
    <t>11/NAP23CK72/10340001/17/11/2025</t>
  </si>
  <si>
    <t>015825292</t>
  </si>
  <si>
    <t>12/NAP25CG418/10340001/17/11/2025</t>
  </si>
  <si>
    <t>10818698C</t>
  </si>
  <si>
    <t>13/NAP18A69/10340001/17/11/2025</t>
  </si>
  <si>
    <t>14/NAP20W20/10340001/17/11/2025</t>
  </si>
  <si>
    <t>11010494M</t>
  </si>
  <si>
    <t>15/NAP24BG13/10340001/17/11/2025</t>
  </si>
  <si>
    <t>0069212</t>
  </si>
  <si>
    <t>16/NAP24AZ60/10340001/17/11/2025</t>
  </si>
  <si>
    <t>009841500</t>
  </si>
  <si>
    <t>17/NAP24BU98/10340001/17/11/2025</t>
  </si>
  <si>
    <t>19546291C</t>
  </si>
  <si>
    <t>18/NAP25CG425/10340001/17/11/2025</t>
  </si>
  <si>
    <t>11143289S</t>
  </si>
  <si>
    <t>19/NAP22V18/10340001/17/11/2025</t>
  </si>
  <si>
    <t>19711054w</t>
  </si>
  <si>
    <t>20/NAP23CI58/10340001/17/11/2025</t>
  </si>
  <si>
    <t>0000286</t>
  </si>
  <si>
    <t>21/NAP19AL57/10340001/17/11/2025</t>
  </si>
  <si>
    <t>015676924</t>
  </si>
  <si>
    <t>22/NAP19BE16/10340001/17/11/2025</t>
  </si>
  <si>
    <t>015754988</t>
  </si>
  <si>
    <t>23/NAP19BE16/10340001/17/11/2025</t>
  </si>
  <si>
    <t>24/NAP19BH08/10340001/17/11/2025</t>
  </si>
  <si>
    <t>015685097</t>
  </si>
  <si>
    <t>25/NAP19P41/10340001/17/11/2025</t>
  </si>
  <si>
    <t>10845012X</t>
  </si>
  <si>
    <t>26/NAP25CG428/10340001/17/11/2025</t>
  </si>
  <si>
    <t>19962211H</t>
  </si>
  <si>
    <t>27/NAP22BL47/10340001/17/11/2025</t>
  </si>
  <si>
    <t>015678565</t>
  </si>
  <si>
    <t>28/NAP23AW26/10340001/17/11/2025</t>
  </si>
  <si>
    <t>015804683</t>
  </si>
  <si>
    <t>29/NAP19AH13/10340001/17/11/2025</t>
  </si>
  <si>
    <t>015942986</t>
  </si>
  <si>
    <t>30/NAP25BG25/10340001/17/11/2025</t>
  </si>
  <si>
    <t>015939385</t>
  </si>
  <si>
    <t>31/NAP25CG430/10340001/17/11/2025</t>
  </si>
  <si>
    <t>015554270</t>
  </si>
  <si>
    <t>32/NAP25CG431/10340001/17/11/2025</t>
  </si>
  <si>
    <t>015917094</t>
  </si>
  <si>
    <t>33/NAP23AM20/10340001/17/11/2025</t>
  </si>
  <si>
    <t>015510745</t>
  </si>
  <si>
    <t>34/NAP24O06/10340001/17/11/2025</t>
  </si>
  <si>
    <t>015928417</t>
  </si>
  <si>
    <t>35/NAP24S98/10340001/17/11/2025</t>
  </si>
  <si>
    <t>015706450</t>
  </si>
  <si>
    <t>36/NAP19U12/10340001/17/11/2025</t>
  </si>
  <si>
    <t>015557437</t>
  </si>
  <si>
    <t>37/NAP23K02/10340001/17/11/2025</t>
  </si>
  <si>
    <t>015853507</t>
  </si>
  <si>
    <t>38/NAP23AR91/10340001/17/11/2025</t>
  </si>
  <si>
    <t>015819461</t>
  </si>
  <si>
    <t>39/NAP20BA15/10340001/17/11/2025</t>
  </si>
  <si>
    <t>015768062</t>
  </si>
  <si>
    <t>40/NAP25CG444/10340001/17/11/2025</t>
  </si>
  <si>
    <t>10924888T</t>
  </si>
  <si>
    <t>41/NAP19AO50/10340001/17/11/2025</t>
  </si>
  <si>
    <t>10348354P</t>
  </si>
  <si>
    <t>42/NAP20U35/10340001/17/11/2025</t>
  </si>
  <si>
    <t>00194321</t>
  </si>
  <si>
    <t>43/NAP25CG447/10340001/17/11/2025</t>
  </si>
  <si>
    <t>10822105X</t>
  </si>
  <si>
    <t>44/NAP19C70/10340001/17/11/2025</t>
  </si>
  <si>
    <t>0116287</t>
  </si>
  <si>
    <t>45/NAP20AB67/10340001/17/11/2025</t>
  </si>
  <si>
    <t>11032792J</t>
  </si>
  <si>
    <t>46/NAP24CP95/10340001/17/11/2025</t>
  </si>
  <si>
    <t>20230984W</t>
  </si>
  <si>
    <t>47/NAP18D18/10340001/17/11/2025</t>
  </si>
  <si>
    <t>48/NAP24BS55/10340001/17/11/2025</t>
  </si>
  <si>
    <t>015955895</t>
  </si>
  <si>
    <t>49/NAP22AZ76/10340001/17/11/2025</t>
  </si>
  <si>
    <t>0071489</t>
  </si>
  <si>
    <t>50/NAP21CU38/10340001/17/11/2025</t>
  </si>
  <si>
    <t>015582161</t>
  </si>
  <si>
    <t>51/NAP25AG32/10340001/17/11/2025</t>
  </si>
  <si>
    <t>015907628</t>
  </si>
  <si>
    <t>52/NAP22B12/10340001/17/11/2025</t>
  </si>
  <si>
    <t>015516620</t>
  </si>
  <si>
    <t>53/NAP23I25/10340001/17/11/2025</t>
  </si>
  <si>
    <t>0073383</t>
  </si>
  <si>
    <t>015915214</t>
  </si>
  <si>
    <t>015940685</t>
  </si>
  <si>
    <t>015992022</t>
  </si>
  <si>
    <t>0074100</t>
  </si>
  <si>
    <t>015980283</t>
  </si>
  <si>
    <t>015773004</t>
  </si>
  <si>
    <t>015983284</t>
  </si>
  <si>
    <t>0024195</t>
  </si>
  <si>
    <t>015967301</t>
  </si>
  <si>
    <t>009790801</t>
  </si>
  <si>
    <t>10821384G</t>
  </si>
  <si>
    <t>015876748</t>
  </si>
  <si>
    <t>19537239C</t>
  </si>
  <si>
    <t>10635317Z</t>
  </si>
  <si>
    <t>ALICE DUSABIMANA</t>
  </si>
  <si>
    <t>GANZA IVO SALVI</t>
  </si>
  <si>
    <t>GATABAZI ALFRED</t>
  </si>
  <si>
    <t>ANDREW MAZIMPAKA</t>
  </si>
  <si>
    <t>BUTERA OSWALD</t>
  </si>
  <si>
    <t>JOYEUSE NIYIGENA</t>
  </si>
  <si>
    <t>UMUHOZA GRACE</t>
  </si>
  <si>
    <t>CHRISS CYOMORO</t>
  </si>
  <si>
    <t>MUKANDAMAGE BERANCILLE</t>
  </si>
  <si>
    <t>PATRICIE UWABERA</t>
  </si>
  <si>
    <t>ASHIMWE DON DIVINE</t>
  </si>
  <si>
    <t>RWAKIRA KAMANAYA</t>
  </si>
  <si>
    <t>HATEGEKIMANA JEAN DAMASCENE</t>
  </si>
  <si>
    <t>KANTARAMA JEANNETTE</t>
  </si>
  <si>
    <t>NZABANDORA ERIC</t>
  </si>
  <si>
    <t>DUSINGIZIMANA JEAN BOSCO</t>
  </si>
  <si>
    <t>DAMASCENE SAFARI</t>
  </si>
  <si>
    <t>DUSABIMANA HENRIETTE</t>
  </si>
  <si>
    <t>PROTAIS MARIDADI</t>
  </si>
  <si>
    <t>DUKUZUMUREMYI EPIPHANIE</t>
  </si>
  <si>
    <t>AGATESI NELLA</t>
  </si>
  <si>
    <t>GISA NATHAN</t>
  </si>
  <si>
    <t>UWABABYEYI ALICE</t>
  </si>
  <si>
    <t>BEBE NIYONAGIRA THEOPHILA</t>
  </si>
  <si>
    <t>JEAN PAUL BYIRINGIRO</t>
  </si>
  <si>
    <t>IKAZE TRACY PIA</t>
  </si>
  <si>
    <t>INGERI PITIE</t>
  </si>
  <si>
    <t>ALVIN SAVIOUR IRISA</t>
  </si>
  <si>
    <t>ASHIMWE NEHEMIE</t>
  </si>
  <si>
    <t>ATETE DESTINY</t>
  </si>
  <si>
    <t>NSENGIYUMVA FRANCIS</t>
  </si>
  <si>
    <t>IAN CYOMORO R</t>
  </si>
  <si>
    <t>PRECIOUS R. MWIZA</t>
  </si>
  <si>
    <t>UWAMARIYA ALPHONSINE</t>
  </si>
  <si>
    <t>SANTO CARMEL NDAHIRO</t>
  </si>
  <si>
    <t>JOSEPH NZANANA</t>
  </si>
  <si>
    <t>INEZA NGENZI SAVIOR</t>
  </si>
  <si>
    <t>NSANZIMANA JEAN PAUL</t>
  </si>
  <si>
    <t>MUDAHIGWA LEONIDAS</t>
  </si>
  <si>
    <t>BIHUNDAGARA ATHANASE</t>
  </si>
  <si>
    <t>LADISLAS NDAHILIWE</t>
  </si>
  <si>
    <t>SABITI NATHAN STEPHEN</t>
  </si>
  <si>
    <t>MUKANZIGIRA FLORENCE</t>
  </si>
  <si>
    <t>MUKESHIMANA BERNARD</t>
  </si>
  <si>
    <t>ATETE GAELLA</t>
  </si>
  <si>
    <t>BIGOMOKERO ZAGABE</t>
  </si>
  <si>
    <t>GATSINZI IRAKOZE PARFAITE</t>
  </si>
  <si>
    <t>KWIZERA ISHAMI NEILLA</t>
  </si>
  <si>
    <t>IMANZI GAISCA</t>
  </si>
  <si>
    <t>MATHIAS RWIBASIRA</t>
  </si>
  <si>
    <t>TWIZEYIMANA SERAPHINE</t>
  </si>
  <si>
    <t>JAYDEN CYIZA</t>
  </si>
  <si>
    <t>IBAMBE CYEZI MYKA AUDREILLE</t>
  </si>
  <si>
    <t>ZIHINJISHI LEATITIA</t>
  </si>
  <si>
    <t>EVAN IRISA</t>
  </si>
  <si>
    <t>IRAHAGIJE CHRIS EMILIO</t>
  </si>
  <si>
    <t>KEVIN BREEZY PATIENT MANZI</t>
  </si>
  <si>
    <t>MUSABYIMANA EMMANUEL</t>
  </si>
  <si>
    <t>BIZUMUREMYI ARIEL BRIAN</t>
  </si>
  <si>
    <t>KAGAME RICHARD</t>
  </si>
  <si>
    <t>JEAN D'AMOUR MURINZI</t>
  </si>
  <si>
    <t>ABAYISENGA GWIZA ISLA SKYLAR</t>
  </si>
  <si>
    <t>BEBE MUKANDAYISENGA ALBERTINE</t>
  </si>
  <si>
    <t>ALBERTINE MUKANDAYISENGA</t>
  </si>
  <si>
    <t>FRANCOIS HAKIZIMANA</t>
  </si>
  <si>
    <t>EMMANUEL NSENGIMANA</t>
  </si>
  <si>
    <t xml:space="preserve">JEAN BAPTISTE TWAGIZIMANA </t>
  </si>
  <si>
    <t>MUKANTAGARA M.GORETH</t>
  </si>
  <si>
    <t>DONATIEN BYIRINGIRO</t>
  </si>
  <si>
    <t>NYIRAKURAMA FLORIDE</t>
  </si>
  <si>
    <t>NYIRINDEKWE J M V</t>
  </si>
  <si>
    <t>NIYONAGIRA THEOPHILA</t>
  </si>
  <si>
    <t>UWABABYEYI  ALICE</t>
  </si>
  <si>
    <t>UWITONZE DIANE</t>
  </si>
  <si>
    <t>MUCUNGUZI EMMANUEL</t>
  </si>
  <si>
    <t>MUKAKRANGA REGINA</t>
  </si>
  <si>
    <t>SILAS GATO</t>
  </si>
  <si>
    <t>NYIRANEZA CLEMENTINE</t>
  </si>
  <si>
    <t>JUSTINE BATAMURIZA</t>
  </si>
  <si>
    <t>MUTIJIMANA  EGIDE</t>
  </si>
  <si>
    <t>SAMSON NDAHIRO</t>
  </si>
  <si>
    <t>JENNINE MUKAMWIZA</t>
  </si>
  <si>
    <t>DUSABIMANA CLEMENTINE</t>
  </si>
  <si>
    <t>JEAN PAUL NSANZIMANA</t>
  </si>
  <si>
    <t>MUKAYIRANGA MEDIATRICE</t>
  </si>
  <si>
    <t xml:space="preserve">ALPHONSE HAKIZIMANA </t>
  </si>
  <si>
    <t>FLORIDE NYIRAKURAMA</t>
  </si>
  <si>
    <t>OLIVIER MUTANGANA</t>
  </si>
  <si>
    <t>CELESTIN NIYINDERERA</t>
  </si>
  <si>
    <t>BAMURANGE  CLAUDINE</t>
  </si>
  <si>
    <t>MUNYENSANGA J DAMASCENE</t>
  </si>
  <si>
    <t>PASCAL BANGAMWABO</t>
  </si>
  <si>
    <t>BIZUMUREMYI JACKSON</t>
  </si>
  <si>
    <t>SANYU VIANNEY</t>
  </si>
  <si>
    <t>RUTONGO MAINING</t>
  </si>
  <si>
    <t>EP CYINZVU</t>
  </si>
  <si>
    <t>DIOSECE  KIBUNGO</t>
  </si>
  <si>
    <t>GS GAHARA</t>
  </si>
  <si>
    <t>GS MKARANGE CATHOLIQUE</t>
  </si>
  <si>
    <t>APEN  TVET  SCHOOL</t>
  </si>
  <si>
    <t>NDEGO SECTOR</t>
  </si>
  <si>
    <t>EP KIMBA</t>
  </si>
  <si>
    <t>NKONDO 2</t>
  </si>
  <si>
    <t>DASSO KAYONZA</t>
  </si>
  <si>
    <t>GS NDEGO 2</t>
  </si>
  <si>
    <t>EP AMAHORO</t>
  </si>
  <si>
    <t>CS NASHO</t>
  </si>
  <si>
    <t>EP KIBONDE</t>
  </si>
  <si>
    <t>PANSIONAL</t>
  </si>
  <si>
    <t>AKAGERA MANAGEMENT</t>
  </si>
  <si>
    <t>EP MIGERA</t>
  </si>
  <si>
    <t>EP MUGERA</t>
  </si>
  <si>
    <t>GS RWIKWAVU</t>
  </si>
  <si>
    <t>AKAGERA  MANAGEMENT CAMPANY</t>
  </si>
  <si>
    <t xml:space="preserve">GS GAHINI </t>
  </si>
  <si>
    <t>KAHI CELL</t>
  </si>
  <si>
    <t>GS RWERU</t>
  </si>
  <si>
    <t>EAST AFRICA U R</t>
  </si>
  <si>
    <t>EAST AFRICAN</t>
  </si>
  <si>
    <t>18/11/2025</t>
  </si>
  <si>
    <t>1/NAP25AD91/10340001/18/11/2025</t>
  </si>
  <si>
    <t>015832871</t>
  </si>
  <si>
    <t>2/NAP21DN10/10340001/18/11/2025</t>
  </si>
  <si>
    <t>015743977</t>
  </si>
  <si>
    <t>3/NAP25BK09/10340001/18/11/2025</t>
  </si>
  <si>
    <t>015785066</t>
  </si>
  <si>
    <t>4/NAP22CV37/10340001/18/11/2025</t>
  </si>
  <si>
    <t>015845349</t>
  </si>
  <si>
    <t>5/NAP25BG12/10340001/18/11/2025</t>
  </si>
  <si>
    <t>6/NAP21V95/10340001/18/11/2025</t>
  </si>
  <si>
    <t>015781963</t>
  </si>
  <si>
    <t>7/NAP24BS69/10340001/18/11/2025</t>
  </si>
  <si>
    <t>8/NAP24CI36/10340001/18/11/2025</t>
  </si>
  <si>
    <t>015876262</t>
  </si>
  <si>
    <t>9/NAP22D67/10340001/18/11/2025</t>
  </si>
  <si>
    <t>015819241</t>
  </si>
  <si>
    <t>10/NAP25CG470/10340001/18/11/2025</t>
  </si>
  <si>
    <t>015929973</t>
  </si>
  <si>
    <t>11/NAP21CH67/10340001/18/11/2025</t>
  </si>
  <si>
    <t>015808474</t>
  </si>
  <si>
    <t>12/NAP20P52/10340001/18/11/2025</t>
  </si>
  <si>
    <t>10869336X</t>
  </si>
  <si>
    <t>13/NAP24X28/10340001/18/11/2025</t>
  </si>
  <si>
    <t>015888222</t>
  </si>
  <si>
    <t>14/NAP25CG472/10340001/18/11/2025</t>
  </si>
  <si>
    <t>20231597H</t>
  </si>
  <si>
    <t>15/NAP25BW08/10340001/18/11/2025</t>
  </si>
  <si>
    <t>015909706</t>
  </si>
  <si>
    <t>16/NAP25CG476/10340001/18/11/2025</t>
  </si>
  <si>
    <t>015909704</t>
  </si>
  <si>
    <t>17/NAP23H48/10340001/18/11/2025</t>
  </si>
  <si>
    <t>015862876</t>
  </si>
  <si>
    <t>18/NAP25BO08/10340001/18/11/2025</t>
  </si>
  <si>
    <t>20573244P</t>
  </si>
  <si>
    <t>19/NAP22K04/10340001/18/11/2025</t>
  </si>
  <si>
    <t>20/NAP20L63/10340001/18/11/2025</t>
  </si>
  <si>
    <t>015731396</t>
  </si>
  <si>
    <t>21/NAP23CQ79/10340001/18/11/2025</t>
  </si>
  <si>
    <t>10719265E</t>
  </si>
  <si>
    <t>22/NAP24BH19/10340001/18/11/2025</t>
  </si>
  <si>
    <t>23/NAP23BJ29/10340001/18/11/2025</t>
  </si>
  <si>
    <t>015889366</t>
  </si>
  <si>
    <t>24/NAP19AL56/10340001/18/11/2025</t>
  </si>
  <si>
    <t>015702832</t>
  </si>
  <si>
    <t>25/NAP25BI68/10340001/18/11/2025</t>
  </si>
  <si>
    <t>20071754D</t>
  </si>
  <si>
    <t>26/NAP24AZ67/10340001/18/11/2025</t>
  </si>
  <si>
    <t>015945195</t>
  </si>
  <si>
    <t>27/NAP25CF359/10340001/18/11/2025</t>
  </si>
  <si>
    <t>015891842</t>
  </si>
  <si>
    <t>28/NAP25BS34/10340001/18/11/2025</t>
  </si>
  <si>
    <t>20604109E</t>
  </si>
  <si>
    <t>29/NAP22M34/10340001/18/11/2025</t>
  </si>
  <si>
    <t>015811592</t>
  </si>
  <si>
    <t>30/NAP25CF15/10340001/18/11/2025</t>
  </si>
  <si>
    <t>31/NAP25AO94/10340001/18/11/2025</t>
  </si>
  <si>
    <t>015634503</t>
  </si>
  <si>
    <t>32/NAP25CG480/10340001/18/11/2025</t>
  </si>
  <si>
    <t>015964728</t>
  </si>
  <si>
    <t>33/NAP25BW51/10340001/18/11/2025</t>
  </si>
  <si>
    <t>19949410K</t>
  </si>
  <si>
    <t>34/NAP25CG481/10340001/18/11/2025</t>
  </si>
  <si>
    <t>015935248</t>
  </si>
  <si>
    <t>35/NAP21T38/10340001/18/11/2025</t>
  </si>
  <si>
    <t>0043241</t>
  </si>
  <si>
    <t>36/NAP22CF78/10340001/18/11/2025</t>
  </si>
  <si>
    <t>015866167</t>
  </si>
  <si>
    <t>37/NAP24CY61/10340001/18/11/2025</t>
  </si>
  <si>
    <t>015929812</t>
  </si>
  <si>
    <t>38/NAP22AE37/10340001/18/11/2025</t>
  </si>
  <si>
    <t>19957005P</t>
  </si>
  <si>
    <t>39/NAP25BK03/10340001/18/11/2025</t>
  </si>
  <si>
    <t>015872572</t>
  </si>
  <si>
    <t>40/NAP19E90/10340001/18/11/2025</t>
  </si>
  <si>
    <t>015633493</t>
  </si>
  <si>
    <t>41/NAP25CG483/10340001/18/11/2025</t>
  </si>
  <si>
    <t>015993560</t>
  </si>
  <si>
    <t>42/NAP25T56/10340001/18/11/2025</t>
  </si>
  <si>
    <t>015970544</t>
  </si>
  <si>
    <t>43/NAP25CB51/10340001/18/11/2025</t>
  </si>
  <si>
    <t>015990429</t>
  </si>
  <si>
    <t>44/NAP19N56/10340001/18/11/2025</t>
  </si>
  <si>
    <t>015596517</t>
  </si>
  <si>
    <t>45/NAP19X63/10340001/18/11/2025</t>
  </si>
  <si>
    <t>0118212</t>
  </si>
  <si>
    <t>46/NAP25CG486/10340001/18/11/2025</t>
  </si>
  <si>
    <t>015980966</t>
  </si>
  <si>
    <t>47/NAP25AL81/10340001/18/11/2025</t>
  </si>
  <si>
    <t>015944687</t>
  </si>
  <si>
    <t>48/NAP25G08/10340001/18/11/2025</t>
  </si>
  <si>
    <t>015960062</t>
  </si>
  <si>
    <t>49/NAP25CB77/10340001/18/11/2025</t>
  </si>
  <si>
    <t>20557193F</t>
  </si>
  <si>
    <t>50/NAP25P46/10340001/18/11/2025</t>
  </si>
  <si>
    <t>20498068Y</t>
  </si>
  <si>
    <t>51/NAP24BS22/10340001/18/11/2025</t>
  </si>
  <si>
    <t>015941508</t>
  </si>
  <si>
    <t>52/NAP25CF21/10340001/18/11/2025</t>
  </si>
  <si>
    <t>015657965</t>
  </si>
  <si>
    <t>53/NAP19AQ88/10340001/18/11/2025</t>
  </si>
  <si>
    <t>0113170</t>
  </si>
  <si>
    <t>54/NAP19H79/10340001/18/11/2025</t>
  </si>
  <si>
    <t>015718781</t>
  </si>
  <si>
    <t>55/NAP22CS46/10340001/18/11/2025</t>
  </si>
  <si>
    <t>015507373</t>
  </si>
  <si>
    <t>56/NAP24CF47/10340001/18/11/2025</t>
  </si>
  <si>
    <t>10997750R</t>
  </si>
  <si>
    <t>57/NAP21U53/10340001/18/11/2025</t>
  </si>
  <si>
    <t>015750172</t>
  </si>
  <si>
    <t>58/NAP25BX96/10340001/18/11/2025</t>
  </si>
  <si>
    <t>015988129</t>
  </si>
  <si>
    <t>59/NAP19G66/10340001/18/11/2025</t>
  </si>
  <si>
    <t>015504573</t>
  </si>
  <si>
    <t>60/NAP25CG494/10340001/18/11/2025</t>
  </si>
  <si>
    <t>015665176</t>
  </si>
  <si>
    <t>61/NAP22BV59/10340001/18/11/2025</t>
  </si>
  <si>
    <t>015837548</t>
  </si>
  <si>
    <t>62/NAP21DC35/10340001/18/11/2025</t>
  </si>
  <si>
    <t>015635476</t>
  </si>
  <si>
    <t>63/NAP24AK62/10340001/18/11/2025</t>
  </si>
  <si>
    <t>0150365</t>
  </si>
  <si>
    <t>64/NAP25CG52/10340001/18/11/2025</t>
  </si>
  <si>
    <t>65/NAP21CS28/10340001/18/11/2025</t>
  </si>
  <si>
    <t>015802445</t>
  </si>
  <si>
    <t>66/NAP21DD70/10340001/18/11/2025</t>
  </si>
  <si>
    <t>015634220</t>
  </si>
  <si>
    <t>67/NAP24AH88/10340001/18/11/2025</t>
  </si>
  <si>
    <t>015883966</t>
  </si>
  <si>
    <t>68/NAP23CU31/10340001/18/11/2025</t>
  </si>
  <si>
    <t>20169421d</t>
  </si>
  <si>
    <t>69/NAP24AF62/10340001/18/11/2025</t>
  </si>
  <si>
    <t>70/NAP25CD119/10340001/18/11/2025</t>
  </si>
  <si>
    <t>015726591</t>
  </si>
  <si>
    <t>71/NAP25CE35/10340001/18/11/2025</t>
  </si>
  <si>
    <t>015996871</t>
  </si>
  <si>
    <t>72/NAP24A54/10340001/18/11/2025</t>
  </si>
  <si>
    <t>015991144</t>
  </si>
  <si>
    <t>73/NAP25CG497/10340001/18/11/2025</t>
  </si>
  <si>
    <t>015591867</t>
  </si>
  <si>
    <t>74/NAP21AJ64/10340001/18/11/2025</t>
  </si>
  <si>
    <t>ABAHIRE TUMUSIFU CHANIA</t>
  </si>
  <si>
    <t>BYUKUSENGE MARIE THERESE</t>
  </si>
  <si>
    <t>JULIUS KAZORA</t>
  </si>
  <si>
    <t>VIVIANE MUKESHIMANA</t>
  </si>
  <si>
    <t>IKIREZI NADEGE</t>
  </si>
  <si>
    <t>HIRWA MEALLA</t>
  </si>
  <si>
    <t>SHYAKA RWEMA PRINCE</t>
  </si>
  <si>
    <t>AMBER BRENNA IBANZE</t>
  </si>
  <si>
    <t>AGABA BOAZ</t>
  </si>
  <si>
    <t>ADILAH HASSAN ABATESI</t>
  </si>
  <si>
    <t>NYIRAHABIMANA GAUDENCE</t>
  </si>
  <si>
    <t>ISHIMWE KUNDWA GAELLA</t>
  </si>
  <si>
    <t>NIYONSHUTI NTWARI ENZO</t>
  </si>
  <si>
    <t>CYOMORO LUCKY NICE</t>
  </si>
  <si>
    <t>LILIANNE MUKABARISA</t>
  </si>
  <si>
    <t>HIRWA RYAN</t>
  </si>
  <si>
    <t>ADELINE MUSINDA</t>
  </si>
  <si>
    <t>SHAMI MUGWIZA IAN</t>
  </si>
  <si>
    <t>INEZA CIELLA</t>
  </si>
  <si>
    <t>DORIS ISHIMWE</t>
  </si>
  <si>
    <t>GIANA IGABE IKAMBA</t>
  </si>
  <si>
    <t>TETA TANIA PROMESSE</t>
  </si>
  <si>
    <t>HAHIRWABASENGA ANITHA</t>
  </si>
  <si>
    <t>AMILI MUNYANGONDO</t>
  </si>
  <si>
    <t>RUTAGENGWA TETA</t>
  </si>
  <si>
    <t>LUCERNE INEZA KADAFI</t>
  </si>
  <si>
    <t>ANGELIQUE UWIRINGIYIMANA</t>
  </si>
  <si>
    <t>LAWI AGABA PROUD</t>
  </si>
  <si>
    <t>UMUNYURWA FEBRONIE</t>
  </si>
  <si>
    <t>OLGA ASINGIZWE GAHIRE</t>
  </si>
  <si>
    <t>LAVIE JAYDEN IGANZE</t>
  </si>
  <si>
    <t>TUYISINGIZE ODILA</t>
  </si>
  <si>
    <t>BUGINGO JOYCE AMELIA</t>
  </si>
  <si>
    <t>MUGUNGA ZACK IZUBA</t>
  </si>
  <si>
    <t>NELSON NEILLA CYUZUZO MAEVA</t>
  </si>
  <si>
    <t>DELVIN NICOLAS IGABE</t>
  </si>
  <si>
    <t>LEVI GAVIN IGANZE MIZERO</t>
  </si>
  <si>
    <t>RUBIBI CHAVIVAH ABIELA</t>
  </si>
  <si>
    <t>TUYISABE EGIDE</t>
  </si>
  <si>
    <t>AASIM MPANO</t>
  </si>
  <si>
    <t>MUKAWERA CONSOLEE</t>
  </si>
  <si>
    <t>AKUNDWE GWIZA RAYAN</t>
  </si>
  <si>
    <t>CALLIXTE BAKUNDA</t>
  </si>
  <si>
    <t>MUHOZA CHRISTINE</t>
  </si>
  <si>
    <t>GENO IAN THIAGO</t>
  </si>
  <si>
    <t>DUSABE SOLANGE</t>
  </si>
  <si>
    <t>SIBONYANGE MARIE SOLANGE</t>
  </si>
  <si>
    <t>NTAGANDA IRENE ASIFIWE</t>
  </si>
  <si>
    <t>ALINDA HAPPY MUTABAZI</t>
  </si>
  <si>
    <t>CHANTAL MUKASHYAKA</t>
  </si>
  <si>
    <t>KEZA TETE ISIMBI</t>
  </si>
  <si>
    <t>MUTERAMBABAZI JACQUELINE</t>
  </si>
  <si>
    <t>BERWA NEEMA</t>
  </si>
  <si>
    <t>BELIKER SONGA</t>
  </si>
  <si>
    <t>INEZA IGANZE SKYLAR IVANA</t>
  </si>
  <si>
    <t>BUTERA NGABO BAYDEN</t>
  </si>
  <si>
    <t>NGANIMANA FULGENCE</t>
  </si>
  <si>
    <t>KALIMBA MUKIZA GEOFFREY</t>
  </si>
  <si>
    <t>ISHEJA B BALBINA</t>
  </si>
  <si>
    <t>BLAISE ISHAMI</t>
  </si>
  <si>
    <t>NYINAWUMUNTU JEANNETTE</t>
  </si>
  <si>
    <t>DEVOTHA MUREBWAYIRE</t>
  </si>
  <si>
    <t>ELLAN JAYDEN BIGWI</t>
  </si>
  <si>
    <t>AGNES KARODI</t>
  </si>
  <si>
    <t>SAMOLLA BEN</t>
  </si>
  <si>
    <t>CLAUDINE NYIRANTAMBARA</t>
  </si>
  <si>
    <t>NDIKUBWIMANA  EVARISTE</t>
  </si>
  <si>
    <t>GAHONGAYIRE EDITH</t>
  </si>
  <si>
    <t>HABIYAREMYE MASUDI</t>
  </si>
  <si>
    <t>NZEYIMANA ELIAS</t>
  </si>
  <si>
    <t>MUKAHIGIRO JUSTINE</t>
  </si>
  <si>
    <t>UWINEZA LILIANE</t>
  </si>
  <si>
    <t>EMMANUEL NZAYISENGA</t>
  </si>
  <si>
    <t>ALICE MUZAZA</t>
  </si>
  <si>
    <t>GATO JULIET</t>
  </si>
  <si>
    <t>GAUDENCE NYIRAHABIMANA</t>
  </si>
  <si>
    <t>UKWIDUKUNDA ESPERANCE</t>
  </si>
  <si>
    <t>MUKAMANA  LEONILLA</t>
  </si>
  <si>
    <t>UWUMUZIGIRE GRACE</t>
  </si>
  <si>
    <t>NYANDWI JEAN DAMASCENE</t>
  </si>
  <si>
    <t>LIRIANE NYIRAMBONEKA</t>
  </si>
  <si>
    <t>UWIMPUHWE AALIYA</t>
  </si>
  <si>
    <t>MUKAMUHIGIRWA RUTH</t>
  </si>
  <si>
    <t>LAWI NIYIGABA</t>
  </si>
  <si>
    <t>FEBRONIE UMUNYURWA</t>
  </si>
  <si>
    <t>NISINGIZWE XAVERA</t>
  </si>
  <si>
    <t>ISAIE NDURURUTSE</t>
  </si>
  <si>
    <t>MUKANDOLI JANVIERE</t>
  </si>
  <si>
    <t>ALICE MUKAMANA</t>
  </si>
  <si>
    <t>HIMARCELINE MANIGENA</t>
  </si>
  <si>
    <t>RUTH IRACYADUKUNDA</t>
  </si>
  <si>
    <t>ISSA HABIMANA</t>
  </si>
  <si>
    <t>THEOBARD UMUHOZA</t>
  </si>
  <si>
    <t>DUSABIMANA ALICE</t>
  </si>
  <si>
    <t>NSENGIYUMVA FAUSTIN</t>
  </si>
  <si>
    <t>NTAGANDA INNOCENT</t>
  </si>
  <si>
    <t>MUTABAZI PHILEMON</t>
  </si>
  <si>
    <t>TUYAMBAZE JEAN BOSCO</t>
  </si>
  <si>
    <t>KALISA CHARLES</t>
  </si>
  <si>
    <t>NDORI  AMOS</t>
  </si>
  <si>
    <t>RACHEL GWIZIMPUNDU</t>
  </si>
  <si>
    <t>INGABIRE SAPHINE</t>
  </si>
  <si>
    <t>UMULIZA ADELTINE</t>
  </si>
  <si>
    <t>NKURIKIYABAHARI MODESTE</t>
  </si>
  <si>
    <t>GAHONGAYIRE VALENTINE</t>
  </si>
  <si>
    <t xml:space="preserve">JEANNETTE NYINAWUMUNTU </t>
  </si>
  <si>
    <t>PATRICK KABANDANA</t>
  </si>
  <si>
    <t>ALINE UWIZERA</t>
  </si>
  <si>
    <t>JAMES MUGABO</t>
  </si>
  <si>
    <t>PHOEBE TUMUKUNDE</t>
  </si>
  <si>
    <t>EP MASAKA</t>
  </si>
  <si>
    <t>GS  HVP GATAGARA</t>
  </si>
  <si>
    <t xml:space="preserve">GS KAWANGIRE </t>
  </si>
  <si>
    <t>SACCO GAHINI</t>
  </si>
  <si>
    <t>SACCO/MURUNDI</t>
  </si>
  <si>
    <t>GS  MUKARANGE</t>
  </si>
  <si>
    <t>EP NYARUNAZI</t>
  </si>
  <si>
    <t>EP GASHARU</t>
  </si>
  <si>
    <t>GS GISEKE</t>
  </si>
  <si>
    <t>NYAKABUNGO HEALTH CENTER</t>
  </si>
  <si>
    <t>GS SOVU</t>
  </si>
  <si>
    <t>GITUZA TSS</t>
  </si>
  <si>
    <t>ZAZA SECTOR</t>
  </si>
  <si>
    <t>GS KIVUBA</t>
  </si>
  <si>
    <t>ALI SAFUWA</t>
  </si>
  <si>
    <t>RAB KAYONZA</t>
  </si>
  <si>
    <t>RAB   KAYONZA</t>
  </si>
  <si>
    <t>THE REAL UP DATE ENGINEERS</t>
  </si>
  <si>
    <t>HOTEL UMVA MUHAZI</t>
  </si>
  <si>
    <t>UMVA MUHAZI</t>
  </si>
  <si>
    <t>CPR</t>
  </si>
  <si>
    <t>RSSB KAYONZA</t>
  </si>
  <si>
    <t>19/11/2025</t>
  </si>
  <si>
    <t>1/NAP25CG498/10340001/19/11/2025</t>
  </si>
  <si>
    <t>015960317</t>
  </si>
  <si>
    <t>2/NAP24AC89/10340001/19/11/2025</t>
  </si>
  <si>
    <t>3/NAP25CG500/10340001/19/11/2025</t>
  </si>
  <si>
    <t>015926059</t>
  </si>
  <si>
    <t>4/NAP23BC63/10340001/19/11/2025</t>
  </si>
  <si>
    <t>015897668</t>
  </si>
  <si>
    <t>5/NAP22AG96/10340001/19/11/2025</t>
  </si>
  <si>
    <t>11198261G</t>
  </si>
  <si>
    <t>6/NAP24BG44/10340001/19/11/2025</t>
  </si>
  <si>
    <t>10560436v</t>
  </si>
  <si>
    <t>7/NAP24AA95/10340001/19/11/2025</t>
  </si>
  <si>
    <t>015849060</t>
  </si>
  <si>
    <t>8/NAP24CJ02/10340001/19/11/2025</t>
  </si>
  <si>
    <t>015943575</t>
  </si>
  <si>
    <t>9/NAP19F19/10340001/19/11/2025</t>
  </si>
  <si>
    <t>10/NAP18C96/10340001/19/11/2025</t>
  </si>
  <si>
    <t>014175500</t>
  </si>
  <si>
    <t>11/NAP23AA09/10340001/19/11/2025</t>
  </si>
  <si>
    <t>10943817K</t>
  </si>
  <si>
    <t>12/NAP25BV11/10340001/19/11/2025</t>
  </si>
  <si>
    <t>015811100</t>
  </si>
  <si>
    <t>13/NAP25CG503/10340001/19/11/2025</t>
  </si>
  <si>
    <t>19431780J</t>
  </si>
  <si>
    <t>14/NAP23AR67/10340001/19/11/2025</t>
  </si>
  <si>
    <t>015966476</t>
  </si>
  <si>
    <t>15/NAP20Q19/10340001/19/11/2025</t>
  </si>
  <si>
    <t>015664418</t>
  </si>
  <si>
    <t>16/NAP22C21/10340001/19/11/2025</t>
  </si>
  <si>
    <t>015762395</t>
  </si>
  <si>
    <t>17/NAP25CG506/10340001/19/11/2025</t>
  </si>
  <si>
    <t>19361994Z</t>
  </si>
  <si>
    <t>18/NAP20A88/10340001/19/11/2025</t>
  </si>
  <si>
    <t>19/NAP25Z24/10340001/19/11/2025</t>
  </si>
  <si>
    <t>0070257</t>
  </si>
  <si>
    <t>20/NAP25CG511/10340001/19/11/2025</t>
  </si>
  <si>
    <t>015901810</t>
  </si>
  <si>
    <t>21/NAP24CG88/10340001/19/11/2025</t>
  </si>
  <si>
    <t>007295002</t>
  </si>
  <si>
    <t>22/NAP25CG52/10340001/19/11/2025</t>
  </si>
  <si>
    <t>23/NAP25CG513/10340001/19/11/2025</t>
  </si>
  <si>
    <t>015688817</t>
  </si>
  <si>
    <t>24/NAP25CG514/10340001/19/11/2025</t>
  </si>
  <si>
    <t>19851105R</t>
  </si>
  <si>
    <t>25/NAP23CL05/10340001/19/11/2025</t>
  </si>
  <si>
    <t>19833356V</t>
  </si>
  <si>
    <t>26/NAP25CG516/10340001/19/11/2025</t>
  </si>
  <si>
    <t>015543695</t>
  </si>
  <si>
    <t>27/NAP25I75/10340001/19/11/2025</t>
  </si>
  <si>
    <t>015963793</t>
  </si>
  <si>
    <t>28/NAP25BY50/10340001/19/11/2025</t>
  </si>
  <si>
    <t>015963794</t>
  </si>
  <si>
    <t>29/NAP19Q03/10340001/19/11/2025</t>
  </si>
  <si>
    <t>015681292</t>
  </si>
  <si>
    <t>30/NAP20Z01/10340001/19/11/2025</t>
  </si>
  <si>
    <t>015780314</t>
  </si>
  <si>
    <t>31/NAP25CF311/10340001/19/11/2025</t>
  </si>
  <si>
    <t>006866500</t>
  </si>
  <si>
    <t>32/NAP23CA03/10340001/19/11/2025</t>
  </si>
  <si>
    <t>015899797</t>
  </si>
  <si>
    <t>33/NAP22CS78/10340001/19/11/2025</t>
  </si>
  <si>
    <t>11010946Z</t>
  </si>
  <si>
    <t>34/NAP23CJ06/10340001/19/11/2025</t>
  </si>
  <si>
    <t>20083389B</t>
  </si>
  <si>
    <t>35/NAP23CE37/10340001/19/11/2025</t>
  </si>
  <si>
    <t>015842931</t>
  </si>
  <si>
    <t>36/NAP19H29/10340001/19/11/2025</t>
  </si>
  <si>
    <t>015623813</t>
  </si>
  <si>
    <t>37/NAP25CG532/10340001/19/11/2025</t>
  </si>
  <si>
    <t>015763495</t>
  </si>
  <si>
    <t>38/NAP20AK86/10340001/19/11/2025</t>
  </si>
  <si>
    <t>015553930</t>
  </si>
  <si>
    <t>39/NAP25CG535/10340001/19/11/2025</t>
  </si>
  <si>
    <t>015994815</t>
  </si>
  <si>
    <t>40/NAP25CF657/10340001/19/11/2025</t>
  </si>
  <si>
    <t>015902183</t>
  </si>
  <si>
    <t>41/NAP19G82/10340001/19/11/2025</t>
  </si>
  <si>
    <t>014071500</t>
  </si>
  <si>
    <t>42/NAP23BM39/10340001/19/11/2025</t>
  </si>
  <si>
    <t>43/NAP22BV09/10340001/19/11/2025</t>
  </si>
  <si>
    <t>0053629</t>
  </si>
  <si>
    <t>44/NAP21CU15/10340001/19/11/2025</t>
  </si>
  <si>
    <t>45/NAP25CG444/10340001/19/11/2025</t>
  </si>
  <si>
    <t>46/NAP20AP32/10340001/19/11/2025</t>
  </si>
  <si>
    <t>47/NAP24AF35/10340001/19/11/2025</t>
  </si>
  <si>
    <t>48/NAP21AC77/10340001/19/11/2025</t>
  </si>
  <si>
    <t>015596555</t>
  </si>
  <si>
    <t>49/NAP24X16/10340001/19/11/2025</t>
  </si>
  <si>
    <t>015780313</t>
  </si>
  <si>
    <t>50/NAP22CZ09/10340001/19/11/2025</t>
  </si>
  <si>
    <t>0074151</t>
  </si>
  <si>
    <t>51/NAP20AA34/10340001/19/11/2025</t>
  </si>
  <si>
    <t>10735546E</t>
  </si>
  <si>
    <t>52/NAP20AT89/10340001/19/11/2025</t>
  </si>
  <si>
    <t>10650712N</t>
  </si>
  <si>
    <t>53/NAP19T36/10340001/19/11/2025</t>
  </si>
  <si>
    <t>015710605</t>
  </si>
  <si>
    <t>54/NAP24AP37/10340001/19/11/2025</t>
  </si>
  <si>
    <t>015939584</t>
  </si>
  <si>
    <t>55/NAP19L25/10340001/19/11/2025</t>
  </si>
  <si>
    <t>015619466</t>
  </si>
  <si>
    <t>56/NAP23I73/10340001/19/11/2025</t>
  </si>
  <si>
    <t>015957989</t>
  </si>
  <si>
    <t>57/NAP20BD04/10340001/19/11/2025</t>
  </si>
  <si>
    <t>58/NAP22CT32/10340001/19/11/2025</t>
  </si>
  <si>
    <t>KUNDWA LISSAH SABINE</t>
  </si>
  <si>
    <t>BOLINGO NIZEYIMANA</t>
  </si>
  <si>
    <t>AHIRWE NOLAN</t>
  </si>
  <si>
    <t>NDAGIJIMANA VENUSTE</t>
  </si>
  <si>
    <t>NAYEBARE DINAH</t>
  </si>
  <si>
    <t>GIANNA IREBE KAGERUKA</t>
  </si>
  <si>
    <t>MUTORE DATHAN EN DOR</t>
  </si>
  <si>
    <t>NTWARI RUZINDANA KEVIN</t>
  </si>
  <si>
    <t>BAMURANGE HARRIET</t>
  </si>
  <si>
    <t>PACIFIQUE ALICE UMUHOZA</t>
  </si>
  <si>
    <t>MIA UMUTONI HIRWA</t>
  </si>
  <si>
    <t>ALEXIE UWIZEYIMANA</t>
  </si>
  <si>
    <t>IMENA MURENZI AMIAS</t>
  </si>
  <si>
    <t>NYIRATIMIRIZA ANGELIQUE</t>
  </si>
  <si>
    <t>MURERWA BENITHA</t>
  </si>
  <si>
    <t>NDINDIRIYIMANA THOMAS</t>
  </si>
  <si>
    <t>GAKWANDI BONNIE</t>
  </si>
  <si>
    <t>VESTINE IRIBAGIZA</t>
  </si>
  <si>
    <t>UWINEZA PAMELLA NADINE</t>
  </si>
  <si>
    <t>DUKUZIMANA SANDRINE</t>
  </si>
  <si>
    <t>BYIRINGIRO ELIA MUTUME STEVEN</t>
  </si>
  <si>
    <t>ELIYA KAMUGISHA</t>
  </si>
  <si>
    <t>JOYEUX IRATSINZE</t>
  </si>
  <si>
    <t>GIL AYANNA IZERE BERWA</t>
  </si>
  <si>
    <t>UWINEZA GENEVIEVE</t>
  </si>
  <si>
    <t>BISAMAZA NADINE</t>
  </si>
  <si>
    <t>ATETE EUNICE</t>
  </si>
  <si>
    <t>J, MUKANKUSI</t>
  </si>
  <si>
    <t>ELORA KELEN IRANEZEZA</t>
  </si>
  <si>
    <t>MBABAZI ANNET</t>
  </si>
  <si>
    <t>MUKANDAYISENGA DINA</t>
  </si>
  <si>
    <t>BRYAN LIAM IMENA</t>
  </si>
  <si>
    <t>HIRWA NSHUTI ORESTE</t>
  </si>
  <si>
    <t>BEBE MUNGANYINKA HOPE</t>
  </si>
  <si>
    <t>GIRIMPUHWE LAETITIA</t>
  </si>
  <si>
    <t>ADORAH ANALYSA AGABE</t>
  </si>
  <si>
    <t>JEANNETTE MANIRAFASHA</t>
  </si>
  <si>
    <t>NTAKIRUTINKA VALENTINE</t>
  </si>
  <si>
    <t>NIYOYITA JEAN DAMASCEN</t>
  </si>
  <si>
    <t>UMUHIRE ROSETTE</t>
  </si>
  <si>
    <t>UWIGICIRO ANGELIQUE</t>
  </si>
  <si>
    <t>NTAHONDEREYE EVALDE</t>
  </si>
  <si>
    <t>UWASE CLEMENTINE</t>
  </si>
  <si>
    <t>ANGE LUCKY AGASARO</t>
  </si>
  <si>
    <t>BURUDANI SABAOTH DUSHIME</t>
  </si>
  <si>
    <t>BLAISE IRUMVA MWANANGU</t>
  </si>
  <si>
    <t>ISHIMWE SABILLA</t>
  </si>
  <si>
    <t>JASPE MANZI AIME</t>
  </si>
  <si>
    <t>PATRICK NIZEYIMANA</t>
  </si>
  <si>
    <t>NYIRANEZA RACHEL</t>
  </si>
  <si>
    <t>BUCYANA AUGUSTIN</t>
  </si>
  <si>
    <t>DONATHILE</t>
  </si>
  <si>
    <t>BIDERI BUKURU GAD</t>
  </si>
  <si>
    <t>MUHOZA GERALDINE</t>
  </si>
  <si>
    <t>R. THEOGENE MUGABO</t>
  </si>
  <si>
    <t>NIKUZE ILLUMINEE</t>
  </si>
  <si>
    <t>MUSANGWA SILAS</t>
  </si>
  <si>
    <t>VINCENT MUKWIYE</t>
  </si>
  <si>
    <t>GILBERT NSHIMYIMANA</t>
  </si>
  <si>
    <t>NSHIMIYIMANA GILBERT</t>
  </si>
  <si>
    <t>GATABAZI  ALFRED</t>
  </si>
  <si>
    <t>BIZIMANA CHARLES</t>
  </si>
  <si>
    <t>MUNYANEZA JEROME</t>
  </si>
  <si>
    <t>FRANCOISE MUKANEZA</t>
  </si>
  <si>
    <t>VEDASTE MUGIRANEZA</t>
  </si>
  <si>
    <t>NIYONSABA PEACE</t>
  </si>
  <si>
    <t>TWESIGYE BENSON</t>
  </si>
  <si>
    <t>NSINGIZUMUREMYI PROTOGENE</t>
  </si>
  <si>
    <t>ELIZABETH MUTUYIMANA</t>
  </si>
  <si>
    <t>NSENGIMANA  ALPHONSE</t>
  </si>
  <si>
    <t>SIBONYANGE MARIE  SOLANGE</t>
  </si>
  <si>
    <t>VERENE DUSHIMIMANA</t>
  </si>
  <si>
    <t>SHABANI IRANKUNDA</t>
  </si>
  <si>
    <t>GS KIBARE 2</t>
  </si>
  <si>
    <t>RAB HUYE</t>
  </si>
  <si>
    <t>C S RUGARAMA</t>
  </si>
  <si>
    <t>CS RUGARAMA</t>
  </si>
  <si>
    <t>LYMAR RUKARA</t>
  </si>
  <si>
    <t>TVET BUYOGA</t>
  </si>
  <si>
    <t>EP BIRINGAGA</t>
  </si>
  <si>
    <t>AEE RUTSIRO</t>
  </si>
  <si>
    <t>GS RWANYAMUHANGA</t>
  </si>
  <si>
    <t>GS CYIRWA</t>
  </si>
  <si>
    <t>QUALIY ENGENEERING</t>
  </si>
  <si>
    <t>MANGO 4G</t>
  </si>
  <si>
    <t>HC GASETSA</t>
  </si>
  <si>
    <t xml:space="preserve">GATUNDA HOSPITAL </t>
  </si>
  <si>
    <t>GATUNDA HEALT CENTER</t>
  </si>
  <si>
    <t>EP BUSHENYI</t>
  </si>
  <si>
    <t>COLLEGE SANTO ANTONIO</t>
  </si>
  <si>
    <t>NYAMIYAGA CELL</t>
  </si>
  <si>
    <t>EP RUBIMBI</t>
  </si>
  <si>
    <t>CENTRE  DE SANTE MUKARANGE</t>
  </si>
  <si>
    <t>57/NAP25CA44/10340001/16/11/2025</t>
  </si>
  <si>
    <t>DIANE UWITONZE</t>
  </si>
  <si>
    <t>71/NAP23CB07/10340001/17/11/2025</t>
  </si>
  <si>
    <t>NSENGIYUMVA ALEX</t>
  </si>
  <si>
    <t>DATIVA MUKAYIRANGA</t>
  </si>
  <si>
    <t>20/11/2025</t>
  </si>
  <si>
    <t>1/NAP21X12/10340001/20/11/2025</t>
  </si>
  <si>
    <t>015597545</t>
  </si>
  <si>
    <t>2/NAP25CG553/10340001/20/11/2025</t>
  </si>
  <si>
    <t>0113587</t>
  </si>
  <si>
    <t>3/NAP25CG554/10340001/20/11/2025</t>
  </si>
  <si>
    <t>19505337S</t>
  </si>
  <si>
    <t>4/NAP24CR60/10340001/20/11/2025</t>
  </si>
  <si>
    <t>19992073L</t>
  </si>
  <si>
    <t>5/NAP25CG558/10340001/20/11/2025</t>
  </si>
  <si>
    <t>015884955</t>
  </si>
  <si>
    <t>6/NAP25CG559/10340001/20/11/2025</t>
  </si>
  <si>
    <t>007659300</t>
  </si>
  <si>
    <t>7/NAP25BZ72/10340001/20/11/2025</t>
  </si>
  <si>
    <t>015981914</t>
  </si>
  <si>
    <t>8/NAP23Z68/10340001/20/11/2025</t>
  </si>
  <si>
    <t>0148728</t>
  </si>
  <si>
    <t>9/NAP24BV05/10340001/20/11/2025</t>
  </si>
  <si>
    <t>19919830K</t>
  </si>
  <si>
    <t>10/NAP19BF70/10340001/20/11/2025</t>
  </si>
  <si>
    <t>0143658</t>
  </si>
  <si>
    <t>11/NAP25CG563/10340001/20/11/2025</t>
  </si>
  <si>
    <t>015960892</t>
  </si>
  <si>
    <t>12/NAP24AO55/10340001/20/11/2025</t>
  </si>
  <si>
    <t>20111619S</t>
  </si>
  <si>
    <t>13/NAP19J50/10340001/20/11/2025</t>
  </si>
  <si>
    <t>015725819</t>
  </si>
  <si>
    <t>14/NAP19G56/10340001/20/11/2025</t>
  </si>
  <si>
    <t>015729344</t>
  </si>
  <si>
    <t>15/NAP24BT27/10340001/20/11/2025</t>
  </si>
  <si>
    <t>015953919</t>
  </si>
  <si>
    <t>16/NAP25CG565/10340001/20/11/2025</t>
  </si>
  <si>
    <t>015996854</t>
  </si>
  <si>
    <t>17/NAP25CG564/10340001/20/11/2025</t>
  </si>
  <si>
    <t>007394501</t>
  </si>
  <si>
    <t>18/NAP20AM92/10340001/20/11/2025</t>
  </si>
  <si>
    <t>015666023</t>
  </si>
  <si>
    <t>19/NAP24BR44/10340001/20/11/2025</t>
  </si>
  <si>
    <t>015952438</t>
  </si>
  <si>
    <t>20/NAP22AU58/10340001/20/11/2025</t>
  </si>
  <si>
    <t>015794656</t>
  </si>
  <si>
    <t>21/NAP25CA62/10340001/20/11/2025</t>
  </si>
  <si>
    <t>007175700</t>
  </si>
  <si>
    <t>22/NAP25CG567/10340001/20/11/2025</t>
  </si>
  <si>
    <t>015682295</t>
  </si>
  <si>
    <t>23/NAP23G76/10340001/20/11/2025</t>
  </si>
  <si>
    <t>015845582</t>
  </si>
  <si>
    <t>24/NAP18G53/10340001/20/11/2025</t>
  </si>
  <si>
    <t>015633151</t>
  </si>
  <si>
    <t>25/NAP24BF23/10340001/20/11/2025</t>
  </si>
  <si>
    <t>015935770</t>
  </si>
  <si>
    <t>26/NAP25CG573/10340001/20/11/2025</t>
  </si>
  <si>
    <t>015834439</t>
  </si>
  <si>
    <t>27/NAP23AL31/10340001/20/11/2025</t>
  </si>
  <si>
    <t>28/NAP23BG08/10340001/20/11/2025</t>
  </si>
  <si>
    <t>015871177</t>
  </si>
  <si>
    <t>29/NAP25CE722/10340001/20/11/2025</t>
  </si>
  <si>
    <t>19607797D</t>
  </si>
  <si>
    <t>30/NAP20Q78/10340001/20/11/2025</t>
  </si>
  <si>
    <t>0084536</t>
  </si>
  <si>
    <t>31/NAP24BW60/10340001/20/11/2025</t>
  </si>
  <si>
    <t>19370706J</t>
  </si>
  <si>
    <t>32/NAP19AJ47/10340001/20/11/2025</t>
  </si>
  <si>
    <t>015738049</t>
  </si>
  <si>
    <t>33/NAP22AZ22/10340001/20/11/2025</t>
  </si>
  <si>
    <t>015699017</t>
  </si>
  <si>
    <t>34/NAP19AI14/10340001/20/11/2025</t>
  </si>
  <si>
    <t>015732795</t>
  </si>
  <si>
    <t>35/NAP23I79/10340001/20/11/2025</t>
  </si>
  <si>
    <t>015863365</t>
  </si>
  <si>
    <t>36/NAP25CG580/10340001/20/11/2025</t>
  </si>
  <si>
    <t>015994331</t>
  </si>
  <si>
    <t>37/NAP21H11/10340001/20/11/2025</t>
  </si>
  <si>
    <t>015506057</t>
  </si>
  <si>
    <t>38/NAP25CG586/10340001/20/11/2025</t>
  </si>
  <si>
    <t>015520000</t>
  </si>
  <si>
    <t>39/NAP24AJ85/10340001/20/11/2025</t>
  </si>
  <si>
    <t>015737987</t>
  </si>
  <si>
    <t>40/NAP25CG378/10340001/20/11/2025</t>
  </si>
  <si>
    <t>41/NAP25AT87/10340001/20/11/2025</t>
  </si>
  <si>
    <t>015906473</t>
  </si>
  <si>
    <t>42/NAP24BC54/10340001/20/11/2025</t>
  </si>
  <si>
    <t>19954496P</t>
  </si>
  <si>
    <t>43/NAP25X69/10340001/20/11/2025</t>
  </si>
  <si>
    <t>20571970H</t>
  </si>
  <si>
    <t>44/NAP24AC55/10340001/20/11/2025</t>
  </si>
  <si>
    <t>015930846</t>
  </si>
  <si>
    <t>45/NAP22CW08/10340001/20/11/2025</t>
  </si>
  <si>
    <t>015792049</t>
  </si>
  <si>
    <t>46/NAP22AG40/10340001/20/11/2025</t>
  </si>
  <si>
    <t>10685768T</t>
  </si>
  <si>
    <t>47/NAP19Z06/10340001/20/11/2025</t>
  </si>
  <si>
    <t>0063571</t>
  </si>
  <si>
    <t>48/NAP25CF623/10340001/20/11/2025</t>
  </si>
  <si>
    <t>49/NAP22Z32/10340001/20/11/2025</t>
  </si>
  <si>
    <t xml:space="preserve"> 015830720</t>
  </si>
  <si>
    <t>50/NAP19W98/10340001/20/11/2025</t>
  </si>
  <si>
    <t>015704851</t>
  </si>
  <si>
    <t>51/NAP25CF447/10340001/20/11/2025</t>
  </si>
  <si>
    <t>016000297</t>
  </si>
  <si>
    <t>52/NAP25BK76/10340001/20/11/2025</t>
  </si>
  <si>
    <t>015862491</t>
  </si>
  <si>
    <t>53/NAP25CG135/10340001/20/11/2025</t>
  </si>
  <si>
    <t>SANGWA CYUBAHIRO FRANK</t>
  </si>
  <si>
    <t>UWAMALIYA FRANCOISE</t>
  </si>
  <si>
    <t>JEAN DE DIEU BAZIRUSHAKA</t>
  </si>
  <si>
    <t>MUHAWENIMANA PEACE</t>
  </si>
  <si>
    <t>KEZA RUTAZINDA MEGAN</t>
  </si>
  <si>
    <t>ODETTE MUREKATETE</t>
  </si>
  <si>
    <t>LUCKY OWEN IHIRWE NSHUTI</t>
  </si>
  <si>
    <t>BIMENYIMANA VIATEUR</t>
  </si>
  <si>
    <t>NYIRANDAYAMBAJE BERNADETTE</t>
  </si>
  <si>
    <t>NDENGEJEHO VALENS</t>
  </si>
  <si>
    <t>ISHIMWE SONIA</t>
  </si>
  <si>
    <t>KAYITESI BRENDA</t>
  </si>
  <si>
    <t>KEZA KABUTO KELIA</t>
  </si>
  <si>
    <t>MUZIGA JOVIA</t>
  </si>
  <si>
    <t>BABRA AKALORD TESIRE</t>
  </si>
  <si>
    <t>PATRICK HIRWA NGABO</t>
  </si>
  <si>
    <t>CYUSA KENNETH MUTUYIMANA</t>
  </si>
  <si>
    <t>ELIAS TWIZEYIMANA HIRWA</t>
  </si>
  <si>
    <t>INEZA NELLY</t>
  </si>
  <si>
    <t>ABAYO REAGAN ARSENE</t>
  </si>
  <si>
    <t>MUKANOHERI SOLANGE</t>
  </si>
  <si>
    <t>FAITH INNOCENTE NINZIZA</t>
  </si>
  <si>
    <t>RUGIRA SANO JORDAN</t>
  </si>
  <si>
    <t>GRAINE ALICE INGABIRE</t>
  </si>
  <si>
    <t>EMMA WILLA UWASE</t>
  </si>
  <si>
    <t>IZZY RYLEE UWIMANA KUNDWA</t>
  </si>
  <si>
    <t>FROWER FLORENCE</t>
  </si>
  <si>
    <t>ISHIMWE EMELINNE</t>
  </si>
  <si>
    <t>BUSHAIJA EMMY</t>
  </si>
  <si>
    <t>NZAYISENGA EMMANUEL</t>
  </si>
  <si>
    <t>UWINEZA AISHA</t>
  </si>
  <si>
    <t>KEVINE UFITINEMA SIMBI</t>
  </si>
  <si>
    <t>RWIGABA JUNIA</t>
  </si>
  <si>
    <t>RWIGABA PRINCE</t>
  </si>
  <si>
    <t>DORIANE RWIGABA KUNDWA</t>
  </si>
  <si>
    <t>ISINGIZWE GLORIA</t>
  </si>
  <si>
    <t>MUSONERA ELIEZEUS</t>
  </si>
  <si>
    <t>MUHIRE ISARO NOELLA</t>
  </si>
  <si>
    <t>SKYLAR HOPE LIGHT RUTAYISIRE</t>
  </si>
  <si>
    <t>SERAPHINE NIYOMWUNGERI</t>
  </si>
  <si>
    <t>UTAMURIZA ALPHONSINE</t>
  </si>
  <si>
    <t>MBONYI HIRWA WAYLON</t>
  </si>
  <si>
    <t>LUCKY INEZA NYARWAYA</t>
  </si>
  <si>
    <t>TUYISENGE JEAN CLAUDE</t>
  </si>
  <si>
    <t>NSHIMIYIMANA DEOGRATIAS</t>
  </si>
  <si>
    <t>CYUZUZO HUBERT</t>
  </si>
  <si>
    <t>BUSINGE PASCALINE</t>
  </si>
  <si>
    <t>PREM IZERE KIRENGA</t>
  </si>
  <si>
    <t>AGANZE JANIE LIGHT</t>
  </si>
  <si>
    <t>MUGENZI FREDERICK</t>
  </si>
  <si>
    <t>PEACE MUHAWENIMANA</t>
  </si>
  <si>
    <t>NZARORA JONATHAN</t>
  </si>
  <si>
    <t>TUYISENGE  CECILE</t>
  </si>
  <si>
    <t>MUKAMUNANA JOSIANE</t>
  </si>
  <si>
    <t xml:space="preserve"> BARIGYE K ALEX</t>
  </si>
  <si>
    <t>KIMENYI  AIMEE</t>
  </si>
  <si>
    <t>KIMENYI AIME</t>
  </si>
  <si>
    <t>JEAN PIERRE NGABOYISONGA</t>
  </si>
  <si>
    <t>PHILIPPE NERI MUTUYIMANA</t>
  </si>
  <si>
    <t>BANKUNDIYE THEOPHILLE</t>
  </si>
  <si>
    <t>SEBYIZA EMMANUEL</t>
  </si>
  <si>
    <t>IRAGUHA AIME</t>
  </si>
  <si>
    <t>KAGINA JUSTIN</t>
  </si>
  <si>
    <t>JOSELYNE TUYIZERE</t>
  </si>
  <si>
    <t>DANIEL RUGIRA</t>
  </si>
  <si>
    <t>NSABIYUMVA EMMANUEL</t>
  </si>
  <si>
    <t>UWIMANA YVAN</t>
  </si>
  <si>
    <t>KIIZA WILLIAM</t>
  </si>
  <si>
    <t>BAGIRIGOMWA DJAFARI</t>
  </si>
  <si>
    <t>OLIVIER UFITINEMA</t>
  </si>
  <si>
    <t>RWIGABA SAM</t>
  </si>
  <si>
    <t>UMUHOZA UWANYIRIGIRA JUSTINE</t>
  </si>
  <si>
    <t>MUKANDAYISEGA DENYSE</t>
  </si>
  <si>
    <t>EMMANUEL MUHIRE</t>
  </si>
  <si>
    <t>RUTAYISIRE EMMANUEL</t>
  </si>
  <si>
    <t>MUTEGETSI JEANNETTE</t>
  </si>
  <si>
    <t>HABIMANA GILBERT</t>
  </si>
  <si>
    <t>HABIMANA  GILBERT</t>
  </si>
  <si>
    <t>ADELINE NYIRAKAMANA</t>
  </si>
  <si>
    <t>NYINAWUNTU DOREEN</t>
  </si>
  <si>
    <t>RRA/HUYE</t>
  </si>
  <si>
    <t>DASSO KIRAMURUZI</t>
  </si>
  <si>
    <t>ES CYIZOVU</t>
  </si>
  <si>
    <t>HC GITUZA</t>
  </si>
  <si>
    <t>G S MUZIZI</t>
  </si>
  <si>
    <t>ECOLE SECONDAIRE NYAMIRAMA</t>
  </si>
  <si>
    <t>G S MIGERA</t>
  </si>
  <si>
    <t>AKAGERA  MANAGEMENT  CAMPANY</t>
  </si>
  <si>
    <t>AKAGERA MANAGEMENT COMPAN</t>
  </si>
  <si>
    <t>RDF</t>
  </si>
  <si>
    <t>CS GAHINI</t>
  </si>
  <si>
    <t>ES REBERO</t>
  </si>
  <si>
    <t>G S NDAMA</t>
  </si>
  <si>
    <t>UR REMERA CAMPUS</t>
  </si>
  <si>
    <t>GS ST ALOYS</t>
  </si>
  <si>
    <t>GS BEIZANA AD</t>
  </si>
  <si>
    <t xml:space="preserve">GS GITUZA </t>
  </si>
  <si>
    <t>TTC SAVE</t>
  </si>
  <si>
    <t>EP RUKARA</t>
  </si>
  <si>
    <t>KABARORE SECTOR</t>
  </si>
  <si>
    <t>RUKARA CELL</t>
  </si>
  <si>
    <t>GS GATI</t>
  </si>
  <si>
    <t>SOS KAYONZA</t>
  </si>
  <si>
    <t>21/11/2025</t>
  </si>
  <si>
    <t>1/NAP22CN62/10340001/21/11/2025</t>
  </si>
  <si>
    <t>015513783</t>
  </si>
  <si>
    <t>2/NAP24Q43/10340001/21/11/2025</t>
  </si>
  <si>
    <t>015920512</t>
  </si>
  <si>
    <t>3/NAP25CG601/10340001/21/11/2025</t>
  </si>
  <si>
    <t>19334264J</t>
  </si>
  <si>
    <t>4/NAP24AJ63/10340001/21/11/2025</t>
  </si>
  <si>
    <t>5/NAP25CG602/10340001/21/11/2025</t>
  </si>
  <si>
    <t>19576506K</t>
  </si>
  <si>
    <t>6/NAP24AC36/10340001/21/11/2025</t>
  </si>
  <si>
    <t>015920705</t>
  </si>
  <si>
    <t>7/NAP19AG02/10340001/21/11/2025</t>
  </si>
  <si>
    <t>007743301</t>
  </si>
  <si>
    <t>8/NAP23BQ61/10340001/21/11/2025</t>
  </si>
  <si>
    <t>015810391</t>
  </si>
  <si>
    <t>9/NAP18A03/10340001/21/11/2025</t>
  </si>
  <si>
    <t>006993500</t>
  </si>
  <si>
    <t>10/NAP23CF54/10340001/21/11/2025</t>
  </si>
  <si>
    <t>11/NAP21G80/10340001/21/11/2025</t>
  </si>
  <si>
    <t>12/NAP23BX21/10340001/21/11/2025</t>
  </si>
  <si>
    <t>006575404</t>
  </si>
  <si>
    <t>13/NAP24CA28/10340001/21/11/2025</t>
  </si>
  <si>
    <t>015775575</t>
  </si>
  <si>
    <t>14/NAP25CG348/10340001/21/11/2025</t>
  </si>
  <si>
    <t>15/NAP23I85/10340001/21/11/2025</t>
  </si>
  <si>
    <t>0073451</t>
  </si>
  <si>
    <t>16/NAP25J24/10340001/21/11/2025</t>
  </si>
  <si>
    <t>015571026</t>
  </si>
  <si>
    <t>17/NAP22BK93/10340001/21/11/2025</t>
  </si>
  <si>
    <t>015854090</t>
  </si>
  <si>
    <t>18/NAP23T78/10340001/21/11/2025</t>
  </si>
  <si>
    <t>19/NAP23O66/10340001/21/11/2025</t>
  </si>
  <si>
    <t>20/NAP23Y99/10340001/21/11/2025</t>
  </si>
  <si>
    <t>015750897</t>
  </si>
  <si>
    <t>21/NAP23BD35/10340001/21/11/2025</t>
  </si>
  <si>
    <t>012138000</t>
  </si>
  <si>
    <t>22/NAP20F46/10340001/21/11/2025</t>
  </si>
  <si>
    <t>0131365</t>
  </si>
  <si>
    <t>23/NAP25CG606/10340001/21/11/2025</t>
  </si>
  <si>
    <t>016000858</t>
  </si>
  <si>
    <t>24/NAP19C08/10340001/21/11/2025</t>
  </si>
  <si>
    <t>010861800</t>
  </si>
  <si>
    <t>25/NAP25CG607/10340001/21/11/2025</t>
  </si>
  <si>
    <t>015957348</t>
  </si>
  <si>
    <t>26/NAP25CG609/10340001/21/11/2025</t>
  </si>
  <si>
    <t>015868580</t>
  </si>
  <si>
    <t>27/NAP25CG611/10340001/21/11/2025</t>
  </si>
  <si>
    <t>007057700</t>
  </si>
  <si>
    <t>28/NAP21CO44/10340001/21/11/2025</t>
  </si>
  <si>
    <t>015777221</t>
  </si>
  <si>
    <t>29/NAP25CG612/10340001/21/11/2025</t>
  </si>
  <si>
    <t>015921267</t>
  </si>
  <si>
    <t>30/NAP19AZ28/10340001/21/11/2025</t>
  </si>
  <si>
    <t>015619051</t>
  </si>
  <si>
    <t>31/NAP21AU80/10340001/21/11/2025</t>
  </si>
  <si>
    <t>19958113q</t>
  </si>
  <si>
    <t>32/NAP25CG614/10340001/21/11/2025</t>
  </si>
  <si>
    <t>015597604</t>
  </si>
  <si>
    <t>33/NAP18D18/10340001/21/11/2025</t>
  </si>
  <si>
    <t>34/NAP25CG615/10340001/21/11/2025</t>
  </si>
  <si>
    <t>015779373</t>
  </si>
  <si>
    <t>35/NAP19AP32/10340001/21/11/2025</t>
  </si>
  <si>
    <t>0151888</t>
  </si>
  <si>
    <t>36/NAP25AW21/10340001/21/11/2025</t>
  </si>
  <si>
    <t>015945899</t>
  </si>
  <si>
    <t>37/NAP19L06/10340001/21/11/2025</t>
  </si>
  <si>
    <t>38/NAP24BC05/10340001/21/11/2025</t>
  </si>
  <si>
    <t>20345239q</t>
  </si>
  <si>
    <t>39/NAP23CJ77/10340001/21/11/2025</t>
  </si>
  <si>
    <t>0074498</t>
  </si>
  <si>
    <t>40/NAP19AP45/10340001/21/11/2025</t>
  </si>
  <si>
    <t>0060350</t>
  </si>
  <si>
    <t>41/NAP18C28/10340001/21/11/2025</t>
  </si>
  <si>
    <t>10719270T</t>
  </si>
  <si>
    <t>42/NAP22CW12/10340001/21/11/2025</t>
  </si>
  <si>
    <t>19832276y</t>
  </si>
  <si>
    <t>43/NAP23BC63/10340001/21/11/2025</t>
  </si>
  <si>
    <t>44/NAP24CL47/10340001/21/11/2025</t>
  </si>
  <si>
    <t>015925149</t>
  </si>
  <si>
    <t>45/NAP19AQ34/10340001/21/11/2025</t>
  </si>
  <si>
    <t>0106916</t>
  </si>
  <si>
    <t>46/NAP25CG625/10340001/21/11/2025</t>
  </si>
  <si>
    <t>0067414</t>
  </si>
  <si>
    <t>47/NAP24AS04/10340001/21/11/2025</t>
  </si>
  <si>
    <t>015615339</t>
  </si>
  <si>
    <t>48/NAP23BH16/10340001/21/11/2025</t>
  </si>
  <si>
    <t>015805294</t>
  </si>
  <si>
    <t>49/NAP25CG272/10340001/21/11/2025</t>
  </si>
  <si>
    <t>50/NAP25CG630/10340001/21/11/2025</t>
  </si>
  <si>
    <t>015919266</t>
  </si>
  <si>
    <t>51/NAP24AC64/10340001/21/11/2025</t>
  </si>
  <si>
    <t>52/NAP23CL37/10340001/21/11/2025</t>
  </si>
  <si>
    <t>0073161</t>
  </si>
  <si>
    <t>53/NAP21DN57/10340001/21/11/2025</t>
  </si>
  <si>
    <t>10702202Q</t>
  </si>
  <si>
    <t>54/NAP19BI22/10340001/21/11/2025</t>
  </si>
  <si>
    <t>10845010E</t>
  </si>
  <si>
    <t>55/NAP19BI22/10340001/21/11/2025</t>
  </si>
  <si>
    <t>56/NAP25CG631/10340001/21/11/2025</t>
  </si>
  <si>
    <t>015998656</t>
  </si>
  <si>
    <t>57/NAP23BK27/10340001/21/11/2025</t>
  </si>
  <si>
    <t>58/NAP25CG634/10340001/21/11/2025</t>
  </si>
  <si>
    <t>0074893</t>
  </si>
  <si>
    <t>59/NAP25CG636/10340001/21/11/2025</t>
  </si>
  <si>
    <t>015905435</t>
  </si>
  <si>
    <t>60/NAP25CG638/10340001/21/11/2025</t>
  </si>
  <si>
    <t>20415567D</t>
  </si>
  <si>
    <t>61/NAP21AM08/10340001/21/11/2025</t>
  </si>
  <si>
    <t>006092104</t>
  </si>
  <si>
    <t>62/NAP25CF748/10340001/21/11/2025</t>
  </si>
  <si>
    <t>63/NAP25CG641/10340001/21/11/2025</t>
  </si>
  <si>
    <t>20094961S</t>
  </si>
  <si>
    <t>64/NAP23BK27/10340001/21/11/2025</t>
  </si>
  <si>
    <t>65/NAP22BZ76/10340001/21/11/2025</t>
  </si>
  <si>
    <t>20231175H</t>
  </si>
  <si>
    <t>66/NAP21AM08/10340001/21/11/2025</t>
  </si>
  <si>
    <t>67/NAP24G47/10340001/21/11/2025</t>
  </si>
  <si>
    <t>68/NAP23BG35/10340001/21/11/2025</t>
  </si>
  <si>
    <t>10758097T</t>
  </si>
  <si>
    <t>69/NAP25CG645/10340001/21/11/2025</t>
  </si>
  <si>
    <t>015813616</t>
  </si>
  <si>
    <t>70/NAP25CE137/10340001/21/11/2025</t>
  </si>
  <si>
    <t>19931700G</t>
  </si>
  <si>
    <t>71/NAP22CF13/10340001/21/11/2025</t>
  </si>
  <si>
    <t>72/NAP22BX48/10340001/21/11/2025</t>
  </si>
  <si>
    <t>015752578</t>
  </si>
  <si>
    <t>73/NAP25BO38/10340001/21/11/2025</t>
  </si>
  <si>
    <t>015983676</t>
  </si>
  <si>
    <t>74/NAP25CG653/10340001/21/11/2025</t>
  </si>
  <si>
    <t>015886131</t>
  </si>
  <si>
    <t>75/NAP21AC73/10340001/21/11/2025</t>
  </si>
  <si>
    <t>10378805F</t>
  </si>
  <si>
    <t>76/NAP25BN20/10340001/21/11/2025</t>
  </si>
  <si>
    <t>015944408</t>
  </si>
  <si>
    <t>77/NAP25Z47/10340001/21/11/2025</t>
  </si>
  <si>
    <t>19455734L</t>
  </si>
  <si>
    <t>78/NAP25CG655/10340001/21/11/2025</t>
  </si>
  <si>
    <t>015944035</t>
  </si>
  <si>
    <t>UMURERWA SAUVINE</t>
  </si>
  <si>
    <t>KEVIN INNOCENT INEZA</t>
  </si>
  <si>
    <t>VIOLETTE MUKABIZIMANA</t>
  </si>
  <si>
    <t>ANNONCIATHE UWAMURENGEYE</t>
  </si>
  <si>
    <t>ANGEL MIRACLE GISUBIZO</t>
  </si>
  <si>
    <t>RWIGEMA BENSON</t>
  </si>
  <si>
    <t>KETIA ISABWE GANZA</t>
  </si>
  <si>
    <t>MUKANKURANGA LIBERATHA</t>
  </si>
  <si>
    <t>DUSABEMARIYA AGNES</t>
  </si>
  <si>
    <t>BLANCHE GUY</t>
  </si>
  <si>
    <t>BRINON ATETENEZA SANO</t>
  </si>
  <si>
    <t>MUTESAYIRE CLAUDINE</t>
  </si>
  <si>
    <t>INEZA ANAELLA</t>
  </si>
  <si>
    <t>REGAN NGANIZI</t>
  </si>
  <si>
    <t>UMURERWA FRANCOISE</t>
  </si>
  <si>
    <t>MUVUNYI SHIMWA LONY</t>
  </si>
  <si>
    <t>MUKABIZIMANA CLAUDETTE</t>
  </si>
  <si>
    <t>MUKASEKURU COLETTE</t>
  </si>
  <si>
    <t>IHIRWE MURENZI IAN JAYDEN</t>
  </si>
  <si>
    <t>NYIRAMASOSO NEEMA</t>
  </si>
  <si>
    <t>IKUZO SHIMO JULIA</t>
  </si>
  <si>
    <t>EMMA AMIRA KUNDWA</t>
  </si>
  <si>
    <t>UWIZEYE ODETTE</t>
  </si>
  <si>
    <t>ISHIMWE VERA QUEEN</t>
  </si>
  <si>
    <t>REGALO BIGWI SASHA</t>
  </si>
  <si>
    <t>RUSARIKA TSHAMI DIVINE</t>
  </si>
  <si>
    <t>NYIRANDIKUBWIMANA HILARIE</t>
  </si>
  <si>
    <t>ONES MPANO</t>
  </si>
  <si>
    <t>GISUBIZO MUVUNYI CHRISTA</t>
  </si>
  <si>
    <t>NDABUBAHA JOHN</t>
  </si>
  <si>
    <t>MAHORO SHIMWA RYAN ETHAN</t>
  </si>
  <si>
    <t>IRAKIZA ALINE</t>
  </si>
  <si>
    <t>JUVÉNAL GAKULIZA</t>
  </si>
  <si>
    <t>NIYITEGEKA EMILE</t>
  </si>
  <si>
    <t>MUKAGASINGWA AGNES</t>
  </si>
  <si>
    <t>FRANK FURAHA</t>
  </si>
  <si>
    <t>UMUHOZA SERAPHINE</t>
  </si>
  <si>
    <t>MUKAKALISA VALERIE</t>
  </si>
  <si>
    <t>M/ANGELIQUE INGABIRE YVETTE</t>
  </si>
  <si>
    <t>UMWIZERWA LUNE LUCIA</t>
  </si>
  <si>
    <t>IGABE CHRISTIAN</t>
  </si>
  <si>
    <t>CHRISTINE UWIMANA</t>
  </si>
  <si>
    <t>CHARLOTTE MUTEGARUGORI</t>
  </si>
  <si>
    <t>MUKAKALISA LEATITIA</t>
  </si>
  <si>
    <t>MUKANDAYISENGA BEATRICE</t>
  </si>
  <si>
    <t>GASARO ANICK</t>
  </si>
  <si>
    <t>RUKIKAMIHIGO OLIVIER</t>
  </si>
  <si>
    <t>TUYUBAHE X</t>
  </si>
  <si>
    <t>SUDI HABUMUGISHA</t>
  </si>
  <si>
    <t>INSHUTIYAYEZU JANVIERE</t>
  </si>
  <si>
    <t>VALENS NKURUNZIZA</t>
  </si>
  <si>
    <t>BEBE DELPHINE MUKUNDWA</t>
  </si>
  <si>
    <t>JEROME MUTUYIMANA</t>
  </si>
  <si>
    <t>INEZA AIME FABRICE</t>
  </si>
  <si>
    <t>BEA EMILIA IGWIZE</t>
  </si>
  <si>
    <t>JACKSON GATABAZI</t>
  </si>
  <si>
    <t>RUGWIRO OLIVIER</t>
  </si>
  <si>
    <t>HAVUGIMANA PAULINE</t>
  </si>
  <si>
    <t>NELLY DJIBRILE GASHAMURA</t>
  </si>
  <si>
    <t>MUDAHERANWA JEROME</t>
  </si>
  <si>
    <t>JEAN DE DIEU RUKUNDO</t>
  </si>
  <si>
    <t>DUSABIMANA CLAUDINE</t>
  </si>
  <si>
    <t>CONDO INNOCENT</t>
  </si>
  <si>
    <t>MUKANTWARI VICTOIRE</t>
  </si>
  <si>
    <t>AIME THEOGENE SINDIKUBWABO</t>
  </si>
  <si>
    <t>CLAUDINE MUTESAYIRE</t>
  </si>
  <si>
    <t>MUVUNYI JEAN CLAUDE</t>
  </si>
  <si>
    <t>KONGORO  RUSHIMISHA  HERRON</t>
  </si>
  <si>
    <t>JEAN BOSCO KAMILINDI</t>
  </si>
  <si>
    <t>ANGE UWIMANA</t>
  </si>
  <si>
    <t>THEONESTE NDEREYIMANA</t>
  </si>
  <si>
    <t>JOYEUSE TUYISHIMIRE</t>
  </si>
  <si>
    <t>RUSARIKA SOULEIMAN</t>
  </si>
  <si>
    <t>ADELTINE UWINGENEYE</t>
  </si>
  <si>
    <t>YVETTE M/ANGELIQUE INGABIRE</t>
  </si>
  <si>
    <t>UWAMAHORO PACIFIQUE</t>
  </si>
  <si>
    <t>NIYITANGA EMMANUEL</t>
  </si>
  <si>
    <t>BARIKAGE JEAN DE DEIU</t>
  </si>
  <si>
    <t>NDAYISENGA RICHARD</t>
  </si>
  <si>
    <t>NKUNZIMANA JAPEL</t>
  </si>
  <si>
    <t>OLIVIER RUKIKAMIHIGO</t>
  </si>
  <si>
    <t>VIOLETTE MUNEZERO</t>
  </si>
  <si>
    <t>MANIKUZE PHOCAS</t>
  </si>
  <si>
    <t>MURANGIRA INNOCENT</t>
  </si>
  <si>
    <t>MUKANSONERA BEATHE</t>
  </si>
  <si>
    <t>BEATHA MUKANSONERA</t>
  </si>
  <si>
    <t>UFITINEMA SADRINE</t>
  </si>
  <si>
    <t>PAULINE HAVUGIMANA</t>
  </si>
  <si>
    <t>EP AGAKOMEYE</t>
  </si>
  <si>
    <t>EP GITI</t>
  </si>
  <si>
    <t>GS BUMBOGO</t>
  </si>
  <si>
    <t>GS JOMBA</t>
  </si>
  <si>
    <t>BUGWE SECTOR</t>
  </si>
  <si>
    <t>BUNGWE SECTOR</t>
  </si>
  <si>
    <t>RUSERA SECTOR</t>
  </si>
  <si>
    <t>EP MURIZA</t>
  </si>
  <si>
    <t>RUHANGO DISTRICT</t>
  </si>
  <si>
    <t>GS GISHORORO</t>
  </si>
  <si>
    <t>EP KAGABIRO</t>
  </si>
  <si>
    <t>GS MBUYE</t>
  </si>
  <si>
    <t/>
  </si>
  <si>
    <t>KIREHE SECTOR</t>
  </si>
  <si>
    <t>DASSO KICUKIRO</t>
  </si>
  <si>
    <t>GAKENKE HEALTH CENTER</t>
  </si>
  <si>
    <t>AASAFWA</t>
  </si>
  <si>
    <t>GS IKIZERE</t>
  </si>
  <si>
    <t>GS KABIRIZI</t>
  </si>
  <si>
    <t>GATSIBO DITRICT</t>
  </si>
  <si>
    <t>RITCO KIGALI</t>
  </si>
  <si>
    <t>SACCO KAYONZA</t>
  </si>
  <si>
    <t>SACCA KAYONZA</t>
  </si>
  <si>
    <t>22/11/2025</t>
  </si>
  <si>
    <t>1/NAP25CF661/10340001/22/11/2025</t>
  </si>
  <si>
    <t>2/NAP23U39/10340001/22/11/2025</t>
  </si>
  <si>
    <t xml:space="preserve"> 015884964</t>
  </si>
  <si>
    <t>3/NAP25BZ12/10340001/22/11/2025</t>
  </si>
  <si>
    <t>015977443</t>
  </si>
  <si>
    <t>4/NAP25CG659/10340001/22/11/2025</t>
  </si>
  <si>
    <t>0076285</t>
  </si>
  <si>
    <t>5/NAP25CF989/10340001/22/11/2025</t>
  </si>
  <si>
    <t>6/NAP20AT89/10340001/22/11/2025</t>
  </si>
  <si>
    <t>7/NAP24AV02/10340001/22/11/2025</t>
  </si>
  <si>
    <t>015780991</t>
  </si>
  <si>
    <t>8/NAP24AU99/10340001/22/11/2025</t>
  </si>
  <si>
    <t>015704152</t>
  </si>
  <si>
    <t>9/NAP25CG662/10340001/22/11/2025</t>
  </si>
  <si>
    <t>007628500</t>
  </si>
  <si>
    <t>10/NAP19AM94/10340001/22/11/2025</t>
  </si>
  <si>
    <t>012114302</t>
  </si>
  <si>
    <t>11/NAP19AS47/10340001/22/11/2025</t>
  </si>
  <si>
    <t>008338203</t>
  </si>
  <si>
    <t>12/NAP22X01/10340001/22/11/2025</t>
  </si>
  <si>
    <t>015807340</t>
  </si>
  <si>
    <t>13/NAP24AK97/10340001/22/11/2025</t>
  </si>
  <si>
    <t>20329912Y</t>
  </si>
  <si>
    <t>14/NAP24AY93/10340001/22/11/2025</t>
  </si>
  <si>
    <t>015897523</t>
  </si>
  <si>
    <t>15/NAP25BB02/10340001/22/11/2025</t>
  </si>
  <si>
    <t>015967305</t>
  </si>
  <si>
    <t>16/NAP20F45/10340001/22/11/2025</t>
  </si>
  <si>
    <t>17/NAP23H56/10340001/22/11/2025</t>
  </si>
  <si>
    <t>015863054</t>
  </si>
  <si>
    <t>18/NAP25CG676/10340001/22/11/2025</t>
  </si>
  <si>
    <t>015917912</t>
  </si>
  <si>
    <t>19/NAP21AD30/10340001/22/11/2025</t>
  </si>
  <si>
    <t>20/NAP25CG678/10340001/22/11/2025</t>
  </si>
  <si>
    <t>015998210</t>
  </si>
  <si>
    <t>21/NAP25CE06/10340001/22/11/2025</t>
  </si>
  <si>
    <t>22/NAP20S76/10340001/22/11/2025</t>
  </si>
  <si>
    <t>23/NAP19G43/10340001/22/11/2025</t>
  </si>
  <si>
    <t>015523081</t>
  </si>
  <si>
    <t>24/NAP24BA89/10340001/22/11/2025</t>
  </si>
  <si>
    <t>001985101</t>
  </si>
  <si>
    <t>25/NAP22AO99/10340001/22/11/2025</t>
  </si>
  <si>
    <t>19956373G</t>
  </si>
  <si>
    <t>26/NAP25CG682/10340001/22/11/2025</t>
  </si>
  <si>
    <t>19918014E</t>
  </si>
  <si>
    <t>27/NAP20BB82/10340001/22/11/2025</t>
  </si>
  <si>
    <t>19613401W</t>
  </si>
  <si>
    <t>28/NAP23BR42/10340001/22/11/2025</t>
  </si>
  <si>
    <t>015898799</t>
  </si>
  <si>
    <t>29/NAP24CK15/10340001/22/11/2025</t>
  </si>
  <si>
    <t>015797703</t>
  </si>
  <si>
    <t>30/NAP25CG684/10340001/22/11/2025</t>
  </si>
  <si>
    <t>0076824</t>
  </si>
  <si>
    <t>31/NAP23R71/10340001/22/11/2025</t>
  </si>
  <si>
    <t>015884034</t>
  </si>
  <si>
    <t>32/NAP25CG685/10340001/22/11/2025</t>
  </si>
  <si>
    <t>20066019W</t>
  </si>
  <si>
    <t>33/NAP23AX92/10340001/22/11/2025</t>
  </si>
  <si>
    <t>19920176H</t>
  </si>
  <si>
    <t>34/NAP23BW59/10340001/22/11/2025</t>
  </si>
  <si>
    <t>007338001</t>
  </si>
  <si>
    <t>35/NAP20AL46/10340001/22/11/2025</t>
  </si>
  <si>
    <t>015691592</t>
  </si>
  <si>
    <t>36/NAP22V54/10340001/22/11/2025</t>
  </si>
  <si>
    <t>37/NAP25CG684/10340001/22/11/2025</t>
  </si>
  <si>
    <t>38/NAP25AP35/10340001/22/11/2025</t>
  </si>
  <si>
    <t>015881169</t>
  </si>
  <si>
    <t>39/NAP25AH13/10340001/22/11/2025</t>
  </si>
  <si>
    <t>015965022</t>
  </si>
  <si>
    <t>40/NAP25CG690/10340001/22/11/2025</t>
  </si>
  <si>
    <t>015967365</t>
  </si>
  <si>
    <t>41/NAP19M04/10340001/22/11/2025</t>
  </si>
  <si>
    <t>0132314</t>
  </si>
  <si>
    <t>42/NAP25CG692/10340001/22/11/2025</t>
  </si>
  <si>
    <t>19514119F</t>
  </si>
  <si>
    <t>43/NAP25CG694/10340001/22/11/2025</t>
  </si>
  <si>
    <t>44/NAP19R62/10340001/22/11/2025</t>
  </si>
  <si>
    <t>015575937</t>
  </si>
  <si>
    <t>45/NAP20D65/10340001/22/11/2025</t>
  </si>
  <si>
    <t>10834098A</t>
  </si>
  <si>
    <t>46/NAP25CG695/10340001/22/11/2025</t>
  </si>
  <si>
    <t>016002314</t>
  </si>
  <si>
    <t>47/NAP25AA59/10340001/22/11/2025</t>
  </si>
  <si>
    <t>19528780W</t>
  </si>
  <si>
    <t>48/NAP24BV87/10340001/22/11/2025</t>
  </si>
  <si>
    <t>015957005</t>
  </si>
  <si>
    <t>49/NAP23BG53/10340001/22/11/2025</t>
  </si>
  <si>
    <t>20248327k</t>
  </si>
  <si>
    <t>50/NAP25CE982/10340001/22/11/2025</t>
  </si>
  <si>
    <t>015973170</t>
  </si>
  <si>
    <t>51/NAP22BA91/10340001/22/11/2025</t>
  </si>
  <si>
    <t>10901301P</t>
  </si>
  <si>
    <t>52/NAP21AQ94/10340001/22/11/2025</t>
  </si>
  <si>
    <t>015802732</t>
  </si>
  <si>
    <t>53/NAP19AY78/10340001/22/11/2025</t>
  </si>
  <si>
    <t>015711087</t>
  </si>
  <si>
    <t>54/NAP19AK40/10340001/22/11/2025</t>
  </si>
  <si>
    <t>015704101</t>
  </si>
  <si>
    <t>55/NAP25CG698/10340001/22/11/2025</t>
  </si>
  <si>
    <t>19919610L</t>
  </si>
  <si>
    <t>56/NAP25CG702/10340001/22/11/2025</t>
  </si>
  <si>
    <t>015991155</t>
  </si>
  <si>
    <t>57/NAP23AV34/10340001/22/11/2025</t>
  </si>
  <si>
    <t>58/NAP25CG703/10340001/22/11/2025</t>
  </si>
  <si>
    <t>19431761C</t>
  </si>
  <si>
    <t>59/NAP23CJ47/10340001/22/11/2025</t>
  </si>
  <si>
    <t>20098383F</t>
  </si>
  <si>
    <t>60/NAP23AI55/10340001/22/11/2025</t>
  </si>
  <si>
    <t>015836907</t>
  </si>
  <si>
    <t>61/NAP24CQ60/10340001/22/11/2025</t>
  </si>
  <si>
    <t>015918995</t>
  </si>
  <si>
    <t>62/NAP23AL15/10340001/22/11/2025</t>
  </si>
  <si>
    <t>015823301</t>
  </si>
  <si>
    <t>63/NAP23CC49/10340001/22/11/2025</t>
  </si>
  <si>
    <t>015771389</t>
  </si>
  <si>
    <t>64/NAP25CG706/10340001/22/11/2025</t>
  </si>
  <si>
    <t>015936853</t>
  </si>
  <si>
    <t>65/NAP22AS86/10340001/22/11/2025</t>
  </si>
  <si>
    <t>66/NAP25CD999/10340001/22/11/2025</t>
  </si>
  <si>
    <t>015996917</t>
  </si>
  <si>
    <t>67/NAP23AV34/10340001/22/11/2025</t>
  </si>
  <si>
    <t>68/NAP23CA83/10340001/22/11/2025</t>
  </si>
  <si>
    <t>69/NAP25CG708/10340001/22/11/2025</t>
  </si>
  <si>
    <t>70/NAP25CG709/10340001/22/11/2025</t>
  </si>
  <si>
    <t>015850213</t>
  </si>
  <si>
    <t>015783983</t>
  </si>
  <si>
    <t>011314202</t>
  </si>
  <si>
    <t>015978929</t>
  </si>
  <si>
    <t>015604719</t>
  </si>
  <si>
    <t>015604722</t>
  </si>
  <si>
    <t>10766127Q</t>
  </si>
  <si>
    <t>19960078F</t>
  </si>
  <si>
    <t>015774527</t>
  </si>
  <si>
    <t>HOPE IRAKOZE HIRWA</t>
  </si>
  <si>
    <t>PATRICK IGANZE HIRWA</t>
  </si>
  <si>
    <t>MARIE CHANTAL BANTEGEYE</t>
  </si>
  <si>
    <t>ANGELLA MERCY CYEZA</t>
  </si>
  <si>
    <t>BLESS ANGELO CYUSA</t>
  </si>
  <si>
    <t>MUTABAZI EVARISTE</t>
  </si>
  <si>
    <t>AKAMANZI SALMA ABIGAIL</t>
  </si>
  <si>
    <t>SANGWA KAMA JOELLA</t>
  </si>
  <si>
    <t>NTAMBARA CHARLES</t>
  </si>
  <si>
    <t>MUKUNZI EMMANUEL</t>
  </si>
  <si>
    <t>DAI CHIKAO ASA IGIRANEZA</t>
  </si>
  <si>
    <t>ELAN JASPIN AGABA</t>
  </si>
  <si>
    <t>SHAMI ABLE RWIRU ELOI</t>
  </si>
  <si>
    <t>LOIC ISHIMWE PEACE</t>
  </si>
  <si>
    <t>CHRIS ALVIN SHAMI</t>
  </si>
  <si>
    <t>KIT ENZO GANZA STERLING</t>
  </si>
  <si>
    <t>UWITONZE CLAUDINE</t>
  </si>
  <si>
    <t>IRAKOZE DIVINE</t>
  </si>
  <si>
    <t>ABUWERA DEBORAH</t>
  </si>
  <si>
    <t>MUZANA ROSE</t>
  </si>
  <si>
    <t>BENEGUSENGA ANGELLA</t>
  </si>
  <si>
    <t>LEWIS GENIUS SHAMI PLANNER</t>
  </si>
  <si>
    <t>BIJOUX HORNELLA ISIMBI</t>
  </si>
  <si>
    <t>BIHEZANDE DANIEL</t>
  </si>
  <si>
    <t>BERWA ALIVE BRIGHT</t>
  </si>
  <si>
    <t>NISHIMWE HONORINE</t>
  </si>
  <si>
    <t>NYIRANEZA IRENE</t>
  </si>
  <si>
    <t>NOBREZA IGABA</t>
  </si>
  <si>
    <t>HIMBAZWA LINDA</t>
  </si>
  <si>
    <t>NEDDY STEVEN IMENA</t>
  </si>
  <si>
    <t>DONATHA UWERA</t>
  </si>
  <si>
    <t>BERWIN IBIGWI</t>
  </si>
  <si>
    <t>BRIELLA INEMA MIA</t>
  </si>
  <si>
    <t>MUREKATETE ALICE</t>
  </si>
  <si>
    <t>UWIRINGIYIMANA AGNES</t>
  </si>
  <si>
    <t>CHANTAL BANTEGEYE MARIE</t>
  </si>
  <si>
    <t>ISHEJA MWENEDATA IZERTE LIZA</t>
  </si>
  <si>
    <t>NIYIGENA CHRISTINE</t>
  </si>
  <si>
    <t>ISIMBI SYLVIE</t>
  </si>
  <si>
    <t>ALICE UWANYIRIGIRA</t>
  </si>
  <si>
    <t>AGABE JANELLE SAINA</t>
  </si>
  <si>
    <t>TUYISHIMIRE REDEMPTA</t>
  </si>
  <si>
    <t>NIYONSABA ESPERENCE</t>
  </si>
  <si>
    <t>MUSABYEMARIYA CLAUDINE</t>
  </si>
  <si>
    <t>KAYIRANGA REVENUE</t>
  </si>
  <si>
    <t>KARANGWA REGIS</t>
  </si>
  <si>
    <t>MUHIRWA BRANDON</t>
  </si>
  <si>
    <t>UWITONZE FELICIEN</t>
  </si>
  <si>
    <t>EVIE GODIELLA MUSHIMIRE AKARABO</t>
  </si>
  <si>
    <t>VALENTINE ISHIMWE</t>
  </si>
  <si>
    <t>RUHANDA CHUBAHIRO ELIE</t>
  </si>
  <si>
    <t>HIRWA SHEMA BLAISE</t>
  </si>
  <si>
    <t>CAROLE CARMENE RWAGASANA</t>
  </si>
  <si>
    <t>GHISLAIN CARMEL RWAGASANA</t>
  </si>
  <si>
    <t>TUYISENGE JANVIERE</t>
  </si>
  <si>
    <t>IKUZWE SENGA IVAN PLATO</t>
  </si>
  <si>
    <t>NTSINZI LOGAN</t>
  </si>
  <si>
    <t>RITHA AKUZWE SENGA</t>
  </si>
  <si>
    <t>KYLE GREVY IGANZE</t>
  </si>
  <si>
    <t>MFURAKAZI JOLIE</t>
  </si>
  <si>
    <t>JABO GEORGE</t>
  </si>
  <si>
    <t>ORLEE ANIELA IMPANO</t>
  </si>
  <si>
    <t>GATESI RINDAH</t>
  </si>
  <si>
    <t>KARIZA RICAH</t>
  </si>
  <si>
    <t>UWIRINGIYE XAVIER ERIC</t>
  </si>
  <si>
    <t>BEBE LENATHA MURWANASHYAKA</t>
  </si>
  <si>
    <t>RWIGAMBA JOSHUA</t>
  </si>
  <si>
    <t xml:space="preserve"> DATIVE BYUKUSENGE</t>
  </si>
  <si>
    <t>DATIVE BYUKUSENGE</t>
  </si>
  <si>
    <t>MARIE OLIVE CYAKWERA</t>
  </si>
  <si>
    <t>KATONGOLE SAM</t>
  </si>
  <si>
    <t>HATEGEKIMANA  ACHILLE   SAMSON</t>
  </si>
  <si>
    <t>AKIMANIZANYE CLEMENTINE</t>
  </si>
  <si>
    <t xml:space="preserve">GODENCE UWIZEYIMANA </t>
  </si>
  <si>
    <t>SOSTHENE NTIHANABAYO</t>
  </si>
  <si>
    <t>CLEMENTINE NISHIMWE</t>
  </si>
  <si>
    <t>NDUNGUSTE J PIERRE</t>
  </si>
  <si>
    <t>M ODETTE MUKAMUGABO</t>
  </si>
  <si>
    <t>NIYITEGEKA LEBERATHA</t>
  </si>
  <si>
    <t>ASHIMWE MARTHA</t>
  </si>
  <si>
    <t>UMUHOZA GENTILL</t>
  </si>
  <si>
    <t>CLAIRE NAMBAJIMANA</t>
  </si>
  <si>
    <t>NIYONGABO  DAMASCENE</t>
  </si>
  <si>
    <t>BERTIN MURYANGO</t>
  </si>
  <si>
    <t>SANDRINE IKITEGETSE</t>
  </si>
  <si>
    <t>NIYIGENA  CHRISTINE</t>
  </si>
  <si>
    <t>JOSEPH NIYOMUKIZA</t>
  </si>
  <si>
    <t>YVES SEBENDA</t>
  </si>
  <si>
    <t>JEAN BOSCO HARINDINTWARI</t>
  </si>
  <si>
    <t>CLAUDINE MUSABYEMARIYA</t>
  </si>
  <si>
    <t>TUMUSHABE  MONICA</t>
  </si>
  <si>
    <t>MUSHIMIRE MOURICE</t>
  </si>
  <si>
    <t>HABANABASHAKA J PAUL</t>
  </si>
  <si>
    <t>SAMUEL  RWAGASANA</t>
  </si>
  <si>
    <t>SAMUEL RWAGASANA</t>
  </si>
  <si>
    <t>ELISABETH MUKANDAYISENGA</t>
  </si>
  <si>
    <t>MUNYEMANZI GISCARD</t>
  </si>
  <si>
    <t>YVETTE MUHORAKEYE</t>
  </si>
  <si>
    <t>MUSORE ESPOIRE</t>
  </si>
  <si>
    <t>HABIYUMVA STANISLAS</t>
  </si>
  <si>
    <t>MARIE SOLANGE SIBONYANGE</t>
  </si>
  <si>
    <t>GATUNGE  JAMES</t>
  </si>
  <si>
    <t>LENATHA MURWANASHYAKA</t>
  </si>
  <si>
    <t>RWIGAMBA  ERIC</t>
  </si>
  <si>
    <t>EP ISLAMIC</t>
  </si>
  <si>
    <t>EP NYAMIYANGA</t>
  </si>
  <si>
    <t>GS MURINJA</t>
  </si>
  <si>
    <t>EP NYAMIYAGA</t>
  </si>
  <si>
    <t>GATSIBO  DISTRICT</t>
  </si>
  <si>
    <t>GS SASABIRAGO</t>
  </si>
  <si>
    <t>EQUIPE RWANDA</t>
  </si>
  <si>
    <t>RWAMIKO SECTOR</t>
  </si>
  <si>
    <t>GS RUHANGO ADVERNTIST</t>
  </si>
  <si>
    <t>GS GIKOMERA</t>
  </si>
  <si>
    <t>EP CYIBIMBA</t>
  </si>
  <si>
    <t>EP KIBURARA</t>
  </si>
  <si>
    <t>EP RYAKIRENZI</t>
  </si>
  <si>
    <t>EP RUKARA PROTESTE</t>
  </si>
  <si>
    <t>EP RUKARA PROTESRE</t>
  </si>
  <si>
    <t>GS  GIHETA</t>
  </si>
  <si>
    <t>RWANDA AIL</t>
  </si>
  <si>
    <t>OFFICE OF OMBUDSMAN OF RWANDA</t>
  </si>
  <si>
    <t>ECD NYAGATOVU</t>
  </si>
  <si>
    <t>PS GASHYA</t>
  </si>
  <si>
    <t>MANDA TSS</t>
  </si>
  <si>
    <t>MUHORORO TSS</t>
  </si>
  <si>
    <t>ES BIRAMBO</t>
  </si>
  <si>
    <t>EP  GISUBIZO</t>
  </si>
  <si>
    <t>WAASAC RWAMAGANA</t>
  </si>
  <si>
    <t>WASAC/KAYONZA</t>
  </si>
  <si>
    <t>WAASAC/RWAMAGANA</t>
  </si>
  <si>
    <t>SCHOOL CS YUNGWE</t>
  </si>
  <si>
    <t>ES HIGIRO</t>
  </si>
  <si>
    <t>FAWE GIRLS SCHOOL</t>
  </si>
  <si>
    <t>TABAGWE SECTOR</t>
  </si>
  <si>
    <t>NYAGATARE DISTRICT</t>
  </si>
  <si>
    <t>GS MUKO</t>
  </si>
  <si>
    <t>23/11/2025</t>
  </si>
  <si>
    <t>1/NAP25AM40/10340001/23/11/2025</t>
  </si>
  <si>
    <t>20696624I</t>
  </si>
  <si>
    <t>2/NAP24BA49/10340001/23/11/2025</t>
  </si>
  <si>
    <t>015898109</t>
  </si>
  <si>
    <t>3/NAP24AE32/10340001/23/11/2025</t>
  </si>
  <si>
    <t>015879244</t>
  </si>
  <si>
    <t>4/NAP22BY65/10340001/23/11/2025</t>
  </si>
  <si>
    <t>5/NAP25CG727/10340001/23/11/2025</t>
  </si>
  <si>
    <t>20083073H</t>
  </si>
  <si>
    <t>6/NAP25AG47/10340001/23/11/2025</t>
  </si>
  <si>
    <t>015949327</t>
  </si>
  <si>
    <t>7/NAP24CK19/10340001/23/11/2025</t>
  </si>
  <si>
    <t>015949326</t>
  </si>
  <si>
    <t>8/NAP20H44/10340001/23/11/2025</t>
  </si>
  <si>
    <t>015529612</t>
  </si>
  <si>
    <t>9/NAP24AC62/10340001/23/11/2025</t>
  </si>
  <si>
    <t>0112942</t>
  </si>
  <si>
    <t>10/NAP25CF943/10340001/23/11/2025</t>
  </si>
  <si>
    <t>11/NAP21AB12/10340001/23/11/2025</t>
  </si>
  <si>
    <t>19994661F</t>
  </si>
  <si>
    <t>12/NAP22BL43/10340001/23/11/2025</t>
  </si>
  <si>
    <t>015849641</t>
  </si>
  <si>
    <t>13/NAP25CF806/10340001/23/11/2025</t>
  </si>
  <si>
    <t>14/NAP19Q76/10340001/23/11/2025</t>
  </si>
  <si>
    <t>10821758V</t>
  </si>
  <si>
    <t>15/NAP22BJ37/10340001/23/11/2025</t>
  </si>
  <si>
    <t>10696327N</t>
  </si>
  <si>
    <t>16/NAP24CG17/10340001/23/11/2025</t>
  </si>
  <si>
    <t>011602301</t>
  </si>
  <si>
    <t>17/NAP25CF89/10340001/23/11/2025</t>
  </si>
  <si>
    <t>015998143</t>
  </si>
  <si>
    <t>18/NAP19AS82/10340001/23/11/2025</t>
  </si>
  <si>
    <t>015627958</t>
  </si>
  <si>
    <t>19/NAP19R75/10340001/23/11/2025</t>
  </si>
  <si>
    <t>0060919</t>
  </si>
  <si>
    <t>20/NAP25AD81/10340001/23/11/2025</t>
  </si>
  <si>
    <t>015936424</t>
  </si>
  <si>
    <t>21/NAP25AQ13/10340001/23/11/2025</t>
  </si>
  <si>
    <t>20106855s</t>
  </si>
  <si>
    <t>22/NAP21AQ68/10340001/23/11/2025</t>
  </si>
  <si>
    <t>19957229T</t>
  </si>
  <si>
    <t>23/NAP22BX02/10340001/23/11/2025</t>
  </si>
  <si>
    <t>015815000</t>
  </si>
  <si>
    <t>24/NAP25CG730/10340001/23/11/2025</t>
  </si>
  <si>
    <t>016002497</t>
  </si>
  <si>
    <t>25/NAP20AW98/10340001/23/11/2025</t>
  </si>
  <si>
    <t>015968108</t>
  </si>
  <si>
    <t>26/NAP25CG732/10340001/23/11/2025</t>
  </si>
  <si>
    <t>015983049</t>
  </si>
  <si>
    <t>27/NAP23AH98/10340001/23/11/2025</t>
  </si>
  <si>
    <t>015695455</t>
  </si>
  <si>
    <t>28/NAP18C27/10340001/23/11/2025</t>
  </si>
  <si>
    <t>015674481</t>
  </si>
  <si>
    <t>29/NAP19S39/10340001/23/11/2025</t>
  </si>
  <si>
    <t>015710862</t>
  </si>
  <si>
    <t>30/NAP25BC90/10340001/23/11/2025</t>
  </si>
  <si>
    <t>015983681</t>
  </si>
  <si>
    <t>31/NAP24BN66/10340001/23/11/2025</t>
  </si>
  <si>
    <t>32/NAP25CG736/10340001/23/11/2025</t>
  </si>
  <si>
    <t>10995165S</t>
  </si>
  <si>
    <t>33/NAP25CG737/10340001/23/11/2025</t>
  </si>
  <si>
    <t>015995791</t>
  </si>
  <si>
    <t>34/NAP25AI59/10340001/23/11/2025</t>
  </si>
  <si>
    <t>015975663</t>
  </si>
  <si>
    <t>35/NAP22CF15/10340001/23/11/2025</t>
  </si>
  <si>
    <t>20117694H</t>
  </si>
  <si>
    <t>36/NAP22BC49/10340001/23/11/2025</t>
  </si>
  <si>
    <t>015842859</t>
  </si>
  <si>
    <t>37/NAP25BY96/10340001/23/11/2025</t>
  </si>
  <si>
    <t>20713297E</t>
  </si>
  <si>
    <t>38/NAP25CF184/10340001/23/11/2025</t>
  </si>
  <si>
    <t>015998706</t>
  </si>
  <si>
    <t>39/NAP25AD87/10340001/23/11/2025</t>
  </si>
  <si>
    <t>015973973</t>
  </si>
  <si>
    <t>40/NAP24CN99/10340001/23/11/2025</t>
  </si>
  <si>
    <t>20402047x</t>
  </si>
  <si>
    <t>41/NAP25CG742/10340001/23/11/2025</t>
  </si>
  <si>
    <t>015984037</t>
  </si>
  <si>
    <t>42/NAP23BV05/10340001/23/11/2025</t>
  </si>
  <si>
    <t>015906893</t>
  </si>
  <si>
    <t>43/NAP19D44/10340001/23/11/2025</t>
  </si>
  <si>
    <t>0072231</t>
  </si>
  <si>
    <t>44/NAP25CG743/10340001/23/11/2025</t>
  </si>
  <si>
    <t>19446471x</t>
  </si>
  <si>
    <t>45/NAP22AT42/10340001/23/11/2025</t>
  </si>
  <si>
    <t>015837136</t>
  </si>
  <si>
    <t>46/NAP25O14/10340001/23/11/2025</t>
  </si>
  <si>
    <t>015971811</t>
  </si>
  <si>
    <t>47/NAP25CG747/10340001/23/11/2025</t>
  </si>
  <si>
    <t>014872801</t>
  </si>
  <si>
    <t>48/NAP23CI06/10340001/23/11/2025</t>
  </si>
  <si>
    <t>015798283</t>
  </si>
  <si>
    <t>49/NAP21DM70/10340001/23/11/2025</t>
  </si>
  <si>
    <t>015729759</t>
  </si>
  <si>
    <t>50/NAP25O65/10340001/23/11/2025</t>
  </si>
  <si>
    <t>015884631</t>
  </si>
  <si>
    <t>51/NAP19AR94/10340001/23/11/2025</t>
  </si>
  <si>
    <t>015735191</t>
  </si>
  <si>
    <t>52/NAP24CJ85/10340001/23/11/2025</t>
  </si>
  <si>
    <t>015832517</t>
  </si>
  <si>
    <t>53/NAP24BR67/10340001/23/11/2025</t>
  </si>
  <si>
    <t>0076795</t>
  </si>
  <si>
    <t>54/NAP24AD97/10340001/23/11/2025</t>
  </si>
  <si>
    <t>20446154R</t>
  </si>
  <si>
    <t>55/NAP23F31/10340001/23/11/2025</t>
  </si>
  <si>
    <t>015758241</t>
  </si>
  <si>
    <t>56/NAP24AQ43/10340001/23/11/2025</t>
  </si>
  <si>
    <t>015888688</t>
  </si>
  <si>
    <t>57/NAP19O39/10340001/23/11/2025</t>
  </si>
  <si>
    <t>0073502</t>
  </si>
  <si>
    <t>58/NAP20Y92/10340001/23/11/2025</t>
  </si>
  <si>
    <t>007452505</t>
  </si>
  <si>
    <t>59/NAP25AT75/10340001/23/11/2025</t>
  </si>
  <si>
    <t>015976996</t>
  </si>
  <si>
    <t>60/NAP23BU03/10340001/23/11/2025</t>
  </si>
  <si>
    <t>015907910</t>
  </si>
  <si>
    <t>61/NAP19AJ28/10340001/23/11/2025</t>
  </si>
  <si>
    <t>0019851</t>
  </si>
  <si>
    <t>62/NAP20N49/10340001/23/11/2025</t>
  </si>
  <si>
    <t>10902514R</t>
  </si>
  <si>
    <t>63/NAP20AU67/10340001/23/11/2025</t>
  </si>
  <si>
    <t>10388892C</t>
  </si>
  <si>
    <t>64/NAP23AG88/10340001/23/11/2025</t>
  </si>
  <si>
    <t>011579600</t>
  </si>
  <si>
    <t>65/NAP21CO44/10340001/23/11/2025</t>
  </si>
  <si>
    <t>66/NAP25CE149/10340001/23/11/2025</t>
  </si>
  <si>
    <t>015978419</t>
  </si>
  <si>
    <t>67/NAP23AG86/10340001/23/11/2025</t>
  </si>
  <si>
    <t>015787044</t>
  </si>
  <si>
    <t>68/NAP22CX30/10340001/23/11/2025</t>
  </si>
  <si>
    <t>69/NAP24BQ36/10340001/23/11/2025</t>
  </si>
  <si>
    <t>015715698</t>
  </si>
  <si>
    <t>70/NAP22BP46/10340001/23/11/2025</t>
  </si>
  <si>
    <t>015848263</t>
  </si>
  <si>
    <t>71/NAP22G96/10340001/23/11/2025</t>
  </si>
  <si>
    <t>72/NAP24AO23/10340001/23/11/2025</t>
  </si>
  <si>
    <t>MUTONIWASE CYNTHIA</t>
  </si>
  <si>
    <t>AMILIA NEZERWA INEZA</t>
  </si>
  <si>
    <t>IGITANGAZA SENGA JOLLY</t>
  </si>
  <si>
    <t>THEOPHILE MAJYAMBERE</t>
  </si>
  <si>
    <t>NAHAYO ABDUL JABAR</t>
  </si>
  <si>
    <t>NAHAYO ABDUL MALIK</t>
  </si>
  <si>
    <t>ISARO VANIQUE</t>
  </si>
  <si>
    <t>UWAMAHORO PAULINE</t>
  </si>
  <si>
    <t>NYIRAMINANI CHANTAL</t>
  </si>
  <si>
    <t>SABRINA UJENEZA ASIFIWE</t>
  </si>
  <si>
    <t>DUSHIMIMANA VERENE</t>
  </si>
  <si>
    <t>EMILE MUHIRWA</t>
  </si>
  <si>
    <t>UWASE KEVINE NIZERWA</t>
  </si>
  <si>
    <t>NICE AYLA ASHIMWE MURINZI</t>
  </si>
  <si>
    <t>IHIRWE AIME SALVADOR</t>
  </si>
  <si>
    <t>UMUTESI MARIE LENILDE</t>
  </si>
  <si>
    <t>RHIANNON PRIYA AKALIZA</t>
  </si>
  <si>
    <t>KOMEZUSENGE OLIVA</t>
  </si>
  <si>
    <t>OLIVE NYIRAKANANI</t>
  </si>
  <si>
    <t>MARIE CHANTAL MUHAYIMANA</t>
  </si>
  <si>
    <t>AYAN MILO IRIHO</t>
  </si>
  <si>
    <t>INEZA NIYONZIMA GIANNA</t>
  </si>
  <si>
    <t>ANASTASE NIYONZIMA</t>
  </si>
  <si>
    <t>MUKANTWARI CLAUDINE</t>
  </si>
  <si>
    <t>INEZA BI CHARLENE</t>
  </si>
  <si>
    <t>ASINGIZWE PIERRE DONATIEN</t>
  </si>
  <si>
    <t>PIERRE IRENA SINGIZWA</t>
  </si>
  <si>
    <t>GILBERT NTIHABOSE</t>
  </si>
  <si>
    <t>JAYDEN ISHIMWE</t>
  </si>
  <si>
    <t>MUNYANEZA AMORA DIOLA</t>
  </si>
  <si>
    <t>NYIRABATSINDA DENYSE</t>
  </si>
  <si>
    <t>GIANAH IRIZA NTARINDWA</t>
  </si>
  <si>
    <t>RODAH UWAMAHORO</t>
  </si>
  <si>
    <t>MEGHAN DUSABE MURERWA</t>
  </si>
  <si>
    <t>ARCHIE MALK BARIKI</t>
  </si>
  <si>
    <t>NYIRAMAHIRWE JACQUELINE</t>
  </si>
  <si>
    <t>KETIA IGIHOZO NIYIGENA</t>
  </si>
  <si>
    <t>ANGE GAELLA AMANDA</t>
  </si>
  <si>
    <t>INGABIRE ANGELIQUE</t>
  </si>
  <si>
    <t>DINA ISEZERANO</t>
  </si>
  <si>
    <t>RWEMA D BAMEY</t>
  </si>
  <si>
    <t>GASHUGI BRIELLA CUNDA</t>
  </si>
  <si>
    <t>CYUZUZO FABIOLA</t>
  </si>
  <si>
    <t>SANO TETA NADIRA</t>
  </si>
  <si>
    <t>SANO NGOMBWA ZANE</t>
  </si>
  <si>
    <t>SHIMWA IRASUBIZA PERLA JOANNA</t>
  </si>
  <si>
    <t>SANO JEUNESSE</t>
  </si>
  <si>
    <t>IMPANO CLARE</t>
  </si>
  <si>
    <t>RUBONANKEBE GERVAIS</t>
  </si>
  <si>
    <t>IZABAYO CLAUDINE</t>
  </si>
  <si>
    <t>BUREGEYA MUGISHA</t>
  </si>
  <si>
    <t>LEONCE MPANONZIZA</t>
  </si>
  <si>
    <t>MUNYANEZA JEAN DAMASCENE</t>
  </si>
  <si>
    <t>UWAJAMBO XXX</t>
  </si>
  <si>
    <t>INEZA NZIZA RAISSA</t>
  </si>
  <si>
    <t>RYAN MUGISHA RWEMA</t>
  </si>
  <si>
    <t>MUKAMUGABO M.ODETTE</t>
  </si>
  <si>
    <t>KAMUGISHA EMMANUEL</t>
  </si>
  <si>
    <t>INGABIRE AGNES</t>
  </si>
  <si>
    <t>NIYONSENGA EZECHIAS</t>
  </si>
  <si>
    <t>IZERE HOPE YANET</t>
  </si>
  <si>
    <t>SHENGE RANA HANAE</t>
  </si>
  <si>
    <t>IRAGUHA BENOIT</t>
  </si>
  <si>
    <t>ARVIN AGANZE MWIZERWA</t>
  </si>
  <si>
    <t>JEAN CLAUDE NAHAYO</t>
  </si>
  <si>
    <t>NAHAYO JEAN CLAUDE</t>
  </si>
  <si>
    <t>BAMURANGE JOYCE</t>
  </si>
  <si>
    <t>KAYITESI DONATIENNE</t>
  </si>
  <si>
    <t>VINCEN MURINZI</t>
  </si>
  <si>
    <t>UMUTESI MARIE LENIRDE</t>
  </si>
  <si>
    <t>IYAKAREMYE SUDI</t>
  </si>
  <si>
    <t>SUDI IYAKAREMYE</t>
  </si>
  <si>
    <t>NYIRANSHUTI JOSIANE</t>
  </si>
  <si>
    <t>JOSIANE NYIRANSHUTI</t>
  </si>
  <si>
    <t>BWIGIRI EMMY</t>
  </si>
  <si>
    <t>BIZIMANA  DAMIEN</t>
  </si>
  <si>
    <t>SHUMBUSHO  SIMON</t>
  </si>
  <si>
    <t>SHUNBUSHO SIMON</t>
  </si>
  <si>
    <t>INNOCENT NSHIMIYIMANA</t>
  </si>
  <si>
    <t>ERIC MUNYANEZA</t>
  </si>
  <si>
    <t>UWIZEYE RACHEL</t>
  </si>
  <si>
    <t>NIRAGIRE BERNADETTE</t>
  </si>
  <si>
    <t>EDISSA NYIRANZEYIMANA</t>
  </si>
  <si>
    <t>MUREKATETE ANNE MARIE</t>
  </si>
  <si>
    <t>DUFATANYE JEAN PIERRE</t>
  </si>
  <si>
    <t>HABISHUTI JEAN CLAUDE</t>
  </si>
  <si>
    <t>VIATEUR BIMENYIMANA</t>
  </si>
  <si>
    <t>MUKANYIRIGIRA JOSEPHINE</t>
  </si>
  <si>
    <t>MARIE GORETTE UWIMANA</t>
  </si>
  <si>
    <t>RUBONANKEBE  GERVAIS</t>
  </si>
  <si>
    <t>AIMABLE BUREGEYA</t>
  </si>
  <si>
    <t>THEOGENE SINDAMBIWE</t>
  </si>
  <si>
    <t>ZANINKA  CHRITSINE</t>
  </si>
  <si>
    <t>SINDAMBIWE THEOGENE</t>
  </si>
  <si>
    <t>MUGISHA CHRISTIAN</t>
  </si>
  <si>
    <t>UMUKUNZI MEDIATRICE</t>
  </si>
  <si>
    <t>EMILE NIYIGENA</t>
  </si>
  <si>
    <t>IMMACULEE NIRERE</t>
  </si>
  <si>
    <t>MWIZERWA WILSON</t>
  </si>
  <si>
    <t>GS MULINGA</t>
  </si>
  <si>
    <t>PETROCOM</t>
  </si>
  <si>
    <t>CAMPANY PETROCOM LTD</t>
  </si>
  <si>
    <t>SECTOR MUKARANGE</t>
  </si>
  <si>
    <t>RSSB NGOMA</t>
  </si>
  <si>
    <t>UMURENGE SACCO/RUKARA</t>
  </si>
  <si>
    <t>SACCO RUKARA</t>
  </si>
  <si>
    <t>GS  NKONDO  2</t>
  </si>
  <si>
    <t>GS JABANA</t>
  </si>
  <si>
    <t>METEO RWANDA</t>
  </si>
  <si>
    <t>NCP</t>
  </si>
  <si>
    <t>GS GASHANDA</t>
  </si>
  <si>
    <t>RUTARE CS</t>
  </si>
  <si>
    <t>RUTARE HEALTH CENTER</t>
  </si>
  <si>
    <t>FAWE GIRLS\GAHINI</t>
  </si>
  <si>
    <t>LITCO</t>
  </si>
  <si>
    <t>EUCL/KAYONZA</t>
  </si>
  <si>
    <t>KIREHE HEALTH CENTER</t>
  </si>
  <si>
    <t>BUHABWA HEALTH CENTER</t>
  </si>
  <si>
    <t>24/11/2025</t>
  </si>
  <si>
    <t>1/NAP21AR47/10340001/24/11/2025</t>
  </si>
  <si>
    <t>19959844K</t>
  </si>
  <si>
    <t>2/NAP25N17/10340001/24/11/2025</t>
  </si>
  <si>
    <t>0074381</t>
  </si>
  <si>
    <t>3/NAP19L81/10340001/24/11/2025</t>
  </si>
  <si>
    <t>015663762</t>
  </si>
  <si>
    <t>4/NAP25BA36/10340001/24/11/2025</t>
  </si>
  <si>
    <t>015590097</t>
  </si>
  <si>
    <t>5/NAP24CJ67/10340001/24/11/2025</t>
  </si>
  <si>
    <t>015791816</t>
  </si>
  <si>
    <t>6/NAP24CB41/10340001/24/11/2025</t>
  </si>
  <si>
    <t>015522416</t>
  </si>
  <si>
    <t>7/NAP25CG759/10340001/24/11/2025</t>
  </si>
  <si>
    <t>015915394</t>
  </si>
  <si>
    <t>8/NAP25AX60/10340001/24/11/2025</t>
  </si>
  <si>
    <t>9/NAP25CG762/10340001/24/11/2025</t>
  </si>
  <si>
    <t>015825394</t>
  </si>
  <si>
    <t>10/NAP25M14/10340001/24/11/2025</t>
  </si>
  <si>
    <t>015964165</t>
  </si>
  <si>
    <t>11/NAP23F85/10340001/24/11/2025</t>
  </si>
  <si>
    <t>007148900</t>
  </si>
  <si>
    <t>12/NAP24AA67/10340001/24/11/2025</t>
  </si>
  <si>
    <t>015696550</t>
  </si>
  <si>
    <t>13/NAP25CG768/10340001/24/11/2025</t>
  </si>
  <si>
    <t>10855866B</t>
  </si>
  <si>
    <t>14/NAP25A94/10340001/24/11/2025</t>
  </si>
  <si>
    <t>015864180</t>
  </si>
  <si>
    <t>15/NAP25CG769/10340001/24/11/2025</t>
  </si>
  <si>
    <t>015947131</t>
  </si>
  <si>
    <t>16/NAP25CG771/10340001/24/11/2025</t>
  </si>
  <si>
    <t>015879874</t>
  </si>
  <si>
    <t>17/NAP25CG772/10340001/24/11/2025</t>
  </si>
  <si>
    <t>015953825</t>
  </si>
  <si>
    <t>18/NAP25CG773/10340001/24/11/2025</t>
  </si>
  <si>
    <t>015642231</t>
  </si>
  <si>
    <t>19/NAP20BB20/10340001/24/11/2025</t>
  </si>
  <si>
    <t>0074813</t>
  </si>
  <si>
    <t>20/NAP22T43/10340001/24/11/2025</t>
  </si>
  <si>
    <t>19958542Z</t>
  </si>
  <si>
    <t>21/NAP23CQ94/10340001/24/11/2025</t>
  </si>
  <si>
    <t>015806744</t>
  </si>
  <si>
    <t>22/NAP21CW81/10340001/24/11/2025</t>
  </si>
  <si>
    <t>015790762</t>
  </si>
  <si>
    <t>23/NAP24CO82/10340001/24/11/2025</t>
  </si>
  <si>
    <t>015681274</t>
  </si>
  <si>
    <t>24/NAP24S39/10340001/24/11/2025</t>
  </si>
  <si>
    <t>015913941</t>
  </si>
  <si>
    <t>25/NAP24BA63/10340001/24/11/2025</t>
  </si>
  <si>
    <t>015936812</t>
  </si>
  <si>
    <t>26/NAP25CG774/10340001/24/11/2025</t>
  </si>
  <si>
    <t>015912983</t>
  </si>
  <si>
    <t>27/NAP25CG775/10340001/24/11/2025</t>
  </si>
  <si>
    <t>015624260</t>
  </si>
  <si>
    <t>28/NAP20T90/10340001/24/11/2025</t>
  </si>
  <si>
    <t>29/NAP25CG779/10340001/24/11/2025</t>
  </si>
  <si>
    <t>015681508</t>
  </si>
  <si>
    <t>30/NAP25CG782/10340001/24/11/2025</t>
  </si>
  <si>
    <t>015864695</t>
  </si>
  <si>
    <t>31/NAP24DA58/10340001/24/11/2025</t>
  </si>
  <si>
    <t>015607224</t>
  </si>
  <si>
    <t>32/NAP25AS19/10340001/24/11/2025</t>
  </si>
  <si>
    <t>015977252</t>
  </si>
  <si>
    <t>33/NAP22CG40/10340001/24/11/2025</t>
  </si>
  <si>
    <t>34/NAP23AR13/10340001/24/11/2025</t>
  </si>
  <si>
    <t>35/NAP25BX09/10340001/24/11/2025</t>
  </si>
  <si>
    <t>015902026</t>
  </si>
  <si>
    <t>36/NAP25CG787/10340001/24/11/2025</t>
  </si>
  <si>
    <t>015561098</t>
  </si>
  <si>
    <t>37/NAP23D22/10340001/24/11/2025</t>
  </si>
  <si>
    <t>19528890K</t>
  </si>
  <si>
    <t>38/NAP24CA20/10340001/24/11/2025</t>
  </si>
  <si>
    <t>015562782</t>
  </si>
  <si>
    <t>39/NAP24CA20/10340001/24/11/2025</t>
  </si>
  <si>
    <t>40/NAP22DB61/10340001/24/11/2025</t>
  </si>
  <si>
    <t>015831118</t>
  </si>
  <si>
    <t>41/NAP23S41/10340001/24/11/2025</t>
  </si>
  <si>
    <t>015788524</t>
  </si>
  <si>
    <t>42/NAP21V45/10340001/24/11/2025</t>
  </si>
  <si>
    <t>10446802J</t>
  </si>
  <si>
    <t>43/NAP25CG789/10340001/24/11/2025</t>
  </si>
  <si>
    <t>015978068</t>
  </si>
  <si>
    <t>44/NAP21DL23/10340001/24/11/2025</t>
  </si>
  <si>
    <t>015682507</t>
  </si>
  <si>
    <t>45/NAP19C48/10340001/24/11/2025</t>
  </si>
  <si>
    <t>015682512</t>
  </si>
  <si>
    <t>46/NAP22CX30/10340001/24/11/2025</t>
  </si>
  <si>
    <t>47/NAP21AF11/10340001/24/11/2025</t>
  </si>
  <si>
    <t>0071230</t>
  </si>
  <si>
    <t>48/NAP25L82/10340001/24/11/2025</t>
  </si>
  <si>
    <t>015969622</t>
  </si>
  <si>
    <t>49/NAP24CJ11/10340001/24/11/2025</t>
  </si>
  <si>
    <t>015935841</t>
  </si>
  <si>
    <t>50/NAP25AO29/10340001/24/11/2025</t>
  </si>
  <si>
    <t>015841778</t>
  </si>
  <si>
    <t>51/NAP25CG793/10340001/24/11/2025</t>
  </si>
  <si>
    <t>19475472N</t>
  </si>
  <si>
    <t>52/NAP20AF83/10340001/24/11/2025</t>
  </si>
  <si>
    <t>53/NAP21DQ72/10340001/24/11/2025</t>
  </si>
  <si>
    <t>002488100</t>
  </si>
  <si>
    <t>54/NAP25CG796/10340001/24/11/2025</t>
  </si>
  <si>
    <t>20217147Y</t>
  </si>
  <si>
    <t>55/NAP19BG39/10340001/24/11/2025</t>
  </si>
  <si>
    <t>015615180</t>
  </si>
  <si>
    <t>56/NAP19A87/10340001/24/11/2025</t>
  </si>
  <si>
    <t>0129031</t>
  </si>
  <si>
    <t>57/NAP25AP51/10340001/24/11/2025</t>
  </si>
  <si>
    <t>015980401</t>
  </si>
  <si>
    <t>58/NAP25AB67/10340001/24/11/2025</t>
  </si>
  <si>
    <t>015975352</t>
  </si>
  <si>
    <t>59/NAP25CG803/10340001/24/11/2025</t>
  </si>
  <si>
    <t>015935721</t>
  </si>
  <si>
    <t>60/NAP21AL23/10340001/24/11/2025</t>
  </si>
  <si>
    <t>11061464R</t>
  </si>
  <si>
    <t>61/NAP23BD11/10340001/24/11/2025</t>
  </si>
  <si>
    <t>015900801</t>
  </si>
  <si>
    <t>62/NAP25F03/10340001/24/11/2025</t>
  </si>
  <si>
    <t>015962203</t>
  </si>
  <si>
    <t>63/NAP24CK62/10340001/24/11/2025</t>
  </si>
  <si>
    <t>003861100</t>
  </si>
  <si>
    <t>64/NAP25O89/10340001/24/11/2025</t>
  </si>
  <si>
    <t>015969571</t>
  </si>
  <si>
    <t>65/NAP24CU68/10340001/24/11/2025</t>
  </si>
  <si>
    <t>66/NAP20G44/10340001/24/11/2025</t>
  </si>
  <si>
    <t>0104271</t>
  </si>
  <si>
    <t>67/NAP19AO07/10340001/24/11/2025</t>
  </si>
  <si>
    <t>008338200</t>
  </si>
  <si>
    <t>68/NAP19AF39/10340001/24/11/2025</t>
  </si>
  <si>
    <t>10902402K</t>
  </si>
  <si>
    <t>69/NAP25CG808/10340001/24/11/2025</t>
  </si>
  <si>
    <t>015880038</t>
  </si>
  <si>
    <t>70/NAP23CN20/10340001/24/11/2025</t>
  </si>
  <si>
    <t>015868822</t>
  </si>
  <si>
    <t>71/NAP19AH90/10340001/24/11/2025</t>
  </si>
  <si>
    <t>006854500</t>
  </si>
  <si>
    <t>72/NAP23CE23/10340001/24/11/2025</t>
  </si>
  <si>
    <t>19352542T</t>
  </si>
  <si>
    <t>73/NAP22AZ30/10340001/24/11/2025</t>
  </si>
  <si>
    <t>19412309X</t>
  </si>
  <si>
    <t>74/NAP25CG812/10340001/24/11/2025</t>
  </si>
  <si>
    <t>015816429</t>
  </si>
  <si>
    <t>75/NAP25CG814/10340001/24/11/2025</t>
  </si>
  <si>
    <t>015917573</t>
  </si>
  <si>
    <t>76/NAP20U35/10340001/24/11/2025</t>
  </si>
  <si>
    <t>77/NAP24CK04/10340001/24/11/2025</t>
  </si>
  <si>
    <t>10727517x</t>
  </si>
  <si>
    <t>78/NAP24CH34/10340001/24/11/2025</t>
  </si>
  <si>
    <t>012807101</t>
  </si>
  <si>
    <t>79/NAP23AM20/10340001/24/11/2025</t>
  </si>
  <si>
    <t>80/NAP22BK86/10340001/24/11/2025</t>
  </si>
  <si>
    <t>015832467</t>
  </si>
  <si>
    <t>81/NAP19AB51/10340001/24/11/2025</t>
  </si>
  <si>
    <t>015732305</t>
  </si>
  <si>
    <t>82/NAP22CM10/10340001/24/11/2025</t>
  </si>
  <si>
    <t>0136277</t>
  </si>
  <si>
    <t>83/NAP25AN09/10340001/24/11/2025</t>
  </si>
  <si>
    <t>20450710V</t>
  </si>
  <si>
    <t>84/NAP25CG820/10340001/24/11/2025</t>
  </si>
  <si>
    <t>015807593</t>
  </si>
  <si>
    <t>85/NAP25CG822/10340001/24/11/2025</t>
  </si>
  <si>
    <t>015690063</t>
  </si>
  <si>
    <t>86/NAP19I35/10340001/24/11/2025</t>
  </si>
  <si>
    <t>015589513</t>
  </si>
  <si>
    <t>87/NAP24CY90/10340001/24/11/2025</t>
  </si>
  <si>
    <t>007208601</t>
  </si>
  <si>
    <t>88/NAP19AP47/10340001/24/11/2025</t>
  </si>
  <si>
    <t>015746175</t>
  </si>
  <si>
    <t>89/NAP19AG64/10340001/24/11/2025</t>
  </si>
  <si>
    <t>015740729</t>
  </si>
  <si>
    <t>90/NAP19L08/10340001/24/11/2025</t>
  </si>
  <si>
    <t>10582451L</t>
  </si>
  <si>
    <t>91/NAP20AW89/10340001/24/11/2025</t>
  </si>
  <si>
    <t>015777315</t>
  </si>
  <si>
    <t>92/NAP23AV95/10340001/24/11/2025</t>
  </si>
  <si>
    <t>015898506</t>
  </si>
  <si>
    <t>93/NAP25E96/10340001/24/11/2025</t>
  </si>
  <si>
    <t>015969507</t>
  </si>
  <si>
    <t>94/NAP21BK11/10340001/24/11/2025</t>
  </si>
  <si>
    <t>015785201</t>
  </si>
  <si>
    <t>95/NAP25BQ21/10340001/24/11/2025</t>
  </si>
  <si>
    <t>20571911B</t>
  </si>
  <si>
    <t>96/NAP23CF31/10340001/24/11/2025</t>
  </si>
  <si>
    <t>UWIMBABAZI JOSEPHINE</t>
  </si>
  <si>
    <t>BUHIRIRI LÉONARD</t>
  </si>
  <si>
    <t>SOMO ISIMBI SABRINA</t>
  </si>
  <si>
    <t>MUKAMURENZI BLANDINE</t>
  </si>
  <si>
    <t>ISINGIZWE ALIDA BENISSE</t>
  </si>
  <si>
    <t>ASIMWE HOPE JAMES</t>
  </si>
  <si>
    <t>NEITHAN ANGELO NIYIVUGA</t>
  </si>
  <si>
    <t>WINNY JOVIA ISHIMWE</t>
  </si>
  <si>
    <t>SHELON AUDREY NIYITANGA IRIZA</t>
  </si>
  <si>
    <t>BIGOMERO SIFA ANNONCIATA</t>
  </si>
  <si>
    <t>UJENEZA ISANO GAELLA</t>
  </si>
  <si>
    <t>MUSHIMIYIMANA MARTHE</t>
  </si>
  <si>
    <t>FRED MANZI RWEMA</t>
  </si>
  <si>
    <t>NEILLA BRIAN AGWIZE NSHIMIMANA</t>
  </si>
  <si>
    <t>BELLA EMMA ABATONI</t>
  </si>
  <si>
    <t>GIANNI HIRWA</t>
  </si>
  <si>
    <t>VESTINE MUKANKIKO</t>
  </si>
  <si>
    <t>MUJAWAYEZU ANCILLE</t>
  </si>
  <si>
    <t>JEAN PAUL NSHIMIYEMUNGU</t>
  </si>
  <si>
    <t>BERWA GIANNA MAELLE</t>
  </si>
  <si>
    <t>JESCA MUSHIMIYIMANA</t>
  </si>
  <si>
    <t>MUSHIMIYIMANA HONORINE</t>
  </si>
  <si>
    <t>MUCYO BLESSMORE</t>
  </si>
  <si>
    <t>LUCKY JESSE MUCYO</t>
  </si>
  <si>
    <t>MUNYANA IMENA SUN</t>
  </si>
  <si>
    <t>BEBE UWAYISABA PROVIDENCE</t>
  </si>
  <si>
    <t>HAMZA SINGAYIBIGAWA</t>
  </si>
  <si>
    <t>ABOUBAKAR SINGAYIBIGAWA</t>
  </si>
  <si>
    <t>FLORENCE INGABIRE</t>
  </si>
  <si>
    <t>OZZY IKUZWE HANIEL</t>
  </si>
  <si>
    <t>UWABERA PATRICIE</t>
  </si>
  <si>
    <t>NGABONZIMA JEAN D'AMOUR</t>
  </si>
  <si>
    <t>PEACE AMIZERO</t>
  </si>
  <si>
    <t>MINANI JEAN DE DIEU</t>
  </si>
  <si>
    <t>IBAHO BARAKA DEBORAH</t>
  </si>
  <si>
    <t>ANAELLA IGANZE</t>
  </si>
  <si>
    <t>IGANZE LIGHT PAMELA</t>
  </si>
  <si>
    <t>NANSIKOMBI HARRIET</t>
  </si>
  <si>
    <t>LEADER IMPANO KAMANZI</t>
  </si>
  <si>
    <t>NYINAWUMUNTU CLEMENCE</t>
  </si>
  <si>
    <t>INEZA MIHIGO MORIAH</t>
  </si>
  <si>
    <t>INGABIRE REGINE</t>
  </si>
  <si>
    <t>NIYOBUGINGO PLACIDE</t>
  </si>
  <si>
    <t>GAELLA NISINGIZWE UWASE</t>
  </si>
  <si>
    <t>UMUTONIWASE ELLA</t>
  </si>
  <si>
    <t>VERONIQUE MUTUYIMANA</t>
  </si>
  <si>
    <t>HABUMUGABE PHILIPPE</t>
  </si>
  <si>
    <t>THEOPISTE MUKANOHERI</t>
  </si>
  <si>
    <t>NYIRANSABIMANA MARTHA</t>
  </si>
  <si>
    <t>MUKASHYAKA FRANCINE</t>
  </si>
  <si>
    <t>IGNATIUS NKWAYA KANIMBA</t>
  </si>
  <si>
    <t>IGENO SHIMWA RYAN</t>
  </si>
  <si>
    <t>XXX TUYISENGE</t>
  </si>
  <si>
    <t>MUKAGATERA LOUISE</t>
  </si>
  <si>
    <t>IKAZE EMMA PAOLA</t>
  </si>
  <si>
    <t>UMUSEKE TUMUSIME EILEEN</t>
  </si>
  <si>
    <t>MARIE GORETHE KANTARAMA</t>
  </si>
  <si>
    <t>BLIANTE BANIHIRWE BERWA</t>
  </si>
  <si>
    <t>NABOSIBO M.JOSEE</t>
  </si>
  <si>
    <t>MUKESHIMANA PIERRINE</t>
  </si>
  <si>
    <t>UWASE ZAKIYA</t>
  </si>
  <si>
    <t>BENY CHRISTIAN BYISHIMO</t>
  </si>
  <si>
    <t>REINA JOANNA NZIZA</t>
  </si>
  <si>
    <t>NYIRAMAZAYIRE JACQUELINE</t>
  </si>
  <si>
    <t>DAVID NSANZABAGANWA</t>
  </si>
  <si>
    <t>CECILE UMUMARASHAVU</t>
  </si>
  <si>
    <t>OLGHA ATETE BETA</t>
  </si>
  <si>
    <t>PROMESSE IRAKOZE</t>
  </si>
  <si>
    <t>NIYIGENA JOSIANE</t>
  </si>
  <si>
    <t>WIBARE TETA GLOIRE</t>
  </si>
  <si>
    <t>NGABIRANO NISHIMWE EVODE</t>
  </si>
  <si>
    <t>GASHUMBA LUCKY</t>
  </si>
  <si>
    <t>UWAMAHORO MARCIE</t>
  </si>
  <si>
    <t>NIYONIZERA HYACINTHE</t>
  </si>
  <si>
    <t>GASHAYIJA THEA EILISH</t>
  </si>
  <si>
    <t>IRAKOZE CREDO ERNESTE</t>
  </si>
  <si>
    <t>IKIREZI ORNELLA</t>
  </si>
  <si>
    <t>ISHIMWE NEZA CLENIA</t>
  </si>
  <si>
    <t>INGABIRE ALINE</t>
  </si>
  <si>
    <t>ABATONI THAGIA</t>
  </si>
  <si>
    <t>MUZAZA ALICE</t>
  </si>
  <si>
    <t>INEZA MWIZA FEZA</t>
  </si>
  <si>
    <t>ASTRON SHILOH SHABAYIRU</t>
  </si>
  <si>
    <t>BURANGA NIRAN MAX</t>
  </si>
  <si>
    <t>SHABAYIRU SHEILLA ASTRA</t>
  </si>
  <si>
    <t>SINDAYIGAYA JEAN</t>
  </si>
  <si>
    <t>MUGENZI FREDERIC</t>
  </si>
  <si>
    <t>RUTAGANIRA THACIEN</t>
  </si>
  <si>
    <t>SYLVAIN HAKIZIMANA</t>
  </si>
  <si>
    <t>RUTH UWIMBABAZI</t>
  </si>
  <si>
    <t>JACQUELINE NIYONSABA</t>
  </si>
  <si>
    <t xml:space="preserve"> NIYITANGA EMMANUEL</t>
  </si>
  <si>
    <t>ZAGABE BIGOMOKERO</t>
  </si>
  <si>
    <t>UWAMAHORO IMMACULEE</t>
  </si>
  <si>
    <t>NYIRARUKUNDO BEATRICE</t>
  </si>
  <si>
    <t>NSHIMIMANA CLAUDE</t>
  </si>
  <si>
    <t>JEAN BOSCO GAKWERERE</t>
  </si>
  <si>
    <t>KANYANGIRA THEOGENE</t>
  </si>
  <si>
    <t>THEOGENE KANYANGIRA</t>
  </si>
  <si>
    <t>MUGABO INNOCENT</t>
  </si>
  <si>
    <t>MUTIJIMA ALEX</t>
  </si>
  <si>
    <t>ALEX MUTIJIMA</t>
  </si>
  <si>
    <t>DAVID SAFARI IYAMUREMYE</t>
  </si>
  <si>
    <t>BIKORIMANA ELIE</t>
  </si>
  <si>
    <t>SINGAYIBIGAWA INNOCENT</t>
  </si>
  <si>
    <t>MARC HAGUMAKUBAHO</t>
  </si>
  <si>
    <t>SIGAYE YVETTE ISHIMWE</t>
  </si>
  <si>
    <t>NGIRABAKUNZI JMV</t>
  </si>
  <si>
    <t>BARTHELEMIE BARAKA</t>
  </si>
  <si>
    <t>TUYISENGE YVONNE</t>
  </si>
  <si>
    <t>TUYISENGE FRANCINE</t>
  </si>
  <si>
    <t>MIHIGO JEAN DE DIEU</t>
  </si>
  <si>
    <t>NIYONZIMA CONSOLE</t>
  </si>
  <si>
    <t>NISINGIZWE PACIFIQUE</t>
  </si>
  <si>
    <t>JEAN DE DIEU BIHOYIKI</t>
  </si>
  <si>
    <t>NDACYAYISENGA ANGELINE</t>
  </si>
  <si>
    <t>NDAYISABA  ETIENNE</t>
  </si>
  <si>
    <t>JOSIANE UWINEZA</t>
  </si>
  <si>
    <t>MANISHIMWE</t>
  </si>
  <si>
    <t>TUMUSIME JOSEPH</t>
  </si>
  <si>
    <t>JOSEPH RUTABANA</t>
  </si>
  <si>
    <t>ALBERTINE BUGENIMANA</t>
  </si>
  <si>
    <t>BIRORI ETIENNE</t>
  </si>
  <si>
    <t>MUCYO  NDABARAMIYE  DISMAS</t>
  </si>
  <si>
    <t>JEAN DAMASCENTE NTIRENGANYA</t>
  </si>
  <si>
    <t>UWAMAHORO MERCIE</t>
  </si>
  <si>
    <t>MUSABANEMA LEONILLE</t>
  </si>
  <si>
    <t>UWAMBAJIMANA THEOPISTE</t>
  </si>
  <si>
    <t>GASHUMBA WILSON</t>
  </si>
  <si>
    <t>GASHAYIJA FRANCOIS</t>
  </si>
  <si>
    <t>EMMANUEL SINGANDA</t>
  </si>
  <si>
    <t>MUKARUBEGA JEANNE</t>
  </si>
  <si>
    <t>HABANABASHAKA   JEAN  PAUL</t>
  </si>
  <si>
    <t>NDAGIJIMANA VENUTSE</t>
  </si>
  <si>
    <t>MUKAZI MUHOZI YVONNE</t>
  </si>
  <si>
    <t>MUHAWENIMANA JEANINE</t>
  </si>
  <si>
    <t>ONE ACRE FUND RWANDA-TUBURA</t>
  </si>
  <si>
    <t>GS KIYANZI</t>
  </si>
  <si>
    <t>EP  NYAKABUNGO</t>
  </si>
  <si>
    <t>EP RUKORE</t>
  </si>
  <si>
    <t>EP RWAMAGANA CATHOLIQUE</t>
  </si>
  <si>
    <t>RSSB BURERA</t>
  </si>
  <si>
    <t>GS BETHEL</t>
  </si>
  <si>
    <t>GS RWKABANDA</t>
  </si>
  <si>
    <t>DEREVA HOTEL RWAMAGANA LTD</t>
  </si>
  <si>
    <t>DELEVA HOTEL</t>
  </si>
  <si>
    <t>EP CYARUBARE</t>
  </si>
  <si>
    <t>CELLNKONDO</t>
  </si>
  <si>
    <t>GS KIRWA</t>
  </si>
  <si>
    <t>H.V.P GATAGARA</t>
  </si>
  <si>
    <t>EP NKONDO 1</t>
  </si>
  <si>
    <t>MIFOTRA</t>
  </si>
  <si>
    <t>GASARABWAYI EP</t>
  </si>
  <si>
    <t>EP GASARABWAYI</t>
  </si>
  <si>
    <t>H C GATSIBO</t>
  </si>
  <si>
    <t>GS ST BERNADETTE</t>
  </si>
  <si>
    <t>GS ST BERNADETTE SAVE</t>
  </si>
  <si>
    <t>TSS DON BOSCO</t>
  </si>
  <si>
    <t>TSS KIBEHO</t>
  </si>
  <si>
    <t>EP RURAMIRA</t>
  </si>
  <si>
    <t>BYIMANA PS</t>
  </si>
  <si>
    <t>RADIO MALIA</t>
  </si>
  <si>
    <t>GS TANDA</t>
  </si>
  <si>
    <t>C S NYAMIRAMA</t>
  </si>
  <si>
    <t>E S CYINZOVU</t>
  </si>
  <si>
    <t>NYAGATOVU CELL</t>
  </si>
  <si>
    <t>GS MIGERA TSS</t>
  </si>
  <si>
    <t>GS KIGARAMA</t>
  </si>
  <si>
    <t xml:space="preserve">ES CYARUBARE </t>
  </si>
  <si>
    <t>GS GASATSI</t>
  </si>
  <si>
    <t>GS REMERA</t>
  </si>
  <si>
    <t>KABARONDO HOSPITAL</t>
  </si>
  <si>
    <t>G S  KAWANGIRE  CATHOLIQUE</t>
  </si>
  <si>
    <t>25/11/2025</t>
  </si>
  <si>
    <t>1/NAP21CA86/10340001/25/11/2025</t>
  </si>
  <si>
    <t>015803442</t>
  </si>
  <si>
    <t>2/NAP23D97/10340001/25/11/2025</t>
  </si>
  <si>
    <t>015846671</t>
  </si>
  <si>
    <t>3/NAP23BX39/10340001/25/11/2025</t>
  </si>
  <si>
    <t>015802780</t>
  </si>
  <si>
    <t>4/NAP21DN67/10340001/25/11/2025</t>
  </si>
  <si>
    <t>5/NAP19I09/10340001/25/11/2025</t>
  </si>
  <si>
    <t>015825971</t>
  </si>
  <si>
    <t>6/NAP24BW35/10340001/25/11/2025</t>
  </si>
  <si>
    <t>015909898</t>
  </si>
  <si>
    <t>7/NAP25J12/10340001/25/11/2025</t>
  </si>
  <si>
    <t>19728052p</t>
  </si>
  <si>
    <t>8/NAP24CD30/10340001/25/11/2025</t>
  </si>
  <si>
    <t>015925848</t>
  </si>
  <si>
    <t>9/NAP25S40/10340001/25/11/2025</t>
  </si>
  <si>
    <t>10803379V</t>
  </si>
  <si>
    <t>10/NAP25BX98/10340001/25/11/2025</t>
  </si>
  <si>
    <t>015983991</t>
  </si>
  <si>
    <t>11/NAP24AW21/10340001/25/11/2025</t>
  </si>
  <si>
    <t>015925520</t>
  </si>
  <si>
    <t>12/NAP23CB43/10340001/25/11/2025</t>
  </si>
  <si>
    <t>015573977</t>
  </si>
  <si>
    <t>13/NAP25CG833/10340001/25/11/2025</t>
  </si>
  <si>
    <t>19925173G</t>
  </si>
  <si>
    <t>14/NAP25CF367/10340001/25/11/2025</t>
  </si>
  <si>
    <t>006885102</t>
  </si>
  <si>
    <t>15/NAP19C08/10340001/25/11/2025</t>
  </si>
  <si>
    <t>16/NAP22CU22/10340001/25/11/2025</t>
  </si>
  <si>
    <t>015770040</t>
  </si>
  <si>
    <t>17/NAP25CG834/10340001/25/11/2025</t>
  </si>
  <si>
    <t>015975961</t>
  </si>
  <si>
    <t>18/NAP21AN30/10340001/25/11/2025</t>
  </si>
  <si>
    <t>19/NAP22AL52/10340001/25/11/2025</t>
  </si>
  <si>
    <t>016001877</t>
  </si>
  <si>
    <t>20/NAP25CG835/10340001/25/11/2025</t>
  </si>
  <si>
    <t>015990542</t>
  </si>
  <si>
    <t>21/NAP24AT19/10340001/25/11/2025</t>
  </si>
  <si>
    <t>015745157</t>
  </si>
  <si>
    <t>22/NAP23CH32/10340001/25/11/2025</t>
  </si>
  <si>
    <t>015915013</t>
  </si>
  <si>
    <t>23/NAP24J73/10340001/25/11/2025</t>
  </si>
  <si>
    <t>015921168</t>
  </si>
  <si>
    <t>24/NAP25CG837/10340001/25/11/2025</t>
  </si>
  <si>
    <t>19836079C</t>
  </si>
  <si>
    <t>25/NAP24BG72/10340001/25/11/2025</t>
  </si>
  <si>
    <t>015830668</t>
  </si>
  <si>
    <t>26/NAP25CG840/10340001/25/11/2025</t>
  </si>
  <si>
    <t>015819443</t>
  </si>
  <si>
    <t>27/NAP25CG841/10340001/25/11/2025</t>
  </si>
  <si>
    <t>19961709K</t>
  </si>
  <si>
    <t>28/NAP25CG843/10340001/25/11/2025</t>
  </si>
  <si>
    <t>016000585</t>
  </si>
  <si>
    <t>29/NAP23V90/10340001/25/11/2025</t>
  </si>
  <si>
    <t>30/NAP19M07/10340001/25/11/2025</t>
  </si>
  <si>
    <t>0118619</t>
  </si>
  <si>
    <t>31/NAP18H05/10340001/25/11/2025</t>
  </si>
  <si>
    <t>0063983</t>
  </si>
  <si>
    <t>32/NAP23CQ64/10340001/25/11/2025</t>
  </si>
  <si>
    <t>33/NAP25CG849/10340001/25/11/2025</t>
  </si>
  <si>
    <t>007693503</t>
  </si>
  <si>
    <t>34/NAP22AL52/10340001/25/11/2025</t>
  </si>
  <si>
    <t>35/NAP25BA40/10340001/25/11/2025</t>
  </si>
  <si>
    <t>015726946</t>
  </si>
  <si>
    <t>36/NAP23CD93/10340001/25/11/2025</t>
  </si>
  <si>
    <t>015559181</t>
  </si>
  <si>
    <t>37/NAP19BD58/10340001/25/11/2025</t>
  </si>
  <si>
    <t>0068872</t>
  </si>
  <si>
    <t>38/NAP19P09/10340001/25/11/2025</t>
  </si>
  <si>
    <t>015725989</t>
  </si>
  <si>
    <t>39/NAP23R96/10340001/25/11/2025</t>
  </si>
  <si>
    <t>015878798</t>
  </si>
  <si>
    <t>40/NAP25BK61/10340001/25/11/2025</t>
  </si>
  <si>
    <t>015791468</t>
  </si>
  <si>
    <t>41/NAP23AY23/10340001/25/11/2025</t>
  </si>
  <si>
    <t>015690277</t>
  </si>
  <si>
    <t>42/NAP25CG852/10340001/25/11/2025</t>
  </si>
  <si>
    <t>015834286</t>
  </si>
  <si>
    <t>43/NAP25CG853/10340001/25/11/2025</t>
  </si>
  <si>
    <t>0075974</t>
  </si>
  <si>
    <t>44/NAP23H55/10340001/25/11/2025</t>
  </si>
  <si>
    <t>015756072</t>
  </si>
  <si>
    <t>45/NAP25G84/10340001/25/11/2025</t>
  </si>
  <si>
    <t>015928293</t>
  </si>
  <si>
    <t>015954651</t>
  </si>
  <si>
    <t>015935181</t>
  </si>
  <si>
    <t>016002317</t>
  </si>
  <si>
    <t>015863071</t>
  </si>
  <si>
    <t>015666573</t>
  </si>
  <si>
    <t>20795278N</t>
  </si>
  <si>
    <t>20073413M</t>
  </si>
  <si>
    <t>015788393</t>
  </si>
  <si>
    <t>015882291</t>
  </si>
  <si>
    <t>015792050</t>
  </si>
  <si>
    <t>SHIMWA NDORI LAYAN REGIS</t>
  </si>
  <si>
    <t>IGANZE CARMEL DAVY</t>
  </si>
  <si>
    <t>DORIS IRIBAGIZA</t>
  </si>
  <si>
    <t>NGABIRE CHRISTINE</t>
  </si>
  <si>
    <t>ANYSIA IGIRANEZA KESHA</t>
  </si>
  <si>
    <t>HAGENIMANA PAPIAS</t>
  </si>
  <si>
    <t>BUREGEYA MUTESI LAURETTE</t>
  </si>
  <si>
    <t>FELICIEN HABIMANA</t>
  </si>
  <si>
    <t>OPRAH MUSONERA INYUMBA</t>
  </si>
  <si>
    <t>HARRY TYREE BAMBE</t>
  </si>
  <si>
    <t>UWAYO MUHOZA</t>
  </si>
  <si>
    <t>MUHAWENIMANA VEREDIANE</t>
  </si>
  <si>
    <t>GLORIA UWASE</t>
  </si>
  <si>
    <t>IMANZI SANGWA HENRY</t>
  </si>
  <si>
    <t>PATRICK ISHIMWE</t>
  </si>
  <si>
    <t>MARARUNGU ANITHA</t>
  </si>
  <si>
    <t>JEFF NIYO SHEMA</t>
  </si>
  <si>
    <t>KAYITESI ODETTE</t>
  </si>
  <si>
    <t>ATETE SYLVIA KARAMAGE</t>
  </si>
  <si>
    <t>NYAMBO NOVA ABIELLA</t>
  </si>
  <si>
    <t>CHANTAL NIYONDANGAMIYE</t>
  </si>
  <si>
    <t>MBABAZI NEMA</t>
  </si>
  <si>
    <t>DIVIN IYABIVUZE BONTE</t>
  </si>
  <si>
    <t>RUTH UWIMPUHWE</t>
  </si>
  <si>
    <t>LEVIS GAVIN NSINZI</t>
  </si>
  <si>
    <t>MUKASHEJA RENATHA</t>
  </si>
  <si>
    <t>MUKABUGINGO CHANTAL</t>
  </si>
  <si>
    <t>JOLIE INEZA</t>
  </si>
  <si>
    <t>SHIMWA UWASE KEVINE</t>
  </si>
  <si>
    <t>RADEGAUNDE IMENA HIMBAZWA</t>
  </si>
  <si>
    <t>BIZIMANA ISHEJA NICOLE</t>
  </si>
  <si>
    <t>MELYSE IKIREZI</t>
  </si>
  <si>
    <t>ROSETTE BIZIMANA ITUZE</t>
  </si>
  <si>
    <t>KABAMBA IHIRWE DICKSON</t>
  </si>
  <si>
    <t>MUGISHA ZULAIKHA</t>
  </si>
  <si>
    <t>MUGISHA ADAMS</t>
  </si>
  <si>
    <t>JOYCE DUSHIME SALIMA</t>
  </si>
  <si>
    <t>TURUMWE BAHO TALENT</t>
  </si>
  <si>
    <t>JOVIA MIZERO NGABO</t>
  </si>
  <si>
    <t>THOMAS NKURUNZIZA</t>
  </si>
  <si>
    <t>OWEN ERICSON AGABE GAVIN</t>
  </si>
  <si>
    <t>AGASARO DAVA</t>
  </si>
  <si>
    <t>MUHIRWA EMILE</t>
  </si>
  <si>
    <t>TUYIZERE ADELPHINE</t>
  </si>
  <si>
    <t>STEVEN NAMANYA</t>
  </si>
  <si>
    <t>REHEMA UWINEZA</t>
  </si>
  <si>
    <t>ISHEJA ANGE PAULA</t>
  </si>
  <si>
    <t>ANABELLA JOLLY IKUZO MWANANGU</t>
  </si>
  <si>
    <t>NYARWAYA RICH KEVIN</t>
  </si>
  <si>
    <t>MUKANGWIJE ANCILE</t>
  </si>
  <si>
    <t>ANCILLE MUKANGWIJE</t>
  </si>
  <si>
    <t>CLAUDE MUREKEZI</t>
  </si>
  <si>
    <t>IGIRANEZA OLIVIER</t>
  </si>
  <si>
    <t>BUREGEYE AIMABLE</t>
  </si>
  <si>
    <t>HOPE WIBABARA</t>
  </si>
  <si>
    <t xml:space="preserve">PROTAIS TUMUSHIME </t>
  </si>
  <si>
    <t>UMUTESI MARIE THEREZA</t>
  </si>
  <si>
    <t>VENARANDE UMUGANWA</t>
  </si>
  <si>
    <t>RUGERINYANGE  LOUIS</t>
  </si>
  <si>
    <t>JEAN DAMASCENE HATEGEKIMANA</t>
  </si>
  <si>
    <t>KAYITARE STEVEN</t>
  </si>
  <si>
    <t>RUTAYISIRE J BAPTISTE</t>
  </si>
  <si>
    <t>BERNARD AKIMANA</t>
  </si>
  <si>
    <t>NDAYAMBAJE EMANUEL</t>
  </si>
  <si>
    <t>HITIMANA JONAS</t>
  </si>
  <si>
    <t>VESTINE MUKANGARAMBE</t>
  </si>
  <si>
    <t>GORETH UWANYIRIGIRA</t>
  </si>
  <si>
    <t>MUKADIAMA PATRICIE</t>
  </si>
  <si>
    <t>BANGAMWABO PASCAL</t>
  </si>
  <si>
    <t>NKURUNZIZA   JEAN DE DIEU</t>
  </si>
  <si>
    <t>BIZIMANA GERARD</t>
  </si>
  <si>
    <t>CEDRICK KAGARAMA</t>
  </si>
  <si>
    <t>FRANCINE BAGIRIWABO</t>
  </si>
  <si>
    <t>KARASIRA THARCISSE</t>
  </si>
  <si>
    <t>ADAMS MUGISHA</t>
  </si>
  <si>
    <t>FIDELE HABUMUGISHA</t>
  </si>
  <si>
    <t>NYIRABAKIGA JEANNETTE</t>
  </si>
  <si>
    <t>JEROME NGABONZIMA</t>
  </si>
  <si>
    <t>HOPE MUTESI</t>
  </si>
  <si>
    <t>DENYSE NYIRABATSINDA</t>
  </si>
  <si>
    <t xml:space="preserve">CLAVER RUZIGANGABO </t>
  </si>
  <si>
    <t>UYISENGA ADOLPHE</t>
  </si>
  <si>
    <t>MWANANGU THEOPHILE</t>
  </si>
  <si>
    <t>MUTEGETSI JEANNET</t>
  </si>
  <si>
    <t>ES  RURAMIRA</t>
  </si>
  <si>
    <t>EP KABARONDO</t>
  </si>
  <si>
    <t>GS MUKSRSNGE</t>
  </si>
  <si>
    <t>TTC APPENA</t>
  </si>
  <si>
    <t>EP RYANKANA</t>
  </si>
  <si>
    <t>WASAC KABARONDO</t>
  </si>
  <si>
    <t>SACOO KABARONDO</t>
  </si>
  <si>
    <t>GS KIBURARA</t>
  </si>
  <si>
    <t>GS RWANKUBA</t>
  </si>
  <si>
    <t>GS CYABUSHESHE</t>
  </si>
  <si>
    <t>GS  GAHINI</t>
  </si>
  <si>
    <t>BNR/KIGALI</t>
  </si>
  <si>
    <t>GS KAWANGIRE CATHOLIQUE</t>
  </si>
  <si>
    <t>GS BUGARURA</t>
  </si>
  <si>
    <t>NYAGATARE DISRICT</t>
  </si>
  <si>
    <t>HC GISHAKA</t>
  </si>
  <si>
    <t>VIVA COMPANY</t>
  </si>
  <si>
    <t>26/11/2025</t>
  </si>
  <si>
    <t>1/NAP25BC31/10340001/26/11/2025</t>
  </si>
  <si>
    <t>015983452</t>
  </si>
  <si>
    <t>2/NAP25AQ19/10340001/26/11/2025</t>
  </si>
  <si>
    <t>3/NAP25CG871/10340001/26/11/2025</t>
  </si>
  <si>
    <t>015774699</t>
  </si>
  <si>
    <t>4/NAP23AX79/10340001/26/11/2025</t>
  </si>
  <si>
    <t>5/NAP24AZ84/10340001/26/11/2025</t>
  </si>
  <si>
    <t>015849811</t>
  </si>
  <si>
    <t>6/NAP25M56/10340001/26/11/2025</t>
  </si>
  <si>
    <t>015521613</t>
  </si>
  <si>
    <t>7/NAP22CY43/10340001/26/11/2025</t>
  </si>
  <si>
    <t>8/NAP22AZ32/10340001/26/11/2025</t>
  </si>
  <si>
    <t>0152855</t>
  </si>
  <si>
    <t>9/NAP25H75/10340001/26/11/2025</t>
  </si>
  <si>
    <t>015963664</t>
  </si>
  <si>
    <t>10/NAP25CG873/10340001/26/11/2025</t>
  </si>
  <si>
    <t>015972453</t>
  </si>
  <si>
    <t>11/NAP25CG230/10340001/26/11/2025</t>
  </si>
  <si>
    <t>12/NAP25AN17/10340001/26/11/2025</t>
  </si>
  <si>
    <t>015967762</t>
  </si>
  <si>
    <t>13/NAP22CE97/10340001/26/11/2025</t>
  </si>
  <si>
    <t>015865459</t>
  </si>
  <si>
    <t>14/NAP24CP27/10340001/26/11/2025</t>
  </si>
  <si>
    <t>15/NAP25CA34/10340001/26/11/2025</t>
  </si>
  <si>
    <t>015811239</t>
  </si>
  <si>
    <t>16/NAP21F05/10340001/26/11/2025</t>
  </si>
  <si>
    <t>19349608F</t>
  </si>
  <si>
    <t>17/NAP25CG874/10340001/26/11/2025</t>
  </si>
  <si>
    <t>015547113</t>
  </si>
  <si>
    <t>18/NAP25Q64/10340001/26/11/2025</t>
  </si>
  <si>
    <t>0117036</t>
  </si>
  <si>
    <t>19/NAP24W84/10340001/26/11/2025</t>
  </si>
  <si>
    <t>11012086G</t>
  </si>
  <si>
    <t>20/NAP24BD81/10340001/26/11/2025</t>
  </si>
  <si>
    <t>21/NAP25CF89/10340001/26/11/2025</t>
  </si>
  <si>
    <t>22/NAP23J80/10340001/26/11/2025</t>
  </si>
  <si>
    <t>015998144</t>
  </si>
  <si>
    <t>23/NAP25CG506/10340001/26/11/2025</t>
  </si>
  <si>
    <t>24/NAP24S73/10340001/26/11/2025</t>
  </si>
  <si>
    <t>015801026</t>
  </si>
  <si>
    <t>25/NAP21AK23/10340001/26/11/2025</t>
  </si>
  <si>
    <t>015797270</t>
  </si>
  <si>
    <t>26/NAP22BZ26/10340001/26/11/2025</t>
  </si>
  <si>
    <t>20235735G</t>
  </si>
  <si>
    <t>27/NAP20AV71/10340001/26/11/2025</t>
  </si>
  <si>
    <t>19538039V</t>
  </si>
  <si>
    <t>28/NAP21BS99/10340001/26/11/2025</t>
  </si>
  <si>
    <t>015758766</t>
  </si>
  <si>
    <t>29/NAP23BX28/10340001/26/11/2025</t>
  </si>
  <si>
    <t>015786270</t>
  </si>
  <si>
    <t>30/NAP24CD76/10340001/26/11/2025</t>
  </si>
  <si>
    <t>007771800</t>
  </si>
  <si>
    <t>31/NAP25CG878/10340001/26/11/2025</t>
  </si>
  <si>
    <t>015932283</t>
  </si>
  <si>
    <t>32/NAP25CG879/10340001/26/11/2025</t>
  </si>
  <si>
    <t>015736682</t>
  </si>
  <si>
    <t>33/NAP20A88/10340001/26/11/2025</t>
  </si>
  <si>
    <t>34/NAP25CA74/10340001/26/11/2025</t>
  </si>
  <si>
    <t>35/NAP23AT71/10340001/26/11/2025</t>
  </si>
  <si>
    <t>0074210</t>
  </si>
  <si>
    <t>36/NAP24BN25/10340001/26/11/2025</t>
  </si>
  <si>
    <t>015779690</t>
  </si>
  <si>
    <t>37/NAP22AU03/10340001/26/11/2025</t>
  </si>
  <si>
    <t>10968644E</t>
  </si>
  <si>
    <t>38/NAP19BK04/10340001/26/11/2025</t>
  </si>
  <si>
    <t>0097912</t>
  </si>
  <si>
    <t>39/NAP22K04/10340001/26/11/2025</t>
  </si>
  <si>
    <t>40/NAP23BE11/10340001/26/11/2025</t>
  </si>
  <si>
    <t xml:space="preserve">	015808410</t>
  </si>
  <si>
    <t>41/NAP24H04/10340001/26/11/2025</t>
  </si>
  <si>
    <t>015923740</t>
  </si>
  <si>
    <t>42/NAP19A36/10340001/26/11/2025</t>
  </si>
  <si>
    <t>015626375</t>
  </si>
  <si>
    <t>43/NAP23CA71/10340001/26/11/2025</t>
  </si>
  <si>
    <t>44/NAP25AY64/10340001/26/11/2025</t>
  </si>
  <si>
    <t>015849317</t>
  </si>
  <si>
    <t>45/NAP25CG883/10340001/26/11/2025</t>
  </si>
  <si>
    <t>015855120</t>
  </si>
  <si>
    <t>46/NAP23AU84/10340001/26/11/2025</t>
  </si>
  <si>
    <t>015896139</t>
  </si>
  <si>
    <t>47/NAP22DA14/10340001/26/11/2025</t>
  </si>
  <si>
    <t>11019895W</t>
  </si>
  <si>
    <t>48/NAP25CG885/10340001/26/11/2025</t>
  </si>
  <si>
    <t>015508936</t>
  </si>
  <si>
    <t>49/NAP24CP31/10340001/26/11/2025</t>
  </si>
  <si>
    <t>50/NAP25CG886/10340001/26/11/2025</t>
  </si>
  <si>
    <t>19598800X</t>
  </si>
  <si>
    <t>51/NAP25S13/10340001/26/11/2025</t>
  </si>
  <si>
    <t>19888215T</t>
  </si>
  <si>
    <t>52/NAP23BV57/10340001/26/11/2025</t>
  </si>
  <si>
    <t>0132238</t>
  </si>
  <si>
    <t>53/NAP20L49/10340001/26/11/2025</t>
  </si>
  <si>
    <t>015613643</t>
  </si>
  <si>
    <t>54/NAP18E57/10340001/26/11/2025</t>
  </si>
  <si>
    <t>0142828</t>
  </si>
  <si>
    <t>55/NAP20H22/10340001/26/11/2025</t>
  </si>
  <si>
    <t>0074267</t>
  </si>
  <si>
    <t>56/NAP23BY94/10340001/26/11/2025</t>
  </si>
  <si>
    <t>015908934</t>
  </si>
  <si>
    <t>57/NAP19V08/10340001/26/11/2025</t>
  </si>
  <si>
    <t>0133669</t>
  </si>
  <si>
    <t>58/NAP22CM10/10340001/26/11/2025</t>
  </si>
  <si>
    <t>59/NAP25BF65/10340001/26/11/2025</t>
  </si>
  <si>
    <t>015936631</t>
  </si>
  <si>
    <t>60/NAP24CK25/10340001/26/11/2025</t>
  </si>
  <si>
    <t>015855359</t>
  </si>
  <si>
    <t>61/NAP23BM95/10340001/26/11/2025</t>
  </si>
  <si>
    <t>62/NAP19Q39/10340001/26/11/2025</t>
  </si>
  <si>
    <t>015630053</t>
  </si>
  <si>
    <t>NOLA ANAYAH JAMBO</t>
  </si>
  <si>
    <t>MUHIRWA BONNY</t>
  </si>
  <si>
    <t>ELLA ATONE MWIZA</t>
  </si>
  <si>
    <t>INEZA KELLY</t>
  </si>
  <si>
    <t>GASASIRA JEAN BOSCO</t>
  </si>
  <si>
    <t>IGABE ROXANNE</t>
  </si>
  <si>
    <t>BLESSING DUSHIME GABY</t>
  </si>
  <si>
    <t>HERTIER RYAN BUGINGO</t>
  </si>
  <si>
    <t>EUPHRASIE TUWOMBE</t>
  </si>
  <si>
    <t>AGNES BATETE</t>
  </si>
  <si>
    <t>MANIRADUHA LUCIE</t>
  </si>
  <si>
    <t>HILARIE UWAJENEZA</t>
  </si>
  <si>
    <t>BIKORIMANA FREDERIC</t>
  </si>
  <si>
    <t>UYIZEYE LILIANE</t>
  </si>
  <si>
    <t>MPORE DELICE RUSARIKA</t>
  </si>
  <si>
    <t>SUGIRA ISHEJA KETIA</t>
  </si>
  <si>
    <t>FISTON DUFITUMUKIZA</t>
  </si>
  <si>
    <t>NZABITONDERA JEAN MARIE VIANNEY</t>
  </si>
  <si>
    <t>IRATUNEJEJE EDEN ETHAN</t>
  </si>
  <si>
    <t>VALENTINE UMUHOZA</t>
  </si>
  <si>
    <t>CLADINE UWINEZA</t>
  </si>
  <si>
    <t>DOVE DALTON KIRENGA</t>
  </si>
  <si>
    <t>HORNOLLA IRAKOZE BERWA</t>
  </si>
  <si>
    <t>KARINGANIRE DANIEL</t>
  </si>
  <si>
    <t>ASHIMWE CYIZA AURORE</t>
  </si>
  <si>
    <t>UFITIMANA JOSEPH</t>
  </si>
  <si>
    <t>MUKAMASABO DONATA</t>
  </si>
  <si>
    <t>INGORORANO PACIFIQUE</t>
  </si>
  <si>
    <t>ARIELLA GWIZINEZA</t>
  </si>
  <si>
    <t>NYAGATARE BRIAN</t>
  </si>
  <si>
    <t>DYLAN MUKUNZI GWIZA</t>
  </si>
  <si>
    <t>ELLA ALBINA NISHIMWE CYUZUZO</t>
  </si>
  <si>
    <t>REAGAN RUGWIRO GASANA</t>
  </si>
  <si>
    <t>INGABIRE VIVA SHEILLA</t>
  </si>
  <si>
    <t>KEVINE UWINEZA</t>
  </si>
  <si>
    <t>BIZIMANA XXX</t>
  </si>
  <si>
    <t>RUKUNYU FRED</t>
  </si>
  <si>
    <t>BAYISENGE DANIELLA</t>
  </si>
  <si>
    <t>MUKANSANGA HYANCENTHE</t>
  </si>
  <si>
    <t>NIYONZIMA NATHANI</t>
  </si>
  <si>
    <t>EMILY N0RAH FIDELLA ATETE</t>
  </si>
  <si>
    <t>BAGIRIWABO FRANCINE</t>
  </si>
  <si>
    <t>LOVELLA CLAUDIA IKUZO</t>
  </si>
  <si>
    <t>KIAN ABRIL MUTABAZI</t>
  </si>
  <si>
    <t>GAIN KABANO ASIMWE</t>
  </si>
  <si>
    <t>GAELLA WIN ASIIMWE</t>
  </si>
  <si>
    <t>JEAN CLAUDE MURINDANGABO</t>
  </si>
  <si>
    <t>JANVIERE NYIRANEZA</t>
  </si>
  <si>
    <t>UMUTONI DELPHINE</t>
  </si>
  <si>
    <t>BANTEGEYE VENANTIE</t>
  </si>
  <si>
    <t>LEONIE UWIRINGIYIMANA</t>
  </si>
  <si>
    <t xml:space="preserve">GERMAINE MUKARUKAKA </t>
  </si>
  <si>
    <t>BASOMINGERA IMANI</t>
  </si>
  <si>
    <t>MUTUMBIRA CADET</t>
  </si>
  <si>
    <t>MURINZI VINCENT</t>
  </si>
  <si>
    <t>SOULEIMAN RUSARIKA</t>
  </si>
  <si>
    <t>MUTEZINKA SOLANGE`</t>
  </si>
  <si>
    <t>GAPARANI PATRO</t>
  </si>
  <si>
    <t>HABIMANA FIDELE</t>
  </si>
  <si>
    <t xml:space="preserve">HITAYEZU PIERRE CELESTIN </t>
  </si>
  <si>
    <t>UWAMARIYA JOSEPH</t>
  </si>
  <si>
    <t>CLÉMENCE NISHIMWE</t>
  </si>
  <si>
    <t>MUNYANEZA JEAN DE DIEU</t>
  </si>
  <si>
    <t>KAMARIZA CECILLE</t>
  </si>
  <si>
    <t>KAYITESI THEOPISTA</t>
  </si>
  <si>
    <t>NYAGATARE JANVIER</t>
  </si>
  <si>
    <t>CLEMENTINE NIYOMWUNGERI</t>
  </si>
  <si>
    <t>MWISENEZA CLARISEE</t>
  </si>
  <si>
    <t>GATUNGE JAMES</t>
  </si>
  <si>
    <t>ASANASE ALPHONSINE</t>
  </si>
  <si>
    <t>BIZUMUREMYI  JACKSON</t>
  </si>
  <si>
    <t>ODETTE NYIRANTEZIMANA</t>
  </si>
  <si>
    <t>ELIAS MUTABAZI</t>
  </si>
  <si>
    <t>TSS MURINDI</t>
  </si>
  <si>
    <t>ECD RUBIHA</t>
  </si>
  <si>
    <t>CS MUSHIKIRI</t>
  </si>
  <si>
    <t>RBC</t>
  </si>
  <si>
    <t>GS RUBONA TSS</t>
  </si>
  <si>
    <t>TAHA CELL LTD</t>
  </si>
  <si>
    <t>RAB NGOMA</t>
  </si>
  <si>
    <t>RUBENGERA 2 TVT`</t>
  </si>
  <si>
    <t>RUKARA MDEL SCHOOL</t>
  </si>
  <si>
    <t>EP KABUSUNZU</t>
  </si>
  <si>
    <t>ES RUSUMO</t>
  </si>
  <si>
    <t>G SNYAGASOZI</t>
  </si>
  <si>
    <t>GS KIBIMBA</t>
  </si>
  <si>
    <t>GS KIGALI</t>
  </si>
  <si>
    <t>GAHINI  SECTOR</t>
  </si>
  <si>
    <t>E P AGAKOMEYE</t>
  </si>
  <si>
    <t>EP NYAMASHEKE</t>
  </si>
  <si>
    <t>GS NDEGO2</t>
  </si>
  <si>
    <t>GS MUSHERI</t>
  </si>
  <si>
    <t>GS RWARWAMAGANA PROTESTANT</t>
  </si>
  <si>
    <t>SACCO MURAMA</t>
  </si>
  <si>
    <t>27/11/2025</t>
  </si>
  <si>
    <t>1/NAP23F16/10340001/27/11/2025</t>
  </si>
  <si>
    <t>19957096f</t>
  </si>
  <si>
    <t>2/NAP20E02/10340001/27/11/2025</t>
  </si>
  <si>
    <t>015732890</t>
  </si>
  <si>
    <t>3/NAP23CI11/10340001/27/11/2025</t>
  </si>
  <si>
    <t>015914630</t>
  </si>
  <si>
    <t>4/NAP25CG895/10340001/27/11/2025</t>
  </si>
  <si>
    <t>015858609</t>
  </si>
  <si>
    <t>5/NAP25CG896/10340001/27/11/2025</t>
  </si>
  <si>
    <t>007695205</t>
  </si>
  <si>
    <t>6/NAP25CG899/10340001/27/11/2025</t>
  </si>
  <si>
    <t>015853735</t>
  </si>
  <si>
    <t>7/NAP24BY28/10340001/27/11/2025</t>
  </si>
  <si>
    <t>8/NAP23C22/10340001/27/11/2025</t>
  </si>
  <si>
    <t>10804488F</t>
  </si>
  <si>
    <t>9/NAP23BR24/10340001/27/11/2025</t>
  </si>
  <si>
    <t>10/NAP19Y51/10340001/27/11/2025</t>
  </si>
  <si>
    <t>015649096</t>
  </si>
  <si>
    <t>11/NAP19I98/10340001/27/11/2025</t>
  </si>
  <si>
    <t>10798954N</t>
  </si>
  <si>
    <t>12/NAP25CG901/10340001/27/11/2025</t>
  </si>
  <si>
    <t>015983869</t>
  </si>
  <si>
    <t>13/NAP19AG74/10340001/27/11/2025</t>
  </si>
  <si>
    <t>0106131</t>
  </si>
  <si>
    <t>14/NAP22BH13/10340001/27/11/2025</t>
  </si>
  <si>
    <t>015245701</t>
  </si>
  <si>
    <t>15/NAP19T68/10340001/27/11/2025</t>
  </si>
  <si>
    <t>0071392</t>
  </si>
  <si>
    <t>16/NAP19Z92/10340001/27/11/2025</t>
  </si>
  <si>
    <t>015600639</t>
  </si>
  <si>
    <t>17/NAP21DS14/10340001/27/11/2025</t>
  </si>
  <si>
    <t>015630244</t>
  </si>
  <si>
    <t>18/NAP21CH67/10340001/27/11/2025</t>
  </si>
  <si>
    <t>19/NAP23AA90/10340001/27/11/2025</t>
  </si>
  <si>
    <t>015875933</t>
  </si>
  <si>
    <t>20/NAP24CW25/10340001/27/11/2025</t>
  </si>
  <si>
    <t>015830860</t>
  </si>
  <si>
    <t>21/NAP25CG908/10340001/27/11/2025</t>
  </si>
  <si>
    <t>19918053Y</t>
  </si>
  <si>
    <t>22/NAP22BO12/10340001/27/11/2025</t>
  </si>
  <si>
    <t>015811174</t>
  </si>
  <si>
    <t>23/NAP22BW86/10340001/27/11/2025</t>
  </si>
  <si>
    <t>0076381</t>
  </si>
  <si>
    <t>24/NAP25J27/10340001/27/11/2025</t>
  </si>
  <si>
    <t>19958094V</t>
  </si>
  <si>
    <t>25/NAP25CD922/10340001/27/11/2025</t>
  </si>
  <si>
    <t>015992503</t>
  </si>
  <si>
    <t>26/NAP24CG35/10340001/27/11/2025</t>
  </si>
  <si>
    <t>015918789</t>
  </si>
  <si>
    <t>27/NAP24Y59/10340001/27/11/2025</t>
  </si>
  <si>
    <t>015900648</t>
  </si>
  <si>
    <t>28/NAP25CG912/10340001/27/11/2025</t>
  </si>
  <si>
    <t>015992569</t>
  </si>
  <si>
    <t>29/NAP19AG92/10340001/27/11/2025</t>
  </si>
  <si>
    <t>30/NAP24AT43/10340001/27/11/2025</t>
  </si>
  <si>
    <t>31/NAP24AV03/10340001/27/11/2025</t>
  </si>
  <si>
    <t>19505028Z</t>
  </si>
  <si>
    <t>32/NAP23B17/10340001/27/11/2025</t>
  </si>
  <si>
    <t>19548291N</t>
  </si>
  <si>
    <t>33/NAP20AF83/10340001/27/11/2025</t>
  </si>
  <si>
    <t>34/NAP23CB95/10340001/27/11/2025</t>
  </si>
  <si>
    <t>015914984</t>
  </si>
  <si>
    <t>35/NAP25CG924/10340001/27/11/2025</t>
  </si>
  <si>
    <t>005858703</t>
  </si>
  <si>
    <t>36/NAP22BY19/10340001/27/11/2025</t>
  </si>
  <si>
    <t>10819806K</t>
  </si>
  <si>
    <t>37/NAP25CG925/10340001/27/11/2025</t>
  </si>
  <si>
    <t>19978795X</t>
  </si>
  <si>
    <t>38/NAP25CG928/10340001/27/11/2025</t>
  </si>
  <si>
    <t>015712819</t>
  </si>
  <si>
    <t>39/NAP25CF471/10340001/27/11/2025</t>
  </si>
  <si>
    <t>40/NAP25BF11/10340001/27/11/2025</t>
  </si>
  <si>
    <t>015722699</t>
  </si>
  <si>
    <t>41/NAP24CV40/10340001/27/11/2025</t>
  </si>
  <si>
    <t>20144587Z</t>
  </si>
  <si>
    <t>42/NAP19U31/10340001/27/11/2025</t>
  </si>
  <si>
    <t>0043795</t>
  </si>
  <si>
    <t>43/NAP20V97/10340001/27/11/2025</t>
  </si>
  <si>
    <t>19697957S</t>
  </si>
  <si>
    <t>44/NAP21DT22/10340001/27/11/2025</t>
  </si>
  <si>
    <t>015766941</t>
  </si>
  <si>
    <t>45/NAP22CG40/10340001/27/11/2025</t>
  </si>
  <si>
    <t>46/NAP25CG935/10340001/27/11/2025</t>
  </si>
  <si>
    <t>10997470M</t>
  </si>
  <si>
    <t>47/NAP25CG937/10340001/27/11/2025</t>
  </si>
  <si>
    <t>0111493</t>
  </si>
  <si>
    <t>48/NAP25D18/10340001/27/11/2025</t>
  </si>
  <si>
    <t>015968802</t>
  </si>
  <si>
    <t>49/NAP24BI66/10340001/27/11/2025</t>
  </si>
  <si>
    <t>015947745</t>
  </si>
  <si>
    <t>50/NAP19M63/10340001/27/11/2025</t>
  </si>
  <si>
    <t>015504568</t>
  </si>
  <si>
    <t>51/NAP24M31/10340001/27/11/2025</t>
  </si>
  <si>
    <t>52/NAP23BR17/10340001/27/11/2025</t>
  </si>
  <si>
    <t>11080242Z</t>
  </si>
  <si>
    <t>53/NAP25CE842/10340001/27/11/2025</t>
  </si>
  <si>
    <t>11004380F</t>
  </si>
  <si>
    <t>54/NAP25CG941/10340001/27/11/2025</t>
  </si>
  <si>
    <t>015849292</t>
  </si>
  <si>
    <t>55/NAP20B71/10340001/27/11/2025</t>
  </si>
  <si>
    <t>10398798c</t>
  </si>
  <si>
    <t>56/NAP23AN98/10340001/27/11/2025</t>
  </si>
  <si>
    <t>015887123</t>
  </si>
  <si>
    <t>57/NAP23B27/10340001/27/11/2025</t>
  </si>
  <si>
    <t>007624100</t>
  </si>
  <si>
    <t>58/NAP25AA59/10340001/27/11/2025</t>
  </si>
  <si>
    <t>59/NAP21AX11/10340001/27/11/2025</t>
  </si>
  <si>
    <t>60/NAP25CG946/10340001/27/11/2025</t>
  </si>
  <si>
    <t>015759898</t>
  </si>
  <si>
    <t>61/NAP24BV33/10340001/27/11/2025</t>
  </si>
  <si>
    <t>015950181</t>
  </si>
  <si>
    <t>62/NAP21O50/10340001/27/11/2025</t>
  </si>
  <si>
    <t>015774528</t>
  </si>
  <si>
    <t>63/NAP25CG949/10340001/27/11/2025</t>
  </si>
  <si>
    <t>002647103</t>
  </si>
  <si>
    <t>64/NAP25CG950/10340001/27/11/2025</t>
  </si>
  <si>
    <t>015919267</t>
  </si>
  <si>
    <t>65/NAP22BY79/10340001/27/11/2025</t>
  </si>
  <si>
    <t>19963235F</t>
  </si>
  <si>
    <t>66/NAP25CG266/10340001/27/11/2025</t>
  </si>
  <si>
    <t>67/NAP25F03/10340001/27/11/2025</t>
  </si>
  <si>
    <t>68/NAP25BK59/10340001/27/11/2025</t>
  </si>
  <si>
    <t>19373289E</t>
  </si>
  <si>
    <t>IMMACULEE NIREMBERE</t>
  </si>
  <si>
    <t>GATARAYIHA ATETE GISELE</t>
  </si>
  <si>
    <t>CHRISTELLA ISARO ATETE</t>
  </si>
  <si>
    <t>VIOLETTE MUKANDAYISHIMIYE</t>
  </si>
  <si>
    <t>AKUZWE .</t>
  </si>
  <si>
    <t>EILISH NINZIZA CHANCE</t>
  </si>
  <si>
    <t>MUSHIKIWASE VALENTINE</t>
  </si>
  <si>
    <t>SIBOMANA ALPHONSE</t>
  </si>
  <si>
    <t>BRIGHT HIRWA ISHYA RAMA</t>
  </si>
  <si>
    <t>UWUMUZIGIRE' GRACE</t>
  </si>
  <si>
    <t>BENITHA KARIZA</t>
  </si>
  <si>
    <t>KAYIGIRWA ODETTE</t>
  </si>
  <si>
    <t>MUNANIRA OLGA</t>
  </si>
  <si>
    <t>ISHIMWE BARTERI</t>
  </si>
  <si>
    <t>LAINA AGAHOZO TETA</t>
  </si>
  <si>
    <t>YARADUKUNZE ANGELIQUE</t>
  </si>
  <si>
    <t>IRAGUHA SYLIVIE</t>
  </si>
  <si>
    <t>GWIRA ETHAN</t>
  </si>
  <si>
    <t>EMMANUEL NDUNGUTSE</t>
  </si>
  <si>
    <t>ISINGIZWE ALINE</t>
  </si>
  <si>
    <t>ELIANA BRIELLA INEZA</t>
  </si>
  <si>
    <t>SHAMA PILLAR INEZA NELLY</t>
  </si>
  <si>
    <t>MPANO DARIUS JELAN</t>
  </si>
  <si>
    <t>ABBA ERICHANTE AHOZWE IKAMBA</t>
  </si>
  <si>
    <t>ANGEL DIMITRY PAYEV IHUZE</t>
  </si>
  <si>
    <t>EMMY SANDE</t>
  </si>
  <si>
    <t>UWIZEYIMANA ODETTE</t>
  </si>
  <si>
    <t>SHIMA DEO</t>
  </si>
  <si>
    <t>GENEREUSE UWIMANA</t>
  </si>
  <si>
    <t>NIYONAGIZE JEAN BOSCO</t>
  </si>
  <si>
    <t>SERAPHINE NIYONIZEYE</t>
  </si>
  <si>
    <t>NDAYAMBAJE JEAN MARIE</t>
  </si>
  <si>
    <t>BEBE BAMUSONERE ESTHER</t>
  </si>
  <si>
    <t>IMURINDE EPIPHANIE</t>
  </si>
  <si>
    <t>TUYISHIMIRE NADINE</t>
  </si>
  <si>
    <t>MUHIZI KEZA KELIA</t>
  </si>
  <si>
    <t>ANGELINE UWIMBABAZI</t>
  </si>
  <si>
    <t>GAFURAMA DIEUDONNE</t>
  </si>
  <si>
    <t>JOSHUA ALVIN IRADUKUNDA</t>
  </si>
  <si>
    <t>RAY LOGAN MWIZERWA</t>
  </si>
  <si>
    <t>MUKAMANZI MARIE CHANTAL</t>
  </si>
  <si>
    <t>HAVUGIMANA JEAN DE DIEU</t>
  </si>
  <si>
    <t>UMUTONI ANNUARITE</t>
  </si>
  <si>
    <t>ALLEN INEZA IGANZE</t>
  </si>
  <si>
    <t>KANGABE CHRISTINE</t>
  </si>
  <si>
    <t>AGASARO OR JAYLA</t>
  </si>
  <si>
    <t>NIYONSABA CLEMENTINE</t>
  </si>
  <si>
    <t>BAGWANEZA EMELYSE</t>
  </si>
  <si>
    <t>ESTHER GAJU</t>
  </si>
  <si>
    <t>TONA TRACY RWIGAMBA</t>
  </si>
  <si>
    <t>RWIGAMBA TESIRE JOAN</t>
  </si>
  <si>
    <t>NATETE DUHIREYEZU</t>
  </si>
  <si>
    <t>OLDER MIRACLE CYUSA KING</t>
  </si>
  <si>
    <t>JEAN BERCHIMAS BANABEZA</t>
  </si>
  <si>
    <t>MUZEYIMANA OLIVE</t>
  </si>
  <si>
    <t>MUKASEKURU HONOLINE</t>
  </si>
  <si>
    <t>NIYOYANDEMYE JEREMI</t>
  </si>
  <si>
    <t>EMMANUEL MUSHINZIMANA</t>
  </si>
  <si>
    <t>MARCELINE MUKAMUHOZA</t>
  </si>
  <si>
    <t>MVUYEKURE EVARISTE</t>
  </si>
  <si>
    <t>NYIRAMUGISHA HAPPINESS</t>
  </si>
  <si>
    <t>DIOGENE SEMINEGA</t>
  </si>
  <si>
    <t>BIZURU  MUNANIRA CELESTIN</t>
  </si>
  <si>
    <t>UWURUKUNDO  JMV</t>
  </si>
  <si>
    <t>TWAGIRUMUREMYI CANISIUS</t>
  </si>
  <si>
    <t xml:space="preserve">DEMOKARASI JEROME </t>
  </si>
  <si>
    <t>RURINDA DIEU DONNE</t>
  </si>
  <si>
    <t>ALINE ISINGIZWE</t>
  </si>
  <si>
    <t>UMUBYEYI ALPHONSINE</t>
  </si>
  <si>
    <t>ERIC DUSINGIZE</t>
  </si>
  <si>
    <t>ELYSEE SINDIKUBWABO</t>
  </si>
  <si>
    <t>DUSHIMIYIMANA DEO</t>
  </si>
  <si>
    <t>PERUTY NIBOGORE</t>
  </si>
  <si>
    <t>UWIMANA MARIE GORETTE</t>
  </si>
  <si>
    <t>HAKIZIMANA FRANCOIS XAVIER</t>
  </si>
  <si>
    <t>NIYOYITA FAIS</t>
  </si>
  <si>
    <t>UWITONZE DELPHINE</t>
  </si>
  <si>
    <t>ANNUARITE UMUTONI</t>
  </si>
  <si>
    <t>SYLVAIN MANIRAGABA</t>
  </si>
  <si>
    <t>MUKAMWIZA JEANINNE</t>
  </si>
  <si>
    <t>KARAMUKA EMMANUEL</t>
  </si>
  <si>
    <t>INNOCENT RUZINDANA</t>
  </si>
  <si>
    <t>KAYITESI DEVOTHA</t>
  </si>
  <si>
    <t>JAPEL NKUNZIMANA</t>
  </si>
  <si>
    <t>GS KARENGE</t>
  </si>
  <si>
    <t>GS RUGERERO</t>
  </si>
  <si>
    <t>RUGAMBIRA CELL</t>
  </si>
  <si>
    <t>GS KABARONDOB</t>
  </si>
  <si>
    <t>EP RUSAVE</t>
  </si>
  <si>
    <t>EP RUKUNGU</t>
  </si>
  <si>
    <t>MURUNDI SECTOR</t>
  </si>
  <si>
    <t>GS SELESI</t>
  </si>
  <si>
    <t>G S KITAZIGURWA</t>
  </si>
  <si>
    <t>GS KIVUMU</t>
  </si>
  <si>
    <t>STUDENT</t>
  </si>
  <si>
    <t>JALI FINANCE</t>
  </si>
  <si>
    <t>EP ZINGA</t>
  </si>
  <si>
    <t>NYANZA A</t>
  </si>
  <si>
    <t>GS  KIZIGURO</t>
  </si>
  <si>
    <t>EP NEMBA 1</t>
  </si>
  <si>
    <t>GS GITOKI</t>
  </si>
  <si>
    <t>MUKARANGE SECTOR</t>
  </si>
  <si>
    <t>EP GISIZA</t>
  </si>
  <si>
    <t>SACCO KABARONDO</t>
  </si>
  <si>
    <t>015799240</t>
  </si>
  <si>
    <t>JUNIOR INEZA KIRENGA</t>
  </si>
  <si>
    <t>AGNES MUKAGASINGWA</t>
  </si>
  <si>
    <t>81/NAP24Q43/10340001/22/11/2025</t>
  </si>
  <si>
    <t>28/11/2025</t>
  </si>
  <si>
    <t>1/NAP25CD742/10340001/28/11/2025</t>
  </si>
  <si>
    <t>015990861</t>
  </si>
  <si>
    <t>2/NAP19X98/10340001/28/11/2025</t>
  </si>
  <si>
    <t>3/NAP25CG957/10340001/28/11/2025</t>
  </si>
  <si>
    <t>015906887</t>
  </si>
  <si>
    <t>4/NAP25CG963/10340001/28/11/2025</t>
  </si>
  <si>
    <t>015862961</t>
  </si>
  <si>
    <t>5/NAP25CG580/10340001/28/11/2025</t>
  </si>
  <si>
    <t>6/NAP25CG965/10340001/28/11/2025</t>
  </si>
  <si>
    <t>016003633</t>
  </si>
  <si>
    <t>7/NAP23CG29/10340001/28/11/2025</t>
  </si>
  <si>
    <t>10718465M</t>
  </si>
  <si>
    <t>8/NAP24CL21/10340001/28/11/2025</t>
  </si>
  <si>
    <t>015957695</t>
  </si>
  <si>
    <t>9/NAP21AZ76/10340001/28/11/2025</t>
  </si>
  <si>
    <t>00208577</t>
  </si>
  <si>
    <t>10/NAP18G19/10340001/28/11/2025</t>
  </si>
  <si>
    <t>0070364</t>
  </si>
  <si>
    <t>11/NAP20O55/10340001/28/11/2025</t>
  </si>
  <si>
    <t>19473615w</t>
  </si>
  <si>
    <t>12/NAP25BO34/10340001/28/11/2025</t>
  </si>
  <si>
    <t>015976507</t>
  </si>
  <si>
    <t>13/NAP20K55/10340001/28/11/2025</t>
  </si>
  <si>
    <t>015548189</t>
  </si>
  <si>
    <t>14/NAP21J10/10340001/28/11/2025</t>
  </si>
  <si>
    <t>10831564j</t>
  </si>
  <si>
    <t>15/NAP25BU52/10340001/28/11/2025</t>
  </si>
  <si>
    <t>015980477</t>
  </si>
  <si>
    <t>16/NAP25CG969/10340001/28/11/2025</t>
  </si>
  <si>
    <t>20084442G</t>
  </si>
  <si>
    <t>17/NAP24AS04/10340001/28/11/2025</t>
  </si>
  <si>
    <t>18/NAP19BF72/10340001/28/11/2025</t>
  </si>
  <si>
    <t>0075205</t>
  </si>
  <si>
    <t>19/NAP25Y79/10340001/28/11/2025</t>
  </si>
  <si>
    <t>19919802F</t>
  </si>
  <si>
    <t>20/NAP22BX29/10340001/28/11/2025</t>
  </si>
  <si>
    <t>015624866</t>
  </si>
  <si>
    <t>21/NAP23AM85/10340001/28/11/2025</t>
  </si>
  <si>
    <t>015858735</t>
  </si>
  <si>
    <t>22/NAP25CG975/10340001/28/11/2025</t>
  </si>
  <si>
    <t>015762464</t>
  </si>
  <si>
    <t>23/NAP23P26/10340001/28/11/2025</t>
  </si>
  <si>
    <t>015858736</t>
  </si>
  <si>
    <t>24/NAP22AF95/10340001/28/11/2025</t>
  </si>
  <si>
    <t>10683132T</t>
  </si>
  <si>
    <t>25/NAP22AF34/10340001/28/11/2025</t>
  </si>
  <si>
    <t>015753507</t>
  </si>
  <si>
    <t>26/NAP24F18/10340001/28/11/2025</t>
  </si>
  <si>
    <t>015934515</t>
  </si>
  <si>
    <t>27/NAP21DI61/10340001/28/11/2025</t>
  </si>
  <si>
    <t>015693591</t>
  </si>
  <si>
    <t>28/NAP25CG979/10340001/28/11/2025</t>
  </si>
  <si>
    <t>016003223</t>
  </si>
  <si>
    <t>29/NAP24I88/10340001/28/11/2025</t>
  </si>
  <si>
    <t>009836802</t>
  </si>
  <si>
    <t>30/NAP22CU23/10340001/28/11/2025</t>
  </si>
  <si>
    <t>015867190</t>
  </si>
  <si>
    <t>31/NAP25CD34/10340001/28/11/2025</t>
  </si>
  <si>
    <t>015991964</t>
  </si>
  <si>
    <t>32/NAP24AM69/10340001/28/11/2025</t>
  </si>
  <si>
    <t>19613478K</t>
  </si>
  <si>
    <t>33/NAP24BK54/10340001/28/11/2025</t>
  </si>
  <si>
    <t>20254898B</t>
  </si>
  <si>
    <t>34/NAP24CJ37/10340001/28/11/2025</t>
  </si>
  <si>
    <t>0075188</t>
  </si>
  <si>
    <t>35/NAP24CF05/10340001/28/11/2025</t>
  </si>
  <si>
    <t>0153572</t>
  </si>
  <si>
    <t>36/NAP23BZ95/10340001/28/11/2025</t>
  </si>
  <si>
    <t>015859706</t>
  </si>
  <si>
    <t>37/NAP25CG988/10340001/28/11/2025</t>
  </si>
  <si>
    <t>20319062D</t>
  </si>
  <si>
    <t>38/NAP22Z77/10340001/28/11/2025</t>
  </si>
  <si>
    <t>0108353</t>
  </si>
  <si>
    <t>39/NAP25CG985/10340001/28/11/2025</t>
  </si>
  <si>
    <t>015865202</t>
  </si>
  <si>
    <t>40/NAP20BB50/10340001/28/11/2025</t>
  </si>
  <si>
    <t>015571654</t>
  </si>
  <si>
    <t>41/NAP23Q45/10340001/28/11/2025</t>
  </si>
  <si>
    <t>19880879L</t>
  </si>
  <si>
    <t>42/NAP25W13/10340001/28/11/2025</t>
  </si>
  <si>
    <t>19997457x</t>
  </si>
  <si>
    <t>43/NAP24CM35/10340001/28/11/2025</t>
  </si>
  <si>
    <t>015871620</t>
  </si>
  <si>
    <t>44/NAP25AG46/10340001/28/11/2025</t>
  </si>
  <si>
    <t>015819318</t>
  </si>
  <si>
    <t>45/NAP20X41/10340001/28/11/2025</t>
  </si>
  <si>
    <t>46/NAP21AV74/10340001/28/11/2025</t>
  </si>
  <si>
    <t>015616577</t>
  </si>
  <si>
    <t>47/NAP25CG991/10340001/28/11/2025</t>
  </si>
  <si>
    <t>015997251</t>
  </si>
  <si>
    <t>48/NAP19BD58/10340001/28/11/2025</t>
  </si>
  <si>
    <t>49/NAP25CF551/10340001/28/11/2025</t>
  </si>
  <si>
    <t>015983004</t>
  </si>
  <si>
    <t>50/NAP19C15/10340001/28/11/2025</t>
  </si>
  <si>
    <t>0014286</t>
  </si>
  <si>
    <t>51/NAP25CD578/10340001/28/11/2025</t>
  </si>
  <si>
    <t>015990829</t>
  </si>
  <si>
    <t>52/NAP25CG994/10340001/28/11/2025</t>
  </si>
  <si>
    <t>015885569</t>
  </si>
  <si>
    <t>53/NAP21AM08/10340001/28/11/2025</t>
  </si>
  <si>
    <t>54/NAP19AQ23/10340001/28/11/2025</t>
  </si>
  <si>
    <t>015723997</t>
  </si>
  <si>
    <t>55/NAP19V76/10340001/28/11/2025</t>
  </si>
  <si>
    <t>56/NAP23CG14/10340001/28/11/2025</t>
  </si>
  <si>
    <t>015864647</t>
  </si>
  <si>
    <t>57/NAP19Y98/10340001/28/11/2025</t>
  </si>
  <si>
    <t>000059800</t>
  </si>
  <si>
    <t>58/NAP23BN78/10340001/28/11/2025</t>
  </si>
  <si>
    <t>19702702m</t>
  </si>
  <si>
    <t>59/NAP25CG996/10340001/28/11/2025</t>
  </si>
  <si>
    <t>015977973</t>
  </si>
  <si>
    <t>60/NAP25AE30/10340001/28/11/2025</t>
  </si>
  <si>
    <t>20557194G</t>
  </si>
  <si>
    <t>61/NAP24CP02/10340001/28/11/2025</t>
  </si>
  <si>
    <t>19962059J</t>
  </si>
  <si>
    <t>62/NAP25Z69/10340001/28/11/2025</t>
  </si>
  <si>
    <t>015970172</t>
  </si>
  <si>
    <t>63/NAP21CW81/10340001/28/11/2025</t>
  </si>
  <si>
    <t>64/NAP25K48/10340001/28/11/2025</t>
  </si>
  <si>
    <t>015223001</t>
  </si>
  <si>
    <t>65/NAP23CN76/10340001/28/11/2025</t>
  </si>
  <si>
    <t>015614677</t>
  </si>
  <si>
    <t>66/NAP25CH02/10340001/28/11/2025</t>
  </si>
  <si>
    <t>016002735</t>
  </si>
  <si>
    <t>67/NAP25CH04/10340001/28/11/2025</t>
  </si>
  <si>
    <t>015912504</t>
  </si>
  <si>
    <t>68/NAP19AE72/10340001/28/11/2025</t>
  </si>
  <si>
    <t>015697626</t>
  </si>
  <si>
    <t>69/NAP23BY85/10340001/28/11/2025</t>
  </si>
  <si>
    <t>015905832</t>
  </si>
  <si>
    <t>70/NAP24CB53/10340001/28/11/2025</t>
  </si>
  <si>
    <t>015850734</t>
  </si>
  <si>
    <t>71/NAP23CK04/10340001/28/11/2025</t>
  </si>
  <si>
    <t>015889381</t>
  </si>
  <si>
    <t>72/NAP25CH12/10340001/28/11/2025</t>
  </si>
  <si>
    <t>015992583</t>
  </si>
  <si>
    <t>73/NAP20Q89/10340001/28/11/2025</t>
  </si>
  <si>
    <t>74/NAP22CR25/10340001/28/11/2025</t>
  </si>
  <si>
    <t xml:space="preserve"> 19958520W</t>
  </si>
  <si>
    <t>75/NAP22CF87/10340001/28/11/2025</t>
  </si>
  <si>
    <t>015722418</t>
  </si>
  <si>
    <t>76/NAP25AR96/10340001/28/11/2025</t>
  </si>
  <si>
    <t>015974526</t>
  </si>
  <si>
    <t>77/NAP24CN50/10340001/28/11/2025</t>
  </si>
  <si>
    <t>015791427</t>
  </si>
  <si>
    <t>78/NAP21CR33/10340001/28/11/2025</t>
  </si>
  <si>
    <t>015740099</t>
  </si>
  <si>
    <t>79/NAP23CL86/10340001/28/11/2025</t>
  </si>
  <si>
    <t>015916860</t>
  </si>
  <si>
    <t>80/NAP22G96/10340001/28/11/2025</t>
  </si>
  <si>
    <t>81/NAP22AN83/10340001/28/11/2025</t>
  </si>
  <si>
    <t>015798298</t>
  </si>
  <si>
    <t>ISHIMWE BENSON GANZA</t>
  </si>
  <si>
    <t>CYOMORO ATETE GIANNA</t>
  </si>
  <si>
    <t>CYIZERE CLAUDETTE</t>
  </si>
  <si>
    <t>NOLAN IHIRWE AMIR</t>
  </si>
  <si>
    <t>NYIRANTEBUKA CHANTAL</t>
  </si>
  <si>
    <t>ISHAMI NYARWAYA ALL EURADE</t>
  </si>
  <si>
    <t>MUKAZUZI JOYCE</t>
  </si>
  <si>
    <t>MUTANOGA BERCHMAS</t>
  </si>
  <si>
    <t>NYIRAMASENGESHO CHANTAL</t>
  </si>
  <si>
    <t>ANGE RITA SANO</t>
  </si>
  <si>
    <t>LENIS DARCY INEZA</t>
  </si>
  <si>
    <t>NAMARA OLIVER</t>
  </si>
  <si>
    <t>IRADUKUNDA SOLANGE</t>
  </si>
  <si>
    <t>NIYONIZEYE ANASTASE</t>
  </si>
  <si>
    <t>NIYIGENA ROSIANE</t>
  </si>
  <si>
    <t>GIHOZO PHIONA</t>
  </si>
  <si>
    <t>EMMA SALOME ITABAZA</t>
  </si>
  <si>
    <t>MUTSINZI GISA NELLY</t>
  </si>
  <si>
    <t>SALEM GENUINE IRISA</t>
  </si>
  <si>
    <t>JEANNETTE MAHORO</t>
  </si>
  <si>
    <t>BYIRINGIRO IRAKOZE NAOME</t>
  </si>
  <si>
    <t>JAYDEN DAVEN BYIRINGIRO</t>
  </si>
  <si>
    <t>SANGWA AGABA DARIUS</t>
  </si>
  <si>
    <t>YVAN BYISHIMO MANZI</t>
  </si>
  <si>
    <t>KUBWIMANA MUCYO</t>
  </si>
  <si>
    <t>BERNICE IGANZE WILLA</t>
  </si>
  <si>
    <t>RACHEL UWIRAGIYE</t>
  </si>
  <si>
    <t>UWIZEYIMANA RUTH</t>
  </si>
  <si>
    <t>EMERANCE MAHORO</t>
  </si>
  <si>
    <t>CYIZANYE EVELYNE</t>
  </si>
  <si>
    <t>UMWALI PERPETUE NYIRANKWARE</t>
  </si>
  <si>
    <t>RAMOS MIHIGO SHAMI</t>
  </si>
  <si>
    <t>MUSHIMIYIMANA ESTHER</t>
  </si>
  <si>
    <t>MUTUYEMUNGU JEANNE CARINE</t>
  </si>
  <si>
    <t>HANNAH ORNELLA IGABE</t>
  </si>
  <si>
    <t>THIERY ISHIMWE BANGO</t>
  </si>
  <si>
    <t>NABAGWIRA SANDRINA</t>
  </si>
  <si>
    <t>ILDEPHONSE SEMANA</t>
  </si>
  <si>
    <t>IREBE LANIA</t>
  </si>
  <si>
    <t>UWITONZE JEANNINE</t>
  </si>
  <si>
    <t>DIVINE KAMARIZA</t>
  </si>
  <si>
    <t>AMORA BLESSING MUCYO</t>
  </si>
  <si>
    <t>EUDORA SANTANA ATONE CAMI</t>
  </si>
  <si>
    <t>NTIRANDEKURA SCHADRAC</t>
  </si>
  <si>
    <t>MARIE AIMEE UWAYISABA</t>
  </si>
  <si>
    <t>PRINCE INEZA</t>
  </si>
  <si>
    <t>TUYUBAHE .</t>
  </si>
  <si>
    <t>MANIRAMPA ALINE</t>
  </si>
  <si>
    <t>LAVINIA AGWIZE MUNEZERO</t>
  </si>
  <si>
    <t>UWIBAMBE ANATOLIE</t>
  </si>
  <si>
    <t>UMUGANWANYAGATARE DIANE</t>
  </si>
  <si>
    <t>INGENZI BRAVE</t>
  </si>
  <si>
    <t>TUYISABE YVONNE</t>
  </si>
  <si>
    <t>NIYIGENA JANVIERE</t>
  </si>
  <si>
    <t>LUANGE BRIELLA ITUZE</t>
  </si>
  <si>
    <t>NADA CHELSEA IHIRWE</t>
  </si>
  <si>
    <t>SHEMA GEORGE JASPER GAHAMANYI</t>
  </si>
  <si>
    <t>IAN BLESS ABE GISA</t>
  </si>
  <si>
    <t>NYIRABATSINDA GRACE</t>
  </si>
  <si>
    <t>HAKIZAMUNGU BRUCE HERITIER</t>
  </si>
  <si>
    <t>ANGE GRETA IRANEJEJE</t>
  </si>
  <si>
    <t>MANZI ALAN</t>
  </si>
  <si>
    <t>LEV HUGUES ASHIMWE</t>
  </si>
  <si>
    <t>PARIS ARMELLA MUTABAZI</t>
  </si>
  <si>
    <t>CYPRIEN HASHAKIMANA</t>
  </si>
  <si>
    <t>UWAMAHORO WINNY</t>
  </si>
  <si>
    <t>AKEZA GILANA KEILLA LILY</t>
  </si>
  <si>
    <t>UWANYIRIGIRA GERARDINE</t>
  </si>
  <si>
    <t>MUJYANAMA HANAH</t>
  </si>
  <si>
    <t>ELIANA IGANZE</t>
  </si>
  <si>
    <t>GATARAYIHA INEZA OLIVIA</t>
  </si>
  <si>
    <t>BICAMUMPAKA SAMSON</t>
  </si>
  <si>
    <t>GUSEKA MPUNZI INNOCENT</t>
  </si>
  <si>
    <t>FAUSTA MUJAWAMARIYA</t>
  </si>
  <si>
    <t>ANGE UWANYIRIGIRA</t>
  </si>
  <si>
    <t>FLORENCE MANIRARORA</t>
  </si>
  <si>
    <t>NYANDWI APHRODIS</t>
  </si>
  <si>
    <t>EMMANUEL HABARUREMA</t>
  </si>
  <si>
    <t>TUYISENGE ALPHONSINE</t>
  </si>
  <si>
    <t>NIYONSENGA EMMANUEL</t>
  </si>
  <si>
    <t>JEAN DE DIEU MUTSINZI</t>
  </si>
  <si>
    <t>MAHORO  JEANNETTE</t>
  </si>
  <si>
    <t>MUJAWAJAMBO LILIOSE</t>
  </si>
  <si>
    <t>SERAPHINE NYIRANZABAMWITA</t>
  </si>
  <si>
    <t>KUBWIMANA LIONEL</t>
  </si>
  <si>
    <t>IMMACULEE MUKANYANDWI</t>
  </si>
  <si>
    <t>GERAS SINDAYIHEBA</t>
  </si>
  <si>
    <t>NYIRANKWARE UMWALI PERPETUE</t>
  </si>
  <si>
    <t>JEAN NEPOMUSCENE NSENGIYUMVA</t>
  </si>
  <si>
    <t>NDUNGUTSE JEAN PIERR</t>
  </si>
  <si>
    <t>NIYIBIZI MUHAMED</t>
  </si>
  <si>
    <t xml:space="preserve">MOHAMED NIYIBIZI </t>
  </si>
  <si>
    <t>HABINSHUTI JEAN CLAUDE</t>
  </si>
  <si>
    <t>FRED TUMUSIME</t>
  </si>
  <si>
    <t>ELIAS NZEYIMANA</t>
  </si>
  <si>
    <t>LEON NDAYISHIMIYE</t>
  </si>
  <si>
    <t>MARCELINE NIKUZE</t>
  </si>
  <si>
    <t>NKEZABAHIZI JEAN CLAUDE</t>
  </si>
  <si>
    <t>RUTH KABATESI</t>
  </si>
  <si>
    <t>NDAYISABA   JONAS</t>
  </si>
  <si>
    <t>ANITHA UWANYIRIGIRA</t>
  </si>
  <si>
    <t>EMMANUELLA NYIRANDAHINYURWA</t>
  </si>
  <si>
    <t>JULIENNE FALIDA MUTUYIMANA</t>
  </si>
  <si>
    <t>GAHAMANYI JEAN BAPTISTE</t>
  </si>
  <si>
    <t>MELANE MUTOKAMBALI</t>
  </si>
  <si>
    <t>DANIEL NDENGEYINTWARI</t>
  </si>
  <si>
    <t>HAKIZAMUNGU CYPRIEN</t>
  </si>
  <si>
    <t>GALLICAN RUSIGARIYE</t>
  </si>
  <si>
    <t xml:space="preserve">J DAMASCENE DUSHIMIMANA </t>
  </si>
  <si>
    <t>NAMBAJIMANA JEAN BUTOYI</t>
  </si>
  <si>
    <t>OLIVE MUZEYIMANA</t>
  </si>
  <si>
    <t>EP UMURAMVA</t>
  </si>
  <si>
    <t>GS MUHOZA1</t>
  </si>
  <si>
    <t>GS JURU TSS</t>
  </si>
  <si>
    <t>GS BUHABWA TSS</t>
  </si>
  <si>
    <t>GS GASETSA TSS</t>
  </si>
  <si>
    <t>EP TSIMA</t>
  </si>
  <si>
    <t>GS  NYAGASAMBU</t>
  </si>
  <si>
    <t>GS GITUKU</t>
  </si>
  <si>
    <t>MURAMBI CELL</t>
  </si>
  <si>
    <t>RSSBGAKENKE</t>
  </si>
  <si>
    <t>GS KAGEYO</t>
  </si>
  <si>
    <t>UR MUSANZE</t>
  </si>
  <si>
    <t>GS MWIRI</t>
  </si>
  <si>
    <t>EP KIBIMBA</t>
  </si>
  <si>
    <t>GS MURAMBO</t>
  </si>
  <si>
    <t>DON BOSCO KABARONDO</t>
  </si>
  <si>
    <t>GS KAMABUYE</t>
  </si>
  <si>
    <t>EP MUHURA</t>
  </si>
  <si>
    <t>G S RUBONA</t>
  </si>
  <si>
    <t>SACCA  KAYONZA</t>
  </si>
  <si>
    <t>CELL MBARARA</t>
  </si>
  <si>
    <t>E S HIGIRO</t>
  </si>
  <si>
    <t>MUGANO CELL</t>
  </si>
  <si>
    <t>APENA TSS</t>
  </si>
  <si>
    <t>29/11/2025</t>
  </si>
  <si>
    <t>1/NAP24BK71/10340001/29/11/2025</t>
  </si>
  <si>
    <t>015715476</t>
  </si>
  <si>
    <t>2/NAP25CH16/10340001/29/11/2025</t>
  </si>
  <si>
    <t>015884714</t>
  </si>
  <si>
    <t>3/NAP25O10/10340001/29/11/2025</t>
  </si>
  <si>
    <t>4/NAP19AL50/10340001/29/11/2025</t>
  </si>
  <si>
    <t>0141186</t>
  </si>
  <si>
    <t>5/NAP24DA05/10340001/29/11/2025</t>
  </si>
  <si>
    <t>015796760</t>
  </si>
  <si>
    <t>6/NAP22BJ27/10340001/29/11/2025</t>
  </si>
  <si>
    <t>015824374</t>
  </si>
  <si>
    <t>7/NAP25CE170/10340001/29/11/2025</t>
  </si>
  <si>
    <t>015994806</t>
  </si>
  <si>
    <t>8/NAP25CG659/10340001/29/11/2025</t>
  </si>
  <si>
    <t>9/NAP25CG684/10340001/29/11/2025</t>
  </si>
  <si>
    <t>10/NAP25AR97/10340001/29/11/2025</t>
  </si>
  <si>
    <t>015971365</t>
  </si>
  <si>
    <t>11/NAP25CH18/10340001/29/11/2025</t>
  </si>
  <si>
    <t>015979739</t>
  </si>
  <si>
    <t>12/NAP25CH19/10340001/29/11/2025</t>
  </si>
  <si>
    <t>20202926W</t>
  </si>
  <si>
    <t>13/NAP25CG430/10340001/29/11/2025</t>
  </si>
  <si>
    <t>14/NAP24AG11/10340001/29/11/2025</t>
  </si>
  <si>
    <t>015920127</t>
  </si>
  <si>
    <t>15/NAP25CD474/10340001/29/11/2025</t>
  </si>
  <si>
    <t>20091531N</t>
  </si>
  <si>
    <t>16/NAP24D99/10340001/29/11/2025</t>
  </si>
  <si>
    <t>015926641</t>
  </si>
  <si>
    <t>17/NAP22BL78/10340001/29/11/2025</t>
  </si>
  <si>
    <t>18/NAP19E36/10340001/29/11/2025</t>
  </si>
  <si>
    <t>19/NAP19AC98/10340001/29/11/2025</t>
  </si>
  <si>
    <t>015737841</t>
  </si>
  <si>
    <t>20/NAP25CH22/10340001/29/11/2025</t>
  </si>
  <si>
    <t>19959732H</t>
  </si>
  <si>
    <t>21/NAP25BJ33/10340001/29/11/2025</t>
  </si>
  <si>
    <t>015767799</t>
  </si>
  <si>
    <t>22/NAP24A13/10340001/29/11/2025</t>
  </si>
  <si>
    <t>23/NAP25CH28/10340001/29/11/2025</t>
  </si>
  <si>
    <t>015712896</t>
  </si>
  <si>
    <t>24/NAP24BL90/10340001/29/11/2025</t>
  </si>
  <si>
    <t>20255140Z</t>
  </si>
  <si>
    <t>25/NAP24BD92/10340001/29/11/2025</t>
  </si>
  <si>
    <t>20159058B</t>
  </si>
  <si>
    <t>26/NAP25CG694/10340001/29/11/2025</t>
  </si>
  <si>
    <t>27/NAP25BN72/10340001/29/11/2025</t>
  </si>
  <si>
    <t>28/NAP24BZ92/10340001/29/11/2025</t>
  </si>
  <si>
    <t>015941033</t>
  </si>
  <si>
    <t>29/NAP19C86/10340001/29/11/2025</t>
  </si>
  <si>
    <t>30/NAP19L48/10340001/29/11/2025</t>
  </si>
  <si>
    <t>31/NAP25CF27/10340001/29/11/2025</t>
  </si>
  <si>
    <t>0146498</t>
  </si>
  <si>
    <t>32/NAP25CG737/10340001/29/11/2025</t>
  </si>
  <si>
    <t>33/NAP24BP91/10340001/29/11/2025</t>
  </si>
  <si>
    <t>015946147</t>
  </si>
  <si>
    <t>34/NAP22CI45/10340001/29/11/2025</t>
  </si>
  <si>
    <t>19997001X</t>
  </si>
  <si>
    <t>35/NAP25CH34/10340001/29/11/2025</t>
  </si>
  <si>
    <t>20167760E</t>
  </si>
  <si>
    <t>36/NAP25CH36/10340001/29/11/2025</t>
  </si>
  <si>
    <t>015574578</t>
  </si>
  <si>
    <t>37/NAP18C95/10340001/29/11/2025</t>
  </si>
  <si>
    <t>0074106</t>
  </si>
  <si>
    <t>38/NAP25AL51/10340001/29/11/2025</t>
  </si>
  <si>
    <t>015972931</t>
  </si>
  <si>
    <t>39/NAP25CH39/10340001/29/11/2025</t>
  </si>
  <si>
    <t>015524703</t>
  </si>
  <si>
    <t>40/NAP25CF229/10340001/29/11/2025</t>
  </si>
  <si>
    <t>015960225</t>
  </si>
  <si>
    <t>41/NAP22BX66/10340001/29/11/2025</t>
  </si>
  <si>
    <t>015854678</t>
  </si>
  <si>
    <t>42/NAP20M44/10340001/29/11/2025</t>
  </si>
  <si>
    <t>10798950D</t>
  </si>
  <si>
    <t>43/NAP21AF79/10340001/29/11/2025</t>
  </si>
  <si>
    <t>015796856</t>
  </si>
  <si>
    <t>44/NAP24BN06/10340001/29/11/2025</t>
  </si>
  <si>
    <t>10660481s</t>
  </si>
  <si>
    <t>45/NAP21G80/10340001/29/11/2025</t>
  </si>
  <si>
    <t>46/NAP21AP73/10340001/29/11/2025</t>
  </si>
  <si>
    <t>0148703</t>
  </si>
  <si>
    <t>47/NAP24S95/10340001/29/11/2025</t>
  </si>
  <si>
    <t>015664208</t>
  </si>
  <si>
    <t>48/NAP21G80/10340001/29/11/2025</t>
  </si>
  <si>
    <t>49/NAP21AG21/10340001/29/11/2025</t>
  </si>
  <si>
    <t>015612569</t>
  </si>
  <si>
    <t>50/NAP19S03/10340001/29/11/2025</t>
  </si>
  <si>
    <t>015581656</t>
  </si>
  <si>
    <t>51/NAP21DS25/10340001/29/11/2025</t>
  </si>
  <si>
    <t>10358999G</t>
  </si>
  <si>
    <t>52/NAP24U27/10340001/29/11/2025</t>
  </si>
  <si>
    <t>11040502W</t>
  </si>
  <si>
    <t>53/NAP23CR35/10340001/29/11/2025</t>
  </si>
  <si>
    <t>007164000</t>
  </si>
  <si>
    <t>54/NAP25CE786/10340001/29/11/2025</t>
  </si>
  <si>
    <t>19993699G</t>
  </si>
  <si>
    <t>55/NAP24X16/10340001/29/11/2025</t>
  </si>
  <si>
    <t>56/NAP22N68/10340001/29/11/2025</t>
  </si>
  <si>
    <t>57/NAP21CF15/10340001/29/11/2025</t>
  </si>
  <si>
    <t>015759611</t>
  </si>
  <si>
    <t>58/NAP25CB49/10340001/29/11/2025</t>
  </si>
  <si>
    <t>015963894</t>
  </si>
  <si>
    <t>59/NAP24N41/10340001/29/11/2025</t>
  </si>
  <si>
    <t>015880275</t>
  </si>
  <si>
    <t>60/NAP25CH42/10340001/29/11/2025</t>
  </si>
  <si>
    <t>015862971</t>
  </si>
  <si>
    <t>61/NAP25CH44/10340001/29/11/2025</t>
  </si>
  <si>
    <t>20408288S</t>
  </si>
  <si>
    <t>62/NAP19P64/10340001/29/11/2025</t>
  </si>
  <si>
    <t>015580528</t>
  </si>
  <si>
    <t>63/NAP23O20/10340001/29/11/2025</t>
  </si>
  <si>
    <t>015868094</t>
  </si>
  <si>
    <t>64/NAP25CH48/10340001/29/11/2025</t>
  </si>
  <si>
    <t>10767643J</t>
  </si>
  <si>
    <t>65/NAP20F99/10340001/29/11/2025</t>
  </si>
  <si>
    <t>0152808</t>
  </si>
  <si>
    <t>66/NAP22CW75/10340001/29/11/2025</t>
  </si>
  <si>
    <t>10689479M</t>
  </si>
  <si>
    <t>67/NAP24CK90/10340001/29/11/2025</t>
  </si>
  <si>
    <t>0098454</t>
  </si>
  <si>
    <t>68/NAP23CG46/10340001/29/11/2025</t>
  </si>
  <si>
    <t>015914227</t>
  </si>
  <si>
    <t>69/NAP19D80/10340001/29/11/2025</t>
  </si>
  <si>
    <t>70/NAP20AT51/10340001/29/11/2025</t>
  </si>
  <si>
    <t>71/NAP24BD43/10340001/29/11/2025</t>
  </si>
  <si>
    <t>015933220</t>
  </si>
  <si>
    <t>72/NAP22CF97/10340001/29/11/2025</t>
  </si>
  <si>
    <t>015865662</t>
  </si>
  <si>
    <t>73/NAP24AC36/10340001/29/11/2025</t>
  </si>
  <si>
    <t>74/NAP25CH52/10340001/29/11/2025</t>
  </si>
  <si>
    <t>015973011</t>
  </si>
  <si>
    <t>75/NAP25BG86/10340001/29/11/2025</t>
  </si>
  <si>
    <t>015968601</t>
  </si>
  <si>
    <t>76/NAP23AK71/10340001/29/11/2025</t>
  </si>
  <si>
    <t>19918593B</t>
  </si>
  <si>
    <t>77/NAP25CF447/10340001/29/11/2025</t>
  </si>
  <si>
    <t>78/NAP25CH54/10340001/29/11/2025</t>
  </si>
  <si>
    <t>016002688</t>
  </si>
  <si>
    <t>79/NAP22AE63/10340001/29/11/2025</t>
  </si>
  <si>
    <t>11035659Z</t>
  </si>
  <si>
    <t>80/NAP21AB78/10340001/29/11/2025</t>
  </si>
  <si>
    <t>015720907</t>
  </si>
  <si>
    <t>INEZA JESSICA</t>
  </si>
  <si>
    <t>RAVEN IHOZO MUHIRE ORLY</t>
  </si>
  <si>
    <t>HAKIZIMANA SYLVAIN</t>
  </si>
  <si>
    <t>AIME NTWALI PABLO</t>
  </si>
  <si>
    <t>KYLIAN VINCENZO NEZA</t>
  </si>
  <si>
    <t>AMMAR AZLAN KUBWAYO BIGWI</t>
  </si>
  <si>
    <t>KAMALIZA KALISA IMPANO</t>
  </si>
  <si>
    <t>REINA INEZA GANZA</t>
  </si>
  <si>
    <t>MUGWANEZA ALPHONSINE</t>
  </si>
  <si>
    <t>ENZO WAYLON KIRENGA</t>
  </si>
  <si>
    <t>KANSIME ENIC</t>
  </si>
  <si>
    <t>BENIHIRWE FRANCOISE</t>
  </si>
  <si>
    <t>ALAIN GISLAIN MUHOZA</t>
  </si>
  <si>
    <t>OMER LOGAN AMATO</t>
  </si>
  <si>
    <t>NIRAGIRE ANGELIQUE</t>
  </si>
  <si>
    <t>AYAAN SUCCESS IRANGOSE</t>
  </si>
  <si>
    <t>DUSABAMAHORO CARINE</t>
  </si>
  <si>
    <t>VESTINE MUJAWAMARIYA</t>
  </si>
  <si>
    <t>JOSELINE AYINKAMIYE</t>
  </si>
  <si>
    <t>ALINE MUGISHA</t>
  </si>
  <si>
    <t>NYIRANDIMUBANZI CYIZERE ANASTASIE</t>
  </si>
  <si>
    <t>FOREVER NOLAN IMPANO NGENZI</t>
  </si>
  <si>
    <t>EPIPHANIE MUHAYEMARIYA</t>
  </si>
  <si>
    <t>AHISHAKIYE JULIENNE</t>
  </si>
  <si>
    <t>NIYONSENGA CHRISTELLA</t>
  </si>
  <si>
    <t>WILLIAM ASIIMWE</t>
  </si>
  <si>
    <t>ELION IRISA BISAMAZA</t>
  </si>
  <si>
    <t>NDANYUZWE APHRODIS</t>
  </si>
  <si>
    <t>BELLA SKYLA ISHIMWE</t>
  </si>
  <si>
    <t>VIVANT CHRISTOS IZERE</t>
  </si>
  <si>
    <t>NYIRABAKAMISHA DEODETTE</t>
  </si>
  <si>
    <t>IZERE DARREN RAEL</t>
  </si>
  <si>
    <t>FARANGA OSWALD</t>
  </si>
  <si>
    <t>MUTETERI GRACE</t>
  </si>
  <si>
    <t>REAGEN MUHIRE RWEMA</t>
  </si>
  <si>
    <t>UWIRINGIYIMANA JACQUELINE</t>
  </si>
  <si>
    <t>MUGABE ALLAN</t>
  </si>
  <si>
    <t>MURERWA CHRISTINE</t>
  </si>
  <si>
    <t>NDENGEYINKA CHRISTOPHE</t>
  </si>
  <si>
    <t>NYIRAMWIZA ODILE</t>
  </si>
  <si>
    <t>LITHA JOY CYUZUZO</t>
  </si>
  <si>
    <t>NYIRABAHIRE BEATRICE</t>
  </si>
  <si>
    <t>TUZO RAMYA BUGABO</t>
  </si>
  <si>
    <t>SHEILAH ITUZE AGANZE</t>
  </si>
  <si>
    <t>BETTER BRIAN AGAPE</t>
  </si>
  <si>
    <t>GLORIA UMUPFASONI</t>
  </si>
  <si>
    <t>IKUZO BRUNO</t>
  </si>
  <si>
    <t>EGINO AYAN IJABO NDIRAMIYE</t>
  </si>
  <si>
    <t>NYIRANSUHURWA ALINE</t>
  </si>
  <si>
    <t>FELIX HAGENIMANA</t>
  </si>
  <si>
    <t>OREST RUBAYIZA</t>
  </si>
  <si>
    <t>KABAYIZA HERVE NICKSON</t>
  </si>
  <si>
    <t>HUGUETTE AMIZERO MURANGIRA</t>
  </si>
  <si>
    <t>LANDRY JABO</t>
  </si>
  <si>
    <t>SHANELLA GASARO</t>
  </si>
  <si>
    <t>OTIS DILAN IRERA</t>
  </si>
  <si>
    <t>NIYITANGA JOB</t>
  </si>
  <si>
    <t>ANEILLA ABERWE GATAYIRE</t>
  </si>
  <si>
    <t>IGANZE AVI DYLAN</t>
  </si>
  <si>
    <t>NIYIBIZI PROVIDENCE</t>
  </si>
  <si>
    <t>JACQUELINE UWIMANA</t>
  </si>
  <si>
    <t>AGNES UWIRINGIYIMANA</t>
  </si>
  <si>
    <t>LUKIA NSHIMIYIMANA</t>
  </si>
  <si>
    <t>UWAAHORO FLORENCE</t>
  </si>
  <si>
    <t>ALPHONSINE MUGWANEZA</t>
  </si>
  <si>
    <t>NTIGURIRWA TIMOTH</t>
  </si>
  <si>
    <t>CYUZUZO ARLETTE</t>
  </si>
  <si>
    <t>THEOGENE NSENGIYUMVA</t>
  </si>
  <si>
    <t>OSUALD BARIGIRA</t>
  </si>
  <si>
    <t>MUHAYEMARIYA EPIPHANIE</t>
  </si>
  <si>
    <t>JUSTIN GASHENI</t>
  </si>
  <si>
    <t>ANET MUSIGWA</t>
  </si>
  <si>
    <t>JEANNE UKWIBISHAKA</t>
  </si>
  <si>
    <t>HENRY PIERRE ISHIMWE</t>
  </si>
  <si>
    <t>JEAN VIVANCE UKWIGIZE</t>
  </si>
  <si>
    <t>NZAYIZERA RODRIGUE</t>
  </si>
  <si>
    <t>MURAGIJIMANA PIERRE</t>
  </si>
  <si>
    <t>MUGABO  NAMARA  CHARLES</t>
  </si>
  <si>
    <t>KIRARIKA ALPRED</t>
  </si>
  <si>
    <t>NTIRUSHWAMABOKO ERIC</t>
  </si>
  <si>
    <t>FRED BUGABO</t>
  </si>
  <si>
    <t>YANKURIJE   MARIE LAURENCE</t>
  </si>
  <si>
    <t>SANDRINE NIYONGIRA</t>
  </si>
  <si>
    <t>MUKAMANA FRANCOISE</t>
  </si>
  <si>
    <t xml:space="preserve">GILBERT NDIRAMIYE </t>
  </si>
  <si>
    <t>YVETTE NYIRANEZA</t>
  </si>
  <si>
    <t>NYIRAHABIMANA ESTHER</t>
  </si>
  <si>
    <t>EVELYNE NIRAGIRE</t>
  </si>
  <si>
    <t>JAPHET NIYOMUKIZA</t>
  </si>
  <si>
    <t>JOVANIE UWIMBABAZI</t>
  </si>
  <si>
    <t>UWIMPAYE VALERIE</t>
  </si>
  <si>
    <t>HVP GATARA GIKONDO</t>
  </si>
  <si>
    <t>RSSB/GATSIBO</t>
  </si>
  <si>
    <t>EP BUGERA</t>
  </si>
  <si>
    <t>GS BUSHOBORA</t>
  </si>
  <si>
    <t>GS MATUMBA</t>
  </si>
  <si>
    <t>GS MURAMBI2</t>
  </si>
  <si>
    <t>ASSOCIATION MWANA UKUNDWA</t>
  </si>
  <si>
    <t>BYINZA CELL</t>
  </si>
  <si>
    <t>MWANUKUNDWA/ KAYONZA</t>
  </si>
  <si>
    <t>GS KUMURAVA</t>
  </si>
  <si>
    <t>EASTERN PROVINCE</t>
  </si>
  <si>
    <t>GS ADEGE GITUZA</t>
  </si>
  <si>
    <t>CYABAJWE CELL</t>
  </si>
  <si>
    <t>SACCA/KAYONZA</t>
  </si>
  <si>
    <t>MUHURA HEALT  CENTER</t>
  </si>
  <si>
    <t>G S KABUYA</t>
  </si>
  <si>
    <t>GS  AKABUNGA</t>
  </si>
  <si>
    <t>GS MUNINI</t>
  </si>
  <si>
    <t xml:space="preserve">P S MURAMBI 2 GATSIBO  </t>
  </si>
  <si>
    <t>CS RUGARI</t>
  </si>
  <si>
    <t>EP RUTONDE</t>
  </si>
  <si>
    <t>UR NYAGATARE CAMPUS</t>
  </si>
  <si>
    <t>EP GITSIMBA</t>
  </si>
  <si>
    <t>SSCCO KABARONDO</t>
  </si>
  <si>
    <t>NYAMIRAMA HEALTH CENTER</t>
  </si>
  <si>
    <t>015952441</t>
  </si>
  <si>
    <t>m</t>
  </si>
  <si>
    <t>FRED MUGISHA</t>
  </si>
  <si>
    <t>61/NAP25065/10340001/25/11/2025</t>
  </si>
  <si>
    <t>015642485</t>
  </si>
  <si>
    <t>DUSHIME ORA FLORISSE</t>
  </si>
  <si>
    <t>30/11/2025</t>
  </si>
  <si>
    <t>1/NAP22CC48/10340001/30/11/2025</t>
  </si>
  <si>
    <t>015848811</t>
  </si>
  <si>
    <t>2/NAP23BN03/10340001/30/11/2025</t>
  </si>
  <si>
    <t>0112697</t>
  </si>
  <si>
    <t>3/NAP21Z97/10340001/30/11/2025</t>
  </si>
  <si>
    <t>015787300</t>
  </si>
  <si>
    <t>4/NAP20AT51/10340001/30/11/2025</t>
  </si>
  <si>
    <t>5/NAP20AM92/10340001/30/11/2025</t>
  </si>
  <si>
    <t>6/NAP25CH62/10340001/30/11/2025</t>
  </si>
  <si>
    <t>015972923</t>
  </si>
  <si>
    <t>7/NAP25CH64/10340001/30/11/2025</t>
  </si>
  <si>
    <t>015843222</t>
  </si>
  <si>
    <t>8/NAP24CV06/10340001/30/11/2025</t>
  </si>
  <si>
    <t>015819320</t>
  </si>
  <si>
    <t>9/NAP23AB73/10340001/30/11/2025</t>
  </si>
  <si>
    <t>015873999</t>
  </si>
  <si>
    <t>10/NAP22D67/10340001/30/11/2025</t>
  </si>
  <si>
    <t>11/NAP24CZ99/10340001/30/11/2025</t>
  </si>
  <si>
    <t>19959205J</t>
  </si>
  <si>
    <t>12/NAP24BY24/10340001/30/11/2025</t>
  </si>
  <si>
    <t>015710366</t>
  </si>
  <si>
    <t>13/NAP24CE78/10340001/30/11/2025</t>
  </si>
  <si>
    <t>015515295</t>
  </si>
  <si>
    <t>14/NAP22CZ88/10340001/30/11/2025</t>
  </si>
  <si>
    <t>015871354</t>
  </si>
  <si>
    <t>15/NAP22BU69/10340001/30/11/2025</t>
  </si>
  <si>
    <t>015766934</t>
  </si>
  <si>
    <t>16/NAP25CH69/10340001/30/11/2025</t>
  </si>
  <si>
    <t>015966028</t>
  </si>
  <si>
    <t>17/NAP25CH70/10340001/30/11/2025</t>
  </si>
  <si>
    <t>19902263L</t>
  </si>
  <si>
    <t>18/NAP25CH72/10340001/30/11/2025</t>
  </si>
  <si>
    <t>015963884</t>
  </si>
  <si>
    <t>19/NAP25CH74/10340001/30/11/2025</t>
  </si>
  <si>
    <t>015865227</t>
  </si>
  <si>
    <t>20/NAP25BG24/10340001/30/11/2025</t>
  </si>
  <si>
    <t>015747166</t>
  </si>
  <si>
    <t>21/NAP25CH75/10340001/30/11/2025</t>
  </si>
  <si>
    <t>20392153F</t>
  </si>
  <si>
    <t>22/NAP24CU96/10340001/30/11/2025</t>
  </si>
  <si>
    <t>015964332</t>
  </si>
  <si>
    <t>23/NAP25CH78/10340001/30/11/2025</t>
  </si>
  <si>
    <t>24/NAP24AP48/10340001/30/11/2025</t>
  </si>
  <si>
    <t>015926774</t>
  </si>
  <si>
    <t>25/NAP25CH79/10340001/30/11/2025</t>
  </si>
  <si>
    <t>0062991</t>
  </si>
  <si>
    <t>26/NAP25Y01/10340001/30/11/2025</t>
  </si>
  <si>
    <t>015948163</t>
  </si>
  <si>
    <t>27/NAP20AI46/10340001/30/11/2025</t>
  </si>
  <si>
    <t>007645900</t>
  </si>
  <si>
    <t>28/NAP25CH81/10340001/30/11/2025</t>
  </si>
  <si>
    <t>015932870</t>
  </si>
  <si>
    <t>29/NAP25CD490/10340001/30/11/2025</t>
  </si>
  <si>
    <t>015861588</t>
  </si>
  <si>
    <t>30/NAP24BT36/10340001/30/11/2025</t>
  </si>
  <si>
    <t>015948713</t>
  </si>
  <si>
    <t>31/NAP25CH82/10340001/30/11/2025</t>
  </si>
  <si>
    <t>19424018R</t>
  </si>
  <si>
    <t>32/NAP25CG979/10340001/30/11/2025</t>
  </si>
  <si>
    <t>33/NAP25CH84/10340001/30/11/2025</t>
  </si>
  <si>
    <t>20395354M</t>
  </si>
  <si>
    <t>34/NAP25CH85/10340001/30/11/2025</t>
  </si>
  <si>
    <t>015817055</t>
  </si>
  <si>
    <t>35/NAP24AJ54/10340001/30/11/2025</t>
  </si>
  <si>
    <t>015808912</t>
  </si>
  <si>
    <t>36/NAP25CH87/10340001/30/11/2025</t>
  </si>
  <si>
    <t>015966425</t>
  </si>
  <si>
    <t>37/NAP19AN18/10340001/30/11/2025</t>
  </si>
  <si>
    <t>0070962</t>
  </si>
  <si>
    <t>38/NAP25CD749/10340001/30/11/2025</t>
  </si>
  <si>
    <t>015958959</t>
  </si>
  <si>
    <t>39/NAP25CH93/10340001/30/11/2025</t>
  </si>
  <si>
    <t>015827388</t>
  </si>
  <si>
    <t>40/NAP19U61/10340001/30/11/2025</t>
  </si>
  <si>
    <t>015725383</t>
  </si>
  <si>
    <t>41/NAP18G31/10340001/30/11/2025</t>
  </si>
  <si>
    <t>42/NAP23CB64/10340001/30/11/2025</t>
  </si>
  <si>
    <t>015769685</t>
  </si>
  <si>
    <t>43/NAP25CE542/10340001/30/11/2025</t>
  </si>
  <si>
    <t>015943091</t>
  </si>
  <si>
    <t>44/NAP19D71/10340001/30/11/2025</t>
  </si>
  <si>
    <t>015706740</t>
  </si>
  <si>
    <t>45/NAP22T05/10340001/30/11/2025</t>
  </si>
  <si>
    <t>015767785</t>
  </si>
  <si>
    <t>46/NAP25CH96/10340001/30/11/2025</t>
  </si>
  <si>
    <t>015623689</t>
  </si>
  <si>
    <t>47/NAP19P93/10340001/30/11/2025</t>
  </si>
  <si>
    <t>015712620</t>
  </si>
  <si>
    <t>48/NAP21P21/10340001/30/11/2025</t>
  </si>
  <si>
    <t>49/NAP25CG348/10340001/30/11/2025</t>
  </si>
  <si>
    <t>50/NAP22CJ07/10340001/30/11/2025</t>
  </si>
  <si>
    <t>19565555E</t>
  </si>
  <si>
    <t>51/NAP23I70/10340001/30/11/2025</t>
  </si>
  <si>
    <t>0153153</t>
  </si>
  <si>
    <t>52/NAP24AO09/10340001/30/11/2025</t>
  </si>
  <si>
    <t>015937777</t>
  </si>
  <si>
    <t>53/NAP25CH98/10340001/30/11/2025</t>
  </si>
  <si>
    <t>015908206</t>
  </si>
  <si>
    <t>54/NAP22BM63/10340001/30/11/2025</t>
  </si>
  <si>
    <t>55/NAP25BL93/10340001/30/11/2025</t>
  </si>
  <si>
    <t>56/NAP25BX52/10340001/30/11/2025</t>
  </si>
  <si>
    <t>015998942</t>
  </si>
  <si>
    <t>57/NAP25CH99/10340001/30/11/2025</t>
  </si>
  <si>
    <t>016000634</t>
  </si>
  <si>
    <t>58/NAP25BY06/10340001/30/11/2025</t>
  </si>
  <si>
    <t>59/NAP23BG08/10340001/30/11/2025</t>
  </si>
  <si>
    <t>60/NAP22BD27/10340001/30/11/2025</t>
  </si>
  <si>
    <t>61/NAP24BA52/10340001/30/11/2025</t>
  </si>
  <si>
    <t>015829512</t>
  </si>
  <si>
    <t>62/NAP19I75/10340001/30/11/2025</t>
  </si>
  <si>
    <t>11041072X</t>
  </si>
  <si>
    <t>63/NAP21C97/10340001/30/11/2025</t>
  </si>
  <si>
    <t>015630743</t>
  </si>
  <si>
    <t>64/NAP19BK17/10340001/30/11/2025</t>
  </si>
  <si>
    <t>015757407</t>
  </si>
  <si>
    <t>65/NAP23R06/10340001/30/11/2025</t>
  </si>
  <si>
    <t>015774863</t>
  </si>
  <si>
    <t>INEZA GISA CLOVIS</t>
  </si>
  <si>
    <t>TWAMBAZIMANA FLORIEN</t>
  </si>
  <si>
    <t>KARURANGA SHAMI ALDO</t>
  </si>
  <si>
    <t>SIMON HAKIZAMUNGU</t>
  </si>
  <si>
    <t>MUGABO MOHAMED</t>
  </si>
  <si>
    <t>IBYIMANA INTSINZI SAGE</t>
  </si>
  <si>
    <t>ANGE CYUZUZO ROSINE</t>
  </si>
  <si>
    <t>SERAPHINE BAWIGIRE</t>
  </si>
  <si>
    <t>ISIMBI HENRIETTE</t>
  </si>
  <si>
    <t>KEILA MUHIZI AGATESI</t>
  </si>
  <si>
    <t>CHRISTIAN MUHIZI</t>
  </si>
  <si>
    <t>GRACE INEZA UMUKUNZI</t>
  </si>
  <si>
    <t>ESTHER UWIMANA</t>
  </si>
  <si>
    <t>ALPHA IVA MUTSINZI SANGWA</t>
  </si>
  <si>
    <t>KIZZY AKARIZA NSINZI</t>
  </si>
  <si>
    <t>MONIQUE YAMURAGIYE</t>
  </si>
  <si>
    <t>ANTOINETTE MUTUYIMANA</t>
  </si>
  <si>
    <t>MUKASHYAKA ESPERANCE</t>
  </si>
  <si>
    <t>BEBE CLAUDETTE MUSHIMIYIMANA</t>
  </si>
  <si>
    <t>IGANZE HOPE</t>
  </si>
  <si>
    <t>ODETTE MUKABAGEMA</t>
  </si>
  <si>
    <t>IKUZWE HONETTE NOELLA</t>
  </si>
  <si>
    <t>GATURUTURU MUTWARE MATHIEU</t>
  </si>
  <si>
    <t>BIENVEILLANCE INEZA SENGWA</t>
  </si>
  <si>
    <t>INEZA TRACY</t>
  </si>
  <si>
    <t>TWIRINGIYIMANA EFRANCE</t>
  </si>
  <si>
    <t>MARIE CLAIRE UWINEMA</t>
  </si>
  <si>
    <t>BEBE GORETTE NYIRAMISIGARO</t>
  </si>
  <si>
    <t>BENIGNE INEZAYAYO ABACU</t>
  </si>
  <si>
    <t>ISHAMI HIRWA ALAN</t>
  </si>
  <si>
    <t>IVY ISHYA MILA</t>
  </si>
  <si>
    <t>RUGENGAMANZI DESIRE</t>
  </si>
  <si>
    <t>BEBE JACQUELINE MUTAMURIZA</t>
  </si>
  <si>
    <t>REGIS SANGWA INEZA</t>
  </si>
  <si>
    <t>KAYIRANGA MANZI THEOPHILE</t>
  </si>
  <si>
    <t>ASA FALLON NIYONSHIMA</t>
  </si>
  <si>
    <t>WITNESS YUBAHWE BARAKA</t>
  </si>
  <si>
    <t>GANZA ONESME</t>
  </si>
  <si>
    <t>JABO IRVIN DIOCLES</t>
  </si>
  <si>
    <t>HONORINE UMUTONIWASE</t>
  </si>
  <si>
    <t>NZIZA FREEGUY</t>
  </si>
  <si>
    <t>SYLIDIO SHUMBUSHO</t>
  </si>
  <si>
    <t>REINA CYANZU NSENGIMANA</t>
  </si>
  <si>
    <t>KEYNES JUNIOR NTWARI</t>
  </si>
  <si>
    <t>NIYITEGEKA JACQUES</t>
  </si>
  <si>
    <t>JULIUS TWAHIRWA</t>
  </si>
  <si>
    <t>DAN MUZORA</t>
  </si>
  <si>
    <t>BLANDINE DUKUZE</t>
  </si>
  <si>
    <t>AGANZE GRAINE</t>
  </si>
  <si>
    <t>CYUBAHIRO THEO BLAISE</t>
  </si>
  <si>
    <t>NYIRARUKUNDO JEANETTE</t>
  </si>
  <si>
    <t>SILAS MUNYAKAYANZA</t>
  </si>
  <si>
    <t>UWIMBABAZI FRORENCE</t>
  </si>
  <si>
    <t>VESTINE MUKANEZA</t>
  </si>
  <si>
    <t>FRANCINE</t>
  </si>
  <si>
    <t>BYIMANA DONATIEN</t>
  </si>
  <si>
    <t>TUGIRIMANA THEOGENE</t>
  </si>
  <si>
    <t>KAMANDA STAPIE</t>
  </si>
  <si>
    <t>JEANNE MUTARUTWA</t>
  </si>
  <si>
    <t xml:space="preserve">JEANNE MUTARUTWA </t>
  </si>
  <si>
    <t>JEAN BOSCO UMUKUNZI</t>
  </si>
  <si>
    <t>JEAN MARIE VIANNEY BARATURWANGO</t>
  </si>
  <si>
    <t>NAHIMANA JEAN CLAUDE</t>
  </si>
  <si>
    <t>GERARDINE MUHOZA</t>
  </si>
  <si>
    <t>NTAKIRUTIMANA VEDASTE</t>
  </si>
  <si>
    <t>TUMUSHABE MONIQUE</t>
  </si>
  <si>
    <t>SOPHIE NIYOMUGISHA</t>
  </si>
  <si>
    <t>KWITONDA EDMOND</t>
  </si>
  <si>
    <t>NTIBITURA JEAN CLAUDE</t>
  </si>
  <si>
    <t>GORETTE NYIRAMISIGARO</t>
  </si>
  <si>
    <t>LEONIDAS NTEZIMANA</t>
  </si>
  <si>
    <t>MUHIRWA ERASTE</t>
  </si>
  <si>
    <t>ERASTE MUHIRWA</t>
  </si>
  <si>
    <t>ARMEL NKERAGUTABARA</t>
  </si>
  <si>
    <t>KAYIRANGA ERNESTE</t>
  </si>
  <si>
    <t>DIANE UMUGANWA</t>
  </si>
  <si>
    <t>EDISSA BAMPIRE</t>
  </si>
  <si>
    <t>EGIDE NSENGIMANA</t>
  </si>
  <si>
    <t>MUKANDAYAMBAJE SYPHRONAIE</t>
  </si>
  <si>
    <t>CONJOINT</t>
  </si>
  <si>
    <t>KANTARAMA ANNET</t>
  </si>
  <si>
    <t>MUREKATETE DONATHA</t>
  </si>
  <si>
    <t>MUREKATETE  DONATHA</t>
  </si>
  <si>
    <t>KAYIRANGA FREDY</t>
  </si>
  <si>
    <t>GS SHYIRA</t>
  </si>
  <si>
    <t>EP RURENGE CTHOLIQUE</t>
  </si>
  <si>
    <t xml:space="preserve"> 	KIZIGURO HOSPITAL</t>
  </si>
  <si>
    <t>G S BUHABWA</t>
  </si>
  <si>
    <t>GS RUSUMO</t>
  </si>
  <si>
    <t>GS GISOZI</t>
  </si>
  <si>
    <t>EP KAWANGIRE PROTESTANT</t>
  </si>
  <si>
    <t>NYAMIRAMA TVET SCHOOL</t>
  </si>
  <si>
    <t>GS GISHAKA</t>
  </si>
  <si>
    <t>G S GIHINGA</t>
  </si>
  <si>
    <t>GS NYARUBUNGO</t>
  </si>
  <si>
    <t>GS RWESERO</t>
  </si>
  <si>
    <t>APENA TVET</t>
  </si>
  <si>
    <t>DIRECT AID</t>
  </si>
  <si>
    <t>TSS KIRAMURUZI</t>
  </si>
  <si>
    <t>EP GITENGA</t>
  </si>
  <si>
    <t>GS MUBUGA TSS</t>
  </si>
  <si>
    <t>KIREHE  DISTRICT</t>
  </si>
  <si>
    <t>GS SHYOROGI</t>
  </si>
  <si>
    <t>RESERVE FORCE</t>
  </si>
  <si>
    <t>19711054W</t>
  </si>
  <si>
    <t>GS NKONDO</t>
  </si>
  <si>
    <t>015992057</t>
  </si>
  <si>
    <t>GS MUAKARANGE</t>
  </si>
  <si>
    <t>015928014</t>
  </si>
  <si>
    <t>ARIANA DAVILLA IZERE</t>
  </si>
  <si>
    <t>63/NAP24AT43/10340001/01/11/2025</t>
  </si>
  <si>
    <t>71/NAP24AT43/10340001/01/11/2025</t>
  </si>
  <si>
    <t>77/NAP25CA74/10340001/03/11/2025</t>
  </si>
  <si>
    <t>55/NAP24AO23/10340001/04/11/2025</t>
  </si>
  <si>
    <t>56/NAP24AT43/10340001/04/11/2025</t>
  </si>
  <si>
    <t>57/NAP24F39/10340001/04/11/2025</t>
  </si>
  <si>
    <t>58/NAP21AT46/10340001/04/11/2025</t>
  </si>
  <si>
    <t>59/NAP25CA74/10340001/04/11/2025</t>
  </si>
  <si>
    <t>60/NAP25AL17/10340001/04/11/2025</t>
  </si>
  <si>
    <t>61/NAP22CE68/10340001/04/11/2025</t>
  </si>
  <si>
    <t>62/NAP25CF717/10340001/04/11/2025</t>
  </si>
  <si>
    <t>31/NAP25G46/10340001/05/11/2025</t>
  </si>
  <si>
    <t>32/NAP23AV34/10340001/05/11/2025</t>
  </si>
  <si>
    <t>33/NAP19K20/10340001/05/11/2025</t>
  </si>
  <si>
    <t>34/NAP25CF909/10340001/05/11/2025</t>
  </si>
  <si>
    <t>35/NAP19AZ95/10340001/05/11/2025</t>
  </si>
  <si>
    <t>36/NAP22L02/10340001/05/11/2025</t>
  </si>
  <si>
    <t>37/NAP24BB98/10340001/05/11/2025</t>
  </si>
  <si>
    <t>38/NAP21CT08/10340001/05/11/2025</t>
  </si>
  <si>
    <t>39/NAP25Q44/10340001/05/11/2025</t>
  </si>
  <si>
    <t>40/NAP19Z55/10340001/05/11/2025</t>
  </si>
  <si>
    <t>41/NAP22AU51/10340001/05/11/2025</t>
  </si>
  <si>
    <t>42/NAP25CF918/10340001/05/11/2025</t>
  </si>
  <si>
    <t>43/NAP24CB80/10340001/05/11/2025</t>
  </si>
  <si>
    <t>44/NAP24AL77/10340001/05/11/2025</t>
  </si>
  <si>
    <t>45/NAP25AC42/10340001/05/11/2025</t>
  </si>
  <si>
    <t>46/NAP19V54/10340001/05/11/2025</t>
  </si>
  <si>
    <t>47/NAP20Y82/10340001/05/11/2025</t>
  </si>
  <si>
    <t>48/NAP21DB56/10340001/05/11/2025</t>
  </si>
  <si>
    <t>49/NAP23I28/10340001/05/11/2025</t>
  </si>
  <si>
    <t>50/NAP24AK23/10340001/05/11/2025</t>
  </si>
  <si>
    <t>51/NAP23BH22/10340001/05/11/2025</t>
  </si>
  <si>
    <t>52/NAP19AG79/10340001/05/11/2025</t>
  </si>
  <si>
    <t>53/NAP19AF79/10340001/05/11/2025</t>
  </si>
  <si>
    <t>54/NAP23CM84/10340001/05/11/2025</t>
  </si>
  <si>
    <t>55/NAP20AR85/10340001/05/11/2025</t>
  </si>
  <si>
    <t>56/NAP21L65/10340001/05/11/2025</t>
  </si>
  <si>
    <t>48/NAP25AG99/10340001/06/11/2025</t>
  </si>
  <si>
    <t>49/NAP25CF981/10340001/06/11/2025</t>
  </si>
  <si>
    <t>50/NAP25CF983/10340001/06/11/2025</t>
  </si>
  <si>
    <t>51/NAP21AQ58/10340001/06/11/2025</t>
  </si>
  <si>
    <t>52/NAP21DN67/10340001/06/11/2025</t>
  </si>
  <si>
    <t>53/NAP19E42/10340001/06/11/2025</t>
  </si>
  <si>
    <t>55/NAP21L65/10340001/06/11/2025</t>
  </si>
  <si>
    <t>56/NAP20AI30/10340001/06/11/2025</t>
  </si>
  <si>
    <t>57/NAP22CP91/10340001/06/11/2025</t>
  </si>
  <si>
    <t>58/NAP22CF829/10340001/06/11/2025</t>
  </si>
  <si>
    <t>59/NAP24AO23/10340001/06/11/2025</t>
  </si>
  <si>
    <t>60/NAP20Y82/10340001/06/11/2025</t>
  </si>
  <si>
    <t>59/NAP21L65/10340001/07/11/2025</t>
  </si>
  <si>
    <t>60/NAP20Y82/10340001/07/11/2025</t>
  </si>
  <si>
    <t>61/NAP25N20/10340001/07/11/2025</t>
  </si>
  <si>
    <t>62/NAP25CF829/10340001/07/11/2025</t>
  </si>
  <si>
    <t>63/NAP20AI30/10340001/07/11/2025</t>
  </si>
  <si>
    <t>64/NAP24CB80/10340001/07/11/2025</t>
  </si>
  <si>
    <t>50/NAP21L65/10340001/08/11/2025</t>
  </si>
  <si>
    <t>51/NAP25Y41/10340001/08/11/2025</t>
  </si>
  <si>
    <t>52/NAP25N20/10340001/08/11/2025</t>
  </si>
  <si>
    <t>61/NAP25Y41/10340001/09/11/2025</t>
  </si>
  <si>
    <t>62/NAP25CF332/10340001/09/11/2025</t>
  </si>
  <si>
    <t>89/NAP25CG149/10340001/10/11/2025</t>
  </si>
  <si>
    <t>90/NAP21DA24/10340001/10/11/2025</t>
  </si>
  <si>
    <t>91/NAP21N26/10340001/10/11/2025</t>
  </si>
  <si>
    <t>92/NAP25P94/10340001/10/11/2025</t>
  </si>
  <si>
    <t>93/NAP25CF332/10340001/10/11/2025</t>
  </si>
  <si>
    <t>55/NAP23CQ76/10340001/12/11/2025</t>
  </si>
  <si>
    <t>56/NAP25AK90/10340001/12/11/2025</t>
  </si>
  <si>
    <t>57/NAP22AN96/10340001/12/11/2025</t>
  </si>
  <si>
    <t>58/NAP21DA24/10340001/12/11/2025</t>
  </si>
  <si>
    <t>59/NAP21N26/10340001/12/11/2025</t>
  </si>
  <si>
    <t>60/NAP25P94/10340001/12/11/2025</t>
  </si>
  <si>
    <t>61/NAP23BV58/10340001/12/11/2025</t>
  </si>
  <si>
    <t>62/NAP24CP27/10340001/12/11/2025</t>
  </si>
  <si>
    <t>63/NAP22BO94/10340001/12/11/2025</t>
  </si>
  <si>
    <t>64/NAP23AR13/10340001/12/11/2025</t>
  </si>
  <si>
    <t>66/NAP224CP27/10340001/13/11/2025</t>
  </si>
  <si>
    <t>67/NAP22BO94/10340001/13/11/2025</t>
  </si>
  <si>
    <t>68/NAP25CF580/10340001/13/11/2025</t>
  </si>
  <si>
    <t>69/NAP23CQ76/10340001/13/11/2025</t>
  </si>
  <si>
    <t>70/NAP25AK90/10340001/13/11/2025</t>
  </si>
  <si>
    <t>64/NAP25CF708/10340001/14/11/2025</t>
  </si>
  <si>
    <t>65/NAP19A57/10340001/14/11/2025</t>
  </si>
  <si>
    <t>66/NAP25CG303/10340001/14/11/2025</t>
  </si>
  <si>
    <t>67/NAP25AK90/10340001/14/11/2025</t>
  </si>
  <si>
    <t>49/NAP25CA44/10340001/15/11/2025</t>
  </si>
  <si>
    <t>50/NAP25CF708/10340001/15/11/2025</t>
  </si>
  <si>
    <t>51/NAP19A57/10340001/15/11/2025</t>
  </si>
  <si>
    <t>75/NAP24M84/10340001/18/11/2025</t>
  </si>
  <si>
    <t>76/NAP25CG454/10340001/18/11/2025</t>
  </si>
  <si>
    <t>77/NAP22V18/10340001/18/11/2025</t>
  </si>
  <si>
    <t>78/NAP23AW26/10340001/18/11/2025</t>
  </si>
  <si>
    <t>79/NAP19AH13/10340001/18/11/2025</t>
  </si>
  <si>
    <t>59/NAP21CJ69/10340001/19/11/2025</t>
  </si>
  <si>
    <t>60/NAP24M84/10340001/19/11/2025</t>
  </si>
  <si>
    <t>61/NAP25CF15/10340001/19/11/2025</t>
  </si>
  <si>
    <t>62/NAP25CG454/10340001/19/11/2025</t>
  </si>
  <si>
    <t>63/NAP22V18/10340001/19/11/2025</t>
  </si>
  <si>
    <t>64/NAP23AW26/10340001/19/11/2025</t>
  </si>
  <si>
    <t>54/NAP21CJ69/10340001/20/11/2025</t>
  </si>
  <si>
    <t>55/NAP24M84/10340001/20/11/2025</t>
  </si>
  <si>
    <t>56/NAP25CF15/10340001/20/11/2025</t>
  </si>
  <si>
    <t>57/NAP25V11/10340001/20/11/2025</t>
  </si>
  <si>
    <t>73/NAP25x26/10340001/23/11/2025</t>
  </si>
  <si>
    <t>74/NAP24Q43/10340001/23/11/2025</t>
  </si>
  <si>
    <t>75/NAP25BB02/10340001/23/11/2025</t>
  </si>
  <si>
    <t>97/NAP25X46/10340001/24/11/2025</t>
  </si>
  <si>
    <t>98/NAP25O65/10340001/24/11/2025</t>
  </si>
  <si>
    <t>99/NAP22BC49/10340001/24/11/2025</t>
  </si>
  <si>
    <t>joseph nagashema</t>
  </si>
  <si>
    <t>GS GIHIGA</t>
  </si>
  <si>
    <t>20269569Y</t>
  </si>
  <si>
    <t>GATO ISSA</t>
  </si>
  <si>
    <t>REG KABARORE</t>
  </si>
  <si>
    <t>63/NAP19L49/10340001/26/11/2025</t>
  </si>
  <si>
    <t>64/NAP24ci67/10340001/26/11/2025</t>
  </si>
  <si>
    <t>65/NAP24CV75/10340001/26/11/2025</t>
  </si>
  <si>
    <t>66/NAP24AL53/10340001/26/11/2025</t>
  </si>
  <si>
    <t>67/NAP23D97/10340001/26/11/2025</t>
  </si>
  <si>
    <t>68/NAP25X46/10340001/26/11/2025</t>
  </si>
  <si>
    <t>69/NAP24S39/10340001/26/11/2025</t>
  </si>
  <si>
    <t>70/NAP24J73/10340001/26/11/2025</t>
  </si>
  <si>
    <t>71/NAP19P09/10340001/26/11/2025</t>
  </si>
  <si>
    <t>72/NAP25CG814/10340001/26/11/2025</t>
  </si>
  <si>
    <t>73/NAP24AW21/10340001/26/11/2025</t>
  </si>
  <si>
    <t>74/NAP25A94/10340001/26/11/2025</t>
  </si>
  <si>
    <t>75/NAP25BK61/10340001/26/11/2025</t>
  </si>
  <si>
    <t>69/NAP24J30/10340001/27/11/2025</t>
  </si>
  <si>
    <t>70/NAP25BB02/10340001/27/11/2025</t>
  </si>
  <si>
    <t>71/NAP19AL49/10340001/27/11/2025</t>
  </si>
  <si>
    <t>72/NAP25X46/10340001/27/11/2025</t>
  </si>
  <si>
    <t>73/NAP23BX28/10340001/27/11/2025</t>
  </si>
  <si>
    <t>74/NAP25AN17/10340001/27/11/2025</t>
  </si>
  <si>
    <t>75/NAP25CG814/10340001/27/11/2025</t>
  </si>
  <si>
    <t>76/NAP24AL53/10340001/27/11/2025</t>
  </si>
  <si>
    <t>77/NAP24CJ67/10340001/27/11/2025</t>
  </si>
  <si>
    <t>78/NAP24CV75/10340001/27/11/2025</t>
  </si>
  <si>
    <t>82/NAP25AM56/10340001/28/11/2025</t>
  </si>
  <si>
    <t>83/NAP24J30/10340001/28/11/2025</t>
  </si>
  <si>
    <t>84/NAP19AL49/10340001/28/11/2025</t>
  </si>
  <si>
    <t>85/NAP25X46/10340001/28/11/2025</t>
  </si>
  <si>
    <t>86/NAP24CJ67/10340001/28/11/2025</t>
  </si>
  <si>
    <t>87/NAP24CV75/10340001/28/11/2025</t>
  </si>
  <si>
    <t>88/NAP24AL53/10340001/28/11/2025</t>
  </si>
  <si>
    <t>89/NAP25BB02/10340001/28/11/2025</t>
  </si>
  <si>
    <t>81/NAP25CF09/10340001/29/11/2025</t>
  </si>
  <si>
    <t>82/NAP24CM35/10340001/29/11/2025</t>
  </si>
  <si>
    <t>83/NAP25X46/10340001/29/11/2025</t>
  </si>
  <si>
    <t>84/NAP25AM56/10340001/29/11/2025</t>
  </si>
  <si>
    <t>85/NAP25BB02/10340001/29/11/2025</t>
  </si>
  <si>
    <t>86/NAP24AL53/10340001/29/11/2025</t>
  </si>
  <si>
    <t>006749001</t>
  </si>
  <si>
    <t>GIRAMATA KEVINE</t>
  </si>
  <si>
    <t>MUKANDORI DOMITHILE</t>
  </si>
  <si>
    <t>GS KABIRA</t>
  </si>
  <si>
    <t>TWIZEYIMANA Emmanuel</t>
  </si>
  <si>
    <t>66/NAP24D93/10340001/30/11/2025</t>
  </si>
  <si>
    <t>67/NAP25BB02/10340001/30/11/2025</t>
  </si>
  <si>
    <t>68/NAP24CM35/10340001/30/11/2025</t>
  </si>
  <si>
    <t>69/NAP22CF97/10340001/30/11/2025</t>
  </si>
  <si>
    <t>70/NAP25CF09/10340001/30/11/2025</t>
  </si>
  <si>
    <t>71/NAP25AM56/10340001/30/11/2025</t>
  </si>
  <si>
    <t>72/NAP25BG86/10340001/30/11/2025</t>
  </si>
  <si>
    <t>51/NAP25CF296/10340001/01/11/2025</t>
  </si>
  <si>
    <t>52/NAP22AE54/10340001/01/11/2025</t>
  </si>
  <si>
    <t>53/NAP23S80/10340001/01/11/2025</t>
  </si>
  <si>
    <t>54/NAP25CD761/10340001/01/11/2025</t>
  </si>
  <si>
    <t>55/NAP25CD356/10340001/01/11/2025</t>
  </si>
  <si>
    <t>56/NAP24CV14/10340001/01/11/2025</t>
  </si>
  <si>
    <t>57/NAP19G98/10340001/01/11/2025</t>
  </si>
  <si>
    <t>58/NAP25CF712/10340001/01/11/2025</t>
  </si>
  <si>
    <t>59/NAP25CF714/10340001/01/11/2025</t>
  </si>
  <si>
    <t>60/NAP20AH81/10340001/01/11/2025</t>
  </si>
  <si>
    <t>61/NAP19W08/10340001/01/11/2025</t>
  </si>
  <si>
    <t>62/NAP24AT43/10340001/01/11/2025</t>
  </si>
  <si>
    <t>65/NAP25CF753/10340001/02/11/2025</t>
  </si>
  <si>
    <t>66/NAP22BR45/10340001/02/11/2025</t>
  </si>
  <si>
    <t>67/NAP25CF759/10340001/02/11/2025</t>
  </si>
  <si>
    <t>68/NAP22K04/10340001/02/11/2025</t>
  </si>
  <si>
    <t>70/NAP24N48/10340001/02/11/2025</t>
  </si>
  <si>
    <t>71/NAP24AO23/10340001/03/11/2025</t>
  </si>
  <si>
    <t>72/NAP24AT43/10340001/03/11/2025</t>
  </si>
  <si>
    <t>73/NAP25AO70/10340001/03/11/2025</t>
  </si>
  <si>
    <t>74/NAP24N48/10340001/03/11/2025</t>
  </si>
  <si>
    <t>75/NAP21AT46/10340001/03/11/2025</t>
  </si>
  <si>
    <t>76/NAP25CF717/10340001/03/11/2025</t>
  </si>
  <si>
    <t>57/NAP25CF829/10340001/05/11/2025</t>
  </si>
  <si>
    <t>58/NAP22CP91/10340001/05/11/2025</t>
  </si>
  <si>
    <t>59/NAP24AO23/10340001/05/11/2025</t>
  </si>
  <si>
    <t>30/NAP25CG393/10340001/16/11/2025</t>
  </si>
  <si>
    <t>31/NAP25CG395/10340001/16/11/2025</t>
  </si>
  <si>
    <t>32/NAP19AD06/10340001/16/11/2025</t>
  </si>
  <si>
    <t>33/NAP19X88/10340001/16/11/2025</t>
  </si>
  <si>
    <t>34/NAP23CB07/10340001/16/11/2025</t>
  </si>
  <si>
    <t>35/NAP25AP59/10340001/16/11/2025</t>
  </si>
  <si>
    <t>36/NAP23D08/10340001/16/11/2025</t>
  </si>
  <si>
    <t>37/NAP24AX85/10340001/16/11/2025</t>
  </si>
  <si>
    <t>38/NAP24K41/10340001/16/11/2025</t>
  </si>
  <si>
    <t>39/NAP22AQ11/10340001/16/11/2025</t>
  </si>
  <si>
    <t>40/NAP25CG400/10340001/16/11/2025</t>
  </si>
  <si>
    <t>41/NAP19AQ99/10340001/16/11/2025</t>
  </si>
  <si>
    <t>42/NAP24BQ95/10340001/16/11/2025</t>
  </si>
  <si>
    <t>43/NAP22V23/10340001/16/11/2025</t>
  </si>
  <si>
    <t>44/NAP19I19/10340001/16/11/2025</t>
  </si>
  <si>
    <t>45/NAP24BD19/10340001/16/11/2025</t>
  </si>
  <si>
    <t>46/NAP21U22/10340001/16/11/2025</t>
  </si>
  <si>
    <t>47/NAP25AY86/10340001/16/11/2025</t>
  </si>
  <si>
    <t>48/NAP25O07/10340001/16/11/2025</t>
  </si>
  <si>
    <t>49/NAP25AO64/10340001/16/11/2025</t>
  </si>
  <si>
    <t>51/NAP24Z15/10340001/16/11/2025</t>
  </si>
  <si>
    <t>52/NAP22K48/10340001/16/11/2025</t>
  </si>
  <si>
    <t>53/NAP24G47/10340001/16/11/2025</t>
  </si>
  <si>
    <t>54/NAP25CG406/10340001/16/11/2025</t>
  </si>
  <si>
    <t>55/NAP24BR57/10340001/16/11/2025</t>
  </si>
  <si>
    <t>56/NAP23CM06/10340001/16/11/2025</t>
  </si>
  <si>
    <t>58/NAP22CF13/10340001/16/11/2025</t>
  </si>
  <si>
    <t>54/NAP25CG452/10340001/17/11/2025</t>
  </si>
  <si>
    <t>55/NAP25CG454/10340001/17/11/2025</t>
  </si>
  <si>
    <t>56/NAP25CG456/10340001/17/11/2025</t>
  </si>
  <si>
    <t>57/NAP23AX31/10340001/17/11/2025</t>
  </si>
  <si>
    <t>58/NAP25AP50/10340001/17/11/2025</t>
  </si>
  <si>
    <t>59/NAP21AF19/10340001/17/11/2025</t>
  </si>
  <si>
    <t>60/NAP23X73/10340001/17/11/2025</t>
  </si>
  <si>
    <t>61/NAP23AW97/10340001/17/11/2025</t>
  </si>
  <si>
    <t>62/NAP25BG12/10340001/17/11/2025</t>
  </si>
  <si>
    <t>63/NAP21BT94/10340001/17/11/2025</t>
  </si>
  <si>
    <t>64/NAP25L75/10340001/17/11/2025</t>
  </si>
  <si>
    <t>65/NAP21H95/10340001/17/11/2025</t>
  </si>
  <si>
    <t>66/NAP23CJ02/10340001/17/11/2025</t>
  </si>
  <si>
    <t>67/NAP24CV17/10340001/17/11/2025</t>
  </si>
  <si>
    <t>68/NAP25CD535/10340001/17/11/2025</t>
  </si>
  <si>
    <t>69/NAP25CG465/10340001/17/11/2025</t>
  </si>
  <si>
    <t>70/NAP25AF49/10340001/17/11/2025</t>
  </si>
  <si>
    <t>72/NAP24X40/10340001/17/11/2025</t>
  </si>
  <si>
    <t>73/NAP23CM06/10340001/17/11/2025</t>
  </si>
  <si>
    <t>74/NAP22CF13/10340001/17/11/2025</t>
  </si>
  <si>
    <t>79/NAP21CJ69/10340001/21/11/2025</t>
  </si>
  <si>
    <t>71/NAP22CW16/10340001/22/11/2025</t>
  </si>
  <si>
    <t>72/NAP21O60/10340001/22/11/2025</t>
  </si>
  <si>
    <t>73/NAP22DB60/10340001/22/11/2025</t>
  </si>
  <si>
    <t>74/NAP25CG712/10340001/22/11/2025</t>
  </si>
  <si>
    <t>75/NAP25AQ19/10340001/22/11/2025</t>
  </si>
  <si>
    <t>76/NAP20T35/10340001/22/11/2025</t>
  </si>
  <si>
    <t>77/NAP20T36/10340001/22/11/2025</t>
  </si>
  <si>
    <t>78/NAP21AR44/10340001/22/11/2025</t>
  </si>
  <si>
    <t>79/NAP25CG718/10340001/22/11/2025</t>
  </si>
  <si>
    <t>80/NAP21R97/10340001/22/11/2025</t>
  </si>
  <si>
    <t>82/NAP18A03/10340001/22/11/2025</t>
  </si>
  <si>
    <t>46/NAP25AM56/10340001/25/11/2025</t>
  </si>
  <si>
    <t>47/NAP25CG855/10340001/25/11/2025</t>
  </si>
  <si>
    <t>48/NAP19AD16/10340001/25/11/2025</t>
  </si>
  <si>
    <t>49/NAP25CG857/10340001/25/11/2025</t>
  </si>
  <si>
    <t>50/NAP24CF37/10340001/25/11/2025</t>
  </si>
  <si>
    <t>51/NAP20N68/10340001/25/11/2025</t>
  </si>
  <si>
    <t>52/NAP19AF99/10340001/25/11/2025</t>
  </si>
  <si>
    <t>53/NAP25CG860/10340001/25/11/2025</t>
  </si>
  <si>
    <t>54/NAP25CG862/10340001/25/11/2025</t>
  </si>
  <si>
    <t>55/NAP25CF930/10340001/25/11/2025</t>
  </si>
  <si>
    <t>56/NAP24CJ85/10340001/25/11/2025</t>
  </si>
  <si>
    <t>57/NAP21CH67/10340001/25/11/2025</t>
  </si>
  <si>
    <t>58/NAP21DQ26/10340001/25/11/2025</t>
  </si>
  <si>
    <t>59/NAP25C38/10340001/25/11/2025</t>
  </si>
  <si>
    <t>60/NAP21AM36/10340001/25/11/2025</t>
  </si>
  <si>
    <t>62/NAP22BC49/10340001/25/11/2025</t>
  </si>
  <si>
    <t>63/NAP25X46/10340001/25/11/2025</t>
  </si>
  <si>
    <t>64/NAP25A94/10340001/25/11/2025</t>
  </si>
  <si>
    <t>65/NAP24S49/10340001/25/11/2025</t>
  </si>
  <si>
    <t>66/NAP22BK86/10340001/25/11/2025</t>
  </si>
  <si>
    <t>67/NAP25CG774/10340001/25/11/2025</t>
  </si>
  <si>
    <t>68/NAP23CF31/10340001/25/11/2025</t>
  </si>
  <si>
    <t>69/NAP22CX30/10340001/25/11/2025</t>
  </si>
  <si>
    <t>70/NAP25CG814/10340001/25/11/2025</t>
  </si>
  <si>
    <t>35/NAP23BC19/10340001/11/11/2025</t>
  </si>
  <si>
    <t>36/NAP20Q14/10340001/11/11/2025</t>
  </si>
  <si>
    <t>37/NAP23CB07/10340001/11/11/2025</t>
  </si>
  <si>
    <t>38/NAP25CG217/10340001/11/11/2025</t>
  </si>
  <si>
    <t>39/NAP22BU64/10340001/11/11/2025</t>
  </si>
  <si>
    <t>40/NAP19O63/10340001/11/11/2025</t>
  </si>
  <si>
    <t>41/NAP23Z45/10340001/11/11/2025</t>
  </si>
  <si>
    <t>42/NAP22BQ16/10340001/11/11/2025</t>
  </si>
  <si>
    <t>43/NAP22AN96/10340001/11/11/2025</t>
  </si>
  <si>
    <t>44/NAP23BV58/10340001/11/11/2025</t>
  </si>
  <si>
    <t>45/NAP22BO94/10340001/11/11/2025</t>
  </si>
  <si>
    <t>46/NAP24CP27/10340001/11/11/2025</t>
  </si>
  <si>
    <t>47/NAP25CG149/10340001/11/11/2025</t>
  </si>
  <si>
    <t>48/NAP24P94/10340001/11/11/2025</t>
  </si>
  <si>
    <t>49/NAP23CD15/10340001/11/11/2025</t>
  </si>
  <si>
    <t>50/NAP21H36/10340001/11/11/2025</t>
  </si>
  <si>
    <t>51/NAP21D24/10340001/11/11/2025</t>
  </si>
  <si>
    <t>52/NAP21N26/10340001/11/11/2025</t>
  </si>
  <si>
    <t>TOTAL</t>
  </si>
  <si>
    <t>CSMUKARANGE</t>
  </si>
  <si>
    <t xml:space="preserve">CS KIBUNGO </t>
  </si>
  <si>
    <t xml:space="preserve">CSKIBUNGO </t>
  </si>
  <si>
    <t xml:space="preserve">CS RUTARE </t>
  </si>
  <si>
    <t xml:space="preserve">CS MUKARANGE </t>
  </si>
  <si>
    <t xml:space="preserve">GS RUKARA </t>
  </si>
  <si>
    <t xml:space="preserve">GS MUKARANG </t>
  </si>
  <si>
    <t xml:space="preserve">CS KABARONDO </t>
  </si>
  <si>
    <t xml:space="preserve">EP RUKARA </t>
  </si>
  <si>
    <t>Page 1/45</t>
  </si>
  <si>
    <r>
      <t>N</t>
    </r>
    <r>
      <rPr>
        <b/>
        <vertAlign val="superscript"/>
        <sz val="12"/>
        <rFont val="Times New Roman"/>
        <family val="1"/>
      </rPr>
      <t>0</t>
    </r>
  </si>
  <si>
    <t>follow-up consultation</t>
  </si>
  <si>
    <t>student card not valide</t>
  </si>
  <si>
    <t>Lack of student card</t>
  </si>
  <si>
    <t>HEALTH FACILITY:</t>
  </si>
  <si>
    <t>ADMINISTRATIVE DISTRICT:</t>
  </si>
  <si>
    <r>
      <t>N</t>
    </r>
    <r>
      <rPr>
        <b/>
        <vertAlign val="superscript"/>
        <sz val="9"/>
        <color theme="1"/>
        <rFont val="Times New Roman"/>
        <family val="1"/>
      </rPr>
      <t>0</t>
    </r>
  </si>
  <si>
    <t>AMOUNT DEDUCTED</t>
  </si>
  <si>
    <t>EXPLANATION OF DEDUCTION</t>
  </si>
  <si>
    <t>Addition error</t>
  </si>
  <si>
    <t xml:space="preserve">Prepared by </t>
  </si>
  <si>
    <t xml:space="preserve">Verified by </t>
  </si>
  <si>
    <t xml:space="preserve">   </t>
  </si>
  <si>
    <t xml:space="preserve">Approved By </t>
  </si>
  <si>
    <t xml:space="preserve">Date: </t>
  </si>
  <si>
    <t>Signature:</t>
  </si>
  <si>
    <t xml:space="preserve">Names: </t>
  </si>
  <si>
    <t>Medical Benefits Verification Officer</t>
  </si>
  <si>
    <t>Branch Supervisor</t>
  </si>
  <si>
    <t xml:space="preserve">Function in Health Facility </t>
  </si>
  <si>
    <t>PERIOD:November 2025</t>
  </si>
  <si>
    <t>over billing for x-ray</t>
  </si>
  <si>
    <t>Ultrasound without motivation</t>
  </si>
  <si>
    <t>Peripheral line and change of perf without perfusion</t>
  </si>
  <si>
    <t>tarification error for exam</t>
  </si>
  <si>
    <t>Quardant not specified</t>
  </si>
  <si>
    <t>Medication not reimbursable</t>
  </si>
  <si>
    <t>Procedure included in another</t>
  </si>
  <si>
    <t>admnistration  not specified</t>
  </si>
  <si>
    <t>Consultation for planned procedure</t>
  </si>
  <si>
    <t>Medication without posology</t>
  </si>
  <si>
    <t>Follow-up consultation for successive injection</t>
  </si>
  <si>
    <t>Ultrasound without approval</t>
  </si>
  <si>
    <t>Follow-up consultation</t>
  </si>
  <si>
    <t>double billing for iv, periph line</t>
  </si>
  <si>
    <t>Follow-up for successive injection</t>
  </si>
  <si>
    <t>Procedure for specialised sercice (Ortopedics)</t>
  </si>
  <si>
    <t>repetitives exams</t>
  </si>
  <si>
    <t>Procedure for specialised servive( plastic surgery</t>
  </si>
  <si>
    <t>Birth record without stamp</t>
  </si>
  <si>
    <t>Missing invoice</t>
  </si>
  <si>
    <t>Invoice printed 03.12.2025</t>
  </si>
  <si>
    <t>Invoice printed 03/12/2025</t>
  </si>
  <si>
    <t>Invoice printed 27/12/2025</t>
  </si>
  <si>
    <t>Medication without posology, ultrasound without approval</t>
  </si>
  <si>
    <t>Procedure for specialised service (foreign body removal nose)</t>
  </si>
  <si>
    <t>Quadrant not specified</t>
  </si>
  <si>
    <t>Consumable included in procedure price</t>
  </si>
  <si>
    <t>PROVINCE / MVK:</t>
  </si>
  <si>
    <t xml:space="preserve">HEALTH FACILITY: </t>
  </si>
  <si>
    <t xml:space="preserve">ADMINISTRATIVE DISTRICT: </t>
  </si>
  <si>
    <t>Names: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</si>
</sst>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#,##0_ ;\-#,##0\ "/>
  </numFmts>
  <fonts count="30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 Black"/>
      <family val="2"/>
    </font>
    <font>
      <b/>
      <sz val="12"/>
      <color theme="1"/>
      <name val="Arial Black"/>
      <family val="2"/>
    </font>
    <font>
      <sz val="12"/>
      <color theme="1"/>
      <name val="Arial Black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color theme="0"/>
      <name val="Arial Black"/>
      <family val="2"/>
    </font>
    <font>
      <sz val="9"/>
      <color theme="1"/>
      <name val="Calibri"/>
      <family val="2"/>
      <scheme val="minor"/>
    </font>
    <font>
      <sz val="9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vertAlign val="superscript"/>
      <sz val="9"/>
      <color theme="1"/>
      <name val="Times New Roman"/>
      <family val="1"/>
    </font>
    <font>
      <sz val="10"/>
      <name val="Times New Roman"/>
      <family val="1"/>
    </font>
    <font>
      <b/>
      <sz val="9"/>
      <color theme="1"/>
      <name val="Times New Roman"/>
      <family val="1"/>
    </font>
    <font>
      <i/>
      <sz val="9"/>
      <name val="Times New Roman"/>
      <family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4" fillId="0" borderId="0"/>
    <xf numFmtId="164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4" fillId="0" borderId="0"/>
  </cellStyleXfs>
  <cellXfs count="162">
    <xf numFmtId="0" fontId="0" fillId="0" borderId="0" xfId="0"/>
    <xf numFmtId="0" fontId="3" fillId="2" borderId="0" xfId="3" applyFont="1" applyFill="1"/>
    <xf numFmtId="0" fontId="3" fillId="0" borderId="0" xfId="3" applyFont="1"/>
    <xf numFmtId="49" fontId="3" fillId="0" borderId="0" xfId="3" applyNumberFormat="1" applyFont="1"/>
    <xf numFmtId="49" fontId="3" fillId="0" borderId="0" xfId="3" applyNumberFormat="1" applyFont="1" applyAlignment="1">
      <alignment horizontal="right"/>
    </xf>
    <xf numFmtId="1" fontId="3" fillId="0" borderId="0" xfId="3" applyNumberFormat="1" applyFont="1"/>
    <xf numFmtId="1" fontId="3" fillId="0" borderId="0" xfId="2" applyNumberFormat="1" applyFont="1"/>
    <xf numFmtId="43" fontId="3" fillId="0" borderId="0" xfId="2" applyNumberFormat="1" applyFont="1"/>
    <xf numFmtId="165" fontId="3" fillId="0" borderId="0" xfId="2" applyNumberFormat="1" applyFont="1"/>
    <xf numFmtId="0" fontId="6" fillId="0" borderId="0" xfId="3" applyFont="1" applyAlignment="1">
      <alignment horizontal="left" vertical="center"/>
    </xf>
    <xf numFmtId="0" fontId="7" fillId="0" borderId="0" xfId="3" applyFont="1" applyAlignment="1">
      <alignment horizontal="left" vertical="center"/>
    </xf>
    <xf numFmtId="49" fontId="6" fillId="0" borderId="0" xfId="3" applyNumberFormat="1" applyFont="1" applyAlignment="1">
      <alignment horizontal="left" vertical="center"/>
    </xf>
    <xf numFmtId="49" fontId="7" fillId="0" borderId="0" xfId="3" applyNumberFormat="1" applyFont="1" applyAlignment="1">
      <alignment horizontal="left" vertical="center"/>
    </xf>
    <xf numFmtId="1" fontId="6" fillId="0" borderId="0" xfId="3" applyNumberFormat="1" applyFont="1" applyAlignment="1">
      <alignment horizontal="left" vertical="center"/>
    </xf>
    <xf numFmtId="1" fontId="8" fillId="0" borderId="0" xfId="2" applyNumberFormat="1" applyFont="1" applyFill="1" applyAlignment="1">
      <alignment horizontal="left" vertical="center"/>
    </xf>
    <xf numFmtId="1" fontId="7" fillId="0" borderId="0" xfId="3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2" borderId="0" xfId="3" applyFont="1" applyFill="1" applyAlignment="1">
      <alignment horizontal="left" vertical="center"/>
    </xf>
    <xf numFmtId="1" fontId="7" fillId="0" borderId="0" xfId="2" applyNumberFormat="1" applyFont="1" applyAlignment="1">
      <alignment horizontal="left" vertical="center"/>
    </xf>
    <xf numFmtId="43" fontId="7" fillId="0" borderId="0" xfId="2" applyNumberFormat="1" applyFont="1" applyAlignment="1">
      <alignment horizontal="left" vertical="center"/>
    </xf>
    <xf numFmtId="165" fontId="7" fillId="0" borderId="0" xfId="2" applyNumberFormat="1" applyFont="1" applyAlignment="1">
      <alignment horizontal="left" vertical="center"/>
    </xf>
    <xf numFmtId="1" fontId="6" fillId="0" borderId="0" xfId="2" applyNumberFormat="1" applyFont="1" applyAlignment="1">
      <alignment horizontal="left" vertical="center"/>
    </xf>
    <xf numFmtId="165" fontId="6" fillId="0" borderId="0" xfId="2" applyNumberFormat="1" applyFont="1" applyAlignment="1">
      <alignment horizontal="left" vertical="center"/>
    </xf>
    <xf numFmtId="0" fontId="7" fillId="2" borderId="0" xfId="3" applyFont="1" applyFill="1" applyAlignment="1">
      <alignment horizontal="left" vertical="center"/>
    </xf>
    <xf numFmtId="0" fontId="6" fillId="3" borderId="4" xfId="3" applyFont="1" applyFill="1" applyBorder="1" applyAlignment="1">
      <alignment horizontal="left" vertical="center"/>
    </xf>
    <xf numFmtId="49" fontId="6" fillId="3" borderId="4" xfId="3" applyNumberFormat="1" applyFont="1" applyFill="1" applyBorder="1" applyAlignment="1">
      <alignment horizontal="left" vertical="center"/>
    </xf>
    <xf numFmtId="1" fontId="6" fillId="3" borderId="4" xfId="3" applyNumberFormat="1" applyFont="1" applyFill="1" applyBorder="1" applyAlignment="1">
      <alignment horizontal="left" vertical="center"/>
    </xf>
    <xf numFmtId="1" fontId="6" fillId="3" borderId="4" xfId="2" applyNumberFormat="1" applyFont="1" applyFill="1" applyBorder="1" applyAlignment="1">
      <alignment horizontal="left" vertical="center"/>
    </xf>
    <xf numFmtId="43" fontId="6" fillId="3" borderId="4" xfId="2" applyNumberFormat="1" applyFont="1" applyFill="1" applyBorder="1" applyAlignment="1">
      <alignment horizontal="left" vertical="center"/>
    </xf>
    <xf numFmtId="165" fontId="6" fillId="3" borderId="5" xfId="2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7" xfId="1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9" fontId="7" fillId="0" borderId="6" xfId="3" applyNumberFormat="1" applyFont="1" applyBorder="1" applyAlignment="1">
      <alignment horizontal="left" vertical="center"/>
    </xf>
    <xf numFmtId="49" fontId="7" fillId="0" borderId="7" xfId="0" applyNumberFormat="1" applyFont="1" applyBorder="1" applyAlignment="1">
      <alignment horizontal="left" vertical="center"/>
    </xf>
    <xf numFmtId="41" fontId="8" fillId="0" borderId="7" xfId="6" applyFont="1" applyFill="1" applyBorder="1" applyAlignment="1">
      <alignment horizontal="left" vertical="center"/>
    </xf>
    <xf numFmtId="0" fontId="8" fillId="2" borderId="7" xfId="1" applyFont="1" applyFill="1" applyBorder="1" applyAlignment="1">
      <alignment horizontal="left" vertical="center"/>
    </xf>
    <xf numFmtId="41" fontId="8" fillId="2" borderId="7" xfId="6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49" fontId="7" fillId="2" borderId="7" xfId="0" applyNumberFormat="1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41" fontId="8" fillId="2" borderId="6" xfId="6" applyFont="1" applyFill="1" applyBorder="1" applyAlignment="1">
      <alignment horizontal="left" vertical="center"/>
    </xf>
    <xf numFmtId="41" fontId="8" fillId="0" borderId="6" xfId="6" applyFont="1" applyFill="1" applyBorder="1" applyAlignment="1">
      <alignment horizontal="left" vertical="center"/>
    </xf>
    <xf numFmtId="49" fontId="7" fillId="0" borderId="6" xfId="0" applyNumberFormat="1" applyFont="1" applyBorder="1" applyAlignment="1">
      <alignment horizontal="left" vertical="center"/>
    </xf>
    <xf numFmtId="41" fontId="7" fillId="0" borderId="7" xfId="6" applyFont="1" applyBorder="1" applyAlignment="1">
      <alignment horizontal="left" vertical="center"/>
    </xf>
    <xf numFmtId="41" fontId="7" fillId="0" borderId="7" xfId="6" applyFont="1" applyFill="1" applyBorder="1" applyAlignment="1">
      <alignment horizontal="left" vertical="center"/>
    </xf>
    <xf numFmtId="41" fontId="7" fillId="2" borderId="7" xfId="6" applyFont="1" applyFill="1" applyBorder="1" applyAlignment="1">
      <alignment horizontal="left" vertical="center"/>
    </xf>
    <xf numFmtId="41" fontId="7" fillId="0" borderId="6" xfId="6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41" fontId="16" fillId="0" borderId="0" xfId="6" applyFont="1" applyAlignment="1">
      <alignment horizontal="left" vertical="center"/>
    </xf>
    <xf numFmtId="0" fontId="10" fillId="2" borderId="7" xfId="4" applyFont="1" applyFill="1" applyBorder="1" applyAlignment="1">
      <alignment horizontal="left" vertical="top" wrapText="1"/>
    </xf>
    <xf numFmtId="14" fontId="10" fillId="2" borderId="7" xfId="4" applyNumberFormat="1" applyFont="1" applyFill="1" applyBorder="1" applyAlignment="1">
      <alignment horizontal="left" vertical="top" wrapText="1"/>
    </xf>
    <xf numFmtId="49" fontId="10" fillId="2" borderId="7" xfId="4" applyNumberFormat="1" applyFont="1" applyFill="1" applyBorder="1" applyAlignment="1">
      <alignment horizontal="left" vertical="top" wrapText="1"/>
    </xf>
    <xf numFmtId="49" fontId="12" fillId="2" borderId="7" xfId="3" applyNumberFormat="1" applyFont="1" applyFill="1" applyBorder="1" applyAlignment="1">
      <alignment horizontal="left" vertical="top" wrapText="1"/>
    </xf>
    <xf numFmtId="49" fontId="13" fillId="0" borderId="7" xfId="3" applyNumberFormat="1" applyFont="1" applyBorder="1" applyAlignment="1">
      <alignment horizontal="left" vertical="top" wrapText="1"/>
    </xf>
    <xf numFmtId="0" fontId="13" fillId="2" borderId="7" xfId="3" applyFont="1" applyFill="1" applyBorder="1" applyAlignment="1">
      <alignment horizontal="left" vertical="top" wrapText="1"/>
    </xf>
    <xf numFmtId="1" fontId="10" fillId="2" borderId="6" xfId="5" applyNumberFormat="1" applyFont="1" applyFill="1" applyBorder="1" applyAlignment="1">
      <alignment horizontal="left" vertical="top" wrapText="1"/>
    </xf>
    <xf numFmtId="1" fontId="10" fillId="2" borderId="6" xfId="2" applyNumberFormat="1" applyFont="1" applyFill="1" applyBorder="1" applyAlignment="1">
      <alignment horizontal="left" vertical="top" wrapText="1"/>
    </xf>
    <xf numFmtId="1" fontId="12" fillId="2" borderId="6" xfId="5" applyNumberFormat="1" applyFont="1" applyFill="1" applyBorder="1" applyAlignment="1">
      <alignment horizontal="left" vertical="top" wrapText="1"/>
    </xf>
    <xf numFmtId="43" fontId="10" fillId="2" borderId="6" xfId="2" applyNumberFormat="1" applyFont="1" applyFill="1" applyBorder="1" applyAlignment="1">
      <alignment horizontal="left" vertical="top" wrapText="1"/>
    </xf>
    <xf numFmtId="165" fontId="10" fillId="2" borderId="6" xfId="2" applyNumberFormat="1" applyFont="1" applyFill="1" applyBorder="1" applyAlignment="1">
      <alignment horizontal="left" vertical="top" wrapText="1"/>
    </xf>
    <xf numFmtId="41" fontId="14" fillId="2" borderId="8" xfId="6" applyFont="1" applyFill="1" applyBorder="1" applyAlignment="1">
      <alignment horizontal="left" vertical="center"/>
    </xf>
    <xf numFmtId="41" fontId="14" fillId="2" borderId="9" xfId="6" applyFont="1" applyFill="1" applyBorder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41" fontId="14" fillId="2" borderId="10" xfId="6" applyFont="1" applyFill="1" applyBorder="1" applyAlignment="1">
      <alignment horizontal="left" vertical="center"/>
    </xf>
    <xf numFmtId="41" fontId="14" fillId="2" borderId="11" xfId="6" applyFont="1" applyFill="1" applyBorder="1" applyAlignment="1">
      <alignment horizontal="left" vertical="center"/>
    </xf>
    <xf numFmtId="41" fontId="15" fillId="2" borderId="0" xfId="6" applyFont="1" applyFill="1" applyAlignment="1">
      <alignment horizontal="left" vertical="center"/>
    </xf>
    <xf numFmtId="166" fontId="8" fillId="0" borderId="7" xfId="6" applyNumberFormat="1" applyFont="1" applyFill="1" applyBorder="1" applyAlignment="1">
      <alignment horizontal="left" vertical="center"/>
    </xf>
    <xf numFmtId="0" fontId="17" fillId="0" borderId="0" xfId="3" applyFont="1" applyAlignment="1">
      <alignment horizontal="left" vertical="center"/>
    </xf>
    <xf numFmtId="0" fontId="9" fillId="0" borderId="0" xfId="3" applyFont="1" applyAlignment="1">
      <alignment horizontal="left" vertical="center"/>
    </xf>
    <xf numFmtId="49" fontId="17" fillId="0" borderId="0" xfId="3" applyNumberFormat="1" applyFont="1" applyAlignment="1">
      <alignment horizontal="left" vertical="center"/>
    </xf>
    <xf numFmtId="49" fontId="9" fillId="0" borderId="0" xfId="3" applyNumberFormat="1" applyFont="1" applyAlignment="1">
      <alignment horizontal="left" vertical="center"/>
    </xf>
    <xf numFmtId="1" fontId="17" fillId="0" borderId="0" xfId="3" applyNumberFormat="1" applyFont="1" applyAlignment="1">
      <alignment horizontal="left" vertical="center"/>
    </xf>
    <xf numFmtId="1" fontId="18" fillId="0" borderId="0" xfId="2" applyNumberFormat="1" applyFont="1" applyFill="1" applyAlignment="1">
      <alignment horizontal="left" vertical="center"/>
    </xf>
    <xf numFmtId="1" fontId="9" fillId="0" borderId="0" xfId="3" applyNumberFormat="1" applyFont="1" applyAlignment="1">
      <alignment horizontal="left" vertical="center"/>
    </xf>
    <xf numFmtId="0" fontId="17" fillId="2" borderId="0" xfId="3" applyFont="1" applyFill="1" applyAlignment="1">
      <alignment horizontal="left" vertical="center"/>
    </xf>
    <xf numFmtId="1" fontId="9" fillId="0" borderId="0" xfId="2" applyNumberFormat="1" applyFont="1" applyAlignment="1">
      <alignment horizontal="left" vertical="center"/>
    </xf>
    <xf numFmtId="43" fontId="9" fillId="0" borderId="0" xfId="2" applyNumberFormat="1" applyFont="1" applyAlignment="1">
      <alignment horizontal="left" vertical="center"/>
    </xf>
    <xf numFmtId="165" fontId="9" fillId="0" borderId="0" xfId="2" applyNumberFormat="1" applyFont="1" applyAlignment="1">
      <alignment horizontal="left" vertical="center"/>
    </xf>
    <xf numFmtId="1" fontId="17" fillId="0" borderId="0" xfId="2" applyNumberFormat="1" applyFont="1" applyAlignment="1">
      <alignment horizontal="left" vertical="center"/>
    </xf>
    <xf numFmtId="165" fontId="17" fillId="0" borderId="0" xfId="2" applyNumberFormat="1" applyFont="1" applyAlignment="1">
      <alignment horizontal="left" vertical="center"/>
    </xf>
    <xf numFmtId="0" fontId="9" fillId="2" borderId="0" xfId="3" applyFont="1" applyFill="1" applyAlignment="1">
      <alignment horizontal="left" vertical="center"/>
    </xf>
    <xf numFmtId="0" fontId="17" fillId="3" borderId="4" xfId="3" applyFont="1" applyFill="1" applyBorder="1" applyAlignment="1">
      <alignment horizontal="left" vertical="center"/>
    </xf>
    <xf numFmtId="49" fontId="17" fillId="3" borderId="4" xfId="3" applyNumberFormat="1" applyFont="1" applyFill="1" applyBorder="1" applyAlignment="1">
      <alignment horizontal="left" vertical="center"/>
    </xf>
    <xf numFmtId="1" fontId="17" fillId="3" borderId="4" xfId="3" applyNumberFormat="1" applyFont="1" applyFill="1" applyBorder="1" applyAlignment="1">
      <alignment horizontal="left" vertical="center"/>
    </xf>
    <xf numFmtId="1" fontId="17" fillId="3" borderId="4" xfId="2" applyNumberFormat="1" applyFont="1" applyFill="1" applyBorder="1" applyAlignment="1">
      <alignment horizontal="left" vertical="center"/>
    </xf>
    <xf numFmtId="43" fontId="17" fillId="3" borderId="4" xfId="2" applyNumberFormat="1" applyFont="1" applyFill="1" applyBorder="1" applyAlignment="1">
      <alignment horizontal="left" vertical="center"/>
    </xf>
    <xf numFmtId="165" fontId="17" fillId="3" borderId="5" xfId="2" applyNumberFormat="1" applyFont="1" applyFill="1" applyBorder="1" applyAlignment="1">
      <alignment horizontal="left" vertical="center"/>
    </xf>
    <xf numFmtId="0" fontId="18" fillId="0" borderId="7" xfId="1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9" fontId="9" fillId="0" borderId="6" xfId="3" applyNumberFormat="1" applyFont="1" applyBorder="1" applyAlignment="1">
      <alignment horizontal="left" vertical="center"/>
    </xf>
    <xf numFmtId="49" fontId="9" fillId="0" borderId="7" xfId="0" applyNumberFormat="1" applyFont="1" applyBorder="1" applyAlignment="1">
      <alignment horizontal="left" vertical="center"/>
    </xf>
    <xf numFmtId="41" fontId="18" fillId="0" borderId="7" xfId="6" applyFont="1" applyFill="1" applyBorder="1" applyAlignment="1">
      <alignment horizontal="left" vertical="center"/>
    </xf>
    <xf numFmtId="166" fontId="18" fillId="0" borderId="7" xfId="6" applyNumberFormat="1" applyFont="1" applyFill="1" applyBorder="1" applyAlignment="1">
      <alignment horizontal="left" vertical="center"/>
    </xf>
    <xf numFmtId="0" fontId="18" fillId="2" borderId="7" xfId="1" applyFont="1" applyFill="1" applyBorder="1" applyAlignment="1">
      <alignment horizontal="left" vertical="center"/>
    </xf>
    <xf numFmtId="41" fontId="18" fillId="2" borderId="7" xfId="6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49" fontId="9" fillId="2" borderId="7" xfId="0" applyNumberFormat="1" applyFont="1" applyFill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41" fontId="18" fillId="2" borderId="6" xfId="6" applyFont="1" applyFill="1" applyBorder="1" applyAlignment="1">
      <alignment horizontal="left" vertical="center"/>
    </xf>
    <xf numFmtId="41" fontId="18" fillId="0" borderId="6" xfId="6" applyFont="1" applyFill="1" applyBorder="1" applyAlignment="1">
      <alignment horizontal="left" vertical="center"/>
    </xf>
    <xf numFmtId="49" fontId="9" fillId="0" borderId="6" xfId="0" applyNumberFormat="1" applyFont="1" applyBorder="1" applyAlignment="1">
      <alignment horizontal="left" vertical="center"/>
    </xf>
    <xf numFmtId="41" fontId="9" fillId="0" borderId="7" xfId="6" applyFont="1" applyBorder="1" applyAlignment="1">
      <alignment horizontal="left" vertical="center"/>
    </xf>
    <xf numFmtId="41" fontId="9" fillId="0" borderId="7" xfId="6" applyFont="1" applyFill="1" applyBorder="1" applyAlignment="1">
      <alignment horizontal="left" vertical="center"/>
    </xf>
    <xf numFmtId="41" fontId="9" fillId="2" borderId="7" xfId="6" applyFont="1" applyFill="1" applyBorder="1" applyAlignment="1">
      <alignment horizontal="left" vertical="center"/>
    </xf>
    <xf numFmtId="41" fontId="9" fillId="0" borderId="6" xfId="6" applyFont="1" applyBorder="1" applyAlignment="1">
      <alignment horizontal="left" vertical="center"/>
    </xf>
    <xf numFmtId="41" fontId="19" fillId="2" borderId="8" xfId="6" applyFont="1" applyFill="1" applyBorder="1" applyAlignment="1">
      <alignment horizontal="left" vertical="center"/>
    </xf>
    <xf numFmtId="41" fontId="19" fillId="2" borderId="9" xfId="6" applyFont="1" applyFill="1" applyBorder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41" fontId="19" fillId="2" borderId="10" xfId="6" applyFont="1" applyFill="1" applyBorder="1" applyAlignment="1">
      <alignment horizontal="left" vertical="center"/>
    </xf>
    <xf numFmtId="41" fontId="19" fillId="2" borderId="11" xfId="6" applyFont="1" applyFill="1" applyBorder="1" applyAlignment="1">
      <alignment horizontal="left" vertical="center"/>
    </xf>
    <xf numFmtId="41" fontId="16" fillId="2" borderId="0" xfId="6" applyFont="1" applyFill="1" applyAlignment="1">
      <alignment horizontal="left" vertical="center"/>
    </xf>
    <xf numFmtId="41" fontId="9" fillId="0" borderId="0" xfId="0" applyNumberFormat="1" applyFont="1" applyAlignment="1">
      <alignment horizontal="left" vertical="center"/>
    </xf>
    <xf numFmtId="166" fontId="9" fillId="0" borderId="0" xfId="0" applyNumberFormat="1" applyFont="1" applyAlignment="1">
      <alignment horizontal="left" vertical="center"/>
    </xf>
    <xf numFmtId="0" fontId="9" fillId="5" borderId="7" xfId="0" applyFont="1" applyFill="1" applyBorder="1" applyAlignment="1">
      <alignment horizontal="left" vertical="center"/>
    </xf>
    <xf numFmtId="41" fontId="18" fillId="5" borderId="6" xfId="6" applyFont="1" applyFill="1" applyBorder="1" applyAlignment="1">
      <alignment horizontal="left" vertical="center"/>
    </xf>
    <xf numFmtId="166" fontId="18" fillId="5" borderId="7" xfId="6" applyNumberFormat="1" applyFont="1" applyFill="1" applyBorder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41" fontId="9" fillId="4" borderId="0" xfId="0" applyNumberFormat="1" applyFont="1" applyFill="1" applyAlignment="1">
      <alignment horizontal="left" vertical="center"/>
    </xf>
    <xf numFmtId="166" fontId="9" fillId="4" borderId="0" xfId="0" applyNumberFormat="1" applyFont="1" applyFill="1" applyAlignment="1">
      <alignment horizontal="left" vertical="center"/>
    </xf>
    <xf numFmtId="0" fontId="20" fillId="0" borderId="7" xfId="0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21" fillId="0" borderId="12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13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0" fontId="24" fillId="0" borderId="15" xfId="0" applyFont="1" applyBorder="1" applyAlignment="1">
      <alignment vertical="top" wrapText="1"/>
    </xf>
    <xf numFmtId="0" fontId="24" fillId="0" borderId="16" xfId="0" applyFont="1" applyBorder="1" applyAlignment="1">
      <alignment vertical="top" wrapText="1"/>
    </xf>
    <xf numFmtId="0" fontId="24" fillId="0" borderId="17" xfId="0" applyFont="1" applyBorder="1" applyAlignment="1">
      <alignment vertical="top" wrapText="1"/>
    </xf>
    <xf numFmtId="1" fontId="22" fillId="2" borderId="7" xfId="0" applyNumberFormat="1" applyFont="1" applyFill="1" applyBorder="1" applyAlignment="1">
      <alignment horizontal="left" vertical="center"/>
    </xf>
    <xf numFmtId="0" fontId="26" fillId="2" borderId="7" xfId="7" applyFont="1" applyFill="1" applyBorder="1" applyAlignment="1">
      <alignment horizontal="left" vertical="top" wrapText="1"/>
    </xf>
    <xf numFmtId="0" fontId="20" fillId="2" borderId="7" xfId="0" applyFont="1" applyFill="1" applyBorder="1" applyAlignment="1">
      <alignment horizontal="left" vertical="center"/>
    </xf>
    <xf numFmtId="49" fontId="20" fillId="0" borderId="7" xfId="0" applyNumberFormat="1" applyFont="1" applyBorder="1" applyAlignment="1">
      <alignment horizontal="left" vertical="center"/>
    </xf>
    <xf numFmtId="1" fontId="27" fillId="0" borderId="14" xfId="0" applyNumberFormat="1" applyFont="1" applyBorder="1" applyAlignment="1">
      <alignment horizontal="left" vertical="center"/>
    </xf>
    <xf numFmtId="0" fontId="23" fillId="0" borderId="18" xfId="0" applyFont="1" applyBorder="1" applyAlignment="1">
      <alignment vertical="center"/>
    </xf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14" fontId="28" fillId="2" borderId="0" xfId="0" applyNumberFormat="1" applyFont="1" applyFill="1" applyAlignment="1">
      <alignment horizontal="left" vertical="center"/>
    </xf>
    <xf numFmtId="0" fontId="26" fillId="2" borderId="7" xfId="7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6" fillId="3" borderId="1" xfId="3" applyFont="1" applyFill="1" applyBorder="1" applyAlignment="1">
      <alignment horizontal="left" vertical="center"/>
    </xf>
    <xf numFmtId="0" fontId="6" fillId="3" borderId="2" xfId="3" applyFont="1" applyFill="1" applyBorder="1" applyAlignment="1">
      <alignment horizontal="left" vertical="center"/>
    </xf>
    <xf numFmtId="0" fontId="6" fillId="3" borderId="3" xfId="3" applyFont="1" applyFill="1" applyBorder="1" applyAlignment="1">
      <alignment horizontal="left" vertical="center"/>
    </xf>
    <xf numFmtId="0" fontId="17" fillId="0" borderId="0" xfId="3" applyFont="1" applyAlignment="1">
      <alignment horizontal="left" vertical="center"/>
    </xf>
    <xf numFmtId="0" fontId="17" fillId="3" borderId="1" xfId="3" applyFont="1" applyFill="1" applyBorder="1" applyAlignment="1">
      <alignment horizontal="left" vertical="center"/>
    </xf>
    <xf numFmtId="0" fontId="17" fillId="3" borderId="2" xfId="3" applyFont="1" applyFill="1" applyBorder="1" applyAlignment="1">
      <alignment horizontal="left" vertical="center"/>
    </xf>
    <xf numFmtId="0" fontId="17" fillId="3" borderId="3" xfId="3" applyFont="1" applyFill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12" xfId="0" applyFont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23" fillId="0" borderId="14" xfId="0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29" fillId="0" borderId="0" xfId="0" applyFont="1"/>
  </cellXfs>
  <cellStyles count="8">
    <cellStyle name="Comma [0]" xfId="6" builtinId="6"/>
    <cellStyle name="Comma 2" xfId="5"/>
    <cellStyle name="Comma 3" xfId="2"/>
    <cellStyle name="Normal" xfId="0" builtinId="0"/>
    <cellStyle name="Normal 2" xfId="3"/>
    <cellStyle name="Normal 2 2" xfId="7"/>
    <cellStyle name="Normal 3" xfId="1"/>
    <cellStyle name="Normal 8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09"/>
  <sheetViews>
    <sheetView view="pageBreakPreview" zoomScale="54" zoomScaleNormal="100" zoomScaleSheetLayoutView="54" workbookViewId="0">
      <selection activeCell="A6" sqref="A6"/>
    </sheetView>
  </sheetViews>
  <sheetFormatPr defaultColWidth="8.77734375" defaultRowHeight="15.6" x14ac:dyDescent="0.3"/>
  <cols>
    <col min="1" max="1" width="7.5546875" style="16" customWidth="1"/>
    <col min="2" max="2" width="15.33203125" style="16" customWidth="1"/>
    <col min="3" max="3" width="8.44140625" style="16" customWidth="1"/>
    <col min="4" max="4" width="16.6640625" style="16" customWidth="1"/>
    <col min="5" max="5" width="8.88671875" style="16" customWidth="1"/>
    <col min="6" max="6" width="4.5546875" style="16" customWidth="1"/>
    <col min="7" max="7" width="26.5546875" style="16" customWidth="1"/>
    <col min="8" max="8" width="24.5546875" style="16" customWidth="1"/>
    <col min="9" max="9" width="24.21875" style="16" customWidth="1"/>
    <col min="10" max="10" width="16.6640625" style="16" customWidth="1"/>
    <col min="11" max="11" width="15.5546875" style="16" customWidth="1"/>
    <col min="12" max="12" width="11.109375" style="16" customWidth="1"/>
    <col min="13" max="13" width="11.77734375" style="16" customWidth="1"/>
    <col min="14" max="14" width="17.77734375" style="16" customWidth="1"/>
    <col min="15" max="15" width="12.21875" style="16" customWidth="1"/>
    <col min="16" max="16" width="8.21875" style="16" customWidth="1"/>
    <col min="17" max="17" width="15.33203125" style="16" customWidth="1"/>
    <col min="18" max="18" width="11.77734375" style="16" customWidth="1"/>
    <col min="19" max="16384" width="8.77734375" style="16"/>
  </cols>
  <sheetData>
    <row r="1" spans="1:20" customFormat="1" ht="23.4" x14ac:dyDescent="0.45">
      <c r="A1" s="1"/>
      <c r="B1" s="2"/>
      <c r="C1" s="2"/>
      <c r="D1" s="3"/>
      <c r="E1" s="4"/>
      <c r="F1" s="2"/>
      <c r="G1" s="2"/>
      <c r="H1" s="2"/>
      <c r="I1" s="2"/>
      <c r="J1" s="5"/>
      <c r="K1" s="6"/>
      <c r="L1" s="5"/>
      <c r="M1" s="5"/>
      <c r="N1" s="5"/>
      <c r="O1" s="5"/>
      <c r="P1" s="5"/>
      <c r="Q1" s="7"/>
      <c r="R1" s="8"/>
    </row>
    <row r="2" spans="1:20" x14ac:dyDescent="0.3">
      <c r="A2" s="9" t="s">
        <v>7524</v>
      </c>
      <c r="B2" s="10"/>
      <c r="C2" s="10"/>
      <c r="D2" s="11"/>
      <c r="E2" s="12"/>
      <c r="F2" s="10"/>
      <c r="G2" s="10"/>
      <c r="H2" s="10"/>
      <c r="I2" s="9"/>
      <c r="J2" s="13"/>
      <c r="K2" s="14"/>
      <c r="L2" s="15"/>
      <c r="M2" s="15"/>
      <c r="N2" s="145"/>
      <c r="O2" s="145"/>
      <c r="P2" s="145"/>
      <c r="Q2" s="145"/>
      <c r="R2" s="145"/>
    </row>
    <row r="3" spans="1:20" x14ac:dyDescent="0.3">
      <c r="A3" s="17" t="s">
        <v>7481</v>
      </c>
      <c r="B3" s="10"/>
      <c r="C3" s="10"/>
      <c r="D3" s="12"/>
      <c r="E3" s="12"/>
      <c r="F3" s="10"/>
      <c r="G3" s="10"/>
      <c r="H3" s="10"/>
      <c r="I3" s="10"/>
      <c r="J3" s="15"/>
      <c r="K3" s="18"/>
      <c r="L3" s="15"/>
      <c r="M3" s="15"/>
      <c r="N3" s="15"/>
      <c r="O3" s="15"/>
      <c r="P3" s="15"/>
      <c r="Q3" s="19"/>
      <c r="R3" s="20"/>
    </row>
    <row r="4" spans="1:20" x14ac:dyDescent="0.3">
      <c r="A4" s="17" t="s">
        <v>7525</v>
      </c>
      <c r="B4" s="10"/>
      <c r="C4" s="10"/>
      <c r="D4" s="12"/>
      <c r="E4" s="11"/>
      <c r="F4" s="10"/>
      <c r="G4" s="10"/>
      <c r="H4" s="10"/>
      <c r="I4" s="10"/>
      <c r="J4" s="15"/>
      <c r="K4" s="21" t="s">
        <v>7475</v>
      </c>
      <c r="L4" s="15"/>
      <c r="M4" s="15"/>
      <c r="N4" s="15"/>
      <c r="O4" s="15"/>
      <c r="P4" s="15"/>
      <c r="Q4" s="19"/>
      <c r="R4" s="20"/>
    </row>
    <row r="5" spans="1:20" x14ac:dyDescent="0.3">
      <c r="A5" s="17" t="s">
        <v>0</v>
      </c>
      <c r="B5" s="10"/>
      <c r="C5" s="10"/>
      <c r="D5" s="11"/>
      <c r="E5" s="12"/>
      <c r="F5" s="10"/>
      <c r="G5" s="10"/>
      <c r="H5" s="10"/>
      <c r="I5" s="10"/>
      <c r="J5" s="15"/>
      <c r="K5" s="18"/>
      <c r="L5" s="15"/>
      <c r="M5" s="15"/>
      <c r="N5" s="15"/>
      <c r="O5" s="15"/>
      <c r="P5" s="15"/>
      <c r="Q5" s="19"/>
      <c r="R5" s="22"/>
    </row>
    <row r="6" spans="1:20" x14ac:dyDescent="0.3">
      <c r="A6" s="17" t="s">
        <v>36</v>
      </c>
      <c r="B6" s="10"/>
      <c r="C6" s="10"/>
      <c r="D6" s="11"/>
      <c r="E6" s="12"/>
      <c r="F6" s="10"/>
      <c r="G6" s="10"/>
      <c r="H6" s="10"/>
      <c r="I6" s="10"/>
      <c r="J6" s="15"/>
      <c r="K6" s="18"/>
      <c r="L6" s="15"/>
      <c r="M6" s="15"/>
      <c r="N6" s="15"/>
      <c r="O6" s="15"/>
      <c r="P6" s="15"/>
      <c r="Q6" s="19"/>
      <c r="R6" s="22"/>
    </row>
    <row r="7" spans="1:20" ht="16.2" thickBot="1" x14ac:dyDescent="0.35">
      <c r="A7" s="23"/>
      <c r="B7" s="10"/>
      <c r="C7" s="10"/>
      <c r="D7" s="12"/>
      <c r="E7" s="12"/>
      <c r="F7" s="10"/>
      <c r="G7" s="10"/>
      <c r="H7" s="10"/>
      <c r="I7" s="10"/>
      <c r="J7" s="15"/>
      <c r="K7" s="18"/>
      <c r="L7" s="15"/>
      <c r="M7" s="15"/>
      <c r="N7" s="15"/>
      <c r="O7" s="15"/>
      <c r="P7" s="15"/>
      <c r="Q7" s="19"/>
      <c r="R7" s="20"/>
    </row>
    <row r="8" spans="1:20" x14ac:dyDescent="0.3">
      <c r="A8" s="146" t="s">
        <v>1</v>
      </c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8"/>
    </row>
    <row r="9" spans="1:20" ht="16.2" thickBot="1" x14ac:dyDescent="0.35">
      <c r="A9" s="24"/>
      <c r="B9" s="24"/>
      <c r="C9" s="24"/>
      <c r="D9" s="25"/>
      <c r="E9" s="25"/>
      <c r="F9" s="24"/>
      <c r="G9" s="24"/>
      <c r="H9" s="24"/>
      <c r="I9" s="24"/>
      <c r="J9" s="26"/>
      <c r="K9" s="27"/>
      <c r="L9" s="26"/>
      <c r="M9" s="26"/>
      <c r="N9" s="26"/>
      <c r="O9" s="26"/>
      <c r="P9" s="26"/>
      <c r="Q9" s="28"/>
      <c r="R9" s="29"/>
    </row>
    <row r="10" spans="1:20" x14ac:dyDescent="0.3">
      <c r="A10" s="23"/>
      <c r="B10" s="10"/>
      <c r="C10" s="10"/>
      <c r="D10" s="12"/>
      <c r="E10" s="12"/>
      <c r="F10" s="10"/>
      <c r="G10" s="10"/>
      <c r="H10" s="10"/>
      <c r="I10" s="10"/>
      <c r="J10" s="15"/>
      <c r="K10" s="18"/>
      <c r="L10" s="15"/>
      <c r="M10" s="15"/>
      <c r="N10" s="15"/>
      <c r="O10" s="15"/>
      <c r="P10" s="15"/>
      <c r="Q10" s="19"/>
      <c r="R10" s="20"/>
    </row>
    <row r="11" spans="1:20" ht="234" x14ac:dyDescent="0.3">
      <c r="A11" s="52" t="s">
        <v>7476</v>
      </c>
      <c r="B11" s="53" t="s">
        <v>2</v>
      </c>
      <c r="C11" s="54" t="s">
        <v>3</v>
      </c>
      <c r="D11" s="55" t="s">
        <v>4</v>
      </c>
      <c r="E11" s="56" t="s">
        <v>5</v>
      </c>
      <c r="F11" s="57" t="s">
        <v>6</v>
      </c>
      <c r="G11" s="52" t="s">
        <v>7</v>
      </c>
      <c r="H11" s="52" t="s">
        <v>8</v>
      </c>
      <c r="I11" s="52" t="s">
        <v>9</v>
      </c>
      <c r="J11" s="58" t="s">
        <v>10</v>
      </c>
      <c r="K11" s="59" t="s">
        <v>11</v>
      </c>
      <c r="L11" s="60" t="s">
        <v>12</v>
      </c>
      <c r="M11" s="58" t="s">
        <v>13</v>
      </c>
      <c r="N11" s="58" t="s">
        <v>14</v>
      </c>
      <c r="O11" s="58" t="s">
        <v>15</v>
      </c>
      <c r="P11" s="58" t="s">
        <v>16</v>
      </c>
      <c r="Q11" s="61" t="s">
        <v>17</v>
      </c>
      <c r="R11" s="62" t="s">
        <v>17</v>
      </c>
      <c r="S11" s="30"/>
      <c r="T11" s="30"/>
    </row>
    <row r="12" spans="1:20" ht="45" customHeight="1" x14ac:dyDescent="0.3">
      <c r="A12" s="31"/>
      <c r="B12" s="32"/>
      <c r="C12" s="32"/>
      <c r="D12" s="32"/>
      <c r="E12" s="32"/>
      <c r="F12" s="32"/>
      <c r="G12" s="31"/>
      <c r="H12" s="31"/>
      <c r="I12" s="31"/>
      <c r="J12" s="33">
        <v>1</v>
      </c>
      <c r="K12" s="33">
        <v>1</v>
      </c>
      <c r="L12" s="33">
        <v>1</v>
      </c>
      <c r="M12" s="33">
        <v>1</v>
      </c>
      <c r="N12" s="33">
        <v>1</v>
      </c>
      <c r="O12" s="33">
        <v>1</v>
      </c>
      <c r="P12" s="33">
        <v>1</v>
      </c>
      <c r="Q12" s="33">
        <v>1</v>
      </c>
      <c r="R12" s="33">
        <v>0.85</v>
      </c>
      <c r="S12" s="30"/>
      <c r="T12" s="30"/>
    </row>
    <row r="13" spans="1:20" ht="45" customHeight="1" x14ac:dyDescent="0.3">
      <c r="A13" s="31">
        <v>1</v>
      </c>
      <c r="B13" s="32" t="s">
        <v>37</v>
      </c>
      <c r="C13" s="32" t="s">
        <v>38</v>
      </c>
      <c r="D13" s="34" t="s">
        <v>39</v>
      </c>
      <c r="E13" s="32">
        <v>1997</v>
      </c>
      <c r="F13" s="32" t="s">
        <v>19</v>
      </c>
      <c r="G13" s="32" t="s">
        <v>148</v>
      </c>
      <c r="H13" s="32" t="s">
        <v>148</v>
      </c>
      <c r="I13" s="32" t="s">
        <v>31</v>
      </c>
      <c r="J13" s="31">
        <v>6199</v>
      </c>
      <c r="K13" s="31">
        <f>6278+2332+2332+2332+2332+2332+2332+6995+6995+2332+6995+4484</f>
        <v>48071</v>
      </c>
      <c r="L13" s="31">
        <v>18406</v>
      </c>
      <c r="M13" s="31">
        <v>0</v>
      </c>
      <c r="N13" s="31">
        <v>1793</v>
      </c>
      <c r="O13" s="31">
        <v>0</v>
      </c>
      <c r="P13" s="31">
        <v>0</v>
      </c>
      <c r="Q13" s="35">
        <f t="shared" ref="Q13:Q76" si="0">SUM(J13:P13)</f>
        <v>74469</v>
      </c>
      <c r="R13" s="69">
        <f>Q13*85/100</f>
        <v>63298.65</v>
      </c>
      <c r="S13" s="30"/>
      <c r="T13" s="30"/>
    </row>
    <row r="14" spans="1:20" ht="45" customHeight="1" x14ac:dyDescent="0.3">
      <c r="A14" s="36">
        <v>2</v>
      </c>
      <c r="B14" s="32" t="s">
        <v>37</v>
      </c>
      <c r="C14" s="32" t="s">
        <v>40</v>
      </c>
      <c r="D14" s="34" t="s">
        <v>41</v>
      </c>
      <c r="E14" s="32">
        <v>1982</v>
      </c>
      <c r="F14" s="32" t="s">
        <v>18</v>
      </c>
      <c r="G14" s="32" t="s">
        <v>149</v>
      </c>
      <c r="H14" s="32" t="s">
        <v>210</v>
      </c>
      <c r="I14" s="32" t="s">
        <v>249</v>
      </c>
      <c r="J14" s="36">
        <v>6199</v>
      </c>
      <c r="K14" s="36">
        <v>0</v>
      </c>
      <c r="L14" s="36">
        <v>0</v>
      </c>
      <c r="M14" s="36">
        <v>0</v>
      </c>
      <c r="N14" s="36">
        <v>1681</v>
      </c>
      <c r="O14" s="36">
        <v>0</v>
      </c>
      <c r="P14" s="31">
        <f>240+56</f>
        <v>296</v>
      </c>
      <c r="Q14" s="37">
        <f t="shared" si="0"/>
        <v>8176</v>
      </c>
      <c r="R14" s="69">
        <f t="shared" ref="R14:R77" si="1">Q14*85/100</f>
        <v>6949.6</v>
      </c>
      <c r="S14" s="30"/>
      <c r="T14" s="30"/>
    </row>
    <row r="15" spans="1:20" ht="45" customHeight="1" x14ac:dyDescent="0.3">
      <c r="A15" s="31">
        <v>3</v>
      </c>
      <c r="B15" s="32" t="s">
        <v>37</v>
      </c>
      <c r="C15" s="32" t="s">
        <v>42</v>
      </c>
      <c r="D15" s="34" t="s">
        <v>43</v>
      </c>
      <c r="E15" s="32">
        <v>2019</v>
      </c>
      <c r="F15" s="32" t="s">
        <v>19</v>
      </c>
      <c r="G15" s="32" t="s">
        <v>150</v>
      </c>
      <c r="H15" s="38" t="s">
        <v>211</v>
      </c>
      <c r="I15" s="38" t="s">
        <v>30</v>
      </c>
      <c r="J15" s="36">
        <v>6199</v>
      </c>
      <c r="K15" s="36">
        <f>6278+4484+1346+4484+2332+2332+2332+2332+2332+1166+6995+6995+2332+6995+2332</f>
        <v>55067</v>
      </c>
      <c r="L15" s="36">
        <v>0</v>
      </c>
      <c r="M15" s="36">
        <v>0</v>
      </c>
      <c r="N15" s="36">
        <v>3148</v>
      </c>
      <c r="O15" s="36">
        <v>0</v>
      </c>
      <c r="P15" s="36">
        <v>0</v>
      </c>
      <c r="Q15" s="37">
        <f t="shared" si="0"/>
        <v>64414</v>
      </c>
      <c r="R15" s="69">
        <f t="shared" si="1"/>
        <v>54751.9</v>
      </c>
      <c r="S15" s="30"/>
      <c r="T15" s="30"/>
    </row>
    <row r="16" spans="1:20" ht="45" customHeight="1" x14ac:dyDescent="0.3">
      <c r="A16" s="31">
        <v>4</v>
      </c>
      <c r="B16" s="32" t="s">
        <v>37</v>
      </c>
      <c r="C16" s="32" t="s">
        <v>44</v>
      </c>
      <c r="D16" s="34" t="s">
        <v>45</v>
      </c>
      <c r="E16" s="32">
        <v>1976</v>
      </c>
      <c r="F16" s="32" t="s">
        <v>18</v>
      </c>
      <c r="G16" s="32" t="s">
        <v>151</v>
      </c>
      <c r="H16" s="32" t="s">
        <v>151</v>
      </c>
      <c r="I16" s="32" t="s">
        <v>250</v>
      </c>
      <c r="J16" s="31">
        <v>6199</v>
      </c>
      <c r="K16" s="31">
        <f>2332+2332+2332+2332+1346</f>
        <v>10674</v>
      </c>
      <c r="L16" s="31">
        <v>0</v>
      </c>
      <c r="M16" s="31">
        <v>0</v>
      </c>
      <c r="N16" s="31">
        <v>1793</v>
      </c>
      <c r="O16" s="31">
        <v>0</v>
      </c>
      <c r="P16" s="31">
        <v>0</v>
      </c>
      <c r="Q16" s="37">
        <f t="shared" si="0"/>
        <v>18666</v>
      </c>
      <c r="R16" s="69">
        <f t="shared" si="1"/>
        <v>15866.1</v>
      </c>
      <c r="S16" s="30"/>
      <c r="T16" s="30"/>
    </row>
    <row r="17" spans="1:20" ht="45" customHeight="1" x14ac:dyDescent="0.3">
      <c r="A17" s="36">
        <v>5</v>
      </c>
      <c r="B17" s="32" t="s">
        <v>37</v>
      </c>
      <c r="C17" s="32" t="s">
        <v>46</v>
      </c>
      <c r="D17" s="34" t="s">
        <v>47</v>
      </c>
      <c r="E17" s="32">
        <v>1979</v>
      </c>
      <c r="F17" s="32" t="s">
        <v>18</v>
      </c>
      <c r="G17" s="32" t="s">
        <v>152</v>
      </c>
      <c r="H17" s="32" t="s">
        <v>212</v>
      </c>
      <c r="I17" s="32" t="s">
        <v>251</v>
      </c>
      <c r="J17" s="36">
        <v>3582</v>
      </c>
      <c r="K17" s="36">
        <v>0</v>
      </c>
      <c r="L17" s="36">
        <v>0</v>
      </c>
      <c r="M17" s="36">
        <v>0</v>
      </c>
      <c r="N17" s="36">
        <f>34016+27380</f>
        <v>61396</v>
      </c>
      <c r="O17" s="36">
        <v>0</v>
      </c>
      <c r="P17" s="31">
        <v>0</v>
      </c>
      <c r="Q17" s="37">
        <f t="shared" si="0"/>
        <v>64978</v>
      </c>
      <c r="R17" s="69">
        <f t="shared" si="1"/>
        <v>55231.3</v>
      </c>
      <c r="S17" s="30"/>
      <c r="T17" s="30"/>
    </row>
    <row r="18" spans="1:20" ht="45" customHeight="1" x14ac:dyDescent="0.3">
      <c r="A18" s="31">
        <v>6</v>
      </c>
      <c r="B18" s="32" t="s">
        <v>37</v>
      </c>
      <c r="C18" s="32" t="s">
        <v>48</v>
      </c>
      <c r="D18" s="34" t="s">
        <v>49</v>
      </c>
      <c r="E18" s="32">
        <v>2017</v>
      </c>
      <c r="F18" s="32" t="s">
        <v>18</v>
      </c>
      <c r="G18" s="32" t="s">
        <v>153</v>
      </c>
      <c r="H18" s="32" t="s">
        <v>213</v>
      </c>
      <c r="I18" s="32" t="s">
        <v>252</v>
      </c>
      <c r="J18" s="36">
        <v>6199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1">
        <v>0</v>
      </c>
      <c r="Q18" s="37">
        <f t="shared" si="0"/>
        <v>6199</v>
      </c>
      <c r="R18" s="69">
        <f t="shared" si="1"/>
        <v>5269.15</v>
      </c>
      <c r="S18" s="30"/>
      <c r="T18" s="30"/>
    </row>
    <row r="19" spans="1:20" ht="45" customHeight="1" x14ac:dyDescent="0.3">
      <c r="A19" s="31">
        <v>7</v>
      </c>
      <c r="B19" s="32" t="s">
        <v>37</v>
      </c>
      <c r="C19" s="32" t="s">
        <v>50</v>
      </c>
      <c r="D19" s="34" t="s">
        <v>51</v>
      </c>
      <c r="E19" s="32">
        <v>2016</v>
      </c>
      <c r="F19" s="32" t="s">
        <v>18</v>
      </c>
      <c r="G19" s="32" t="s">
        <v>154</v>
      </c>
      <c r="H19" s="32" t="s">
        <v>214</v>
      </c>
      <c r="I19" s="32" t="s">
        <v>253</v>
      </c>
      <c r="J19" s="36">
        <v>3582</v>
      </c>
      <c r="K19" s="36">
        <v>0</v>
      </c>
      <c r="L19" s="36">
        <v>0</v>
      </c>
      <c r="M19" s="36">
        <v>0</v>
      </c>
      <c r="N19" s="36">
        <f>15443+20859</f>
        <v>36302</v>
      </c>
      <c r="O19" s="36">
        <v>0</v>
      </c>
      <c r="P19" s="31">
        <v>0</v>
      </c>
      <c r="Q19" s="37">
        <f t="shared" si="0"/>
        <v>39884</v>
      </c>
      <c r="R19" s="69">
        <f t="shared" si="1"/>
        <v>33901.4</v>
      </c>
      <c r="S19" s="30"/>
      <c r="T19" s="30"/>
    </row>
    <row r="20" spans="1:20" ht="45" customHeight="1" x14ac:dyDescent="0.3">
      <c r="A20" s="36">
        <v>8</v>
      </c>
      <c r="B20" s="32" t="s">
        <v>37</v>
      </c>
      <c r="C20" s="32" t="s">
        <v>52</v>
      </c>
      <c r="D20" s="34" t="s">
        <v>53</v>
      </c>
      <c r="E20" s="32">
        <v>2006</v>
      </c>
      <c r="F20" s="32" t="s">
        <v>18</v>
      </c>
      <c r="G20" s="32" t="s">
        <v>155</v>
      </c>
      <c r="H20" s="38" t="s">
        <v>215</v>
      </c>
      <c r="I20" s="38" t="s">
        <v>254</v>
      </c>
      <c r="J20" s="36">
        <v>6199</v>
      </c>
      <c r="K20" s="36">
        <v>0</v>
      </c>
      <c r="L20" s="36">
        <v>13298</v>
      </c>
      <c r="M20" s="36">
        <v>0</v>
      </c>
      <c r="N20" s="36">
        <v>0</v>
      </c>
      <c r="O20" s="36">
        <v>0</v>
      </c>
      <c r="P20" s="36">
        <v>0</v>
      </c>
      <c r="Q20" s="37">
        <f t="shared" si="0"/>
        <v>19497</v>
      </c>
      <c r="R20" s="69">
        <f t="shared" si="1"/>
        <v>16572.45</v>
      </c>
      <c r="S20" s="30"/>
      <c r="T20" s="30"/>
    </row>
    <row r="21" spans="1:20" ht="45" customHeight="1" x14ac:dyDescent="0.3">
      <c r="A21" s="31">
        <v>9</v>
      </c>
      <c r="B21" s="32" t="s">
        <v>37</v>
      </c>
      <c r="C21" s="32" t="s">
        <v>54</v>
      </c>
      <c r="D21" s="34" t="s">
        <v>55</v>
      </c>
      <c r="E21" s="32">
        <v>1983</v>
      </c>
      <c r="F21" s="32" t="s">
        <v>19</v>
      </c>
      <c r="G21" s="32" t="s">
        <v>156</v>
      </c>
      <c r="H21" s="32" t="s">
        <v>156</v>
      </c>
      <c r="I21" s="32" t="s">
        <v>7466</v>
      </c>
      <c r="J21" s="36">
        <v>6199</v>
      </c>
      <c r="K21" s="36">
        <v>0</v>
      </c>
      <c r="L21" s="36">
        <v>0</v>
      </c>
      <c r="M21" s="36">
        <v>0</v>
      </c>
      <c r="N21" s="36">
        <v>0</v>
      </c>
      <c r="O21" s="36">
        <v>0</v>
      </c>
      <c r="P21" s="36">
        <v>0</v>
      </c>
      <c r="Q21" s="37">
        <f t="shared" si="0"/>
        <v>6199</v>
      </c>
      <c r="R21" s="69">
        <f t="shared" si="1"/>
        <v>5269.15</v>
      </c>
      <c r="S21" s="30"/>
      <c r="T21" s="30"/>
    </row>
    <row r="22" spans="1:20" s="41" customFormat="1" ht="45" customHeight="1" x14ac:dyDescent="0.3">
      <c r="A22" s="31">
        <v>10</v>
      </c>
      <c r="B22" s="38" t="s">
        <v>37</v>
      </c>
      <c r="C22" s="38" t="s">
        <v>56</v>
      </c>
      <c r="D22" s="39" t="s">
        <v>57</v>
      </c>
      <c r="E22" s="38">
        <v>2023</v>
      </c>
      <c r="F22" s="38" t="s">
        <v>19</v>
      </c>
      <c r="G22" s="38" t="s">
        <v>157</v>
      </c>
      <c r="H22" s="38" t="s">
        <v>216</v>
      </c>
      <c r="I22" s="38" t="s">
        <v>7467</v>
      </c>
      <c r="J22" s="36">
        <v>6199</v>
      </c>
      <c r="K22" s="36">
        <f>6278+4484+1346+1166+2332+2332+2332+2332+2332+6995+6995+2332+6995+2332+4484</f>
        <v>55067</v>
      </c>
      <c r="L22" s="36">
        <v>0</v>
      </c>
      <c r="M22" s="36">
        <v>0</v>
      </c>
      <c r="N22" s="36">
        <f>3148+4053+2088</f>
        <v>9289</v>
      </c>
      <c r="O22" s="36">
        <v>0</v>
      </c>
      <c r="P22" s="36">
        <f>720+120+1080+100+360+56+396</f>
        <v>2832</v>
      </c>
      <c r="Q22" s="37">
        <f t="shared" si="0"/>
        <v>73387</v>
      </c>
      <c r="R22" s="69">
        <f t="shared" si="1"/>
        <v>62378.95</v>
      </c>
      <c r="S22" s="40"/>
      <c r="T22" s="40"/>
    </row>
    <row r="23" spans="1:20" s="41" customFormat="1" ht="45" customHeight="1" x14ac:dyDescent="0.3">
      <c r="A23" s="36">
        <v>11</v>
      </c>
      <c r="B23" s="38" t="s">
        <v>37</v>
      </c>
      <c r="C23" s="38" t="s">
        <v>56</v>
      </c>
      <c r="D23" s="39" t="s">
        <v>57</v>
      </c>
      <c r="E23" s="38">
        <v>2023</v>
      </c>
      <c r="F23" s="38" t="s">
        <v>2635</v>
      </c>
      <c r="G23" s="38" t="s">
        <v>157</v>
      </c>
      <c r="H23" s="38" t="s">
        <v>216</v>
      </c>
      <c r="I23" s="38" t="s">
        <v>7468</v>
      </c>
      <c r="J23" s="36">
        <v>0</v>
      </c>
      <c r="K23" s="36">
        <v>0</v>
      </c>
      <c r="L23" s="36">
        <v>0</v>
      </c>
      <c r="M23" s="36">
        <v>17688</v>
      </c>
      <c r="N23" s="36">
        <v>0</v>
      </c>
      <c r="O23" s="36">
        <v>0</v>
      </c>
      <c r="P23" s="36">
        <f>360+396+56</f>
        <v>812</v>
      </c>
      <c r="Q23" s="37">
        <f t="shared" si="0"/>
        <v>18500</v>
      </c>
      <c r="R23" s="69">
        <f t="shared" si="1"/>
        <v>15725</v>
      </c>
      <c r="S23" s="40"/>
      <c r="T23" s="40"/>
    </row>
    <row r="24" spans="1:20" ht="45" customHeight="1" x14ac:dyDescent="0.3">
      <c r="A24" s="31">
        <v>12</v>
      </c>
      <c r="B24" s="32" t="s">
        <v>37</v>
      </c>
      <c r="C24" s="32" t="s">
        <v>58</v>
      </c>
      <c r="D24" s="34" t="s">
        <v>302</v>
      </c>
      <c r="E24" s="32">
        <v>1991</v>
      </c>
      <c r="F24" s="32" t="s">
        <v>18</v>
      </c>
      <c r="G24" s="32" t="s">
        <v>158</v>
      </c>
      <c r="H24" s="32" t="s">
        <v>158</v>
      </c>
      <c r="I24" s="32" t="s">
        <v>257</v>
      </c>
      <c r="J24" s="31">
        <v>3582</v>
      </c>
      <c r="K24" s="31">
        <v>0</v>
      </c>
      <c r="L24" s="31">
        <v>0</v>
      </c>
      <c r="M24" s="31">
        <v>0</v>
      </c>
      <c r="N24" s="31">
        <f>34016+27380</f>
        <v>61396</v>
      </c>
      <c r="O24" s="31">
        <v>0</v>
      </c>
      <c r="P24" s="31">
        <v>0</v>
      </c>
      <c r="Q24" s="37">
        <f t="shared" si="0"/>
        <v>64978</v>
      </c>
      <c r="R24" s="69">
        <f t="shared" si="1"/>
        <v>55231.3</v>
      </c>
      <c r="S24" s="30"/>
      <c r="T24" s="30"/>
    </row>
    <row r="25" spans="1:20" ht="45" customHeight="1" x14ac:dyDescent="0.3">
      <c r="A25" s="31">
        <v>13</v>
      </c>
      <c r="B25" s="32" t="s">
        <v>37</v>
      </c>
      <c r="C25" s="32" t="s">
        <v>59</v>
      </c>
      <c r="D25" s="34" t="s">
        <v>60</v>
      </c>
      <c r="E25" s="32">
        <v>2020</v>
      </c>
      <c r="F25" s="32" t="s">
        <v>18</v>
      </c>
      <c r="G25" s="32" t="s">
        <v>159</v>
      </c>
      <c r="H25" s="32" t="s">
        <v>217</v>
      </c>
      <c r="I25" s="32" t="s">
        <v>258</v>
      </c>
      <c r="J25" s="36">
        <v>3793</v>
      </c>
      <c r="K25" s="36">
        <v>0</v>
      </c>
      <c r="L25" s="36">
        <v>0</v>
      </c>
      <c r="M25" s="36">
        <v>0</v>
      </c>
      <c r="N25" s="36">
        <f>15443+19239</f>
        <v>34682</v>
      </c>
      <c r="O25" s="36">
        <v>0</v>
      </c>
      <c r="P25" s="31">
        <v>0</v>
      </c>
      <c r="Q25" s="37">
        <f t="shared" si="0"/>
        <v>38475</v>
      </c>
      <c r="R25" s="69">
        <f t="shared" si="1"/>
        <v>32703.75</v>
      </c>
      <c r="S25" s="30"/>
      <c r="T25" s="30"/>
    </row>
    <row r="26" spans="1:20" ht="45" customHeight="1" x14ac:dyDescent="0.3">
      <c r="A26" s="36">
        <v>14</v>
      </c>
      <c r="B26" s="32" t="s">
        <v>37</v>
      </c>
      <c r="C26" s="32" t="s">
        <v>61</v>
      </c>
      <c r="D26" s="34" t="s">
        <v>62</v>
      </c>
      <c r="E26" s="32">
        <v>1988</v>
      </c>
      <c r="F26" s="32" t="s">
        <v>18</v>
      </c>
      <c r="G26" s="32" t="s">
        <v>160</v>
      </c>
      <c r="H26" s="32" t="s">
        <v>160</v>
      </c>
      <c r="I26" s="32" t="s">
        <v>259</v>
      </c>
      <c r="J26" s="31">
        <v>3582</v>
      </c>
      <c r="K26" s="31">
        <v>0</v>
      </c>
      <c r="L26" s="31">
        <v>0</v>
      </c>
      <c r="M26" s="31">
        <v>0</v>
      </c>
      <c r="N26" s="31">
        <f>15443+21194+13563</f>
        <v>50200</v>
      </c>
      <c r="O26" s="31">
        <v>0</v>
      </c>
      <c r="P26" s="31">
        <v>0</v>
      </c>
      <c r="Q26" s="37">
        <f t="shared" si="0"/>
        <v>53782</v>
      </c>
      <c r="R26" s="69">
        <f t="shared" si="1"/>
        <v>45714.7</v>
      </c>
      <c r="S26" s="30"/>
      <c r="T26" s="30"/>
    </row>
    <row r="27" spans="1:20" ht="45" customHeight="1" x14ac:dyDescent="0.3">
      <c r="A27" s="31">
        <v>15</v>
      </c>
      <c r="B27" s="32" t="s">
        <v>37</v>
      </c>
      <c r="C27" s="32" t="s">
        <v>63</v>
      </c>
      <c r="D27" s="34" t="s">
        <v>64</v>
      </c>
      <c r="E27" s="32">
        <v>2023</v>
      </c>
      <c r="F27" s="32" t="s">
        <v>18</v>
      </c>
      <c r="G27" s="32" t="s">
        <v>161</v>
      </c>
      <c r="H27" s="32" t="s">
        <v>218</v>
      </c>
      <c r="I27" s="32" t="s">
        <v>260</v>
      </c>
      <c r="J27" s="31">
        <v>6199</v>
      </c>
      <c r="K27" s="31">
        <f>6278+4484+1346</f>
        <v>12108</v>
      </c>
      <c r="L27" s="31">
        <v>0</v>
      </c>
      <c r="M27" s="31">
        <v>0</v>
      </c>
      <c r="N27" s="31">
        <v>3148</v>
      </c>
      <c r="O27" s="31">
        <v>0</v>
      </c>
      <c r="P27" s="31">
        <v>0</v>
      </c>
      <c r="Q27" s="37">
        <f t="shared" si="0"/>
        <v>21455</v>
      </c>
      <c r="R27" s="69">
        <f t="shared" si="1"/>
        <v>18236.75</v>
      </c>
      <c r="S27" s="30"/>
      <c r="T27" s="30"/>
    </row>
    <row r="28" spans="1:20" ht="45" customHeight="1" x14ac:dyDescent="0.3">
      <c r="A28" s="31">
        <v>16</v>
      </c>
      <c r="B28" s="32" t="s">
        <v>37</v>
      </c>
      <c r="C28" s="32" t="s">
        <v>65</v>
      </c>
      <c r="D28" s="34" t="s">
        <v>66</v>
      </c>
      <c r="E28" s="32">
        <v>2012</v>
      </c>
      <c r="F28" s="32" t="s">
        <v>19</v>
      </c>
      <c r="G28" s="32" t="s">
        <v>162</v>
      </c>
      <c r="H28" s="32" t="s">
        <v>219</v>
      </c>
      <c r="I28" s="32" t="s">
        <v>261</v>
      </c>
      <c r="J28" s="36">
        <v>6199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1">
        <v>0</v>
      </c>
      <c r="Q28" s="37">
        <f t="shared" si="0"/>
        <v>6199</v>
      </c>
      <c r="R28" s="69">
        <f t="shared" si="1"/>
        <v>5269.15</v>
      </c>
      <c r="S28" s="30"/>
      <c r="T28" s="30"/>
    </row>
    <row r="29" spans="1:20" ht="45" customHeight="1" x14ac:dyDescent="0.3">
      <c r="A29" s="36">
        <v>17</v>
      </c>
      <c r="B29" s="32" t="s">
        <v>37</v>
      </c>
      <c r="C29" s="32" t="s">
        <v>67</v>
      </c>
      <c r="D29" s="34" t="s">
        <v>68</v>
      </c>
      <c r="E29" s="32">
        <v>2013</v>
      </c>
      <c r="F29" s="32" t="s">
        <v>19</v>
      </c>
      <c r="G29" s="32" t="s">
        <v>163</v>
      </c>
      <c r="H29" s="32" t="s">
        <v>220</v>
      </c>
      <c r="I29" s="32" t="s">
        <v>262</v>
      </c>
      <c r="J29" s="36">
        <v>6199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1">
        <v>0</v>
      </c>
      <c r="Q29" s="37">
        <f t="shared" si="0"/>
        <v>6199</v>
      </c>
      <c r="R29" s="69">
        <f t="shared" si="1"/>
        <v>5269.15</v>
      </c>
      <c r="S29" s="30"/>
      <c r="T29" s="30"/>
    </row>
    <row r="30" spans="1:20" ht="45" customHeight="1" x14ac:dyDescent="0.3">
      <c r="A30" s="31">
        <v>18</v>
      </c>
      <c r="B30" s="32" t="s">
        <v>37</v>
      </c>
      <c r="C30" s="32" t="s">
        <v>69</v>
      </c>
      <c r="D30" s="34" t="s">
        <v>70</v>
      </c>
      <c r="E30" s="32">
        <v>2014</v>
      </c>
      <c r="F30" s="32" t="s">
        <v>19</v>
      </c>
      <c r="G30" s="32" t="s">
        <v>164</v>
      </c>
      <c r="H30" s="32" t="s">
        <v>221</v>
      </c>
      <c r="I30" s="32" t="s">
        <v>263</v>
      </c>
      <c r="J30" s="36">
        <v>6199</v>
      </c>
      <c r="K30" s="36">
        <v>0</v>
      </c>
      <c r="L30" s="36">
        <v>0</v>
      </c>
      <c r="M30" s="36">
        <v>0</v>
      </c>
      <c r="N30" s="36">
        <v>0</v>
      </c>
      <c r="O30" s="36">
        <v>0</v>
      </c>
      <c r="P30" s="31">
        <v>0</v>
      </c>
      <c r="Q30" s="37">
        <f t="shared" si="0"/>
        <v>6199</v>
      </c>
      <c r="R30" s="69">
        <f t="shared" si="1"/>
        <v>5269.15</v>
      </c>
      <c r="S30" s="30"/>
      <c r="T30" s="30"/>
    </row>
    <row r="31" spans="1:20" ht="45" customHeight="1" x14ac:dyDescent="0.3">
      <c r="A31" s="31">
        <v>19</v>
      </c>
      <c r="B31" s="32" t="s">
        <v>37</v>
      </c>
      <c r="C31" s="32" t="s">
        <v>71</v>
      </c>
      <c r="D31" s="34" t="s">
        <v>72</v>
      </c>
      <c r="E31" s="32">
        <v>1997</v>
      </c>
      <c r="F31" s="32" t="s">
        <v>19</v>
      </c>
      <c r="G31" s="32" t="s">
        <v>165</v>
      </c>
      <c r="H31" s="32" t="s">
        <v>165</v>
      </c>
      <c r="I31" s="32" t="s">
        <v>264</v>
      </c>
      <c r="J31" s="36">
        <v>6199</v>
      </c>
      <c r="K31" s="36">
        <v>0</v>
      </c>
      <c r="L31" s="36">
        <v>0</v>
      </c>
      <c r="M31" s="36">
        <v>0</v>
      </c>
      <c r="N31" s="36">
        <f>27380+34016+30886</f>
        <v>92282</v>
      </c>
      <c r="O31" s="36">
        <v>0</v>
      </c>
      <c r="P31" s="31">
        <v>0</v>
      </c>
      <c r="Q31" s="37">
        <f t="shared" si="0"/>
        <v>98481</v>
      </c>
      <c r="R31" s="69">
        <f t="shared" si="1"/>
        <v>83708.850000000006</v>
      </c>
      <c r="S31" s="30"/>
      <c r="T31" s="30"/>
    </row>
    <row r="32" spans="1:20" ht="45" customHeight="1" x14ac:dyDescent="0.3">
      <c r="A32" s="36">
        <v>20</v>
      </c>
      <c r="B32" s="32" t="s">
        <v>37</v>
      </c>
      <c r="C32" s="32" t="s">
        <v>73</v>
      </c>
      <c r="D32" s="34" t="s">
        <v>74</v>
      </c>
      <c r="E32" s="32">
        <v>1993</v>
      </c>
      <c r="F32" s="32" t="s">
        <v>18</v>
      </c>
      <c r="G32" s="32" t="s">
        <v>166</v>
      </c>
      <c r="H32" s="32" t="s">
        <v>222</v>
      </c>
      <c r="I32" s="32" t="s">
        <v>265</v>
      </c>
      <c r="J32" s="31">
        <v>6199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7">
        <f t="shared" si="0"/>
        <v>6199</v>
      </c>
      <c r="R32" s="69">
        <f t="shared" si="1"/>
        <v>5269.15</v>
      </c>
      <c r="S32" s="30"/>
      <c r="T32" s="30"/>
    </row>
    <row r="33" spans="1:20" ht="45" customHeight="1" x14ac:dyDescent="0.3">
      <c r="A33" s="31">
        <v>21</v>
      </c>
      <c r="B33" s="32" t="s">
        <v>37</v>
      </c>
      <c r="C33" s="32" t="s">
        <v>75</v>
      </c>
      <c r="D33" s="34" t="s">
        <v>76</v>
      </c>
      <c r="E33" s="32">
        <v>1981</v>
      </c>
      <c r="F33" s="32" t="s">
        <v>19</v>
      </c>
      <c r="G33" s="32" t="s">
        <v>167</v>
      </c>
      <c r="H33" s="32" t="s">
        <v>223</v>
      </c>
      <c r="I33" s="32" t="s">
        <v>266</v>
      </c>
      <c r="J33" s="36">
        <v>0</v>
      </c>
      <c r="K33" s="36">
        <v>0</v>
      </c>
      <c r="L33" s="36">
        <v>0</v>
      </c>
      <c r="M33" s="36">
        <v>0</v>
      </c>
      <c r="N33" s="36">
        <f>34016+27380</f>
        <v>61396</v>
      </c>
      <c r="O33" s="36">
        <v>0</v>
      </c>
      <c r="P33" s="36">
        <v>0</v>
      </c>
      <c r="Q33" s="37">
        <f t="shared" si="0"/>
        <v>61396</v>
      </c>
      <c r="R33" s="69">
        <f t="shared" si="1"/>
        <v>52186.6</v>
      </c>
      <c r="S33" s="30"/>
      <c r="T33" s="30"/>
    </row>
    <row r="34" spans="1:20" ht="45" customHeight="1" x14ac:dyDescent="0.3">
      <c r="A34" s="31">
        <v>22</v>
      </c>
      <c r="B34" s="32" t="s">
        <v>37</v>
      </c>
      <c r="C34" s="32" t="s">
        <v>77</v>
      </c>
      <c r="D34" s="34" t="s">
        <v>78</v>
      </c>
      <c r="E34" s="32">
        <v>2020</v>
      </c>
      <c r="F34" s="32" t="s">
        <v>18</v>
      </c>
      <c r="G34" s="32" t="s">
        <v>168</v>
      </c>
      <c r="H34" s="38" t="s">
        <v>223</v>
      </c>
      <c r="I34" s="38" t="s">
        <v>266</v>
      </c>
      <c r="J34" s="36">
        <v>0</v>
      </c>
      <c r="K34" s="36">
        <v>0</v>
      </c>
      <c r="L34" s="36">
        <v>0</v>
      </c>
      <c r="M34" s="36">
        <v>0</v>
      </c>
      <c r="N34" s="36">
        <v>27126</v>
      </c>
      <c r="O34" s="36">
        <v>0</v>
      </c>
      <c r="P34" s="36">
        <v>0</v>
      </c>
      <c r="Q34" s="37">
        <f t="shared" si="0"/>
        <v>27126</v>
      </c>
      <c r="R34" s="69">
        <f t="shared" si="1"/>
        <v>23057.1</v>
      </c>
      <c r="S34" s="30"/>
      <c r="T34" s="30"/>
    </row>
    <row r="35" spans="1:20" ht="45" customHeight="1" x14ac:dyDescent="0.3">
      <c r="A35" s="36">
        <v>23</v>
      </c>
      <c r="B35" s="32" t="s">
        <v>37</v>
      </c>
      <c r="C35" s="32" t="s">
        <v>79</v>
      </c>
      <c r="D35" s="34" t="s">
        <v>80</v>
      </c>
      <c r="E35" s="32">
        <v>1980</v>
      </c>
      <c r="F35" s="32" t="s">
        <v>18</v>
      </c>
      <c r="G35" s="32" t="s">
        <v>169</v>
      </c>
      <c r="H35" s="32" t="s">
        <v>169</v>
      </c>
      <c r="I35" s="32" t="s">
        <v>34</v>
      </c>
      <c r="J35" s="36">
        <v>6199</v>
      </c>
      <c r="K35" s="36">
        <f>1166+2801</f>
        <v>3967</v>
      </c>
      <c r="L35" s="36">
        <v>0</v>
      </c>
      <c r="M35" s="36">
        <v>0</v>
      </c>
      <c r="N35" s="36">
        <v>0</v>
      </c>
      <c r="O35" s="36">
        <v>0</v>
      </c>
      <c r="P35" s="31">
        <v>0</v>
      </c>
      <c r="Q35" s="37">
        <f t="shared" si="0"/>
        <v>10166</v>
      </c>
      <c r="R35" s="69">
        <f t="shared" si="1"/>
        <v>8641.1</v>
      </c>
      <c r="S35" s="30"/>
      <c r="T35" s="30"/>
    </row>
    <row r="36" spans="1:20" ht="45" customHeight="1" x14ac:dyDescent="0.3">
      <c r="A36" s="31">
        <v>24</v>
      </c>
      <c r="B36" s="32" t="s">
        <v>37</v>
      </c>
      <c r="C36" s="32" t="s">
        <v>81</v>
      </c>
      <c r="D36" s="34" t="s">
        <v>82</v>
      </c>
      <c r="E36" s="32">
        <v>1990</v>
      </c>
      <c r="F36" s="32" t="s">
        <v>19</v>
      </c>
      <c r="G36" s="32" t="s">
        <v>170</v>
      </c>
      <c r="H36" s="32" t="s">
        <v>170</v>
      </c>
      <c r="I36" s="32" t="s">
        <v>267</v>
      </c>
      <c r="J36" s="31">
        <v>6199</v>
      </c>
      <c r="K36" s="31">
        <v>0</v>
      </c>
      <c r="L36" s="31">
        <v>18406</v>
      </c>
      <c r="M36" s="31">
        <v>0</v>
      </c>
      <c r="N36" s="31">
        <v>0</v>
      </c>
      <c r="O36" s="31">
        <v>0</v>
      </c>
      <c r="P36" s="31">
        <v>0</v>
      </c>
      <c r="Q36" s="35">
        <f t="shared" si="0"/>
        <v>24605</v>
      </c>
      <c r="R36" s="69">
        <f t="shared" si="1"/>
        <v>20914.25</v>
      </c>
      <c r="S36" s="30"/>
      <c r="T36" s="30"/>
    </row>
    <row r="37" spans="1:20" ht="45" customHeight="1" x14ac:dyDescent="0.3">
      <c r="A37" s="31">
        <v>25</v>
      </c>
      <c r="B37" s="32" t="s">
        <v>37</v>
      </c>
      <c r="C37" s="32" t="s">
        <v>83</v>
      </c>
      <c r="D37" s="34" t="s">
        <v>84</v>
      </c>
      <c r="E37" s="32">
        <v>1976</v>
      </c>
      <c r="F37" s="32" t="s">
        <v>19</v>
      </c>
      <c r="G37" s="32" t="s">
        <v>171</v>
      </c>
      <c r="H37" s="32" t="s">
        <v>224</v>
      </c>
      <c r="I37" s="32" t="s">
        <v>268</v>
      </c>
      <c r="J37" s="31">
        <v>6199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7">
        <f t="shared" si="0"/>
        <v>6199</v>
      </c>
      <c r="R37" s="69">
        <f t="shared" si="1"/>
        <v>5269.15</v>
      </c>
      <c r="S37" s="30"/>
      <c r="T37" s="30"/>
    </row>
    <row r="38" spans="1:20" ht="45" customHeight="1" x14ac:dyDescent="0.3">
      <c r="A38" s="36">
        <v>26</v>
      </c>
      <c r="B38" s="32" t="s">
        <v>37</v>
      </c>
      <c r="C38" s="32" t="s">
        <v>85</v>
      </c>
      <c r="D38" s="34" t="s">
        <v>86</v>
      </c>
      <c r="E38" s="32">
        <v>1959</v>
      </c>
      <c r="F38" s="32" t="s">
        <v>18</v>
      </c>
      <c r="G38" s="32" t="s">
        <v>172</v>
      </c>
      <c r="H38" s="32" t="s">
        <v>172</v>
      </c>
      <c r="I38" s="38" t="s">
        <v>269</v>
      </c>
      <c r="J38" s="36">
        <v>6199</v>
      </c>
      <c r="K38" s="36">
        <v>0</v>
      </c>
      <c r="L38" s="36">
        <v>0</v>
      </c>
      <c r="M38" s="36">
        <v>0</v>
      </c>
      <c r="N38" s="36">
        <v>0</v>
      </c>
      <c r="O38" s="36">
        <v>0</v>
      </c>
      <c r="P38" s="36">
        <v>0</v>
      </c>
      <c r="Q38" s="37">
        <f t="shared" si="0"/>
        <v>6199</v>
      </c>
      <c r="R38" s="69">
        <f t="shared" si="1"/>
        <v>5269.15</v>
      </c>
      <c r="S38" s="30"/>
      <c r="T38" s="30"/>
    </row>
    <row r="39" spans="1:20" ht="45" customHeight="1" x14ac:dyDescent="0.3">
      <c r="A39" s="31">
        <v>27</v>
      </c>
      <c r="B39" s="32" t="s">
        <v>37</v>
      </c>
      <c r="C39" s="32" t="s">
        <v>87</v>
      </c>
      <c r="D39" s="34" t="s">
        <v>88</v>
      </c>
      <c r="E39" s="32">
        <v>1996</v>
      </c>
      <c r="F39" s="32" t="s">
        <v>18</v>
      </c>
      <c r="G39" s="32" t="s">
        <v>173</v>
      </c>
      <c r="H39" s="32" t="s">
        <v>173</v>
      </c>
      <c r="I39" s="32" t="s">
        <v>270</v>
      </c>
      <c r="J39" s="36">
        <v>6199</v>
      </c>
      <c r="K39" s="36">
        <f>1166+2801</f>
        <v>3967</v>
      </c>
      <c r="L39" s="36">
        <v>0</v>
      </c>
      <c r="M39" s="36">
        <v>0</v>
      </c>
      <c r="N39" s="36">
        <v>0</v>
      </c>
      <c r="O39" s="36">
        <v>0</v>
      </c>
      <c r="P39" s="31">
        <v>0</v>
      </c>
      <c r="Q39" s="37">
        <f t="shared" si="0"/>
        <v>10166</v>
      </c>
      <c r="R39" s="69">
        <f t="shared" si="1"/>
        <v>8641.1</v>
      </c>
      <c r="S39" s="30"/>
      <c r="T39" s="30"/>
    </row>
    <row r="40" spans="1:20" ht="45" customHeight="1" x14ac:dyDescent="0.3">
      <c r="A40" s="31">
        <v>28</v>
      </c>
      <c r="B40" s="32" t="s">
        <v>37</v>
      </c>
      <c r="C40" s="32" t="s">
        <v>89</v>
      </c>
      <c r="D40" s="34" t="s">
        <v>90</v>
      </c>
      <c r="E40" s="32">
        <v>2019</v>
      </c>
      <c r="F40" s="32" t="s">
        <v>19</v>
      </c>
      <c r="G40" s="32" t="s">
        <v>174</v>
      </c>
      <c r="H40" s="32" t="s">
        <v>225</v>
      </c>
      <c r="I40" s="32" t="s">
        <v>271</v>
      </c>
      <c r="J40" s="31">
        <v>3582</v>
      </c>
      <c r="K40" s="31">
        <v>0</v>
      </c>
      <c r="L40" s="31">
        <v>0</v>
      </c>
      <c r="M40" s="31">
        <v>0</v>
      </c>
      <c r="N40" s="31">
        <v>38478</v>
      </c>
      <c r="O40" s="31">
        <v>0</v>
      </c>
      <c r="P40" s="31">
        <v>0</v>
      </c>
      <c r="Q40" s="37">
        <f t="shared" si="0"/>
        <v>42060</v>
      </c>
      <c r="R40" s="69">
        <f t="shared" si="1"/>
        <v>35751</v>
      </c>
      <c r="S40" s="30"/>
      <c r="T40" s="30"/>
    </row>
    <row r="41" spans="1:20" ht="45" customHeight="1" x14ac:dyDescent="0.3">
      <c r="A41" s="36">
        <v>29</v>
      </c>
      <c r="B41" s="32" t="s">
        <v>37</v>
      </c>
      <c r="C41" s="32" t="s">
        <v>91</v>
      </c>
      <c r="D41" s="34" t="s">
        <v>92</v>
      </c>
      <c r="E41" s="32">
        <v>2018</v>
      </c>
      <c r="F41" s="32" t="s">
        <v>18</v>
      </c>
      <c r="G41" s="32" t="s">
        <v>175</v>
      </c>
      <c r="H41" s="32" t="s">
        <v>226</v>
      </c>
      <c r="I41" s="32" t="s">
        <v>272</v>
      </c>
      <c r="J41" s="31">
        <v>6199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7">
        <f t="shared" si="0"/>
        <v>6199</v>
      </c>
      <c r="R41" s="69">
        <f t="shared" si="1"/>
        <v>5269.15</v>
      </c>
      <c r="S41" s="30"/>
      <c r="T41" s="30"/>
    </row>
    <row r="42" spans="1:20" ht="45" customHeight="1" x14ac:dyDescent="0.3">
      <c r="A42" s="31">
        <v>30</v>
      </c>
      <c r="B42" s="32" t="s">
        <v>37</v>
      </c>
      <c r="C42" s="32" t="s">
        <v>93</v>
      </c>
      <c r="D42" s="34" t="s">
        <v>94</v>
      </c>
      <c r="E42" s="32">
        <v>2021</v>
      </c>
      <c r="F42" s="32" t="s">
        <v>18</v>
      </c>
      <c r="G42" s="32" t="s">
        <v>176</v>
      </c>
      <c r="H42" s="38" t="s">
        <v>227</v>
      </c>
      <c r="I42" s="38" t="s">
        <v>273</v>
      </c>
      <c r="J42" s="36">
        <v>3793</v>
      </c>
      <c r="K42" s="36">
        <f>6278+4484+1346+1166</f>
        <v>13274</v>
      </c>
      <c r="L42" s="36">
        <v>0</v>
      </c>
      <c r="M42" s="36">
        <v>0</v>
      </c>
      <c r="N42" s="36">
        <v>3148</v>
      </c>
      <c r="O42" s="36">
        <v>0</v>
      </c>
      <c r="P42" s="36">
        <v>0</v>
      </c>
      <c r="Q42" s="37">
        <f t="shared" si="0"/>
        <v>20215</v>
      </c>
      <c r="R42" s="69">
        <f t="shared" si="1"/>
        <v>17182.75</v>
      </c>
      <c r="S42" s="30"/>
      <c r="T42" s="30"/>
    </row>
    <row r="43" spans="1:20" ht="45" customHeight="1" x14ac:dyDescent="0.3">
      <c r="A43" s="31">
        <v>31</v>
      </c>
      <c r="B43" s="32" t="s">
        <v>37</v>
      </c>
      <c r="C43" s="32" t="s">
        <v>93</v>
      </c>
      <c r="D43" s="34" t="s">
        <v>94</v>
      </c>
      <c r="E43" s="32">
        <v>2021</v>
      </c>
      <c r="F43" s="32" t="s">
        <v>18</v>
      </c>
      <c r="G43" s="32" t="s">
        <v>176</v>
      </c>
      <c r="H43" s="38" t="s">
        <v>227</v>
      </c>
      <c r="I43" s="38" t="s">
        <v>273</v>
      </c>
      <c r="J43" s="36">
        <v>0</v>
      </c>
      <c r="K43" s="36">
        <v>0</v>
      </c>
      <c r="L43" s="36">
        <v>0</v>
      </c>
      <c r="M43" s="36">
        <v>0</v>
      </c>
      <c r="N43" s="36">
        <v>4053</v>
      </c>
      <c r="O43" s="36">
        <v>0</v>
      </c>
      <c r="P43" s="36">
        <f>720+1080+1200</f>
        <v>3000</v>
      </c>
      <c r="Q43" s="37">
        <f t="shared" si="0"/>
        <v>7053</v>
      </c>
      <c r="R43" s="69">
        <f t="shared" si="1"/>
        <v>5995.05</v>
      </c>
      <c r="S43" s="30"/>
      <c r="T43" s="30"/>
    </row>
    <row r="44" spans="1:20" ht="45" customHeight="1" x14ac:dyDescent="0.3">
      <c r="A44" s="36">
        <v>32</v>
      </c>
      <c r="B44" s="32" t="s">
        <v>37</v>
      </c>
      <c r="C44" s="32" t="s">
        <v>93</v>
      </c>
      <c r="D44" s="34" t="s">
        <v>94</v>
      </c>
      <c r="E44" s="32">
        <v>2021</v>
      </c>
      <c r="F44" s="32" t="s">
        <v>18</v>
      </c>
      <c r="G44" s="32" t="s">
        <v>176</v>
      </c>
      <c r="H44" s="38" t="s">
        <v>227</v>
      </c>
      <c r="I44" s="38" t="s">
        <v>273</v>
      </c>
      <c r="J44" s="36">
        <v>0</v>
      </c>
      <c r="K44" s="36">
        <v>0</v>
      </c>
      <c r="L44" s="36">
        <v>0</v>
      </c>
      <c r="M44" s="36">
        <v>17688</v>
      </c>
      <c r="N44" s="36">
        <v>0</v>
      </c>
      <c r="O44" s="36">
        <v>0</v>
      </c>
      <c r="P44" s="36">
        <f>360+56+1200</f>
        <v>1616</v>
      </c>
      <c r="Q44" s="37">
        <f t="shared" si="0"/>
        <v>19304</v>
      </c>
      <c r="R44" s="69">
        <f t="shared" si="1"/>
        <v>16408.400000000001</v>
      </c>
      <c r="S44" s="30"/>
      <c r="T44" s="30"/>
    </row>
    <row r="45" spans="1:20" ht="45" customHeight="1" x14ac:dyDescent="0.3">
      <c r="A45" s="31">
        <v>33</v>
      </c>
      <c r="B45" s="32" t="s">
        <v>37</v>
      </c>
      <c r="C45" s="32" t="s">
        <v>95</v>
      </c>
      <c r="D45" s="34" t="s">
        <v>96</v>
      </c>
      <c r="E45" s="32">
        <v>2019</v>
      </c>
      <c r="F45" s="32" t="s">
        <v>18</v>
      </c>
      <c r="G45" s="32" t="s">
        <v>177</v>
      </c>
      <c r="H45" s="38" t="s">
        <v>228</v>
      </c>
      <c r="I45" s="38" t="s">
        <v>274</v>
      </c>
      <c r="J45" s="36">
        <v>6199</v>
      </c>
      <c r="K45" s="36">
        <f>6278+4484+1346+4484+2332+2332+2332+2332+2332+2332+4484+3000+3000</f>
        <v>41068</v>
      </c>
      <c r="L45" s="36">
        <v>0</v>
      </c>
      <c r="M45" s="36">
        <v>0</v>
      </c>
      <c r="N45" s="36">
        <v>3148</v>
      </c>
      <c r="O45" s="36">
        <v>0</v>
      </c>
      <c r="P45" s="36">
        <v>0</v>
      </c>
      <c r="Q45" s="37">
        <f t="shared" si="0"/>
        <v>50415</v>
      </c>
      <c r="R45" s="69">
        <f t="shared" si="1"/>
        <v>42852.75</v>
      </c>
      <c r="S45" s="30"/>
      <c r="T45" s="30"/>
    </row>
    <row r="46" spans="1:20" ht="45" customHeight="1" x14ac:dyDescent="0.3">
      <c r="A46" s="31">
        <v>34</v>
      </c>
      <c r="B46" s="32" t="s">
        <v>37</v>
      </c>
      <c r="C46" s="32" t="s">
        <v>97</v>
      </c>
      <c r="D46" s="34" t="s">
        <v>98</v>
      </c>
      <c r="E46" s="32">
        <v>1997</v>
      </c>
      <c r="F46" s="32" t="s">
        <v>19</v>
      </c>
      <c r="G46" s="32" t="s">
        <v>178</v>
      </c>
      <c r="H46" s="32" t="s">
        <v>178</v>
      </c>
      <c r="I46" s="32" t="s">
        <v>275</v>
      </c>
      <c r="J46" s="31">
        <v>6199</v>
      </c>
      <c r="K46" s="31">
        <f>6278+2332+2332+6995</f>
        <v>17937</v>
      </c>
      <c r="L46" s="31">
        <v>18406</v>
      </c>
      <c r="M46" s="31">
        <v>0</v>
      </c>
      <c r="N46" s="31">
        <v>0</v>
      </c>
      <c r="O46" s="31">
        <v>0</v>
      </c>
      <c r="P46" s="31">
        <v>0</v>
      </c>
      <c r="Q46" s="35">
        <f t="shared" si="0"/>
        <v>42542</v>
      </c>
      <c r="R46" s="69">
        <f t="shared" si="1"/>
        <v>36160.699999999997</v>
      </c>
      <c r="S46" s="30"/>
      <c r="T46" s="30"/>
    </row>
    <row r="47" spans="1:20" s="41" customFormat="1" ht="45" customHeight="1" x14ac:dyDescent="0.3">
      <c r="A47" s="36">
        <v>35</v>
      </c>
      <c r="B47" s="38" t="s">
        <v>37</v>
      </c>
      <c r="C47" s="38" t="s">
        <v>99</v>
      </c>
      <c r="D47" s="39" t="s">
        <v>100</v>
      </c>
      <c r="E47" s="38">
        <v>2003</v>
      </c>
      <c r="F47" s="38" t="s">
        <v>19</v>
      </c>
      <c r="G47" s="38" t="s">
        <v>179</v>
      </c>
      <c r="H47" s="38" t="s">
        <v>229</v>
      </c>
      <c r="I47" s="38" t="s">
        <v>276</v>
      </c>
      <c r="J47" s="36">
        <v>3582</v>
      </c>
      <c r="K47" s="36">
        <v>0</v>
      </c>
      <c r="L47" s="36">
        <v>0</v>
      </c>
      <c r="M47" s="36">
        <v>0</v>
      </c>
      <c r="N47" s="36">
        <v>0</v>
      </c>
      <c r="O47" s="36">
        <v>0</v>
      </c>
      <c r="P47" s="36">
        <v>0</v>
      </c>
      <c r="Q47" s="37">
        <f t="shared" si="0"/>
        <v>3582</v>
      </c>
      <c r="R47" s="69">
        <f t="shared" si="1"/>
        <v>3044.7</v>
      </c>
      <c r="S47" s="40"/>
      <c r="T47" s="40"/>
    </row>
    <row r="48" spans="1:20" s="41" customFormat="1" ht="45" customHeight="1" x14ac:dyDescent="0.3">
      <c r="A48" s="31">
        <v>36</v>
      </c>
      <c r="B48" s="38" t="s">
        <v>37</v>
      </c>
      <c r="C48" s="38" t="s">
        <v>101</v>
      </c>
      <c r="D48" s="39" t="s">
        <v>100</v>
      </c>
      <c r="E48" s="38">
        <v>2003</v>
      </c>
      <c r="F48" s="38" t="s">
        <v>19</v>
      </c>
      <c r="G48" s="38" t="s">
        <v>179</v>
      </c>
      <c r="H48" s="38" t="s">
        <v>229</v>
      </c>
      <c r="I48" s="38" t="s">
        <v>276</v>
      </c>
      <c r="J48" s="36">
        <v>6199</v>
      </c>
      <c r="K48" s="36">
        <v>0</v>
      </c>
      <c r="L48" s="36">
        <v>13298</v>
      </c>
      <c r="M48" s="36">
        <v>0</v>
      </c>
      <c r="N48" s="36">
        <v>0</v>
      </c>
      <c r="O48" s="36">
        <v>0</v>
      </c>
      <c r="P48" s="36">
        <v>0</v>
      </c>
      <c r="Q48" s="37">
        <f t="shared" si="0"/>
        <v>19497</v>
      </c>
      <c r="R48" s="69">
        <f t="shared" si="1"/>
        <v>16572.45</v>
      </c>
      <c r="S48" s="40"/>
      <c r="T48" s="40"/>
    </row>
    <row r="49" spans="1:20" ht="45" customHeight="1" x14ac:dyDescent="0.3">
      <c r="A49" s="31">
        <v>37</v>
      </c>
      <c r="B49" s="32" t="s">
        <v>37</v>
      </c>
      <c r="C49" s="32" t="s">
        <v>102</v>
      </c>
      <c r="D49" s="34" t="s">
        <v>103</v>
      </c>
      <c r="E49" s="32">
        <v>2021</v>
      </c>
      <c r="F49" s="32" t="s">
        <v>19</v>
      </c>
      <c r="G49" s="32" t="s">
        <v>180</v>
      </c>
      <c r="H49" s="32" t="s">
        <v>230</v>
      </c>
      <c r="I49" s="32" t="s">
        <v>275</v>
      </c>
      <c r="J49" s="36">
        <v>6199</v>
      </c>
      <c r="K49" s="36">
        <f>6278+4484+1346+4484+2332+2332+2332+2332+2332+1166+6995+6995+2332+6995+2332+4484</f>
        <v>59551</v>
      </c>
      <c r="L49" s="36">
        <v>0</v>
      </c>
      <c r="M49" s="36">
        <v>0</v>
      </c>
      <c r="N49" s="36">
        <v>3148</v>
      </c>
      <c r="O49" s="36">
        <v>0</v>
      </c>
      <c r="P49" s="31">
        <v>0</v>
      </c>
      <c r="Q49" s="37">
        <f t="shared" si="0"/>
        <v>68898</v>
      </c>
      <c r="R49" s="69">
        <f t="shared" si="1"/>
        <v>58563.3</v>
      </c>
      <c r="S49" s="30"/>
      <c r="T49" s="30"/>
    </row>
    <row r="50" spans="1:20" ht="45" customHeight="1" x14ac:dyDescent="0.3">
      <c r="A50" s="36">
        <v>38</v>
      </c>
      <c r="B50" s="32" t="s">
        <v>37</v>
      </c>
      <c r="C50" s="32" t="s">
        <v>104</v>
      </c>
      <c r="D50" s="34" t="s">
        <v>105</v>
      </c>
      <c r="E50" s="32">
        <v>1995</v>
      </c>
      <c r="F50" s="32" t="s">
        <v>19</v>
      </c>
      <c r="G50" s="32" t="s">
        <v>181</v>
      </c>
      <c r="H50" s="32" t="s">
        <v>181</v>
      </c>
      <c r="I50" s="32" t="s">
        <v>277</v>
      </c>
      <c r="J50" s="31">
        <v>6199</v>
      </c>
      <c r="K50" s="31">
        <f>6278+3228+3000+6995</f>
        <v>19501</v>
      </c>
      <c r="L50" s="31">
        <v>17279</v>
      </c>
      <c r="M50" s="31">
        <v>0</v>
      </c>
      <c r="N50" s="31">
        <v>1793</v>
      </c>
      <c r="O50" s="31">
        <v>0</v>
      </c>
      <c r="P50" s="31">
        <v>0</v>
      </c>
      <c r="Q50" s="35">
        <f t="shared" si="0"/>
        <v>44772</v>
      </c>
      <c r="R50" s="69">
        <f t="shared" si="1"/>
        <v>38056.199999999997</v>
      </c>
      <c r="S50" s="30"/>
      <c r="T50" s="30"/>
    </row>
    <row r="51" spans="1:20" ht="45" customHeight="1" x14ac:dyDescent="0.3">
      <c r="A51" s="31">
        <v>39</v>
      </c>
      <c r="B51" s="32" t="s">
        <v>37</v>
      </c>
      <c r="C51" s="32" t="s">
        <v>106</v>
      </c>
      <c r="D51" s="34" t="s">
        <v>107</v>
      </c>
      <c r="E51" s="32">
        <v>1986</v>
      </c>
      <c r="F51" s="32" t="s">
        <v>18</v>
      </c>
      <c r="G51" s="32" t="s">
        <v>182</v>
      </c>
      <c r="H51" s="32" t="s">
        <v>182</v>
      </c>
      <c r="I51" s="32" t="s">
        <v>278</v>
      </c>
      <c r="J51" s="31">
        <v>6199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7">
        <f t="shared" si="0"/>
        <v>6199</v>
      </c>
      <c r="R51" s="69">
        <f t="shared" si="1"/>
        <v>5269.15</v>
      </c>
      <c r="S51" s="30"/>
      <c r="T51" s="30"/>
    </row>
    <row r="52" spans="1:20" ht="45" customHeight="1" x14ac:dyDescent="0.3">
      <c r="A52" s="31">
        <v>40</v>
      </c>
      <c r="B52" s="32" t="s">
        <v>37</v>
      </c>
      <c r="C52" s="32" t="s">
        <v>108</v>
      </c>
      <c r="D52" s="34" t="s">
        <v>109</v>
      </c>
      <c r="E52" s="32">
        <v>1988</v>
      </c>
      <c r="F52" s="32" t="s">
        <v>19</v>
      </c>
      <c r="G52" s="32" t="s">
        <v>183</v>
      </c>
      <c r="H52" s="32" t="s">
        <v>183</v>
      </c>
      <c r="I52" s="32" t="s">
        <v>279</v>
      </c>
      <c r="J52" s="31">
        <v>6199</v>
      </c>
      <c r="K52" s="31">
        <f>6278+2332+2332+4484+3228</f>
        <v>18654</v>
      </c>
      <c r="L52" s="31">
        <v>18406</v>
      </c>
      <c r="M52" s="31">
        <v>0</v>
      </c>
      <c r="N52" s="31">
        <v>1793</v>
      </c>
      <c r="O52" s="31">
        <v>0</v>
      </c>
      <c r="P52" s="31">
        <v>0</v>
      </c>
      <c r="Q52" s="35">
        <f t="shared" si="0"/>
        <v>45052</v>
      </c>
      <c r="R52" s="69">
        <f t="shared" si="1"/>
        <v>38294.199999999997</v>
      </c>
      <c r="S52" s="30"/>
      <c r="T52" s="30"/>
    </row>
    <row r="53" spans="1:20" ht="45" customHeight="1" x14ac:dyDescent="0.3">
      <c r="A53" s="36">
        <v>41</v>
      </c>
      <c r="B53" s="32" t="s">
        <v>37</v>
      </c>
      <c r="C53" s="32" t="s">
        <v>110</v>
      </c>
      <c r="D53" s="34" t="s">
        <v>111</v>
      </c>
      <c r="E53" s="32">
        <v>2023</v>
      </c>
      <c r="F53" s="32" t="s">
        <v>19</v>
      </c>
      <c r="G53" s="32" t="s">
        <v>184</v>
      </c>
      <c r="H53" s="32" t="s">
        <v>231</v>
      </c>
      <c r="I53" s="32" t="s">
        <v>280</v>
      </c>
      <c r="J53" s="36">
        <v>6199</v>
      </c>
      <c r="K53" s="36">
        <f>6278+4484+4484+1166</f>
        <v>16412</v>
      </c>
      <c r="L53" s="36">
        <v>0</v>
      </c>
      <c r="M53" s="36">
        <v>0</v>
      </c>
      <c r="N53" s="36">
        <v>3148</v>
      </c>
      <c r="O53" s="36">
        <v>0</v>
      </c>
      <c r="P53" s="36">
        <v>0</v>
      </c>
      <c r="Q53" s="37">
        <f t="shared" si="0"/>
        <v>25759</v>
      </c>
      <c r="R53" s="69">
        <f t="shared" si="1"/>
        <v>21895.15</v>
      </c>
      <c r="S53" s="30"/>
      <c r="T53" s="30"/>
    </row>
    <row r="54" spans="1:20" ht="45" customHeight="1" x14ac:dyDescent="0.3">
      <c r="A54" s="31">
        <v>42</v>
      </c>
      <c r="B54" s="32" t="s">
        <v>37</v>
      </c>
      <c r="C54" s="32" t="s">
        <v>112</v>
      </c>
      <c r="D54" s="34" t="s">
        <v>113</v>
      </c>
      <c r="E54" s="32">
        <v>2020</v>
      </c>
      <c r="F54" s="32" t="s">
        <v>18</v>
      </c>
      <c r="G54" s="32" t="s">
        <v>185</v>
      </c>
      <c r="H54" s="32" t="s">
        <v>232</v>
      </c>
      <c r="I54" s="32" t="s">
        <v>35</v>
      </c>
      <c r="J54" s="36">
        <v>3793</v>
      </c>
      <c r="K54" s="36">
        <f>1166+2801</f>
        <v>3967</v>
      </c>
      <c r="L54" s="36">
        <v>0</v>
      </c>
      <c r="M54" s="36">
        <v>0</v>
      </c>
      <c r="N54" s="36">
        <v>0</v>
      </c>
      <c r="O54" s="36">
        <v>0</v>
      </c>
      <c r="P54" s="31">
        <v>0</v>
      </c>
      <c r="Q54" s="37">
        <f t="shared" si="0"/>
        <v>7760</v>
      </c>
      <c r="R54" s="69">
        <f t="shared" si="1"/>
        <v>6596</v>
      </c>
      <c r="S54" s="30"/>
      <c r="T54" s="30"/>
    </row>
    <row r="55" spans="1:20" ht="45" customHeight="1" x14ac:dyDescent="0.3">
      <c r="A55" s="31">
        <v>43</v>
      </c>
      <c r="B55" s="32" t="s">
        <v>37</v>
      </c>
      <c r="C55" s="32" t="s">
        <v>114</v>
      </c>
      <c r="D55" s="34" t="s">
        <v>115</v>
      </c>
      <c r="E55" s="32">
        <v>1999</v>
      </c>
      <c r="F55" s="32" t="s">
        <v>19</v>
      </c>
      <c r="G55" s="32" t="s">
        <v>186</v>
      </c>
      <c r="H55" s="32" t="s">
        <v>186</v>
      </c>
      <c r="I55" s="32" t="s">
        <v>281</v>
      </c>
      <c r="J55" s="31">
        <v>6199</v>
      </c>
      <c r="K55" s="31">
        <v>0</v>
      </c>
      <c r="L55" s="31">
        <v>18406</v>
      </c>
      <c r="M55" s="31">
        <v>0</v>
      </c>
      <c r="N55" s="31">
        <v>0</v>
      </c>
      <c r="O55" s="31">
        <v>0</v>
      </c>
      <c r="P55" s="31">
        <v>0</v>
      </c>
      <c r="Q55" s="35">
        <f t="shared" si="0"/>
        <v>24605</v>
      </c>
      <c r="R55" s="69">
        <f t="shared" si="1"/>
        <v>20914.25</v>
      </c>
      <c r="S55" s="30"/>
      <c r="T55" s="30"/>
    </row>
    <row r="56" spans="1:20" ht="45" customHeight="1" x14ac:dyDescent="0.3">
      <c r="A56" s="36">
        <v>44</v>
      </c>
      <c r="B56" s="32" t="s">
        <v>37</v>
      </c>
      <c r="C56" s="32" t="s">
        <v>116</v>
      </c>
      <c r="D56" s="34" t="s">
        <v>117</v>
      </c>
      <c r="E56" s="32">
        <v>2025</v>
      </c>
      <c r="F56" s="32" t="s">
        <v>19</v>
      </c>
      <c r="G56" s="32" t="s">
        <v>187</v>
      </c>
      <c r="H56" s="32" t="s">
        <v>233</v>
      </c>
      <c r="I56" s="32" t="s">
        <v>282</v>
      </c>
      <c r="J56" s="36">
        <v>6199</v>
      </c>
      <c r="K56" s="36">
        <v>0</v>
      </c>
      <c r="L56" s="36">
        <v>0</v>
      </c>
      <c r="M56" s="36">
        <v>0</v>
      </c>
      <c r="N56" s="36">
        <v>0</v>
      </c>
      <c r="O56" s="36">
        <v>0</v>
      </c>
      <c r="P56" s="31">
        <v>0</v>
      </c>
      <c r="Q56" s="37">
        <f t="shared" si="0"/>
        <v>6199</v>
      </c>
      <c r="R56" s="69">
        <f t="shared" si="1"/>
        <v>5269.15</v>
      </c>
      <c r="S56" s="30"/>
      <c r="T56" s="30"/>
    </row>
    <row r="57" spans="1:20" ht="45" customHeight="1" x14ac:dyDescent="0.3">
      <c r="A57" s="31">
        <v>45</v>
      </c>
      <c r="B57" s="32" t="s">
        <v>37</v>
      </c>
      <c r="C57" s="32" t="s">
        <v>118</v>
      </c>
      <c r="D57" s="34" t="s">
        <v>119</v>
      </c>
      <c r="E57" s="32">
        <v>2020</v>
      </c>
      <c r="F57" s="32" t="s">
        <v>18</v>
      </c>
      <c r="G57" s="32" t="s">
        <v>188</v>
      </c>
      <c r="H57" s="32" t="s">
        <v>234</v>
      </c>
      <c r="I57" s="32" t="s">
        <v>283</v>
      </c>
      <c r="J57" s="32">
        <v>6199</v>
      </c>
      <c r="K57" s="32">
        <f>6278+4484+1346+2332+4484+2332+2332+2332+2332+4484+1166+2332+2332+3000+3000</f>
        <v>44566</v>
      </c>
      <c r="L57" s="32">
        <v>0</v>
      </c>
      <c r="M57" s="32">
        <v>0</v>
      </c>
      <c r="N57" s="32">
        <v>3148</v>
      </c>
      <c r="O57" s="32">
        <v>0</v>
      </c>
      <c r="P57" s="32">
        <v>0</v>
      </c>
      <c r="Q57" s="37">
        <f t="shared" si="0"/>
        <v>53913</v>
      </c>
      <c r="R57" s="69">
        <f t="shared" si="1"/>
        <v>45826.05</v>
      </c>
      <c r="S57" s="30"/>
      <c r="T57" s="30"/>
    </row>
    <row r="58" spans="1:20" ht="45" customHeight="1" x14ac:dyDescent="0.3">
      <c r="A58" s="31">
        <v>46</v>
      </c>
      <c r="B58" s="32" t="s">
        <v>37</v>
      </c>
      <c r="C58" s="32" t="s">
        <v>120</v>
      </c>
      <c r="D58" s="34" t="s">
        <v>121</v>
      </c>
      <c r="E58" s="32">
        <v>1986</v>
      </c>
      <c r="F58" s="32" t="s">
        <v>19</v>
      </c>
      <c r="G58" s="32" t="s">
        <v>189</v>
      </c>
      <c r="H58" s="32" t="s">
        <v>189</v>
      </c>
      <c r="I58" s="32" t="s">
        <v>7469</v>
      </c>
      <c r="J58" s="32">
        <v>6199</v>
      </c>
      <c r="K58" s="32">
        <v>0</v>
      </c>
      <c r="L58" s="32">
        <v>18406</v>
      </c>
      <c r="M58" s="32">
        <v>0</v>
      </c>
      <c r="N58" s="32">
        <v>0</v>
      </c>
      <c r="O58" s="32">
        <v>0</v>
      </c>
      <c r="P58" s="32">
        <v>0</v>
      </c>
      <c r="Q58" s="35">
        <f t="shared" si="0"/>
        <v>24605</v>
      </c>
      <c r="R58" s="69">
        <f t="shared" si="1"/>
        <v>20914.25</v>
      </c>
      <c r="S58" s="30"/>
      <c r="T58" s="30"/>
    </row>
    <row r="59" spans="1:20" ht="45" customHeight="1" x14ac:dyDescent="0.3">
      <c r="A59" s="36">
        <v>47</v>
      </c>
      <c r="B59" s="32" t="s">
        <v>37</v>
      </c>
      <c r="C59" s="32" t="s">
        <v>122</v>
      </c>
      <c r="D59" s="34" t="s">
        <v>123</v>
      </c>
      <c r="E59" s="32">
        <v>2020</v>
      </c>
      <c r="F59" s="32" t="s">
        <v>18</v>
      </c>
      <c r="G59" s="32" t="s">
        <v>190</v>
      </c>
      <c r="H59" s="32" t="s">
        <v>156</v>
      </c>
      <c r="I59" s="32" t="s">
        <v>7470</v>
      </c>
      <c r="J59" s="32">
        <v>3582</v>
      </c>
      <c r="K59" s="32">
        <v>0</v>
      </c>
      <c r="L59" s="32">
        <v>0</v>
      </c>
      <c r="M59" s="32">
        <v>0</v>
      </c>
      <c r="N59" s="32">
        <v>27126</v>
      </c>
      <c r="O59" s="32">
        <v>0</v>
      </c>
      <c r="P59" s="32">
        <v>0</v>
      </c>
      <c r="Q59" s="37">
        <f t="shared" si="0"/>
        <v>30708</v>
      </c>
      <c r="R59" s="69">
        <f t="shared" si="1"/>
        <v>26101.8</v>
      </c>
      <c r="S59" s="30"/>
      <c r="T59" s="30"/>
    </row>
    <row r="60" spans="1:20" ht="45" customHeight="1" x14ac:dyDescent="0.3">
      <c r="A60" s="31">
        <v>48</v>
      </c>
      <c r="B60" s="32" t="s">
        <v>37</v>
      </c>
      <c r="C60" s="32" t="s">
        <v>124</v>
      </c>
      <c r="D60" s="34" t="s">
        <v>125</v>
      </c>
      <c r="E60" s="32">
        <v>1991</v>
      </c>
      <c r="F60" s="32" t="s">
        <v>18</v>
      </c>
      <c r="G60" s="32" t="s">
        <v>191</v>
      </c>
      <c r="H60" s="32" t="s">
        <v>191</v>
      </c>
      <c r="I60" s="32" t="s">
        <v>285</v>
      </c>
      <c r="J60" s="32">
        <v>6199</v>
      </c>
      <c r="K60" s="32">
        <f>2332+2332+2332+2332+3000+3000+2332+2332</f>
        <v>19992</v>
      </c>
      <c r="L60" s="32">
        <v>0</v>
      </c>
      <c r="M60" s="32">
        <v>0</v>
      </c>
      <c r="N60" s="32">
        <v>1793</v>
      </c>
      <c r="O60" s="32">
        <v>0</v>
      </c>
      <c r="P60" s="32">
        <v>0</v>
      </c>
      <c r="Q60" s="37">
        <f t="shared" si="0"/>
        <v>27984</v>
      </c>
      <c r="R60" s="69">
        <f t="shared" si="1"/>
        <v>23786.400000000001</v>
      </c>
      <c r="S60" s="30"/>
      <c r="T60" s="30"/>
    </row>
    <row r="61" spans="1:20" ht="45" customHeight="1" x14ac:dyDescent="0.3">
      <c r="A61" s="31">
        <v>49</v>
      </c>
      <c r="B61" s="32" t="s">
        <v>37</v>
      </c>
      <c r="C61" s="32" t="s">
        <v>126</v>
      </c>
      <c r="D61" s="34" t="s">
        <v>127</v>
      </c>
      <c r="E61" s="32">
        <v>2024</v>
      </c>
      <c r="F61" s="32" t="s">
        <v>18</v>
      </c>
      <c r="G61" s="32" t="s">
        <v>192</v>
      </c>
      <c r="H61" s="32" t="s">
        <v>235</v>
      </c>
      <c r="I61" s="32" t="s">
        <v>286</v>
      </c>
      <c r="J61" s="32">
        <v>6199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  <c r="P61" s="32">
        <v>0</v>
      </c>
      <c r="Q61" s="37">
        <f t="shared" si="0"/>
        <v>6199</v>
      </c>
      <c r="R61" s="69">
        <f t="shared" si="1"/>
        <v>5269.15</v>
      </c>
      <c r="S61" s="30"/>
      <c r="T61" s="30"/>
    </row>
    <row r="62" spans="1:20" ht="45" customHeight="1" x14ac:dyDescent="0.3">
      <c r="A62" s="36">
        <v>50</v>
      </c>
      <c r="B62" s="32" t="s">
        <v>37</v>
      </c>
      <c r="C62" s="32" t="s">
        <v>128</v>
      </c>
      <c r="D62" s="34" t="s">
        <v>129</v>
      </c>
      <c r="E62" s="32">
        <v>2025</v>
      </c>
      <c r="F62" s="32" t="s">
        <v>18</v>
      </c>
      <c r="G62" s="32" t="s">
        <v>193</v>
      </c>
      <c r="H62" s="32" t="s">
        <v>236</v>
      </c>
      <c r="I62" s="32" t="s">
        <v>7471</v>
      </c>
      <c r="J62" s="32">
        <v>6199</v>
      </c>
      <c r="K62" s="32">
        <v>0</v>
      </c>
      <c r="L62" s="32">
        <f>20807+13298</f>
        <v>34105</v>
      </c>
      <c r="M62" s="32">
        <v>0</v>
      </c>
      <c r="N62" s="32">
        <v>0</v>
      </c>
      <c r="O62" s="32">
        <v>0</v>
      </c>
      <c r="P62" s="32">
        <v>0</v>
      </c>
      <c r="Q62" s="35">
        <f t="shared" si="0"/>
        <v>40304</v>
      </c>
      <c r="R62" s="69">
        <f t="shared" si="1"/>
        <v>34258.400000000001</v>
      </c>
      <c r="S62" s="30"/>
      <c r="T62" s="30"/>
    </row>
    <row r="63" spans="1:20" ht="45" customHeight="1" x14ac:dyDescent="0.3">
      <c r="A63" s="31">
        <v>51</v>
      </c>
      <c r="B63" s="32" t="s">
        <v>37</v>
      </c>
      <c r="C63" s="32" t="s">
        <v>130</v>
      </c>
      <c r="D63" s="34" t="s">
        <v>131</v>
      </c>
      <c r="E63" s="32">
        <v>2022</v>
      </c>
      <c r="F63" s="32" t="s">
        <v>18</v>
      </c>
      <c r="G63" s="32" t="s">
        <v>194</v>
      </c>
      <c r="H63" s="32" t="s">
        <v>237</v>
      </c>
      <c r="I63" s="32" t="s">
        <v>288</v>
      </c>
      <c r="J63" s="32">
        <v>6199</v>
      </c>
      <c r="K63" s="32">
        <f>6278+4484+1346+4484+2332+2332+2332+2332+2332</f>
        <v>28252</v>
      </c>
      <c r="L63" s="32">
        <v>0</v>
      </c>
      <c r="M63" s="32">
        <v>0</v>
      </c>
      <c r="N63" s="32">
        <v>3148</v>
      </c>
      <c r="O63" s="32">
        <v>0</v>
      </c>
      <c r="P63" s="32">
        <v>0</v>
      </c>
      <c r="Q63" s="37">
        <f t="shared" si="0"/>
        <v>37599</v>
      </c>
      <c r="R63" s="69">
        <f t="shared" si="1"/>
        <v>31959.15</v>
      </c>
      <c r="S63" s="30"/>
      <c r="T63" s="30"/>
    </row>
    <row r="64" spans="1:20" ht="45" customHeight="1" x14ac:dyDescent="0.3">
      <c r="A64" s="31">
        <v>52</v>
      </c>
      <c r="B64" s="32" t="s">
        <v>37</v>
      </c>
      <c r="C64" s="32" t="s">
        <v>132</v>
      </c>
      <c r="D64" s="34" t="s">
        <v>133</v>
      </c>
      <c r="E64" s="32">
        <v>1988</v>
      </c>
      <c r="F64" s="32" t="s">
        <v>18</v>
      </c>
      <c r="G64" s="32" t="s">
        <v>195</v>
      </c>
      <c r="H64" s="32" t="s">
        <v>238</v>
      </c>
      <c r="I64" s="32" t="s">
        <v>289</v>
      </c>
      <c r="J64" s="32">
        <v>6199</v>
      </c>
      <c r="K64" s="32">
        <f>2332+2332+1346+2243</f>
        <v>8253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37">
        <f t="shared" si="0"/>
        <v>14452</v>
      </c>
      <c r="R64" s="69">
        <f t="shared" si="1"/>
        <v>12284.2</v>
      </c>
      <c r="S64" s="30"/>
      <c r="T64" s="30"/>
    </row>
    <row r="65" spans="1:20" ht="45" customHeight="1" x14ac:dyDescent="0.3">
      <c r="A65" s="36">
        <v>53</v>
      </c>
      <c r="B65" s="32" t="s">
        <v>37</v>
      </c>
      <c r="C65" s="32" t="s">
        <v>134</v>
      </c>
      <c r="D65" s="34" t="s">
        <v>135</v>
      </c>
      <c r="E65" s="32">
        <v>2025</v>
      </c>
      <c r="F65" s="32" t="s">
        <v>19</v>
      </c>
      <c r="G65" s="32" t="s">
        <v>196</v>
      </c>
      <c r="H65" s="32" t="s">
        <v>239</v>
      </c>
      <c r="I65" s="32" t="s">
        <v>290</v>
      </c>
      <c r="J65" s="32">
        <v>6199</v>
      </c>
      <c r="K65" s="32">
        <v>0</v>
      </c>
      <c r="L65" s="32">
        <v>0</v>
      </c>
      <c r="M65" s="32">
        <v>0</v>
      </c>
      <c r="N65" s="32">
        <v>0</v>
      </c>
      <c r="O65" s="32">
        <v>0</v>
      </c>
      <c r="P65" s="32">
        <v>0</v>
      </c>
      <c r="Q65" s="37">
        <f t="shared" si="0"/>
        <v>6199</v>
      </c>
      <c r="R65" s="69">
        <f t="shared" si="1"/>
        <v>5269.15</v>
      </c>
      <c r="S65" s="30"/>
      <c r="T65" s="30"/>
    </row>
    <row r="66" spans="1:20" ht="45" customHeight="1" x14ac:dyDescent="0.3">
      <c r="A66" s="31">
        <v>54</v>
      </c>
      <c r="B66" s="32" t="s">
        <v>37</v>
      </c>
      <c r="C66" s="32" t="s">
        <v>7338</v>
      </c>
      <c r="D66" s="34" t="s">
        <v>137</v>
      </c>
      <c r="E66" s="32">
        <v>2024</v>
      </c>
      <c r="F66" s="32" t="s">
        <v>19</v>
      </c>
      <c r="G66" s="32" t="s">
        <v>198</v>
      </c>
      <c r="H66" s="32" t="s">
        <v>241</v>
      </c>
      <c r="I66" s="32" t="s">
        <v>292</v>
      </c>
      <c r="J66" s="32">
        <v>3793</v>
      </c>
      <c r="K66" s="32">
        <f>6278+4484+2332+1346+2332+2332+2332+2332+6995+6995+6995+2332+2332+4484</f>
        <v>53901</v>
      </c>
      <c r="L66" s="32">
        <v>0</v>
      </c>
      <c r="M66" s="32">
        <v>0</v>
      </c>
      <c r="N66" s="32">
        <v>3148</v>
      </c>
      <c r="O66" s="32">
        <v>0</v>
      </c>
      <c r="P66" s="32">
        <v>0</v>
      </c>
      <c r="Q66" s="37">
        <f t="shared" si="0"/>
        <v>60842</v>
      </c>
      <c r="R66" s="69">
        <f t="shared" si="1"/>
        <v>51715.7</v>
      </c>
      <c r="S66" s="30"/>
      <c r="T66" s="30"/>
    </row>
    <row r="67" spans="1:20" ht="45" customHeight="1" x14ac:dyDescent="0.3">
      <c r="A67" s="31">
        <v>55</v>
      </c>
      <c r="B67" s="32" t="s">
        <v>37</v>
      </c>
      <c r="C67" s="32" t="s">
        <v>7339</v>
      </c>
      <c r="D67" s="34" t="s">
        <v>138</v>
      </c>
      <c r="E67" s="32">
        <v>2021</v>
      </c>
      <c r="F67" s="32" t="s">
        <v>18</v>
      </c>
      <c r="G67" s="32" t="s">
        <v>199</v>
      </c>
      <c r="H67" s="32" t="s">
        <v>242</v>
      </c>
      <c r="I67" s="32" t="s">
        <v>293</v>
      </c>
      <c r="J67" s="32">
        <v>6199</v>
      </c>
      <c r="K67" s="32">
        <v>1166</v>
      </c>
      <c r="L67" s="32">
        <v>0</v>
      </c>
      <c r="M67" s="32">
        <v>0</v>
      </c>
      <c r="N67" s="32">
        <v>0</v>
      </c>
      <c r="O67" s="32">
        <v>0</v>
      </c>
      <c r="P67" s="32">
        <v>0</v>
      </c>
      <c r="Q67" s="37">
        <f t="shared" si="0"/>
        <v>7365</v>
      </c>
      <c r="R67" s="69">
        <f t="shared" si="1"/>
        <v>6260.25</v>
      </c>
      <c r="S67" s="30"/>
      <c r="T67" s="30"/>
    </row>
    <row r="68" spans="1:20" ht="45" customHeight="1" x14ac:dyDescent="0.3">
      <c r="A68" s="36">
        <v>56</v>
      </c>
      <c r="B68" s="32" t="s">
        <v>37</v>
      </c>
      <c r="C68" s="32" t="s">
        <v>7340</v>
      </c>
      <c r="D68" s="34" t="s">
        <v>139</v>
      </c>
      <c r="E68" s="32">
        <v>1996</v>
      </c>
      <c r="F68" s="32" t="s">
        <v>18</v>
      </c>
      <c r="G68" s="32" t="s">
        <v>200</v>
      </c>
      <c r="H68" s="32" t="s">
        <v>200</v>
      </c>
      <c r="I68" s="32" t="s">
        <v>294</v>
      </c>
      <c r="J68" s="32">
        <v>6199</v>
      </c>
      <c r="K68" s="32">
        <v>0</v>
      </c>
      <c r="L68" s="32">
        <v>0</v>
      </c>
      <c r="M68" s="32">
        <v>0</v>
      </c>
      <c r="N68" s="32">
        <v>44696</v>
      </c>
      <c r="O68" s="32">
        <v>0</v>
      </c>
      <c r="P68" s="32">
        <v>0</v>
      </c>
      <c r="Q68" s="37">
        <f t="shared" si="0"/>
        <v>50895</v>
      </c>
      <c r="R68" s="69">
        <f t="shared" si="1"/>
        <v>43260.75</v>
      </c>
      <c r="S68" s="30"/>
      <c r="T68" s="30"/>
    </row>
    <row r="69" spans="1:20" ht="45" customHeight="1" x14ac:dyDescent="0.3">
      <c r="A69" s="31">
        <v>57</v>
      </c>
      <c r="B69" s="32" t="s">
        <v>37</v>
      </c>
      <c r="C69" s="32" t="s">
        <v>7341</v>
      </c>
      <c r="D69" s="34" t="s">
        <v>140</v>
      </c>
      <c r="E69" s="32">
        <v>2019</v>
      </c>
      <c r="F69" s="32" t="s">
        <v>19</v>
      </c>
      <c r="G69" s="32" t="s">
        <v>201</v>
      </c>
      <c r="H69" s="32" t="s">
        <v>243</v>
      </c>
      <c r="I69" s="32" t="s">
        <v>295</v>
      </c>
      <c r="J69" s="32">
        <v>6199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7">
        <f t="shared" si="0"/>
        <v>6199</v>
      </c>
      <c r="R69" s="69">
        <f t="shared" si="1"/>
        <v>5269.15</v>
      </c>
      <c r="S69" s="30"/>
      <c r="T69" s="30"/>
    </row>
    <row r="70" spans="1:20" ht="45" customHeight="1" x14ac:dyDescent="0.3">
      <c r="A70" s="31">
        <v>58</v>
      </c>
      <c r="B70" s="32" t="s">
        <v>37</v>
      </c>
      <c r="C70" s="32" t="s">
        <v>7342</v>
      </c>
      <c r="D70" s="34" t="s">
        <v>141</v>
      </c>
      <c r="E70" s="32">
        <v>2021</v>
      </c>
      <c r="F70" s="32" t="s">
        <v>19</v>
      </c>
      <c r="G70" s="32" t="s">
        <v>202</v>
      </c>
      <c r="H70" s="32" t="s">
        <v>243</v>
      </c>
      <c r="I70" s="32" t="s">
        <v>295</v>
      </c>
      <c r="J70" s="32">
        <v>6199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7">
        <f t="shared" si="0"/>
        <v>6199</v>
      </c>
      <c r="R70" s="69">
        <f t="shared" si="1"/>
        <v>5269.15</v>
      </c>
      <c r="S70" s="30"/>
      <c r="T70" s="30"/>
    </row>
    <row r="71" spans="1:20" ht="45" customHeight="1" x14ac:dyDescent="0.3">
      <c r="A71" s="36">
        <v>59</v>
      </c>
      <c r="B71" s="32" t="s">
        <v>37</v>
      </c>
      <c r="C71" s="32" t="s">
        <v>7343</v>
      </c>
      <c r="D71" s="34" t="s">
        <v>142</v>
      </c>
      <c r="E71" s="32">
        <v>1990</v>
      </c>
      <c r="F71" s="32" t="s">
        <v>19</v>
      </c>
      <c r="G71" s="32" t="s">
        <v>203</v>
      </c>
      <c r="H71" s="32" t="s">
        <v>244</v>
      </c>
      <c r="I71" s="32" t="s">
        <v>296</v>
      </c>
      <c r="J71" s="32">
        <v>6199</v>
      </c>
      <c r="K71" s="32">
        <v>0</v>
      </c>
      <c r="L71" s="32">
        <v>9422</v>
      </c>
      <c r="M71" s="32">
        <v>0</v>
      </c>
      <c r="N71" s="32">
        <v>0</v>
      </c>
      <c r="O71" s="32">
        <v>0</v>
      </c>
      <c r="P71" s="32">
        <v>0</v>
      </c>
      <c r="Q71" s="37">
        <f t="shared" si="0"/>
        <v>15621</v>
      </c>
      <c r="R71" s="69">
        <f t="shared" si="1"/>
        <v>13277.85</v>
      </c>
      <c r="S71" s="30"/>
      <c r="T71" s="30"/>
    </row>
    <row r="72" spans="1:20" ht="45" customHeight="1" x14ac:dyDescent="0.3">
      <c r="A72" s="31">
        <v>60</v>
      </c>
      <c r="B72" s="32" t="s">
        <v>37</v>
      </c>
      <c r="C72" s="32" t="s">
        <v>7344</v>
      </c>
      <c r="D72" s="34" t="s">
        <v>143</v>
      </c>
      <c r="E72" s="32">
        <v>1988</v>
      </c>
      <c r="F72" s="32" t="s">
        <v>18</v>
      </c>
      <c r="G72" s="32" t="s">
        <v>204</v>
      </c>
      <c r="H72" s="32" t="s">
        <v>204</v>
      </c>
      <c r="I72" s="32" t="s">
        <v>297</v>
      </c>
      <c r="J72" s="32">
        <v>6199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0</v>
      </c>
      <c r="Q72" s="37">
        <f t="shared" si="0"/>
        <v>6199</v>
      </c>
      <c r="R72" s="69">
        <f t="shared" si="1"/>
        <v>5269.15</v>
      </c>
      <c r="S72" s="30"/>
      <c r="T72" s="30"/>
    </row>
    <row r="73" spans="1:20" ht="45" customHeight="1" x14ac:dyDescent="0.3">
      <c r="A73" s="31">
        <v>61</v>
      </c>
      <c r="B73" s="32" t="s">
        <v>37</v>
      </c>
      <c r="C73" s="32" t="s">
        <v>7345</v>
      </c>
      <c r="D73" s="34" t="s">
        <v>144</v>
      </c>
      <c r="E73" s="32">
        <v>2025</v>
      </c>
      <c r="F73" s="32" t="s">
        <v>18</v>
      </c>
      <c r="G73" s="32" t="s">
        <v>205</v>
      </c>
      <c r="H73" s="32" t="s">
        <v>245</v>
      </c>
      <c r="I73" s="32" t="s">
        <v>298</v>
      </c>
      <c r="J73" s="32">
        <v>6199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2">
        <v>0</v>
      </c>
      <c r="Q73" s="37">
        <f t="shared" si="0"/>
        <v>6199</v>
      </c>
      <c r="R73" s="69">
        <f t="shared" si="1"/>
        <v>5269.15</v>
      </c>
      <c r="S73" s="30"/>
      <c r="T73" s="30"/>
    </row>
    <row r="74" spans="1:20" ht="45" customHeight="1" x14ac:dyDescent="0.3">
      <c r="A74" s="36">
        <v>62</v>
      </c>
      <c r="B74" s="32" t="s">
        <v>37</v>
      </c>
      <c r="C74" s="32" t="s">
        <v>7346</v>
      </c>
      <c r="D74" s="34" t="s">
        <v>145</v>
      </c>
      <c r="E74" s="32">
        <v>1978</v>
      </c>
      <c r="F74" s="32" t="s">
        <v>18</v>
      </c>
      <c r="G74" s="32" t="s">
        <v>206</v>
      </c>
      <c r="H74" s="32" t="s">
        <v>246</v>
      </c>
      <c r="I74" s="32" t="s">
        <v>299</v>
      </c>
      <c r="J74" s="32">
        <v>6199</v>
      </c>
      <c r="K74" s="32">
        <v>0</v>
      </c>
      <c r="L74" s="32">
        <v>0</v>
      </c>
      <c r="M74" s="32">
        <v>0</v>
      </c>
      <c r="N74" s="32">
        <v>0</v>
      </c>
      <c r="O74" s="32">
        <v>0</v>
      </c>
      <c r="P74" s="32">
        <v>0</v>
      </c>
      <c r="Q74" s="37">
        <f t="shared" si="0"/>
        <v>6199</v>
      </c>
      <c r="R74" s="69">
        <f t="shared" si="1"/>
        <v>5269.15</v>
      </c>
      <c r="S74" s="30"/>
      <c r="T74" s="30"/>
    </row>
    <row r="75" spans="1:20" ht="45" customHeight="1" x14ac:dyDescent="0.3">
      <c r="A75" s="31">
        <v>63</v>
      </c>
      <c r="B75" s="32" t="s">
        <v>37</v>
      </c>
      <c r="C75" s="32" t="s">
        <v>7347</v>
      </c>
      <c r="D75" s="34" t="s">
        <v>146</v>
      </c>
      <c r="E75" s="32">
        <v>1991</v>
      </c>
      <c r="F75" s="32" t="s">
        <v>19</v>
      </c>
      <c r="G75" s="32" t="s">
        <v>207</v>
      </c>
      <c r="H75" s="32" t="s">
        <v>247</v>
      </c>
      <c r="I75" s="32" t="s">
        <v>300</v>
      </c>
      <c r="J75" s="32">
        <v>6199</v>
      </c>
      <c r="K75" s="32">
        <v>0</v>
      </c>
      <c r="L75" s="32">
        <v>0</v>
      </c>
      <c r="M75" s="32">
        <v>0</v>
      </c>
      <c r="N75" s="32">
        <v>0</v>
      </c>
      <c r="O75" s="32">
        <v>0</v>
      </c>
      <c r="P75" s="32">
        <v>0</v>
      </c>
      <c r="Q75" s="37">
        <f t="shared" si="0"/>
        <v>6199</v>
      </c>
      <c r="R75" s="69">
        <f t="shared" si="1"/>
        <v>5269.15</v>
      </c>
      <c r="S75" s="30"/>
      <c r="T75" s="30"/>
    </row>
    <row r="76" spans="1:20" ht="45" customHeight="1" x14ac:dyDescent="0.3">
      <c r="A76" s="31">
        <v>64</v>
      </c>
      <c r="B76" s="32" t="s">
        <v>37</v>
      </c>
      <c r="C76" s="32" t="s">
        <v>7348</v>
      </c>
      <c r="D76" s="34" t="s">
        <v>147</v>
      </c>
      <c r="E76" s="32">
        <v>1996</v>
      </c>
      <c r="F76" s="32" t="s">
        <v>19</v>
      </c>
      <c r="G76" s="32" t="s">
        <v>208</v>
      </c>
      <c r="H76" s="32" t="s">
        <v>248</v>
      </c>
      <c r="I76" s="32" t="s">
        <v>301</v>
      </c>
      <c r="J76" s="42">
        <v>6199</v>
      </c>
      <c r="K76" s="42">
        <v>0</v>
      </c>
      <c r="L76" s="42">
        <v>0</v>
      </c>
      <c r="M76" s="42">
        <v>0</v>
      </c>
      <c r="N76" s="42">
        <v>0</v>
      </c>
      <c r="O76" s="42">
        <v>0</v>
      </c>
      <c r="P76" s="42">
        <v>0</v>
      </c>
      <c r="Q76" s="43">
        <f t="shared" si="0"/>
        <v>6199</v>
      </c>
      <c r="R76" s="69">
        <f t="shared" si="1"/>
        <v>5269.15</v>
      </c>
      <c r="S76" s="30"/>
      <c r="T76" s="30"/>
    </row>
    <row r="77" spans="1:20" ht="45" customHeight="1" x14ac:dyDescent="0.3">
      <c r="A77" s="36">
        <v>65</v>
      </c>
      <c r="B77" s="32" t="s">
        <v>37</v>
      </c>
      <c r="C77" s="32" t="s">
        <v>7349</v>
      </c>
      <c r="D77" s="32" t="s">
        <v>2636</v>
      </c>
      <c r="E77" s="32">
        <v>2024</v>
      </c>
      <c r="F77" s="32" t="s">
        <v>6943</v>
      </c>
      <c r="G77" s="32" t="s">
        <v>2637</v>
      </c>
      <c r="H77" s="32" t="s">
        <v>2638</v>
      </c>
      <c r="I77" s="32" t="s">
        <v>2639</v>
      </c>
      <c r="J77" s="42">
        <v>3793</v>
      </c>
      <c r="K77" s="42">
        <f>6278+4484+4484+2332+2332+1346+2332+2332+2332+2332+1166+6995+6995+2332+6995</f>
        <v>55067</v>
      </c>
      <c r="L77" s="42">
        <v>0</v>
      </c>
      <c r="M77" s="42">
        <v>0</v>
      </c>
      <c r="N77" s="42">
        <f>3148+4053</f>
        <v>7201</v>
      </c>
      <c r="O77" s="42">
        <v>0</v>
      </c>
      <c r="P77" s="42">
        <f>720+120+1080+360+56</f>
        <v>2336</v>
      </c>
      <c r="Q77" s="44">
        <f t="shared" ref="Q77:Q140" si="2">SUM(J77:P77)</f>
        <v>68397</v>
      </c>
      <c r="R77" s="69">
        <f t="shared" si="1"/>
        <v>58137.45</v>
      </c>
      <c r="S77" s="30"/>
      <c r="T77" s="30"/>
    </row>
    <row r="78" spans="1:20" ht="45" customHeight="1" x14ac:dyDescent="0.3">
      <c r="A78" s="31">
        <v>66</v>
      </c>
      <c r="B78" s="32" t="s">
        <v>37</v>
      </c>
      <c r="C78" s="32" t="s">
        <v>7176</v>
      </c>
      <c r="D78" s="32" t="s">
        <v>2636</v>
      </c>
      <c r="E78" s="32">
        <v>2024</v>
      </c>
      <c r="F78" s="32" t="s">
        <v>6943</v>
      </c>
      <c r="G78" s="32" t="s">
        <v>2637</v>
      </c>
      <c r="H78" s="32" t="s">
        <v>2638</v>
      </c>
      <c r="I78" s="32" t="s">
        <v>2639</v>
      </c>
      <c r="J78" s="42">
        <v>0</v>
      </c>
      <c r="K78" s="42">
        <v>0</v>
      </c>
      <c r="L78" s="42">
        <v>0</v>
      </c>
      <c r="M78" s="42">
        <v>17688</v>
      </c>
      <c r="N78" s="42">
        <v>0</v>
      </c>
      <c r="O78" s="42">
        <v>0</v>
      </c>
      <c r="P78" s="42">
        <f>792+360+56</f>
        <v>1208</v>
      </c>
      <c r="Q78" s="44">
        <f t="shared" si="2"/>
        <v>18896</v>
      </c>
      <c r="R78" s="69">
        <f t="shared" ref="R78:R141" si="3">Q78*85/100</f>
        <v>16061.6</v>
      </c>
      <c r="S78" s="30"/>
      <c r="T78" s="30"/>
    </row>
    <row r="79" spans="1:20" ht="45" customHeight="1" x14ac:dyDescent="0.3">
      <c r="A79" s="31">
        <v>67</v>
      </c>
      <c r="B79" s="32" t="s">
        <v>303</v>
      </c>
      <c r="C79" s="32" t="s">
        <v>304</v>
      </c>
      <c r="D79" s="32" t="s">
        <v>305</v>
      </c>
      <c r="E79" s="32">
        <v>1997</v>
      </c>
      <c r="F79" s="32" t="s">
        <v>19</v>
      </c>
      <c r="G79" s="32" t="s">
        <v>434</v>
      </c>
      <c r="H79" s="32" t="s">
        <v>434</v>
      </c>
      <c r="I79" s="32" t="s">
        <v>534</v>
      </c>
      <c r="J79" s="32">
        <v>6199</v>
      </c>
      <c r="K79" s="32">
        <f>6278+4484+2332+2332+2332+2243+3228+3000+3000+6995+3500+3500</f>
        <v>43224</v>
      </c>
      <c r="L79" s="32">
        <v>18406</v>
      </c>
      <c r="M79" s="32">
        <v>0</v>
      </c>
      <c r="N79" s="32">
        <v>1793</v>
      </c>
      <c r="O79" s="32">
        <v>0</v>
      </c>
      <c r="P79" s="32">
        <v>0</v>
      </c>
      <c r="Q79" s="43">
        <f t="shared" si="2"/>
        <v>69622</v>
      </c>
      <c r="R79" s="69">
        <f t="shared" si="3"/>
        <v>59178.7</v>
      </c>
      <c r="S79" s="30"/>
      <c r="T79" s="30"/>
    </row>
    <row r="80" spans="1:20" ht="45" customHeight="1" x14ac:dyDescent="0.3">
      <c r="A80" s="36">
        <v>68</v>
      </c>
      <c r="B80" s="32" t="s">
        <v>303</v>
      </c>
      <c r="C80" s="32" t="s">
        <v>306</v>
      </c>
      <c r="D80" s="32" t="s">
        <v>307</v>
      </c>
      <c r="E80" s="32">
        <v>1998</v>
      </c>
      <c r="F80" s="32" t="s">
        <v>19</v>
      </c>
      <c r="G80" s="32" t="s">
        <v>435</v>
      </c>
      <c r="H80" s="32" t="s">
        <v>435</v>
      </c>
      <c r="I80" s="32" t="s">
        <v>535</v>
      </c>
      <c r="J80" s="32">
        <v>6199</v>
      </c>
      <c r="K80" s="32">
        <f>2332+2332+2243+3587</f>
        <v>10494</v>
      </c>
      <c r="L80" s="32">
        <v>17279</v>
      </c>
      <c r="M80" s="32">
        <v>0</v>
      </c>
      <c r="N80" s="32">
        <v>0</v>
      </c>
      <c r="O80" s="32">
        <v>0</v>
      </c>
      <c r="P80" s="32">
        <v>0</v>
      </c>
      <c r="Q80" s="43">
        <f t="shared" si="2"/>
        <v>33972</v>
      </c>
      <c r="R80" s="69">
        <f t="shared" si="3"/>
        <v>28876.2</v>
      </c>
      <c r="S80" s="30"/>
      <c r="T80" s="30"/>
    </row>
    <row r="81" spans="1:20" ht="45" customHeight="1" x14ac:dyDescent="0.3">
      <c r="A81" s="31">
        <v>69</v>
      </c>
      <c r="B81" s="32" t="s">
        <v>303</v>
      </c>
      <c r="C81" s="32" t="s">
        <v>308</v>
      </c>
      <c r="D81" s="32" t="s">
        <v>309</v>
      </c>
      <c r="E81" s="32">
        <v>1986</v>
      </c>
      <c r="F81" s="32" t="s">
        <v>18</v>
      </c>
      <c r="G81" s="32" t="s">
        <v>436</v>
      </c>
      <c r="H81" s="32" t="s">
        <v>436</v>
      </c>
      <c r="I81" s="32" t="s">
        <v>536</v>
      </c>
      <c r="J81" s="32">
        <v>6199</v>
      </c>
      <c r="K81" s="32">
        <f>1166+2801+6278+4484+2332+1346+2332+2332+2332+2332+6995+2332+4484+6995+6995+2332+6995+6995</f>
        <v>71858</v>
      </c>
      <c r="L81" s="32">
        <v>0</v>
      </c>
      <c r="M81" s="32">
        <v>0</v>
      </c>
      <c r="N81" s="32">
        <v>1793</v>
      </c>
      <c r="O81" s="32">
        <v>0</v>
      </c>
      <c r="P81" s="32">
        <v>0</v>
      </c>
      <c r="Q81" s="43">
        <f t="shared" si="2"/>
        <v>79850</v>
      </c>
      <c r="R81" s="69">
        <f t="shared" si="3"/>
        <v>67872.5</v>
      </c>
      <c r="S81" s="30"/>
      <c r="T81" s="30"/>
    </row>
    <row r="82" spans="1:20" s="41" customFormat="1" ht="45" customHeight="1" x14ac:dyDescent="0.3">
      <c r="A82" s="31">
        <v>70</v>
      </c>
      <c r="B82" s="38" t="s">
        <v>303</v>
      </c>
      <c r="C82" s="38" t="s">
        <v>310</v>
      </c>
      <c r="D82" s="38" t="s">
        <v>311</v>
      </c>
      <c r="E82" s="38">
        <v>2025</v>
      </c>
      <c r="F82" s="38" t="s">
        <v>19</v>
      </c>
      <c r="G82" s="38" t="s">
        <v>437</v>
      </c>
      <c r="H82" s="38" t="s">
        <v>499</v>
      </c>
      <c r="I82" s="38" t="s">
        <v>300</v>
      </c>
      <c r="J82" s="38">
        <v>0</v>
      </c>
      <c r="K82" s="38">
        <f>6278+4484+1346+4484+2332+2332+2332+2332+2332+6995+6995+2332+6995</f>
        <v>51569</v>
      </c>
      <c r="L82" s="38">
        <v>0</v>
      </c>
      <c r="M82" s="38">
        <v>0</v>
      </c>
      <c r="N82" s="38">
        <f>4053+1178+3148</f>
        <v>8379</v>
      </c>
      <c r="O82" s="38">
        <v>0</v>
      </c>
      <c r="P82" s="38">
        <f>720+1080+374</f>
        <v>2174</v>
      </c>
      <c r="Q82" s="43">
        <f t="shared" si="2"/>
        <v>62122</v>
      </c>
      <c r="R82" s="69">
        <f t="shared" si="3"/>
        <v>52803.7</v>
      </c>
      <c r="S82" s="40"/>
      <c r="T82" s="40"/>
    </row>
    <row r="83" spans="1:20" s="41" customFormat="1" ht="45" customHeight="1" x14ac:dyDescent="0.3">
      <c r="A83" s="36">
        <v>71</v>
      </c>
      <c r="B83" s="38" t="s">
        <v>303</v>
      </c>
      <c r="C83" s="38" t="s">
        <v>310</v>
      </c>
      <c r="D83" s="38" t="s">
        <v>311</v>
      </c>
      <c r="E83" s="38">
        <v>2025</v>
      </c>
      <c r="F83" s="38" t="s">
        <v>2635</v>
      </c>
      <c r="G83" s="38" t="s">
        <v>437</v>
      </c>
      <c r="H83" s="38" t="s">
        <v>499</v>
      </c>
      <c r="I83" s="38" t="s">
        <v>300</v>
      </c>
      <c r="J83" s="38">
        <v>0</v>
      </c>
      <c r="K83" s="38">
        <v>0</v>
      </c>
      <c r="L83" s="38">
        <v>0</v>
      </c>
      <c r="M83" s="38">
        <v>17688</v>
      </c>
      <c r="N83" s="38">
        <v>2088</v>
      </c>
      <c r="O83" s="38">
        <v>0</v>
      </c>
      <c r="P83" s="38">
        <f>1080+168</f>
        <v>1248</v>
      </c>
      <c r="Q83" s="43">
        <f t="shared" si="2"/>
        <v>21024</v>
      </c>
      <c r="R83" s="69">
        <f t="shared" si="3"/>
        <v>17870.400000000001</v>
      </c>
      <c r="S83" s="40"/>
      <c r="T83" s="40"/>
    </row>
    <row r="84" spans="1:20" ht="45" customHeight="1" x14ac:dyDescent="0.3">
      <c r="A84" s="31">
        <v>72</v>
      </c>
      <c r="B84" s="32" t="s">
        <v>303</v>
      </c>
      <c r="C84" s="32" t="s">
        <v>312</v>
      </c>
      <c r="D84" s="32" t="s">
        <v>313</v>
      </c>
      <c r="E84" s="32">
        <v>2023</v>
      </c>
      <c r="F84" s="32" t="s">
        <v>18</v>
      </c>
      <c r="G84" s="32" t="s">
        <v>438</v>
      </c>
      <c r="H84" s="32" t="s">
        <v>500</v>
      </c>
      <c r="I84" s="32" t="s">
        <v>537</v>
      </c>
      <c r="J84" s="32">
        <v>6199</v>
      </c>
      <c r="K84" s="32">
        <v>0</v>
      </c>
      <c r="L84" s="32">
        <v>0</v>
      </c>
      <c r="M84" s="32">
        <v>0</v>
      </c>
      <c r="N84" s="32">
        <v>24987</v>
      </c>
      <c r="O84" s="32">
        <v>0</v>
      </c>
      <c r="P84" s="32">
        <v>0</v>
      </c>
      <c r="Q84" s="43">
        <f t="shared" si="2"/>
        <v>31186</v>
      </c>
      <c r="R84" s="69">
        <f t="shared" si="3"/>
        <v>26508.1</v>
      </c>
      <c r="S84" s="30"/>
      <c r="T84" s="30"/>
    </row>
    <row r="85" spans="1:20" ht="45" customHeight="1" x14ac:dyDescent="0.3">
      <c r="A85" s="31">
        <v>73</v>
      </c>
      <c r="B85" s="32" t="s">
        <v>303</v>
      </c>
      <c r="C85" s="32" t="s">
        <v>314</v>
      </c>
      <c r="D85" s="32" t="s">
        <v>315</v>
      </c>
      <c r="E85" s="32">
        <v>2000</v>
      </c>
      <c r="F85" s="32" t="s">
        <v>18</v>
      </c>
      <c r="G85" s="32" t="s">
        <v>439</v>
      </c>
      <c r="H85" s="32" t="s">
        <v>439</v>
      </c>
      <c r="I85" s="32" t="s">
        <v>538</v>
      </c>
      <c r="J85" s="32">
        <v>6199</v>
      </c>
      <c r="K85" s="32">
        <f>6278+4484+2332+1346+2332+2332+2332+2332+6995+6995+2332+6995+1166+2801+6995+2332+4484+6995</f>
        <v>71858</v>
      </c>
      <c r="L85" s="32">
        <v>0</v>
      </c>
      <c r="M85" s="32">
        <v>0</v>
      </c>
      <c r="N85" s="32">
        <v>1793</v>
      </c>
      <c r="O85" s="32">
        <v>0</v>
      </c>
      <c r="P85" s="32">
        <v>0</v>
      </c>
      <c r="Q85" s="43">
        <f t="shared" si="2"/>
        <v>79850</v>
      </c>
      <c r="R85" s="69">
        <f t="shared" si="3"/>
        <v>67872.5</v>
      </c>
      <c r="S85" s="30"/>
      <c r="T85" s="30"/>
    </row>
    <row r="86" spans="1:20" ht="45" customHeight="1" x14ac:dyDescent="0.3">
      <c r="A86" s="36">
        <v>74</v>
      </c>
      <c r="B86" s="32" t="s">
        <v>303</v>
      </c>
      <c r="C86" s="32" t="s">
        <v>316</v>
      </c>
      <c r="D86" s="32" t="s">
        <v>317</v>
      </c>
      <c r="E86" s="32">
        <v>2021</v>
      </c>
      <c r="F86" s="32" t="s">
        <v>19</v>
      </c>
      <c r="G86" s="32" t="s">
        <v>440</v>
      </c>
      <c r="H86" s="32" t="s">
        <v>501</v>
      </c>
      <c r="I86" s="32" t="s">
        <v>539</v>
      </c>
      <c r="J86" s="32">
        <v>6199</v>
      </c>
      <c r="K86" s="32">
        <f>1166+2801+4484+6278+4484+2332+1346+2332+2332+2332+2332+6995+6995+2332+6995+2332</f>
        <v>57868</v>
      </c>
      <c r="L86" s="32">
        <v>20807</v>
      </c>
      <c r="M86" s="32">
        <v>0</v>
      </c>
      <c r="N86" s="32">
        <v>3148</v>
      </c>
      <c r="O86" s="32">
        <v>0</v>
      </c>
      <c r="P86" s="32">
        <v>0</v>
      </c>
      <c r="Q86" s="43">
        <f t="shared" si="2"/>
        <v>88022</v>
      </c>
      <c r="R86" s="69">
        <f t="shared" si="3"/>
        <v>74818.7</v>
      </c>
      <c r="S86" s="30"/>
      <c r="T86" s="30"/>
    </row>
    <row r="87" spans="1:20" ht="45" customHeight="1" x14ac:dyDescent="0.3">
      <c r="A87" s="31">
        <v>75</v>
      </c>
      <c r="B87" s="32" t="s">
        <v>303</v>
      </c>
      <c r="C87" s="32" t="s">
        <v>318</v>
      </c>
      <c r="D87" s="32" t="s">
        <v>319</v>
      </c>
      <c r="E87" s="32">
        <v>2021</v>
      </c>
      <c r="F87" s="32" t="s">
        <v>18</v>
      </c>
      <c r="G87" s="32" t="s">
        <v>441</v>
      </c>
      <c r="H87" s="32" t="s">
        <v>502</v>
      </c>
      <c r="I87" s="32" t="s">
        <v>540</v>
      </c>
      <c r="J87" s="32">
        <v>6199</v>
      </c>
      <c r="K87" s="32">
        <f>6278+4484+2332+1346+2332+2332+2332+2332+6995+6995+2332+6995+2332+4484+1166+2801+4484</f>
        <v>62352</v>
      </c>
      <c r="L87" s="32">
        <v>0</v>
      </c>
      <c r="M87" s="32">
        <v>0</v>
      </c>
      <c r="N87" s="32">
        <v>3148</v>
      </c>
      <c r="O87" s="32">
        <v>0</v>
      </c>
      <c r="P87" s="32">
        <v>0</v>
      </c>
      <c r="Q87" s="43">
        <f t="shared" si="2"/>
        <v>71699</v>
      </c>
      <c r="R87" s="69">
        <f t="shared" si="3"/>
        <v>60944.15</v>
      </c>
      <c r="S87" s="30"/>
      <c r="T87" s="30"/>
    </row>
    <row r="88" spans="1:20" ht="45" customHeight="1" x14ac:dyDescent="0.3">
      <c r="A88" s="31">
        <v>76</v>
      </c>
      <c r="B88" s="32" t="s">
        <v>303</v>
      </c>
      <c r="C88" s="32" t="s">
        <v>320</v>
      </c>
      <c r="D88" s="32" t="s">
        <v>321</v>
      </c>
      <c r="E88" s="32">
        <v>2019</v>
      </c>
      <c r="F88" s="32" t="s">
        <v>18</v>
      </c>
      <c r="G88" s="32" t="s">
        <v>442</v>
      </c>
      <c r="H88" s="32" t="s">
        <v>503</v>
      </c>
      <c r="I88" s="32" t="s">
        <v>25</v>
      </c>
      <c r="J88" s="32">
        <v>6199</v>
      </c>
      <c r="K88" s="32">
        <f>6278+4484+2332+1346+2332+2332+2332+2332+6995+6995+2332+6995+2332+4484+4484+1166+2801</f>
        <v>62352</v>
      </c>
      <c r="L88" s="32">
        <v>0</v>
      </c>
      <c r="M88" s="32">
        <v>0</v>
      </c>
      <c r="N88" s="32">
        <v>3148</v>
      </c>
      <c r="O88" s="32">
        <v>0</v>
      </c>
      <c r="P88" s="32">
        <v>0</v>
      </c>
      <c r="Q88" s="43">
        <f t="shared" si="2"/>
        <v>71699</v>
      </c>
      <c r="R88" s="69">
        <f t="shared" si="3"/>
        <v>60944.15</v>
      </c>
      <c r="S88" s="30"/>
      <c r="T88" s="30"/>
    </row>
    <row r="89" spans="1:20" ht="45" customHeight="1" x14ac:dyDescent="0.3">
      <c r="A89" s="36">
        <v>77</v>
      </c>
      <c r="B89" s="32" t="s">
        <v>303</v>
      </c>
      <c r="C89" s="32" t="s">
        <v>320</v>
      </c>
      <c r="D89" s="32" t="s">
        <v>321</v>
      </c>
      <c r="E89" s="32">
        <v>2019</v>
      </c>
      <c r="F89" s="32" t="s">
        <v>18</v>
      </c>
      <c r="G89" s="32" t="s">
        <v>442</v>
      </c>
      <c r="H89" s="32" t="s">
        <v>503</v>
      </c>
      <c r="I89" s="32" t="s">
        <v>25</v>
      </c>
      <c r="J89" s="32">
        <v>0</v>
      </c>
      <c r="K89" s="32">
        <v>0</v>
      </c>
      <c r="L89" s="32">
        <v>0</v>
      </c>
      <c r="M89" s="32">
        <v>17688</v>
      </c>
      <c r="N89" s="32">
        <f>4053+2088+1178</f>
        <v>7319</v>
      </c>
      <c r="O89" s="32">
        <v>0</v>
      </c>
      <c r="P89" s="32">
        <f>720+1080+720+112+1200</f>
        <v>3832</v>
      </c>
      <c r="Q89" s="43">
        <f t="shared" si="2"/>
        <v>28839</v>
      </c>
      <c r="R89" s="69">
        <f t="shared" si="3"/>
        <v>24513.15</v>
      </c>
      <c r="S89" s="30"/>
      <c r="T89" s="30"/>
    </row>
    <row r="90" spans="1:20" ht="45" customHeight="1" x14ac:dyDescent="0.3">
      <c r="A90" s="31">
        <v>78</v>
      </c>
      <c r="B90" s="32" t="s">
        <v>303</v>
      </c>
      <c r="C90" s="32" t="s">
        <v>322</v>
      </c>
      <c r="D90" s="32" t="s">
        <v>323</v>
      </c>
      <c r="E90" s="32">
        <v>2017</v>
      </c>
      <c r="F90" s="32" t="s">
        <v>18</v>
      </c>
      <c r="G90" s="32" t="s">
        <v>443</v>
      </c>
      <c r="H90" s="32" t="s">
        <v>23</v>
      </c>
      <c r="I90" s="32" t="s">
        <v>24</v>
      </c>
      <c r="J90" s="32">
        <v>6199</v>
      </c>
      <c r="K90" s="32">
        <v>0</v>
      </c>
      <c r="L90" s="32">
        <v>0</v>
      </c>
      <c r="M90" s="32">
        <v>0</v>
      </c>
      <c r="N90" s="32">
        <v>0</v>
      </c>
      <c r="O90" s="32">
        <v>0</v>
      </c>
      <c r="P90" s="32">
        <v>0</v>
      </c>
      <c r="Q90" s="43">
        <f t="shared" si="2"/>
        <v>6199</v>
      </c>
      <c r="R90" s="69">
        <f t="shared" si="3"/>
        <v>5269.15</v>
      </c>
      <c r="S90" s="30"/>
      <c r="T90" s="30"/>
    </row>
    <row r="91" spans="1:20" ht="45" customHeight="1" x14ac:dyDescent="0.3">
      <c r="A91" s="31">
        <v>79</v>
      </c>
      <c r="B91" s="32" t="s">
        <v>303</v>
      </c>
      <c r="C91" s="32" t="s">
        <v>324</v>
      </c>
      <c r="D91" s="32" t="s">
        <v>21</v>
      </c>
      <c r="E91" s="32">
        <v>1978</v>
      </c>
      <c r="F91" s="32" t="s">
        <v>19</v>
      </c>
      <c r="G91" s="32" t="s">
        <v>22</v>
      </c>
      <c r="H91" s="32" t="s">
        <v>23</v>
      </c>
      <c r="I91" s="32" t="s">
        <v>24</v>
      </c>
      <c r="J91" s="32">
        <v>6199</v>
      </c>
      <c r="K91" s="32">
        <v>0</v>
      </c>
      <c r="L91" s="32">
        <v>0</v>
      </c>
      <c r="M91" s="32">
        <v>0</v>
      </c>
      <c r="N91" s="32">
        <v>0</v>
      </c>
      <c r="O91" s="32">
        <v>0</v>
      </c>
      <c r="P91" s="32">
        <v>0</v>
      </c>
      <c r="Q91" s="43">
        <f t="shared" si="2"/>
        <v>6199</v>
      </c>
      <c r="R91" s="69">
        <f t="shared" si="3"/>
        <v>5269.15</v>
      </c>
      <c r="S91" s="30"/>
      <c r="T91" s="30"/>
    </row>
    <row r="92" spans="1:20" ht="45" customHeight="1" x14ac:dyDescent="0.3">
      <c r="A92" s="36">
        <v>80</v>
      </c>
      <c r="B92" s="32" t="s">
        <v>303</v>
      </c>
      <c r="C92" s="32" t="s">
        <v>325</v>
      </c>
      <c r="D92" s="32" t="s">
        <v>326</v>
      </c>
      <c r="E92" s="32">
        <v>1991</v>
      </c>
      <c r="F92" s="32" t="s">
        <v>19</v>
      </c>
      <c r="G92" s="32" t="s">
        <v>444</v>
      </c>
      <c r="H92" s="32" t="s">
        <v>444</v>
      </c>
      <c r="I92" s="32" t="s">
        <v>541</v>
      </c>
      <c r="J92" s="32">
        <v>6199</v>
      </c>
      <c r="K92" s="32">
        <f>2332+2332+2243</f>
        <v>6907</v>
      </c>
      <c r="L92" s="32">
        <v>18406</v>
      </c>
      <c r="M92" s="32">
        <v>0</v>
      </c>
      <c r="N92" s="32">
        <v>0</v>
      </c>
      <c r="O92" s="32">
        <v>0</v>
      </c>
      <c r="P92" s="32">
        <v>0</v>
      </c>
      <c r="Q92" s="43">
        <f t="shared" si="2"/>
        <v>31512</v>
      </c>
      <c r="R92" s="69">
        <f t="shared" si="3"/>
        <v>26785.200000000001</v>
      </c>
      <c r="S92" s="30"/>
      <c r="T92" s="30"/>
    </row>
    <row r="93" spans="1:20" ht="45" customHeight="1" x14ac:dyDescent="0.3">
      <c r="A93" s="31">
        <v>81</v>
      </c>
      <c r="B93" s="32" t="s">
        <v>303</v>
      </c>
      <c r="C93" s="32" t="s">
        <v>327</v>
      </c>
      <c r="D93" s="32" t="s">
        <v>328</v>
      </c>
      <c r="E93" s="32">
        <v>1996</v>
      </c>
      <c r="F93" s="32" t="s">
        <v>18</v>
      </c>
      <c r="G93" s="32" t="s">
        <v>445</v>
      </c>
      <c r="H93" s="32" t="s">
        <v>445</v>
      </c>
      <c r="I93" s="32" t="s">
        <v>542</v>
      </c>
      <c r="J93" s="32">
        <v>6199</v>
      </c>
      <c r="K93" s="32">
        <v>0</v>
      </c>
      <c r="L93" s="32">
        <v>13298</v>
      </c>
      <c r="M93" s="32">
        <v>0</v>
      </c>
      <c r="N93" s="32">
        <v>0</v>
      </c>
      <c r="O93" s="32">
        <v>0</v>
      </c>
      <c r="P93" s="32">
        <v>0</v>
      </c>
      <c r="Q93" s="43">
        <f t="shared" si="2"/>
        <v>19497</v>
      </c>
      <c r="R93" s="69">
        <f t="shared" si="3"/>
        <v>16572.45</v>
      </c>
      <c r="S93" s="30"/>
      <c r="T93" s="30"/>
    </row>
    <row r="94" spans="1:20" ht="45" customHeight="1" x14ac:dyDescent="0.3">
      <c r="A94" s="31">
        <v>82</v>
      </c>
      <c r="B94" s="32" t="s">
        <v>303</v>
      </c>
      <c r="C94" s="32" t="s">
        <v>329</v>
      </c>
      <c r="D94" s="32" t="s">
        <v>330</v>
      </c>
      <c r="E94" s="32">
        <v>1997</v>
      </c>
      <c r="F94" s="32" t="s">
        <v>19</v>
      </c>
      <c r="G94" s="32" t="s">
        <v>446</v>
      </c>
      <c r="H94" s="32" t="s">
        <v>446</v>
      </c>
      <c r="I94" s="32" t="s">
        <v>543</v>
      </c>
      <c r="J94" s="32">
        <v>6199</v>
      </c>
      <c r="K94" s="32">
        <v>0</v>
      </c>
      <c r="L94" s="32">
        <v>18406</v>
      </c>
      <c r="M94" s="32">
        <v>0</v>
      </c>
      <c r="N94" s="32">
        <v>0</v>
      </c>
      <c r="O94" s="32">
        <v>0</v>
      </c>
      <c r="P94" s="32">
        <v>0</v>
      </c>
      <c r="Q94" s="43">
        <f t="shared" si="2"/>
        <v>24605</v>
      </c>
      <c r="R94" s="69">
        <f t="shared" si="3"/>
        <v>20914.25</v>
      </c>
      <c r="S94" s="30"/>
      <c r="T94" s="30"/>
    </row>
    <row r="95" spans="1:20" ht="45" customHeight="1" x14ac:dyDescent="0.3">
      <c r="A95" s="36">
        <v>83</v>
      </c>
      <c r="B95" s="32" t="s">
        <v>303</v>
      </c>
      <c r="C95" s="32" t="s">
        <v>331</v>
      </c>
      <c r="D95" s="32" t="s">
        <v>332</v>
      </c>
      <c r="E95" s="32">
        <v>2025</v>
      </c>
      <c r="F95" s="32" t="s">
        <v>18</v>
      </c>
      <c r="G95" s="32" t="s">
        <v>447</v>
      </c>
      <c r="H95" s="32" t="s">
        <v>504</v>
      </c>
      <c r="I95" s="32" t="s">
        <v>544</v>
      </c>
      <c r="J95" s="32">
        <v>6199</v>
      </c>
      <c r="K95" s="32">
        <f>6278+4484+1346+4484+2332+2332+2332+2332+2332</f>
        <v>28252</v>
      </c>
      <c r="L95" s="32">
        <v>0</v>
      </c>
      <c r="M95" s="32">
        <v>0</v>
      </c>
      <c r="N95" s="32">
        <v>3148</v>
      </c>
      <c r="O95" s="32">
        <v>0</v>
      </c>
      <c r="P95" s="32">
        <v>0</v>
      </c>
      <c r="Q95" s="43">
        <f t="shared" si="2"/>
        <v>37599</v>
      </c>
      <c r="R95" s="69">
        <f t="shared" si="3"/>
        <v>31959.15</v>
      </c>
      <c r="S95" s="30"/>
      <c r="T95" s="30"/>
    </row>
    <row r="96" spans="1:20" ht="45" customHeight="1" x14ac:dyDescent="0.3">
      <c r="A96" s="31">
        <v>84</v>
      </c>
      <c r="B96" s="32" t="s">
        <v>303</v>
      </c>
      <c r="C96" s="32" t="s">
        <v>331</v>
      </c>
      <c r="D96" s="32" t="s">
        <v>332</v>
      </c>
      <c r="E96" s="32">
        <v>2025</v>
      </c>
      <c r="F96" s="32" t="s">
        <v>18</v>
      </c>
      <c r="G96" s="32" t="s">
        <v>447</v>
      </c>
      <c r="H96" s="32" t="s">
        <v>504</v>
      </c>
      <c r="I96" s="32" t="s">
        <v>544</v>
      </c>
      <c r="J96" s="32">
        <v>0</v>
      </c>
      <c r="K96" s="32">
        <v>0</v>
      </c>
      <c r="L96" s="32">
        <v>0</v>
      </c>
      <c r="M96" s="32">
        <v>17688</v>
      </c>
      <c r="N96" s="32">
        <f>4053+2088</f>
        <v>6141</v>
      </c>
      <c r="O96" s="32">
        <v>0</v>
      </c>
      <c r="P96" s="32">
        <f>720+112+1200</f>
        <v>2032</v>
      </c>
      <c r="Q96" s="43">
        <f t="shared" si="2"/>
        <v>25861</v>
      </c>
      <c r="R96" s="69">
        <f t="shared" si="3"/>
        <v>21981.85</v>
      </c>
      <c r="S96" s="30"/>
      <c r="T96" s="30"/>
    </row>
    <row r="97" spans="1:20" ht="45" customHeight="1" x14ac:dyDescent="0.3">
      <c r="A97" s="31">
        <v>85</v>
      </c>
      <c r="B97" s="32" t="s">
        <v>303</v>
      </c>
      <c r="C97" s="32" t="s">
        <v>333</v>
      </c>
      <c r="D97" s="32" t="s">
        <v>334</v>
      </c>
      <c r="E97" s="32">
        <v>2024</v>
      </c>
      <c r="F97" s="32" t="s">
        <v>19</v>
      </c>
      <c r="G97" s="32" t="s">
        <v>448</v>
      </c>
      <c r="H97" s="32" t="s">
        <v>505</v>
      </c>
      <c r="I97" s="32" t="s">
        <v>545</v>
      </c>
      <c r="J97" s="32">
        <v>6199</v>
      </c>
      <c r="K97" s="32">
        <v>0</v>
      </c>
      <c r="L97" s="32">
        <v>0</v>
      </c>
      <c r="M97" s="32">
        <v>0</v>
      </c>
      <c r="N97" s="32">
        <v>0</v>
      </c>
      <c r="O97" s="32">
        <v>0</v>
      </c>
      <c r="P97" s="32">
        <v>0</v>
      </c>
      <c r="Q97" s="43">
        <f t="shared" si="2"/>
        <v>6199</v>
      </c>
      <c r="R97" s="69">
        <f t="shared" si="3"/>
        <v>5269.15</v>
      </c>
      <c r="S97" s="30"/>
      <c r="T97" s="30"/>
    </row>
    <row r="98" spans="1:20" ht="45" customHeight="1" x14ac:dyDescent="0.3">
      <c r="A98" s="36">
        <v>86</v>
      </c>
      <c r="B98" s="32" t="s">
        <v>303</v>
      </c>
      <c r="C98" s="32" t="s">
        <v>335</v>
      </c>
      <c r="D98" s="32" t="s">
        <v>336</v>
      </c>
      <c r="E98" s="32">
        <v>1998</v>
      </c>
      <c r="F98" s="32" t="s">
        <v>19</v>
      </c>
      <c r="G98" s="32" t="s">
        <v>449</v>
      </c>
      <c r="H98" s="32" t="s">
        <v>449</v>
      </c>
      <c r="I98" s="32" t="s">
        <v>546</v>
      </c>
      <c r="J98" s="32">
        <v>6199</v>
      </c>
      <c r="K98" s="32">
        <f>6278+4484+2332+2332+2332+2243+3000+3000+6995+3500+3500+3228</f>
        <v>43224</v>
      </c>
      <c r="L98" s="32">
        <v>18406</v>
      </c>
      <c r="M98" s="32">
        <v>0</v>
      </c>
      <c r="N98" s="32">
        <f>1793+1681</f>
        <v>3474</v>
      </c>
      <c r="O98" s="32">
        <v>0</v>
      </c>
      <c r="P98" s="32">
        <v>480</v>
      </c>
      <c r="Q98" s="43">
        <f t="shared" si="2"/>
        <v>71783</v>
      </c>
      <c r="R98" s="69">
        <f t="shared" si="3"/>
        <v>61015.55</v>
      </c>
      <c r="S98" s="30"/>
      <c r="T98" s="30"/>
    </row>
    <row r="99" spans="1:20" ht="45" customHeight="1" x14ac:dyDescent="0.3">
      <c r="A99" s="31">
        <v>87</v>
      </c>
      <c r="B99" s="32" t="s">
        <v>303</v>
      </c>
      <c r="C99" s="32" t="s">
        <v>337</v>
      </c>
      <c r="D99" s="32" t="s">
        <v>338</v>
      </c>
      <c r="E99" s="32">
        <v>2018</v>
      </c>
      <c r="F99" s="32" t="s">
        <v>19</v>
      </c>
      <c r="G99" s="32" t="s">
        <v>450</v>
      </c>
      <c r="H99" s="32" t="s">
        <v>506</v>
      </c>
      <c r="I99" s="32" t="s">
        <v>300</v>
      </c>
      <c r="J99" s="32">
        <v>6199</v>
      </c>
      <c r="K99" s="32">
        <f>1166+2801+6278+2332+2332+2332+2332+2332+6995+6995+2332+6995+1346+4484+4484+2332</f>
        <v>57868</v>
      </c>
      <c r="L99" s="32">
        <v>0</v>
      </c>
      <c r="M99" s="32">
        <v>0</v>
      </c>
      <c r="N99" s="32">
        <v>3148</v>
      </c>
      <c r="O99" s="32">
        <v>0</v>
      </c>
      <c r="P99" s="32">
        <v>0</v>
      </c>
      <c r="Q99" s="43">
        <f t="shared" si="2"/>
        <v>67215</v>
      </c>
      <c r="R99" s="69">
        <f t="shared" si="3"/>
        <v>57132.75</v>
      </c>
      <c r="S99" s="30"/>
      <c r="T99" s="30"/>
    </row>
    <row r="100" spans="1:20" ht="45" customHeight="1" x14ac:dyDescent="0.3">
      <c r="A100" s="31">
        <v>88</v>
      </c>
      <c r="B100" s="32" t="s">
        <v>303</v>
      </c>
      <c r="C100" s="32" t="s">
        <v>339</v>
      </c>
      <c r="D100" s="32" t="s">
        <v>340</v>
      </c>
      <c r="E100" s="32">
        <v>1998</v>
      </c>
      <c r="F100" s="32" t="s">
        <v>18</v>
      </c>
      <c r="G100" s="32" t="s">
        <v>451</v>
      </c>
      <c r="H100" s="32" t="s">
        <v>451</v>
      </c>
      <c r="I100" s="32" t="s">
        <v>547</v>
      </c>
      <c r="J100" s="32">
        <v>3793</v>
      </c>
      <c r="K100" s="32">
        <f>6995+6278+2332</f>
        <v>15605</v>
      </c>
      <c r="L100" s="32">
        <v>0</v>
      </c>
      <c r="M100" s="32">
        <v>0</v>
      </c>
      <c r="N100" s="32">
        <v>1793</v>
      </c>
      <c r="O100" s="32">
        <v>0</v>
      </c>
      <c r="P100" s="32">
        <v>0</v>
      </c>
      <c r="Q100" s="43">
        <f t="shared" si="2"/>
        <v>21191</v>
      </c>
      <c r="R100" s="69">
        <f t="shared" si="3"/>
        <v>18012.349999999999</v>
      </c>
      <c r="S100" s="30"/>
      <c r="T100" s="30"/>
    </row>
    <row r="101" spans="1:20" ht="45" customHeight="1" x14ac:dyDescent="0.3">
      <c r="A101" s="36">
        <v>89</v>
      </c>
      <c r="B101" s="32" t="s">
        <v>303</v>
      </c>
      <c r="C101" s="32" t="s">
        <v>341</v>
      </c>
      <c r="D101" s="32" t="s">
        <v>342</v>
      </c>
      <c r="E101" s="32">
        <v>2004</v>
      </c>
      <c r="F101" s="32" t="s">
        <v>19</v>
      </c>
      <c r="G101" s="32" t="s">
        <v>452</v>
      </c>
      <c r="H101" s="32" t="s">
        <v>507</v>
      </c>
      <c r="I101" s="32" t="s">
        <v>548</v>
      </c>
      <c r="J101" s="32">
        <v>3793</v>
      </c>
      <c r="K101" s="32">
        <v>0</v>
      </c>
      <c r="L101" s="32">
        <v>0</v>
      </c>
      <c r="M101" s="32">
        <v>0</v>
      </c>
      <c r="N101" s="32">
        <v>0</v>
      </c>
      <c r="O101" s="32">
        <v>0</v>
      </c>
      <c r="P101" s="32">
        <v>0</v>
      </c>
      <c r="Q101" s="43">
        <f t="shared" si="2"/>
        <v>3793</v>
      </c>
      <c r="R101" s="69">
        <f t="shared" si="3"/>
        <v>3224.05</v>
      </c>
      <c r="S101" s="30"/>
      <c r="T101" s="30"/>
    </row>
    <row r="102" spans="1:20" ht="45" customHeight="1" x14ac:dyDescent="0.3">
      <c r="A102" s="31">
        <v>90</v>
      </c>
      <c r="B102" s="32" t="s">
        <v>303</v>
      </c>
      <c r="C102" s="32" t="s">
        <v>343</v>
      </c>
      <c r="D102" s="32" t="s">
        <v>344</v>
      </c>
      <c r="E102" s="32">
        <v>2014</v>
      </c>
      <c r="F102" s="32" t="s">
        <v>19</v>
      </c>
      <c r="G102" s="32" t="s">
        <v>453</v>
      </c>
      <c r="H102" s="32" t="s">
        <v>508</v>
      </c>
      <c r="I102" s="32" t="s">
        <v>549</v>
      </c>
      <c r="J102" s="32">
        <v>6199</v>
      </c>
      <c r="K102" s="32">
        <v>0</v>
      </c>
      <c r="L102" s="32">
        <v>13298</v>
      </c>
      <c r="M102" s="32">
        <v>0</v>
      </c>
      <c r="N102" s="32">
        <v>5321</v>
      </c>
      <c r="O102" s="32">
        <v>0</v>
      </c>
      <c r="P102" s="32">
        <v>0</v>
      </c>
      <c r="Q102" s="43">
        <f t="shared" si="2"/>
        <v>24818</v>
      </c>
      <c r="R102" s="69">
        <f t="shared" si="3"/>
        <v>21095.3</v>
      </c>
      <c r="S102" s="30"/>
      <c r="T102" s="30"/>
    </row>
    <row r="103" spans="1:20" ht="45" customHeight="1" x14ac:dyDescent="0.3">
      <c r="A103" s="31">
        <v>91</v>
      </c>
      <c r="B103" s="32" t="s">
        <v>303</v>
      </c>
      <c r="C103" s="32" t="s">
        <v>345</v>
      </c>
      <c r="D103" s="32" t="s">
        <v>346</v>
      </c>
      <c r="E103" s="32">
        <v>2017</v>
      </c>
      <c r="F103" s="32" t="s">
        <v>19</v>
      </c>
      <c r="G103" s="32" t="s">
        <v>454</v>
      </c>
      <c r="H103" s="32" t="s">
        <v>509</v>
      </c>
      <c r="I103" s="32" t="s">
        <v>550</v>
      </c>
      <c r="J103" s="32">
        <v>6199</v>
      </c>
      <c r="K103" s="32">
        <v>0</v>
      </c>
      <c r="L103" s="32">
        <v>0</v>
      </c>
      <c r="M103" s="32">
        <v>0</v>
      </c>
      <c r="N103" s="32">
        <f>15443+60787+13563</f>
        <v>89793</v>
      </c>
      <c r="O103" s="32">
        <v>0</v>
      </c>
      <c r="P103" s="32">
        <v>0</v>
      </c>
      <c r="Q103" s="43">
        <f t="shared" si="2"/>
        <v>95992</v>
      </c>
      <c r="R103" s="69">
        <f t="shared" si="3"/>
        <v>81593.2</v>
      </c>
      <c r="S103" s="30"/>
      <c r="T103" s="30"/>
    </row>
    <row r="104" spans="1:20" ht="45" customHeight="1" x14ac:dyDescent="0.3">
      <c r="A104" s="36">
        <v>92</v>
      </c>
      <c r="B104" s="32" t="s">
        <v>303</v>
      </c>
      <c r="C104" s="32" t="s">
        <v>347</v>
      </c>
      <c r="D104" s="32" t="s">
        <v>348</v>
      </c>
      <c r="E104" s="32">
        <v>1987</v>
      </c>
      <c r="F104" s="32" t="s">
        <v>19</v>
      </c>
      <c r="G104" s="32" t="s">
        <v>455</v>
      </c>
      <c r="H104" s="32" t="s">
        <v>509</v>
      </c>
      <c r="I104" s="32" t="s">
        <v>550</v>
      </c>
      <c r="J104" s="32">
        <v>6199</v>
      </c>
      <c r="K104" s="32">
        <v>0</v>
      </c>
      <c r="L104" s="32">
        <v>0</v>
      </c>
      <c r="M104" s="32">
        <v>0</v>
      </c>
      <c r="N104" s="32">
        <v>0</v>
      </c>
      <c r="O104" s="32">
        <v>0</v>
      </c>
      <c r="P104" s="32">
        <v>0</v>
      </c>
      <c r="Q104" s="43">
        <f t="shared" si="2"/>
        <v>6199</v>
      </c>
      <c r="R104" s="69">
        <f t="shared" si="3"/>
        <v>5269.15</v>
      </c>
      <c r="S104" s="30"/>
      <c r="T104" s="30"/>
    </row>
    <row r="105" spans="1:20" ht="45" customHeight="1" x14ac:dyDescent="0.3">
      <c r="A105" s="31">
        <v>93</v>
      </c>
      <c r="B105" s="32" t="s">
        <v>303</v>
      </c>
      <c r="C105" s="32" t="s">
        <v>349</v>
      </c>
      <c r="D105" s="32" t="s">
        <v>350</v>
      </c>
      <c r="E105" s="32">
        <v>2019</v>
      </c>
      <c r="F105" s="32" t="s">
        <v>19</v>
      </c>
      <c r="G105" s="32" t="s">
        <v>456</v>
      </c>
      <c r="H105" s="32" t="s">
        <v>510</v>
      </c>
      <c r="I105" s="32" t="s">
        <v>551</v>
      </c>
      <c r="J105" s="32">
        <v>6199</v>
      </c>
      <c r="K105" s="32">
        <v>0</v>
      </c>
      <c r="L105" s="32">
        <v>0</v>
      </c>
      <c r="M105" s="32">
        <v>0</v>
      </c>
      <c r="N105" s="32">
        <f>15443+35836</f>
        <v>51279</v>
      </c>
      <c r="O105" s="32">
        <v>0</v>
      </c>
      <c r="P105" s="32">
        <v>0</v>
      </c>
      <c r="Q105" s="43">
        <f t="shared" si="2"/>
        <v>57478</v>
      </c>
      <c r="R105" s="69">
        <f t="shared" si="3"/>
        <v>48856.3</v>
      </c>
      <c r="S105" s="30"/>
      <c r="T105" s="30"/>
    </row>
    <row r="106" spans="1:20" ht="45" customHeight="1" x14ac:dyDescent="0.3">
      <c r="A106" s="31">
        <v>94</v>
      </c>
      <c r="B106" s="32" t="s">
        <v>303</v>
      </c>
      <c r="C106" s="32" t="s">
        <v>351</v>
      </c>
      <c r="D106" s="32" t="s">
        <v>352</v>
      </c>
      <c r="E106" s="32">
        <v>2021</v>
      </c>
      <c r="F106" s="32" t="s">
        <v>19</v>
      </c>
      <c r="G106" s="32" t="s">
        <v>457</v>
      </c>
      <c r="H106" s="32" t="s">
        <v>511</v>
      </c>
      <c r="I106" s="32" t="s">
        <v>32</v>
      </c>
      <c r="J106" s="32">
        <v>6199</v>
      </c>
      <c r="K106" s="32">
        <f>6278+4484+4484+1346+2332+2332+2332+2332+2332+2332+2332+2332+4484+1166</f>
        <v>40898</v>
      </c>
      <c r="L106" s="32">
        <v>0</v>
      </c>
      <c r="M106" s="32">
        <v>0</v>
      </c>
      <c r="N106" s="32">
        <v>3148</v>
      </c>
      <c r="O106" s="32">
        <v>0</v>
      </c>
      <c r="P106" s="32">
        <v>0</v>
      </c>
      <c r="Q106" s="43">
        <f t="shared" si="2"/>
        <v>50245</v>
      </c>
      <c r="R106" s="69">
        <f t="shared" si="3"/>
        <v>42708.25</v>
      </c>
      <c r="S106" s="30"/>
      <c r="T106" s="30"/>
    </row>
    <row r="107" spans="1:20" ht="45" customHeight="1" x14ac:dyDescent="0.3">
      <c r="A107" s="36">
        <v>95</v>
      </c>
      <c r="B107" s="32" t="s">
        <v>303</v>
      </c>
      <c r="C107" s="32" t="s">
        <v>353</v>
      </c>
      <c r="D107" s="32" t="s">
        <v>354</v>
      </c>
      <c r="E107" s="32">
        <v>2000</v>
      </c>
      <c r="F107" s="32" t="s">
        <v>19</v>
      </c>
      <c r="G107" s="32" t="s">
        <v>458</v>
      </c>
      <c r="H107" s="32" t="s">
        <v>458</v>
      </c>
      <c r="I107" s="32" t="s">
        <v>552</v>
      </c>
      <c r="J107" s="32">
        <v>6199</v>
      </c>
      <c r="K107" s="32">
        <v>0</v>
      </c>
      <c r="L107" s="32">
        <v>18406</v>
      </c>
      <c r="M107" s="32">
        <v>0</v>
      </c>
      <c r="N107" s="32">
        <v>0</v>
      </c>
      <c r="O107" s="32">
        <v>0</v>
      </c>
      <c r="P107" s="32">
        <v>0</v>
      </c>
      <c r="Q107" s="43">
        <f t="shared" si="2"/>
        <v>24605</v>
      </c>
      <c r="R107" s="69">
        <f t="shared" si="3"/>
        <v>20914.25</v>
      </c>
      <c r="S107" s="30"/>
      <c r="T107" s="30"/>
    </row>
    <row r="108" spans="1:20" ht="45" customHeight="1" x14ac:dyDescent="0.3">
      <c r="A108" s="31">
        <v>96</v>
      </c>
      <c r="B108" s="32" t="s">
        <v>303</v>
      </c>
      <c r="C108" s="32" t="s">
        <v>355</v>
      </c>
      <c r="D108" s="32" t="s">
        <v>356</v>
      </c>
      <c r="E108" s="32">
        <v>2020</v>
      </c>
      <c r="F108" s="32" t="s">
        <v>18</v>
      </c>
      <c r="G108" s="32" t="s">
        <v>459</v>
      </c>
      <c r="H108" s="32" t="s">
        <v>512</v>
      </c>
      <c r="I108" s="32" t="s">
        <v>553</v>
      </c>
      <c r="J108" s="32">
        <v>6199</v>
      </c>
      <c r="K108" s="32">
        <v>0</v>
      </c>
      <c r="L108" s="32">
        <v>0</v>
      </c>
      <c r="M108" s="32">
        <v>0</v>
      </c>
      <c r="N108" s="32">
        <f>15443+35836</f>
        <v>51279</v>
      </c>
      <c r="O108" s="32">
        <v>0</v>
      </c>
      <c r="P108" s="32">
        <v>0</v>
      </c>
      <c r="Q108" s="43">
        <f t="shared" si="2"/>
        <v>57478</v>
      </c>
      <c r="R108" s="69">
        <f t="shared" si="3"/>
        <v>48856.3</v>
      </c>
      <c r="S108" s="30"/>
      <c r="T108" s="30"/>
    </row>
    <row r="109" spans="1:20" ht="45" customHeight="1" x14ac:dyDescent="0.3">
      <c r="A109" s="31">
        <v>97</v>
      </c>
      <c r="B109" s="32" t="s">
        <v>303</v>
      </c>
      <c r="C109" s="32" t="s">
        <v>357</v>
      </c>
      <c r="D109" s="32" t="s">
        <v>358</v>
      </c>
      <c r="E109" s="32">
        <v>2007</v>
      </c>
      <c r="F109" s="32" t="s">
        <v>19</v>
      </c>
      <c r="G109" s="32" t="s">
        <v>460</v>
      </c>
      <c r="H109" s="32" t="s">
        <v>513</v>
      </c>
      <c r="I109" s="32" t="s">
        <v>554</v>
      </c>
      <c r="J109" s="32">
        <v>6199</v>
      </c>
      <c r="K109" s="32">
        <v>0</v>
      </c>
      <c r="L109" s="32">
        <v>0</v>
      </c>
      <c r="M109" s="32">
        <v>0</v>
      </c>
      <c r="N109" s="32">
        <v>0</v>
      </c>
      <c r="O109" s="32">
        <v>0</v>
      </c>
      <c r="P109" s="32">
        <v>0</v>
      </c>
      <c r="Q109" s="43">
        <f t="shared" si="2"/>
        <v>6199</v>
      </c>
      <c r="R109" s="69">
        <f t="shared" si="3"/>
        <v>5269.15</v>
      </c>
      <c r="S109" s="30"/>
      <c r="T109" s="30"/>
    </row>
    <row r="110" spans="1:20" ht="45" customHeight="1" x14ac:dyDescent="0.3">
      <c r="A110" s="36">
        <v>98</v>
      </c>
      <c r="B110" s="32" t="s">
        <v>303</v>
      </c>
      <c r="C110" s="32" t="s">
        <v>359</v>
      </c>
      <c r="D110" s="32" t="s">
        <v>360</v>
      </c>
      <c r="E110" s="32">
        <v>1997</v>
      </c>
      <c r="F110" s="32" t="s">
        <v>19</v>
      </c>
      <c r="G110" s="32" t="s">
        <v>461</v>
      </c>
      <c r="H110" s="32" t="s">
        <v>461</v>
      </c>
      <c r="I110" s="32" t="s">
        <v>555</v>
      </c>
      <c r="J110" s="32">
        <v>6199</v>
      </c>
      <c r="K110" s="32">
        <f>6278+2332+2332+2332+2243+3228+3000+3000+3500+3500+6995</f>
        <v>38740</v>
      </c>
      <c r="L110" s="32">
        <v>18406</v>
      </c>
      <c r="M110" s="32">
        <v>0</v>
      </c>
      <c r="N110" s="32">
        <v>1793</v>
      </c>
      <c r="O110" s="32">
        <v>0</v>
      </c>
      <c r="P110" s="32">
        <v>0</v>
      </c>
      <c r="Q110" s="43">
        <f t="shared" si="2"/>
        <v>65138</v>
      </c>
      <c r="R110" s="69">
        <f t="shared" si="3"/>
        <v>55367.3</v>
      </c>
      <c r="S110" s="30"/>
      <c r="T110" s="30"/>
    </row>
    <row r="111" spans="1:20" ht="45" customHeight="1" x14ac:dyDescent="0.3">
      <c r="A111" s="31">
        <v>99</v>
      </c>
      <c r="B111" s="32" t="s">
        <v>303</v>
      </c>
      <c r="C111" s="32" t="s">
        <v>361</v>
      </c>
      <c r="D111" s="32" t="s">
        <v>362</v>
      </c>
      <c r="E111" s="32">
        <v>1996</v>
      </c>
      <c r="F111" s="32" t="s">
        <v>19</v>
      </c>
      <c r="G111" s="32" t="s">
        <v>462</v>
      </c>
      <c r="H111" s="32" t="s">
        <v>462</v>
      </c>
      <c r="I111" s="32" t="s">
        <v>556</v>
      </c>
      <c r="J111" s="32">
        <v>6199</v>
      </c>
      <c r="K111" s="32">
        <v>0</v>
      </c>
      <c r="L111" s="32">
        <v>18406</v>
      </c>
      <c r="M111" s="32">
        <v>0</v>
      </c>
      <c r="N111" s="32">
        <v>0</v>
      </c>
      <c r="O111" s="32">
        <v>0</v>
      </c>
      <c r="P111" s="32">
        <v>0</v>
      </c>
      <c r="Q111" s="43">
        <f t="shared" si="2"/>
        <v>24605</v>
      </c>
      <c r="R111" s="69">
        <f t="shared" si="3"/>
        <v>20914.25</v>
      </c>
      <c r="S111" s="30"/>
      <c r="T111" s="30"/>
    </row>
    <row r="112" spans="1:20" ht="45" customHeight="1" x14ac:dyDescent="0.3">
      <c r="A112" s="31">
        <v>100</v>
      </c>
      <c r="B112" s="32" t="s">
        <v>303</v>
      </c>
      <c r="C112" s="32" t="s">
        <v>363</v>
      </c>
      <c r="D112" s="32" t="s">
        <v>364</v>
      </c>
      <c r="E112" s="32">
        <v>2021</v>
      </c>
      <c r="F112" s="32" t="s">
        <v>19</v>
      </c>
      <c r="G112" s="32" t="s">
        <v>463</v>
      </c>
      <c r="H112" s="32" t="s">
        <v>514</v>
      </c>
      <c r="I112" s="32" t="s">
        <v>557</v>
      </c>
      <c r="J112" s="32">
        <v>6199</v>
      </c>
      <c r="K112" s="32">
        <v>0</v>
      </c>
      <c r="L112" s="32">
        <v>0</v>
      </c>
      <c r="M112" s="32">
        <v>0</v>
      </c>
      <c r="N112" s="32">
        <v>0</v>
      </c>
      <c r="O112" s="32">
        <v>0</v>
      </c>
      <c r="P112" s="32">
        <v>0</v>
      </c>
      <c r="Q112" s="43">
        <f t="shared" si="2"/>
        <v>6199</v>
      </c>
      <c r="R112" s="69">
        <f t="shared" si="3"/>
        <v>5269.15</v>
      </c>
      <c r="S112" s="30"/>
      <c r="T112" s="30"/>
    </row>
    <row r="113" spans="1:20" ht="45" customHeight="1" x14ac:dyDescent="0.3">
      <c r="A113" s="36">
        <v>101</v>
      </c>
      <c r="B113" s="32" t="s">
        <v>303</v>
      </c>
      <c r="C113" s="32" t="s">
        <v>365</v>
      </c>
      <c r="D113" s="32" t="s">
        <v>366</v>
      </c>
      <c r="E113" s="32">
        <v>2020</v>
      </c>
      <c r="F113" s="32" t="s">
        <v>18</v>
      </c>
      <c r="G113" s="32" t="s">
        <v>464</v>
      </c>
      <c r="H113" s="32" t="s">
        <v>515</v>
      </c>
      <c r="I113" s="32" t="s">
        <v>33</v>
      </c>
      <c r="J113" s="32">
        <v>6199</v>
      </c>
      <c r="K113" s="32">
        <v>0</v>
      </c>
      <c r="L113" s="32">
        <v>0</v>
      </c>
      <c r="M113" s="32">
        <v>0</v>
      </c>
      <c r="N113" s="32">
        <v>0</v>
      </c>
      <c r="O113" s="32">
        <v>0</v>
      </c>
      <c r="P113" s="32">
        <v>0</v>
      </c>
      <c r="Q113" s="43">
        <f t="shared" si="2"/>
        <v>6199</v>
      </c>
      <c r="R113" s="69">
        <f t="shared" si="3"/>
        <v>5269.15</v>
      </c>
      <c r="S113" s="30"/>
      <c r="T113" s="30"/>
    </row>
    <row r="114" spans="1:20" ht="45" customHeight="1" x14ac:dyDescent="0.3">
      <c r="A114" s="31">
        <v>102</v>
      </c>
      <c r="B114" s="32" t="s">
        <v>303</v>
      </c>
      <c r="C114" s="32" t="s">
        <v>367</v>
      </c>
      <c r="D114" s="32" t="s">
        <v>368</v>
      </c>
      <c r="E114" s="32">
        <v>2018</v>
      </c>
      <c r="F114" s="32" t="s">
        <v>19</v>
      </c>
      <c r="G114" s="32" t="s">
        <v>465</v>
      </c>
      <c r="H114" s="32" t="s">
        <v>516</v>
      </c>
      <c r="I114" s="32" t="s">
        <v>20</v>
      </c>
      <c r="J114" s="32">
        <v>6199</v>
      </c>
      <c r="K114" s="32">
        <v>0</v>
      </c>
      <c r="L114" s="32">
        <v>0</v>
      </c>
      <c r="M114" s="32">
        <v>0</v>
      </c>
      <c r="N114" s="32">
        <f>15443+17918</f>
        <v>33361</v>
      </c>
      <c r="O114" s="32">
        <v>0</v>
      </c>
      <c r="P114" s="32">
        <v>0</v>
      </c>
      <c r="Q114" s="43">
        <f t="shared" si="2"/>
        <v>39560</v>
      </c>
      <c r="R114" s="69">
        <f t="shared" si="3"/>
        <v>33626</v>
      </c>
      <c r="S114" s="30"/>
      <c r="T114" s="30"/>
    </row>
    <row r="115" spans="1:20" ht="45" customHeight="1" x14ac:dyDescent="0.3">
      <c r="A115" s="31">
        <v>103</v>
      </c>
      <c r="B115" s="32" t="s">
        <v>303</v>
      </c>
      <c r="C115" s="32" t="s">
        <v>369</v>
      </c>
      <c r="D115" s="32" t="s">
        <v>370</v>
      </c>
      <c r="E115" s="32">
        <v>2025</v>
      </c>
      <c r="F115" s="32" t="s">
        <v>19</v>
      </c>
      <c r="G115" s="32" t="s">
        <v>466</v>
      </c>
      <c r="H115" s="32" t="s">
        <v>517</v>
      </c>
      <c r="I115" s="32" t="s">
        <v>558</v>
      </c>
      <c r="J115" s="32">
        <v>6199</v>
      </c>
      <c r="K115" s="32">
        <f>6278+4484+1346</f>
        <v>12108</v>
      </c>
      <c r="L115" s="32">
        <v>0</v>
      </c>
      <c r="M115" s="32">
        <v>0</v>
      </c>
      <c r="N115" s="32">
        <v>3148</v>
      </c>
      <c r="O115" s="32">
        <v>0</v>
      </c>
      <c r="P115" s="32">
        <v>0</v>
      </c>
      <c r="Q115" s="43">
        <f t="shared" si="2"/>
        <v>21455</v>
      </c>
      <c r="R115" s="69">
        <f t="shared" si="3"/>
        <v>18236.75</v>
      </c>
      <c r="S115" s="30"/>
      <c r="T115" s="30"/>
    </row>
    <row r="116" spans="1:20" s="41" customFormat="1" ht="45" customHeight="1" x14ac:dyDescent="0.3">
      <c r="A116" s="36">
        <v>104</v>
      </c>
      <c r="B116" s="38" t="s">
        <v>303</v>
      </c>
      <c r="C116" s="38" t="s">
        <v>371</v>
      </c>
      <c r="D116" s="38" t="s">
        <v>372</v>
      </c>
      <c r="E116" s="38">
        <v>1981</v>
      </c>
      <c r="F116" s="38" t="s">
        <v>19</v>
      </c>
      <c r="G116" s="38" t="s">
        <v>246</v>
      </c>
      <c r="H116" s="38" t="s">
        <v>246</v>
      </c>
      <c r="I116" s="38" t="s">
        <v>7472</v>
      </c>
      <c r="J116" s="38">
        <v>6199</v>
      </c>
      <c r="K116" s="38">
        <v>0</v>
      </c>
      <c r="L116" s="38">
        <v>0</v>
      </c>
      <c r="M116" s="38">
        <v>0</v>
      </c>
      <c r="N116" s="38">
        <v>15443</v>
      </c>
      <c r="O116" s="38">
        <v>0</v>
      </c>
      <c r="P116" s="38">
        <v>0</v>
      </c>
      <c r="Q116" s="43">
        <f t="shared" si="2"/>
        <v>21642</v>
      </c>
      <c r="R116" s="69">
        <f t="shared" si="3"/>
        <v>18395.7</v>
      </c>
      <c r="S116" s="40"/>
      <c r="T116" s="40"/>
    </row>
    <row r="117" spans="1:20" ht="45" customHeight="1" x14ac:dyDescent="0.3">
      <c r="A117" s="31">
        <v>105</v>
      </c>
      <c r="B117" s="32" t="s">
        <v>303</v>
      </c>
      <c r="C117" s="32" t="s">
        <v>373</v>
      </c>
      <c r="D117" s="32" t="s">
        <v>336</v>
      </c>
      <c r="E117" s="32">
        <v>1998</v>
      </c>
      <c r="F117" s="32" t="s">
        <v>19</v>
      </c>
      <c r="G117" s="32" t="s">
        <v>449</v>
      </c>
      <c r="H117" s="32" t="s">
        <v>449</v>
      </c>
      <c r="I117" s="32" t="s">
        <v>546</v>
      </c>
      <c r="J117" s="32">
        <v>6199</v>
      </c>
      <c r="K117" s="32">
        <v>0</v>
      </c>
      <c r="L117" s="32">
        <v>0</v>
      </c>
      <c r="M117" s="32">
        <v>0</v>
      </c>
      <c r="N117" s="32">
        <v>0</v>
      </c>
      <c r="O117" s="32">
        <v>0</v>
      </c>
      <c r="P117" s="32">
        <v>0</v>
      </c>
      <c r="Q117" s="43">
        <f t="shared" si="2"/>
        <v>6199</v>
      </c>
      <c r="R117" s="69">
        <f t="shared" si="3"/>
        <v>5269.15</v>
      </c>
      <c r="S117" s="30"/>
      <c r="T117" s="30"/>
    </row>
    <row r="118" spans="1:20" ht="45" customHeight="1" x14ac:dyDescent="0.3">
      <c r="A118" s="31">
        <v>106</v>
      </c>
      <c r="B118" s="32" t="s">
        <v>303</v>
      </c>
      <c r="C118" s="32" t="s">
        <v>374</v>
      </c>
      <c r="D118" s="32" t="s">
        <v>346</v>
      </c>
      <c r="E118" s="32">
        <v>2017</v>
      </c>
      <c r="F118" s="32" t="s">
        <v>19</v>
      </c>
      <c r="G118" s="32" t="s">
        <v>454</v>
      </c>
      <c r="H118" s="32" t="s">
        <v>509</v>
      </c>
      <c r="I118" s="32" t="s">
        <v>550</v>
      </c>
      <c r="J118" s="32">
        <v>6199</v>
      </c>
      <c r="K118" s="32">
        <v>0</v>
      </c>
      <c r="L118" s="32">
        <v>0</v>
      </c>
      <c r="M118" s="32">
        <v>0</v>
      </c>
      <c r="N118" s="32">
        <v>0</v>
      </c>
      <c r="O118" s="32">
        <v>0</v>
      </c>
      <c r="P118" s="32">
        <v>0</v>
      </c>
      <c r="Q118" s="43">
        <f t="shared" si="2"/>
        <v>6199</v>
      </c>
      <c r="R118" s="69">
        <f t="shared" si="3"/>
        <v>5269.15</v>
      </c>
      <c r="S118" s="30"/>
      <c r="T118" s="30"/>
    </row>
    <row r="119" spans="1:20" ht="45" customHeight="1" x14ac:dyDescent="0.3">
      <c r="A119" s="36">
        <v>107</v>
      </c>
      <c r="B119" s="32" t="s">
        <v>303</v>
      </c>
      <c r="C119" s="32" t="s">
        <v>375</v>
      </c>
      <c r="D119" s="32" t="s">
        <v>376</v>
      </c>
      <c r="E119" s="32">
        <v>2000</v>
      </c>
      <c r="F119" s="32" t="s">
        <v>19</v>
      </c>
      <c r="G119" s="32" t="s">
        <v>467</v>
      </c>
      <c r="H119" s="32" t="s">
        <v>467</v>
      </c>
      <c r="I119" s="32" t="s">
        <v>559</v>
      </c>
      <c r="J119" s="32">
        <v>6199</v>
      </c>
      <c r="K119" s="32">
        <f>2332+2332+2243</f>
        <v>6907</v>
      </c>
      <c r="L119" s="32">
        <v>18406</v>
      </c>
      <c r="M119" s="32">
        <v>0</v>
      </c>
      <c r="N119" s="32">
        <v>0</v>
      </c>
      <c r="O119" s="32">
        <v>0</v>
      </c>
      <c r="P119" s="32">
        <v>0</v>
      </c>
      <c r="Q119" s="43">
        <f t="shared" si="2"/>
        <v>31512</v>
      </c>
      <c r="R119" s="69">
        <f t="shared" si="3"/>
        <v>26785.200000000001</v>
      </c>
      <c r="S119" s="30"/>
      <c r="T119" s="30"/>
    </row>
    <row r="120" spans="1:20" ht="45" customHeight="1" x14ac:dyDescent="0.3">
      <c r="A120" s="31">
        <v>108</v>
      </c>
      <c r="B120" s="32" t="s">
        <v>303</v>
      </c>
      <c r="C120" s="32" t="s">
        <v>377</v>
      </c>
      <c r="D120" s="32" t="s">
        <v>378</v>
      </c>
      <c r="E120" s="32">
        <v>1992</v>
      </c>
      <c r="F120" s="32" t="s">
        <v>19</v>
      </c>
      <c r="G120" s="32" t="s">
        <v>468</v>
      </c>
      <c r="H120" s="32" t="s">
        <v>468</v>
      </c>
      <c r="I120" s="32" t="s">
        <v>560</v>
      </c>
      <c r="J120" s="32">
        <v>6199</v>
      </c>
      <c r="K120" s="32">
        <f>6278+2332+4484+1346+2801+1166+2332+2332+2243+3587</f>
        <v>28901</v>
      </c>
      <c r="L120" s="32">
        <v>0</v>
      </c>
      <c r="M120" s="32">
        <v>0</v>
      </c>
      <c r="N120" s="32">
        <v>1793</v>
      </c>
      <c r="O120" s="32">
        <v>0</v>
      </c>
      <c r="P120" s="32">
        <v>0</v>
      </c>
      <c r="Q120" s="43">
        <f t="shared" si="2"/>
        <v>36893</v>
      </c>
      <c r="R120" s="69">
        <f t="shared" si="3"/>
        <v>31359.05</v>
      </c>
      <c r="S120" s="30"/>
      <c r="T120" s="30"/>
    </row>
    <row r="121" spans="1:20" ht="45" customHeight="1" x14ac:dyDescent="0.3">
      <c r="A121" s="31">
        <v>109</v>
      </c>
      <c r="B121" s="32" t="s">
        <v>303</v>
      </c>
      <c r="C121" s="32" t="s">
        <v>379</v>
      </c>
      <c r="D121" s="32" t="s">
        <v>380</v>
      </c>
      <c r="E121" s="32">
        <v>1984</v>
      </c>
      <c r="F121" s="32" t="s">
        <v>18</v>
      </c>
      <c r="G121" s="32" t="s">
        <v>469</v>
      </c>
      <c r="H121" s="32" t="s">
        <v>469</v>
      </c>
      <c r="I121" s="32" t="s">
        <v>561</v>
      </c>
      <c r="J121" s="32">
        <v>6199</v>
      </c>
      <c r="K121" s="32">
        <f>2332+2332</f>
        <v>4664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43">
        <f t="shared" si="2"/>
        <v>10863</v>
      </c>
      <c r="R121" s="69">
        <f t="shared" si="3"/>
        <v>9233.5499999999993</v>
      </c>
      <c r="S121" s="30"/>
      <c r="T121" s="30"/>
    </row>
    <row r="122" spans="1:20" ht="45" customHeight="1" x14ac:dyDescent="0.3">
      <c r="A122" s="36">
        <v>110</v>
      </c>
      <c r="B122" s="32" t="s">
        <v>303</v>
      </c>
      <c r="C122" s="32" t="s">
        <v>381</v>
      </c>
      <c r="D122" s="32" t="s">
        <v>382</v>
      </c>
      <c r="E122" s="32">
        <v>1995</v>
      </c>
      <c r="F122" s="32" t="s">
        <v>19</v>
      </c>
      <c r="G122" s="32" t="s">
        <v>470</v>
      </c>
      <c r="H122" s="32" t="s">
        <v>518</v>
      </c>
      <c r="I122" s="32" t="s">
        <v>562</v>
      </c>
      <c r="J122" s="32">
        <v>6199</v>
      </c>
      <c r="K122" s="32">
        <v>0</v>
      </c>
      <c r="L122" s="32">
        <v>18406</v>
      </c>
      <c r="M122" s="32">
        <v>0</v>
      </c>
      <c r="N122" s="32">
        <v>0</v>
      </c>
      <c r="O122" s="32">
        <v>0</v>
      </c>
      <c r="P122" s="32">
        <v>0</v>
      </c>
      <c r="Q122" s="43">
        <f t="shared" si="2"/>
        <v>24605</v>
      </c>
      <c r="R122" s="69">
        <f t="shared" si="3"/>
        <v>20914.25</v>
      </c>
      <c r="S122" s="30"/>
      <c r="T122" s="30"/>
    </row>
    <row r="123" spans="1:20" ht="45" customHeight="1" x14ac:dyDescent="0.3">
      <c r="A123" s="31">
        <v>111</v>
      </c>
      <c r="B123" s="32" t="s">
        <v>303</v>
      </c>
      <c r="C123" s="32" t="s">
        <v>383</v>
      </c>
      <c r="D123" s="32" t="s">
        <v>384</v>
      </c>
      <c r="E123" s="32">
        <v>1971</v>
      </c>
      <c r="F123" s="32" t="s">
        <v>18</v>
      </c>
      <c r="G123" s="32" t="s">
        <v>471</v>
      </c>
      <c r="H123" s="32" t="s">
        <v>471</v>
      </c>
      <c r="I123" s="32" t="s">
        <v>563</v>
      </c>
      <c r="J123" s="32">
        <v>6199</v>
      </c>
      <c r="K123" s="32">
        <f>2332+2332+2332</f>
        <v>6996</v>
      </c>
      <c r="L123" s="32">
        <v>0</v>
      </c>
      <c r="M123" s="32">
        <v>0</v>
      </c>
      <c r="N123" s="32">
        <v>1793</v>
      </c>
      <c r="O123" s="32">
        <v>0</v>
      </c>
      <c r="P123" s="32">
        <v>0</v>
      </c>
      <c r="Q123" s="43">
        <f t="shared" si="2"/>
        <v>14988</v>
      </c>
      <c r="R123" s="69">
        <f t="shared" si="3"/>
        <v>12739.8</v>
      </c>
      <c r="S123" s="30"/>
      <c r="T123" s="30"/>
    </row>
    <row r="124" spans="1:20" ht="45" customHeight="1" x14ac:dyDescent="0.3">
      <c r="A124" s="31">
        <v>112</v>
      </c>
      <c r="B124" s="32" t="s">
        <v>303</v>
      </c>
      <c r="C124" s="32" t="s">
        <v>385</v>
      </c>
      <c r="D124" s="32" t="s">
        <v>386</v>
      </c>
      <c r="E124" s="32">
        <v>1983</v>
      </c>
      <c r="F124" s="32" t="s">
        <v>18</v>
      </c>
      <c r="G124" s="32" t="s">
        <v>472</v>
      </c>
      <c r="H124" s="32" t="s">
        <v>472</v>
      </c>
      <c r="I124" s="32" t="s">
        <v>25</v>
      </c>
      <c r="J124" s="32">
        <v>6199</v>
      </c>
      <c r="K124" s="32">
        <f>1166+2332+2332+2332+2332+2332</f>
        <v>12826</v>
      </c>
      <c r="L124" s="32">
        <v>0</v>
      </c>
      <c r="M124" s="32">
        <v>0</v>
      </c>
      <c r="N124" s="32">
        <v>1793</v>
      </c>
      <c r="O124" s="32">
        <v>0</v>
      </c>
      <c r="P124" s="32">
        <v>0</v>
      </c>
      <c r="Q124" s="43">
        <f t="shared" si="2"/>
        <v>20818</v>
      </c>
      <c r="R124" s="69">
        <f t="shared" si="3"/>
        <v>17695.3</v>
      </c>
      <c r="S124" s="30"/>
      <c r="T124" s="30"/>
    </row>
    <row r="125" spans="1:20" ht="45" customHeight="1" x14ac:dyDescent="0.3">
      <c r="A125" s="36">
        <v>113</v>
      </c>
      <c r="B125" s="32" t="s">
        <v>303</v>
      </c>
      <c r="C125" s="32" t="s">
        <v>387</v>
      </c>
      <c r="D125" s="32" t="s">
        <v>388</v>
      </c>
      <c r="E125" s="32">
        <v>1981</v>
      </c>
      <c r="F125" s="32" t="s">
        <v>18</v>
      </c>
      <c r="G125" s="32" t="s">
        <v>473</v>
      </c>
      <c r="H125" s="32" t="s">
        <v>473</v>
      </c>
      <c r="I125" s="32" t="s">
        <v>564</v>
      </c>
      <c r="J125" s="32">
        <v>6199</v>
      </c>
      <c r="K125" s="32">
        <f>6278+2332+2332+2332+2332+2332+1166+2801+3000+3000+3228+2332+2332</f>
        <v>35797</v>
      </c>
      <c r="L125" s="32">
        <v>0</v>
      </c>
      <c r="M125" s="32">
        <v>0</v>
      </c>
      <c r="N125" s="32">
        <v>1793</v>
      </c>
      <c r="O125" s="32">
        <v>0</v>
      </c>
      <c r="P125" s="32">
        <v>0</v>
      </c>
      <c r="Q125" s="43">
        <f t="shared" si="2"/>
        <v>43789</v>
      </c>
      <c r="R125" s="69">
        <f t="shared" si="3"/>
        <v>37220.65</v>
      </c>
      <c r="S125" s="30"/>
      <c r="T125" s="30"/>
    </row>
    <row r="126" spans="1:20" ht="45" customHeight="1" x14ac:dyDescent="0.3">
      <c r="A126" s="31">
        <v>114</v>
      </c>
      <c r="B126" s="32" t="s">
        <v>303</v>
      </c>
      <c r="C126" s="32" t="s">
        <v>389</v>
      </c>
      <c r="D126" s="32" t="s">
        <v>390</v>
      </c>
      <c r="E126" s="32">
        <v>1975</v>
      </c>
      <c r="F126" s="32" t="s">
        <v>18</v>
      </c>
      <c r="G126" s="32" t="s">
        <v>474</v>
      </c>
      <c r="H126" s="32" t="s">
        <v>474</v>
      </c>
      <c r="I126" s="32" t="s">
        <v>565</v>
      </c>
      <c r="J126" s="32">
        <v>6199</v>
      </c>
      <c r="K126" s="32">
        <f>2332+2332+2243</f>
        <v>6907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43">
        <f t="shared" si="2"/>
        <v>13106</v>
      </c>
      <c r="R126" s="69">
        <f t="shared" si="3"/>
        <v>11140.1</v>
      </c>
      <c r="S126" s="30"/>
      <c r="T126" s="30"/>
    </row>
    <row r="127" spans="1:20" ht="45" customHeight="1" x14ac:dyDescent="0.3">
      <c r="A127" s="31">
        <v>115</v>
      </c>
      <c r="B127" s="32" t="s">
        <v>303</v>
      </c>
      <c r="C127" s="32" t="s">
        <v>391</v>
      </c>
      <c r="D127" s="32" t="s">
        <v>392</v>
      </c>
      <c r="E127" s="32">
        <v>1983</v>
      </c>
      <c r="F127" s="32" t="s">
        <v>18</v>
      </c>
      <c r="G127" s="32" t="s">
        <v>475</v>
      </c>
      <c r="H127" s="32" t="s">
        <v>475</v>
      </c>
      <c r="I127" s="32" t="s">
        <v>566</v>
      </c>
      <c r="J127" s="32">
        <v>6199</v>
      </c>
      <c r="K127" s="32">
        <f>2332+2332+2243</f>
        <v>6907</v>
      </c>
      <c r="L127" s="32">
        <v>0</v>
      </c>
      <c r="M127" s="32">
        <v>0</v>
      </c>
      <c r="N127" s="32">
        <f>3179+1681</f>
        <v>4860</v>
      </c>
      <c r="O127" s="32">
        <v>0</v>
      </c>
      <c r="P127" s="32">
        <f>624+112</f>
        <v>736</v>
      </c>
      <c r="Q127" s="43">
        <f t="shared" si="2"/>
        <v>18702</v>
      </c>
      <c r="R127" s="69">
        <f t="shared" si="3"/>
        <v>15896.7</v>
      </c>
      <c r="S127" s="30"/>
      <c r="T127" s="30"/>
    </row>
    <row r="128" spans="1:20" ht="45" customHeight="1" x14ac:dyDescent="0.3">
      <c r="A128" s="36">
        <v>116</v>
      </c>
      <c r="B128" s="32" t="s">
        <v>303</v>
      </c>
      <c r="C128" s="32" t="s">
        <v>393</v>
      </c>
      <c r="D128" s="32" t="s">
        <v>394</v>
      </c>
      <c r="E128" s="32">
        <v>2012</v>
      </c>
      <c r="F128" s="32" t="s">
        <v>18</v>
      </c>
      <c r="G128" s="32" t="s">
        <v>476</v>
      </c>
      <c r="H128" s="32" t="s">
        <v>519</v>
      </c>
      <c r="I128" s="32" t="s">
        <v>567</v>
      </c>
      <c r="J128" s="32">
        <v>6199</v>
      </c>
      <c r="K128" s="32">
        <v>0</v>
      </c>
      <c r="L128" s="32">
        <v>0</v>
      </c>
      <c r="M128" s="32">
        <v>0</v>
      </c>
      <c r="N128" s="32">
        <v>0</v>
      </c>
      <c r="O128" s="32">
        <v>0</v>
      </c>
      <c r="P128" s="32">
        <v>0</v>
      </c>
      <c r="Q128" s="43">
        <f t="shared" si="2"/>
        <v>6199</v>
      </c>
      <c r="R128" s="69">
        <f t="shared" si="3"/>
        <v>5269.15</v>
      </c>
      <c r="S128" s="30"/>
      <c r="T128" s="30"/>
    </row>
    <row r="129" spans="1:20" ht="45" customHeight="1" x14ac:dyDescent="0.3">
      <c r="A129" s="31">
        <v>117</v>
      </c>
      <c r="B129" s="32" t="s">
        <v>303</v>
      </c>
      <c r="C129" s="32" t="s">
        <v>395</v>
      </c>
      <c r="D129" s="32" t="s">
        <v>396</v>
      </c>
      <c r="E129" s="32">
        <v>1998</v>
      </c>
      <c r="F129" s="32" t="s">
        <v>19</v>
      </c>
      <c r="G129" s="32" t="s">
        <v>477</v>
      </c>
      <c r="H129" s="32" t="s">
        <v>477</v>
      </c>
      <c r="I129" s="32" t="s">
        <v>32</v>
      </c>
      <c r="J129" s="32">
        <v>6199</v>
      </c>
      <c r="K129" s="32">
        <v>0</v>
      </c>
      <c r="L129" s="32">
        <v>18406</v>
      </c>
      <c r="M129" s="32">
        <v>0</v>
      </c>
      <c r="N129" s="32">
        <v>0</v>
      </c>
      <c r="O129" s="32">
        <v>0</v>
      </c>
      <c r="P129" s="32">
        <v>0</v>
      </c>
      <c r="Q129" s="43">
        <f t="shared" si="2"/>
        <v>24605</v>
      </c>
      <c r="R129" s="69">
        <f t="shared" si="3"/>
        <v>20914.25</v>
      </c>
      <c r="S129" s="30"/>
      <c r="T129" s="30"/>
    </row>
    <row r="130" spans="1:20" ht="45" customHeight="1" x14ac:dyDescent="0.3">
      <c r="A130" s="31">
        <v>118</v>
      </c>
      <c r="B130" s="32" t="s">
        <v>303</v>
      </c>
      <c r="C130" s="32" t="s">
        <v>397</v>
      </c>
      <c r="D130" s="32" t="s">
        <v>398</v>
      </c>
      <c r="E130" s="32">
        <v>2017</v>
      </c>
      <c r="F130" s="32" t="s">
        <v>18</v>
      </c>
      <c r="G130" s="32" t="s">
        <v>478</v>
      </c>
      <c r="H130" s="32" t="s">
        <v>520</v>
      </c>
      <c r="I130" s="32" t="s">
        <v>568</v>
      </c>
      <c r="J130" s="32">
        <v>6199</v>
      </c>
      <c r="K130" s="32">
        <v>0</v>
      </c>
      <c r="L130" s="32">
        <v>0</v>
      </c>
      <c r="M130" s="32">
        <v>0</v>
      </c>
      <c r="N130" s="32">
        <f>15443+35836</f>
        <v>51279</v>
      </c>
      <c r="O130" s="32">
        <v>0</v>
      </c>
      <c r="P130" s="32">
        <v>0</v>
      </c>
      <c r="Q130" s="43">
        <f t="shared" si="2"/>
        <v>57478</v>
      </c>
      <c r="R130" s="69">
        <f t="shared" si="3"/>
        <v>48856.3</v>
      </c>
      <c r="S130" s="30"/>
      <c r="T130" s="30"/>
    </row>
    <row r="131" spans="1:20" ht="45" customHeight="1" x14ac:dyDescent="0.3">
      <c r="A131" s="36">
        <v>119</v>
      </c>
      <c r="B131" s="32" t="s">
        <v>303</v>
      </c>
      <c r="C131" s="32" t="s">
        <v>399</v>
      </c>
      <c r="D131" s="32" t="s">
        <v>400</v>
      </c>
      <c r="E131" s="32">
        <v>1990</v>
      </c>
      <c r="F131" s="32" t="s">
        <v>19</v>
      </c>
      <c r="G131" s="32" t="s">
        <v>479</v>
      </c>
      <c r="H131" s="32" t="s">
        <v>521</v>
      </c>
      <c r="I131" s="32" t="s">
        <v>28</v>
      </c>
      <c r="J131" s="32">
        <v>6199</v>
      </c>
      <c r="K131" s="32">
        <v>0</v>
      </c>
      <c r="L131" s="32">
        <v>18406</v>
      </c>
      <c r="M131" s="32">
        <v>0</v>
      </c>
      <c r="N131" s="32">
        <v>0</v>
      </c>
      <c r="O131" s="32">
        <v>0</v>
      </c>
      <c r="P131" s="32">
        <v>0</v>
      </c>
      <c r="Q131" s="43">
        <f t="shared" si="2"/>
        <v>24605</v>
      </c>
      <c r="R131" s="69">
        <f t="shared" si="3"/>
        <v>20914.25</v>
      </c>
      <c r="S131" s="30"/>
      <c r="T131" s="30"/>
    </row>
    <row r="132" spans="1:20" ht="45" customHeight="1" x14ac:dyDescent="0.3">
      <c r="A132" s="31">
        <v>120</v>
      </c>
      <c r="B132" s="32" t="s">
        <v>303</v>
      </c>
      <c r="C132" s="32" t="s">
        <v>401</v>
      </c>
      <c r="D132" s="32" t="s">
        <v>402</v>
      </c>
      <c r="E132" s="32">
        <v>1993</v>
      </c>
      <c r="F132" s="32" t="s">
        <v>19</v>
      </c>
      <c r="G132" s="32" t="s">
        <v>480</v>
      </c>
      <c r="H132" s="32" t="s">
        <v>522</v>
      </c>
      <c r="I132" s="32" t="s">
        <v>569</v>
      </c>
      <c r="J132" s="32">
        <v>6199</v>
      </c>
      <c r="K132" s="32">
        <v>0</v>
      </c>
      <c r="L132" s="32">
        <v>0</v>
      </c>
      <c r="M132" s="32">
        <v>0</v>
      </c>
      <c r="N132" s="32">
        <v>0</v>
      </c>
      <c r="O132" s="32">
        <v>0</v>
      </c>
      <c r="P132" s="32">
        <v>0</v>
      </c>
      <c r="Q132" s="43">
        <f t="shared" si="2"/>
        <v>6199</v>
      </c>
      <c r="R132" s="69">
        <f t="shared" si="3"/>
        <v>5269.15</v>
      </c>
      <c r="S132" s="30"/>
      <c r="T132" s="30"/>
    </row>
    <row r="133" spans="1:20" ht="45" customHeight="1" x14ac:dyDescent="0.3">
      <c r="A133" s="31">
        <v>121</v>
      </c>
      <c r="B133" s="32" t="s">
        <v>303</v>
      </c>
      <c r="C133" s="32" t="s">
        <v>403</v>
      </c>
      <c r="D133" s="32" t="s">
        <v>404</v>
      </c>
      <c r="E133" s="32">
        <v>2022</v>
      </c>
      <c r="F133" s="32" t="s">
        <v>18</v>
      </c>
      <c r="G133" s="32" t="s">
        <v>481</v>
      </c>
      <c r="H133" s="32" t="s">
        <v>523</v>
      </c>
      <c r="I133" s="32" t="s">
        <v>268</v>
      </c>
      <c r="J133" s="32">
        <v>6199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43">
        <f t="shared" si="2"/>
        <v>6199</v>
      </c>
      <c r="R133" s="69">
        <f t="shared" si="3"/>
        <v>5269.15</v>
      </c>
      <c r="S133" s="30"/>
      <c r="T133" s="30"/>
    </row>
    <row r="134" spans="1:20" ht="45" customHeight="1" x14ac:dyDescent="0.3">
      <c r="A134" s="36">
        <v>122</v>
      </c>
      <c r="B134" s="32" t="s">
        <v>303</v>
      </c>
      <c r="C134" s="32" t="s">
        <v>405</v>
      </c>
      <c r="D134" s="32" t="s">
        <v>406</v>
      </c>
      <c r="E134" s="32">
        <v>2018</v>
      </c>
      <c r="F134" s="32" t="s">
        <v>18</v>
      </c>
      <c r="G134" s="32" t="s">
        <v>482</v>
      </c>
      <c r="H134" s="32" t="s">
        <v>523</v>
      </c>
      <c r="I134" s="32" t="s">
        <v>268</v>
      </c>
      <c r="J134" s="32">
        <v>3793</v>
      </c>
      <c r="K134" s="32">
        <v>0</v>
      </c>
      <c r="L134" s="32">
        <v>0</v>
      </c>
      <c r="M134" s="32">
        <v>0</v>
      </c>
      <c r="N134" s="32">
        <v>0</v>
      </c>
      <c r="O134" s="32">
        <v>0</v>
      </c>
      <c r="P134" s="32">
        <v>0</v>
      </c>
      <c r="Q134" s="43">
        <f t="shared" si="2"/>
        <v>3793</v>
      </c>
      <c r="R134" s="69">
        <f t="shared" si="3"/>
        <v>3224.05</v>
      </c>
      <c r="S134" s="30"/>
      <c r="T134" s="30"/>
    </row>
    <row r="135" spans="1:20" ht="45" customHeight="1" x14ac:dyDescent="0.3">
      <c r="A135" s="31">
        <v>123</v>
      </c>
      <c r="B135" s="32" t="s">
        <v>303</v>
      </c>
      <c r="C135" s="32" t="s">
        <v>407</v>
      </c>
      <c r="D135" s="32" t="s">
        <v>408</v>
      </c>
      <c r="E135" s="32">
        <v>1999</v>
      </c>
      <c r="F135" s="32" t="s">
        <v>19</v>
      </c>
      <c r="G135" s="32" t="s">
        <v>483</v>
      </c>
      <c r="H135" s="32" t="s">
        <v>524</v>
      </c>
      <c r="I135" s="32" t="s">
        <v>570</v>
      </c>
      <c r="J135" s="32">
        <v>6199</v>
      </c>
      <c r="K135" s="32">
        <v>0</v>
      </c>
      <c r="L135" s="32">
        <v>17279</v>
      </c>
      <c r="M135" s="32">
        <v>0</v>
      </c>
      <c r="N135" s="32">
        <v>0</v>
      </c>
      <c r="O135" s="32">
        <v>0</v>
      </c>
      <c r="P135" s="32">
        <v>0</v>
      </c>
      <c r="Q135" s="43">
        <f t="shared" si="2"/>
        <v>23478</v>
      </c>
      <c r="R135" s="69">
        <f t="shared" si="3"/>
        <v>19956.3</v>
      </c>
      <c r="S135" s="30"/>
      <c r="T135" s="30"/>
    </row>
    <row r="136" spans="1:20" ht="45" customHeight="1" x14ac:dyDescent="0.3">
      <c r="A136" s="31">
        <v>124</v>
      </c>
      <c r="B136" s="32" t="s">
        <v>303</v>
      </c>
      <c r="C136" s="32" t="s">
        <v>409</v>
      </c>
      <c r="D136" s="32" t="s">
        <v>410</v>
      </c>
      <c r="E136" s="32">
        <v>2024</v>
      </c>
      <c r="F136" s="32" t="s">
        <v>18</v>
      </c>
      <c r="G136" s="32" t="s">
        <v>484</v>
      </c>
      <c r="H136" s="32" t="s">
        <v>525</v>
      </c>
      <c r="I136" s="32" t="s">
        <v>571</v>
      </c>
      <c r="J136" s="32">
        <v>6199</v>
      </c>
      <c r="K136" s="32">
        <f>6278+4484+1346</f>
        <v>12108</v>
      </c>
      <c r="L136" s="32">
        <v>0</v>
      </c>
      <c r="M136" s="32">
        <v>0</v>
      </c>
      <c r="N136" s="32">
        <v>3148</v>
      </c>
      <c r="O136" s="32">
        <v>0</v>
      </c>
      <c r="P136" s="32">
        <v>0</v>
      </c>
      <c r="Q136" s="43">
        <f t="shared" si="2"/>
        <v>21455</v>
      </c>
      <c r="R136" s="69">
        <f t="shared" si="3"/>
        <v>18236.75</v>
      </c>
      <c r="S136" s="30"/>
      <c r="T136" s="30"/>
    </row>
    <row r="137" spans="1:20" ht="45" customHeight="1" x14ac:dyDescent="0.3">
      <c r="A137" s="36">
        <v>125</v>
      </c>
      <c r="B137" s="32" t="s">
        <v>303</v>
      </c>
      <c r="C137" s="32" t="s">
        <v>411</v>
      </c>
      <c r="D137" s="32" t="s">
        <v>412</v>
      </c>
      <c r="E137" s="32">
        <v>1989</v>
      </c>
      <c r="F137" s="32" t="s">
        <v>19</v>
      </c>
      <c r="G137" s="32" t="s">
        <v>485</v>
      </c>
      <c r="H137" s="32" t="s">
        <v>485</v>
      </c>
      <c r="I137" s="32" t="s">
        <v>572</v>
      </c>
      <c r="J137" s="32">
        <v>6199</v>
      </c>
      <c r="K137" s="32">
        <v>0</v>
      </c>
      <c r="L137" s="32">
        <v>18406</v>
      </c>
      <c r="M137" s="32">
        <v>0</v>
      </c>
      <c r="N137" s="32">
        <v>0</v>
      </c>
      <c r="O137" s="32">
        <v>0</v>
      </c>
      <c r="P137" s="32">
        <v>0</v>
      </c>
      <c r="Q137" s="43">
        <f t="shared" si="2"/>
        <v>24605</v>
      </c>
      <c r="R137" s="69">
        <f t="shared" si="3"/>
        <v>20914.25</v>
      </c>
      <c r="S137" s="30"/>
      <c r="T137" s="30"/>
    </row>
    <row r="138" spans="1:20" ht="45" customHeight="1" x14ac:dyDescent="0.3">
      <c r="A138" s="31">
        <v>126</v>
      </c>
      <c r="B138" s="32" t="s">
        <v>303</v>
      </c>
      <c r="C138" s="32" t="s">
        <v>413</v>
      </c>
      <c r="D138" s="32" t="s">
        <v>414</v>
      </c>
      <c r="E138" s="32">
        <v>2022</v>
      </c>
      <c r="F138" s="32" t="s">
        <v>18</v>
      </c>
      <c r="G138" s="32" t="s">
        <v>486</v>
      </c>
      <c r="H138" s="32" t="s">
        <v>487</v>
      </c>
      <c r="I138" s="32" t="s">
        <v>573</v>
      </c>
      <c r="J138" s="32">
        <v>6199</v>
      </c>
      <c r="K138" s="32">
        <f>6278+4484+1346</f>
        <v>12108</v>
      </c>
      <c r="L138" s="32">
        <v>0</v>
      </c>
      <c r="M138" s="32">
        <v>0</v>
      </c>
      <c r="N138" s="32">
        <v>3148</v>
      </c>
      <c r="O138" s="32">
        <v>0</v>
      </c>
      <c r="P138" s="32">
        <v>0</v>
      </c>
      <c r="Q138" s="43">
        <f t="shared" si="2"/>
        <v>21455</v>
      </c>
      <c r="R138" s="69">
        <f t="shared" si="3"/>
        <v>18236.75</v>
      </c>
      <c r="S138" s="30"/>
      <c r="T138" s="30"/>
    </row>
    <row r="139" spans="1:20" s="41" customFormat="1" ht="45" customHeight="1" x14ac:dyDescent="0.3">
      <c r="A139" s="31">
        <v>127</v>
      </c>
      <c r="B139" s="38" t="s">
        <v>303</v>
      </c>
      <c r="C139" s="38" t="s">
        <v>415</v>
      </c>
      <c r="D139" s="38" t="s">
        <v>416</v>
      </c>
      <c r="E139" s="38">
        <v>1993</v>
      </c>
      <c r="F139" s="38" t="s">
        <v>19</v>
      </c>
      <c r="G139" s="38" t="s">
        <v>487</v>
      </c>
      <c r="H139" s="38" t="s">
        <v>487</v>
      </c>
      <c r="I139" s="38" t="s">
        <v>573</v>
      </c>
      <c r="J139" s="38">
        <v>6199</v>
      </c>
      <c r="K139" s="38">
        <v>0</v>
      </c>
      <c r="L139" s="38">
        <v>18406</v>
      </c>
      <c r="M139" s="38">
        <v>0</v>
      </c>
      <c r="N139" s="38">
        <v>0</v>
      </c>
      <c r="O139" s="38">
        <v>0</v>
      </c>
      <c r="P139" s="38">
        <v>0</v>
      </c>
      <c r="Q139" s="43">
        <f t="shared" si="2"/>
        <v>24605</v>
      </c>
      <c r="R139" s="69">
        <f t="shared" si="3"/>
        <v>20914.25</v>
      </c>
      <c r="S139" s="40"/>
      <c r="T139" s="40"/>
    </row>
    <row r="140" spans="1:20" ht="45" customHeight="1" x14ac:dyDescent="0.3">
      <c r="A140" s="36">
        <v>128</v>
      </c>
      <c r="B140" s="32" t="s">
        <v>303</v>
      </c>
      <c r="C140" s="32" t="s">
        <v>417</v>
      </c>
      <c r="D140" s="32" t="s">
        <v>418</v>
      </c>
      <c r="E140" s="32">
        <v>1979</v>
      </c>
      <c r="F140" s="32" t="s">
        <v>19</v>
      </c>
      <c r="G140" s="32" t="s">
        <v>488</v>
      </c>
      <c r="H140" s="32" t="s">
        <v>488</v>
      </c>
      <c r="I140" s="32" t="s">
        <v>7473</v>
      </c>
      <c r="J140" s="32">
        <v>6199</v>
      </c>
      <c r="K140" s="32">
        <v>0</v>
      </c>
      <c r="L140" s="32">
        <v>0</v>
      </c>
      <c r="M140" s="32">
        <v>0</v>
      </c>
      <c r="N140" s="32">
        <v>0</v>
      </c>
      <c r="O140" s="32">
        <v>0</v>
      </c>
      <c r="P140" s="32">
        <v>0</v>
      </c>
      <c r="Q140" s="43">
        <f t="shared" si="2"/>
        <v>6199</v>
      </c>
      <c r="R140" s="69">
        <f t="shared" si="3"/>
        <v>5269.15</v>
      </c>
      <c r="S140" s="30"/>
      <c r="T140" s="30"/>
    </row>
    <row r="141" spans="1:20" ht="45" customHeight="1" x14ac:dyDescent="0.3">
      <c r="A141" s="31">
        <v>129</v>
      </c>
      <c r="B141" s="32" t="s">
        <v>303</v>
      </c>
      <c r="C141" s="32" t="s">
        <v>419</v>
      </c>
      <c r="D141" s="32" t="s">
        <v>420</v>
      </c>
      <c r="E141" s="32">
        <v>2012</v>
      </c>
      <c r="F141" s="32" t="s">
        <v>18</v>
      </c>
      <c r="G141" s="32" t="s">
        <v>489</v>
      </c>
      <c r="H141" s="32" t="s">
        <v>526</v>
      </c>
      <c r="I141" s="32" t="s">
        <v>7470</v>
      </c>
      <c r="J141" s="32">
        <v>6199</v>
      </c>
      <c r="K141" s="32">
        <v>0</v>
      </c>
      <c r="L141" s="32">
        <v>0</v>
      </c>
      <c r="M141" s="32">
        <v>0</v>
      </c>
      <c r="N141" s="32">
        <v>0</v>
      </c>
      <c r="O141" s="32">
        <v>0</v>
      </c>
      <c r="P141" s="32">
        <v>0</v>
      </c>
      <c r="Q141" s="43">
        <f t="shared" ref="Q141:Q204" si="4">SUM(J141:P141)</f>
        <v>6199</v>
      </c>
      <c r="R141" s="69">
        <f t="shared" si="3"/>
        <v>5269.15</v>
      </c>
      <c r="S141" s="30"/>
      <c r="T141" s="30"/>
    </row>
    <row r="142" spans="1:20" ht="45" customHeight="1" x14ac:dyDescent="0.3">
      <c r="A142" s="31">
        <v>130</v>
      </c>
      <c r="B142" s="32" t="s">
        <v>303</v>
      </c>
      <c r="C142" s="32" t="s">
        <v>421</v>
      </c>
      <c r="D142" s="32" t="s">
        <v>422</v>
      </c>
      <c r="E142" s="32">
        <v>1986</v>
      </c>
      <c r="F142" s="32" t="s">
        <v>19</v>
      </c>
      <c r="G142" s="32" t="s">
        <v>490</v>
      </c>
      <c r="H142" s="32" t="s">
        <v>527</v>
      </c>
      <c r="I142" s="32" t="s">
        <v>7474</v>
      </c>
      <c r="J142" s="32">
        <v>6199</v>
      </c>
      <c r="K142" s="32">
        <v>0</v>
      </c>
      <c r="L142" s="32">
        <v>17279</v>
      </c>
      <c r="M142" s="32">
        <v>0</v>
      </c>
      <c r="N142" s="32">
        <v>0</v>
      </c>
      <c r="O142" s="32">
        <v>0</v>
      </c>
      <c r="P142" s="32">
        <v>0</v>
      </c>
      <c r="Q142" s="43">
        <f t="shared" si="4"/>
        <v>23478</v>
      </c>
      <c r="R142" s="69">
        <f t="shared" ref="R142:R205" si="5">Q142*85/100</f>
        <v>19956.3</v>
      </c>
      <c r="S142" s="30"/>
      <c r="T142" s="30"/>
    </row>
    <row r="143" spans="1:20" ht="45" customHeight="1" x14ac:dyDescent="0.3">
      <c r="A143" s="36">
        <v>131</v>
      </c>
      <c r="B143" s="32" t="s">
        <v>303</v>
      </c>
      <c r="C143" s="32" t="s">
        <v>423</v>
      </c>
      <c r="D143" s="32" t="s">
        <v>424</v>
      </c>
      <c r="E143" s="32">
        <v>2020</v>
      </c>
      <c r="F143" s="32" t="s">
        <v>19</v>
      </c>
      <c r="G143" s="32" t="s">
        <v>491</v>
      </c>
      <c r="H143" s="32" t="s">
        <v>528</v>
      </c>
      <c r="I143" s="32" t="s">
        <v>576</v>
      </c>
      <c r="J143" s="32">
        <v>6199</v>
      </c>
      <c r="K143" s="32">
        <f>6278+4484+1346+4484+2332+2332+2332+2332</f>
        <v>25920</v>
      </c>
      <c r="L143" s="32">
        <v>0</v>
      </c>
      <c r="M143" s="32">
        <v>0</v>
      </c>
      <c r="N143" s="32">
        <v>3148</v>
      </c>
      <c r="O143" s="32">
        <v>0</v>
      </c>
      <c r="P143" s="32">
        <v>0</v>
      </c>
      <c r="Q143" s="43">
        <f t="shared" si="4"/>
        <v>35267</v>
      </c>
      <c r="R143" s="69">
        <f t="shared" si="5"/>
        <v>29976.95</v>
      </c>
      <c r="S143" s="30"/>
      <c r="T143" s="30"/>
    </row>
    <row r="144" spans="1:20" ht="45" customHeight="1" x14ac:dyDescent="0.3">
      <c r="A144" s="31">
        <v>132</v>
      </c>
      <c r="B144" s="32" t="s">
        <v>303</v>
      </c>
      <c r="C144" s="32" t="s">
        <v>425</v>
      </c>
      <c r="D144" s="32" t="s">
        <v>426</v>
      </c>
      <c r="E144" s="32">
        <v>2024</v>
      </c>
      <c r="F144" s="32" t="s">
        <v>18</v>
      </c>
      <c r="G144" s="32" t="s">
        <v>492</v>
      </c>
      <c r="H144" s="32" t="s">
        <v>529</v>
      </c>
      <c r="I144" s="32" t="s">
        <v>577</v>
      </c>
      <c r="J144" s="32">
        <v>6199</v>
      </c>
      <c r="K144" s="32">
        <v>0</v>
      </c>
      <c r="L144" s="32">
        <v>0</v>
      </c>
      <c r="M144" s="32">
        <v>0</v>
      </c>
      <c r="N144" s="32">
        <v>0</v>
      </c>
      <c r="O144" s="32">
        <v>0</v>
      </c>
      <c r="P144" s="32">
        <v>0</v>
      </c>
      <c r="Q144" s="43">
        <f t="shared" si="4"/>
        <v>6199</v>
      </c>
      <c r="R144" s="69">
        <f t="shared" si="5"/>
        <v>5269.15</v>
      </c>
      <c r="S144" s="30"/>
      <c r="T144" s="30"/>
    </row>
    <row r="145" spans="1:20" ht="45" customHeight="1" x14ac:dyDescent="0.3">
      <c r="A145" s="31">
        <v>133</v>
      </c>
      <c r="B145" s="32" t="s">
        <v>303</v>
      </c>
      <c r="C145" s="32" t="s">
        <v>427</v>
      </c>
      <c r="D145" s="32" t="s">
        <v>428</v>
      </c>
      <c r="E145" s="32">
        <v>2022</v>
      </c>
      <c r="F145" s="32" t="s">
        <v>19</v>
      </c>
      <c r="G145" s="32" t="s">
        <v>493</v>
      </c>
      <c r="H145" s="32" t="s">
        <v>530</v>
      </c>
      <c r="I145" s="32" t="s">
        <v>578</v>
      </c>
      <c r="J145" s="32">
        <v>6199</v>
      </c>
      <c r="K145" s="32">
        <v>0</v>
      </c>
      <c r="L145" s="32">
        <v>0</v>
      </c>
      <c r="M145" s="32">
        <v>0</v>
      </c>
      <c r="N145" s="32">
        <v>0</v>
      </c>
      <c r="O145" s="32">
        <v>0</v>
      </c>
      <c r="P145" s="32">
        <v>0</v>
      </c>
      <c r="Q145" s="43">
        <f t="shared" si="4"/>
        <v>6199</v>
      </c>
      <c r="R145" s="69">
        <f t="shared" si="5"/>
        <v>5269.15</v>
      </c>
      <c r="S145" s="30"/>
      <c r="T145" s="30"/>
    </row>
    <row r="146" spans="1:20" ht="45" customHeight="1" x14ac:dyDescent="0.3">
      <c r="A146" s="36">
        <v>134</v>
      </c>
      <c r="B146" s="32" t="s">
        <v>303</v>
      </c>
      <c r="C146" s="32" t="s">
        <v>7350</v>
      </c>
      <c r="D146" s="32" t="s">
        <v>430</v>
      </c>
      <c r="E146" s="32">
        <v>2018</v>
      </c>
      <c r="F146" s="32" t="s">
        <v>19</v>
      </c>
      <c r="G146" s="32" t="s">
        <v>495</v>
      </c>
      <c r="H146" s="32" t="s">
        <v>532</v>
      </c>
      <c r="I146" s="32" t="s">
        <v>579</v>
      </c>
      <c r="J146" s="32">
        <v>6199</v>
      </c>
      <c r="K146" s="32">
        <v>1166</v>
      </c>
      <c r="L146" s="32">
        <v>0</v>
      </c>
      <c r="M146" s="32">
        <v>0</v>
      </c>
      <c r="N146" s="32">
        <v>0</v>
      </c>
      <c r="O146" s="32">
        <v>0</v>
      </c>
      <c r="P146" s="32">
        <v>0</v>
      </c>
      <c r="Q146" s="43">
        <f t="shared" si="4"/>
        <v>7365</v>
      </c>
      <c r="R146" s="69">
        <f t="shared" si="5"/>
        <v>6260.25</v>
      </c>
      <c r="S146" s="30"/>
      <c r="T146" s="30"/>
    </row>
    <row r="147" spans="1:20" ht="45" customHeight="1" x14ac:dyDescent="0.3">
      <c r="A147" s="31">
        <v>135</v>
      </c>
      <c r="B147" s="32" t="s">
        <v>303</v>
      </c>
      <c r="C147" s="32" t="s">
        <v>7351</v>
      </c>
      <c r="D147" s="32" t="s">
        <v>431</v>
      </c>
      <c r="E147" s="32">
        <v>1991</v>
      </c>
      <c r="F147" s="32" t="s">
        <v>19</v>
      </c>
      <c r="G147" s="32" t="s">
        <v>496</v>
      </c>
      <c r="H147" s="32" t="s">
        <v>496</v>
      </c>
      <c r="I147" s="32" t="s">
        <v>580</v>
      </c>
      <c r="J147" s="32">
        <v>6199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43">
        <f t="shared" si="4"/>
        <v>6199</v>
      </c>
      <c r="R147" s="69">
        <f t="shared" si="5"/>
        <v>5269.15</v>
      </c>
      <c r="S147" s="30"/>
      <c r="T147" s="30"/>
    </row>
    <row r="148" spans="1:20" ht="45" customHeight="1" x14ac:dyDescent="0.3">
      <c r="A148" s="31">
        <v>136</v>
      </c>
      <c r="B148" s="32" t="s">
        <v>303</v>
      </c>
      <c r="C148" s="32" t="s">
        <v>7352</v>
      </c>
      <c r="D148" s="32" t="s">
        <v>432</v>
      </c>
      <c r="E148" s="32">
        <v>1995</v>
      </c>
      <c r="F148" s="32" t="s">
        <v>18</v>
      </c>
      <c r="G148" s="32" t="s">
        <v>497</v>
      </c>
      <c r="H148" s="32" t="s">
        <v>497</v>
      </c>
      <c r="I148" s="32" t="s">
        <v>581</v>
      </c>
      <c r="J148" s="32">
        <v>6199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43">
        <f t="shared" si="4"/>
        <v>6199</v>
      </c>
      <c r="R148" s="69">
        <f t="shared" si="5"/>
        <v>5269.15</v>
      </c>
      <c r="S148" s="30"/>
      <c r="T148" s="30"/>
    </row>
    <row r="149" spans="1:20" s="41" customFormat="1" ht="45" customHeight="1" x14ac:dyDescent="0.3">
      <c r="A149" s="36">
        <v>137</v>
      </c>
      <c r="B149" s="38" t="s">
        <v>303</v>
      </c>
      <c r="C149" s="38" t="s">
        <v>7353</v>
      </c>
      <c r="D149" s="38" t="s">
        <v>433</v>
      </c>
      <c r="E149" s="38">
        <v>2021</v>
      </c>
      <c r="F149" s="38" t="s">
        <v>19</v>
      </c>
      <c r="G149" s="38" t="s">
        <v>498</v>
      </c>
      <c r="H149" s="38" t="s">
        <v>533</v>
      </c>
      <c r="I149" s="38" t="s">
        <v>27</v>
      </c>
      <c r="J149" s="38">
        <v>6199</v>
      </c>
      <c r="K149" s="38">
        <f>6278+4484+1346</f>
        <v>12108</v>
      </c>
      <c r="L149" s="38">
        <v>0</v>
      </c>
      <c r="M149" s="38">
        <v>0</v>
      </c>
      <c r="N149" s="38">
        <v>3148</v>
      </c>
      <c r="O149" s="38">
        <v>0</v>
      </c>
      <c r="P149" s="38">
        <v>0</v>
      </c>
      <c r="Q149" s="43">
        <f t="shared" si="4"/>
        <v>21455</v>
      </c>
      <c r="R149" s="69">
        <f t="shared" si="5"/>
        <v>18236.75</v>
      </c>
      <c r="S149" s="40"/>
      <c r="T149" s="40"/>
    </row>
    <row r="150" spans="1:20" s="41" customFormat="1" ht="45" customHeight="1" x14ac:dyDescent="0.3">
      <c r="A150" s="31">
        <v>138</v>
      </c>
      <c r="B150" s="38" t="s">
        <v>303</v>
      </c>
      <c r="C150" s="38" t="s">
        <v>2640</v>
      </c>
      <c r="D150" s="39" t="s">
        <v>94</v>
      </c>
      <c r="E150" s="38">
        <v>2021</v>
      </c>
      <c r="F150" s="38" t="s">
        <v>18</v>
      </c>
      <c r="G150" s="38" t="s">
        <v>176</v>
      </c>
      <c r="H150" s="38" t="s">
        <v>227</v>
      </c>
      <c r="I150" s="38" t="s">
        <v>570</v>
      </c>
      <c r="J150" s="38">
        <v>2900</v>
      </c>
      <c r="K150" s="38">
        <v>0</v>
      </c>
      <c r="L150" s="38">
        <v>0</v>
      </c>
      <c r="M150" s="38">
        <v>17688</v>
      </c>
      <c r="N150" s="38">
        <v>2088</v>
      </c>
      <c r="O150" s="38">
        <v>0</v>
      </c>
      <c r="P150" s="38">
        <f>1080+168+60</f>
        <v>1308</v>
      </c>
      <c r="Q150" s="43">
        <f t="shared" si="4"/>
        <v>23984</v>
      </c>
      <c r="R150" s="69">
        <f t="shared" si="5"/>
        <v>20386.400000000001</v>
      </c>
      <c r="S150" s="40"/>
      <c r="T150" s="40"/>
    </row>
    <row r="151" spans="1:20" s="41" customFormat="1" ht="45" customHeight="1" x14ac:dyDescent="0.3">
      <c r="A151" s="31">
        <v>139</v>
      </c>
      <c r="B151" s="38" t="s">
        <v>303</v>
      </c>
      <c r="C151" s="38" t="s">
        <v>7354</v>
      </c>
      <c r="D151" s="39" t="s">
        <v>57</v>
      </c>
      <c r="E151" s="38">
        <v>2023</v>
      </c>
      <c r="F151" s="38" t="s">
        <v>19</v>
      </c>
      <c r="G151" s="38" t="s">
        <v>157</v>
      </c>
      <c r="H151" s="38" t="s">
        <v>216</v>
      </c>
      <c r="I151" s="38" t="s">
        <v>7467</v>
      </c>
      <c r="J151" s="38">
        <v>2900</v>
      </c>
      <c r="K151" s="38">
        <v>0</v>
      </c>
      <c r="L151" s="38">
        <v>0</v>
      </c>
      <c r="M151" s="38">
        <v>17688</v>
      </c>
      <c r="N151" s="38">
        <f>2356+2088</f>
        <v>4444</v>
      </c>
      <c r="O151" s="38">
        <v>0</v>
      </c>
      <c r="P151" s="38">
        <f>1080+168+1188</f>
        <v>2436</v>
      </c>
      <c r="Q151" s="43">
        <f t="shared" si="4"/>
        <v>27468</v>
      </c>
      <c r="R151" s="69">
        <f t="shared" si="5"/>
        <v>23347.8</v>
      </c>
      <c r="S151" s="40"/>
      <c r="T151" s="40"/>
    </row>
    <row r="152" spans="1:20" s="41" customFormat="1" ht="45" customHeight="1" x14ac:dyDescent="0.3">
      <c r="A152" s="36">
        <v>140</v>
      </c>
      <c r="B152" s="38" t="s">
        <v>303</v>
      </c>
      <c r="C152" s="38" t="s">
        <v>7177</v>
      </c>
      <c r="D152" s="38" t="s">
        <v>2636</v>
      </c>
      <c r="E152" s="38">
        <v>2024</v>
      </c>
      <c r="F152" s="38" t="s">
        <v>18</v>
      </c>
      <c r="G152" s="38" t="s">
        <v>2637</v>
      </c>
      <c r="H152" s="38" t="s">
        <v>2638</v>
      </c>
      <c r="I152" s="38" t="s">
        <v>2639</v>
      </c>
      <c r="J152" s="38">
        <v>2900</v>
      </c>
      <c r="K152" s="38">
        <v>0</v>
      </c>
      <c r="L152" s="38">
        <v>0</v>
      </c>
      <c r="M152" s="38">
        <v>17688</v>
      </c>
      <c r="N152" s="38">
        <f>2088+1178</f>
        <v>3266</v>
      </c>
      <c r="O152" s="38">
        <v>0</v>
      </c>
      <c r="P152" s="38">
        <f>1080+168+1200+720+374+1188+660+1080</f>
        <v>6470</v>
      </c>
      <c r="Q152" s="43">
        <f t="shared" si="4"/>
        <v>30324</v>
      </c>
      <c r="R152" s="69">
        <f t="shared" si="5"/>
        <v>25775.4</v>
      </c>
      <c r="S152" s="40"/>
      <c r="T152" s="40"/>
    </row>
    <row r="153" spans="1:20" ht="45" customHeight="1" x14ac:dyDescent="0.3">
      <c r="A153" s="31">
        <v>141</v>
      </c>
      <c r="B153" s="32" t="s">
        <v>582</v>
      </c>
      <c r="C153" s="32" t="s">
        <v>583</v>
      </c>
      <c r="D153" s="32" t="s">
        <v>584</v>
      </c>
      <c r="E153" s="32">
        <v>1965</v>
      </c>
      <c r="F153" s="32" t="s">
        <v>19</v>
      </c>
      <c r="G153" s="32" t="s">
        <v>720</v>
      </c>
      <c r="H153" s="32" t="s">
        <v>787</v>
      </c>
      <c r="I153" s="32" t="s">
        <v>824</v>
      </c>
      <c r="J153" s="32">
        <v>6199</v>
      </c>
      <c r="K153" s="32">
        <f>6278+2332+13452+4484+4484+2332+2332+2332</f>
        <v>38026</v>
      </c>
      <c r="L153" s="32">
        <v>0</v>
      </c>
      <c r="M153" s="32">
        <v>0</v>
      </c>
      <c r="N153" s="32">
        <v>1793</v>
      </c>
      <c r="O153" s="32">
        <v>0</v>
      </c>
      <c r="P153" s="32">
        <v>0</v>
      </c>
      <c r="Q153" s="43">
        <f t="shared" si="4"/>
        <v>46018</v>
      </c>
      <c r="R153" s="69">
        <f t="shared" si="5"/>
        <v>39115.300000000003</v>
      </c>
      <c r="S153" s="30"/>
      <c r="T153" s="30"/>
    </row>
    <row r="154" spans="1:20" ht="45" customHeight="1" x14ac:dyDescent="0.3">
      <c r="A154" s="31">
        <v>142</v>
      </c>
      <c r="B154" s="32" t="s">
        <v>582</v>
      </c>
      <c r="C154" s="32" t="s">
        <v>585</v>
      </c>
      <c r="D154" s="32" t="s">
        <v>586</v>
      </c>
      <c r="E154" s="32">
        <v>1967</v>
      </c>
      <c r="F154" s="32" t="s">
        <v>18</v>
      </c>
      <c r="G154" s="32" t="s">
        <v>721</v>
      </c>
      <c r="H154" s="32" t="s">
        <v>788</v>
      </c>
      <c r="I154" s="32" t="s">
        <v>825</v>
      </c>
      <c r="J154" s="32">
        <v>6199</v>
      </c>
      <c r="K154" s="32">
        <f>6278+4484+2332+2332+2332+2332+2332+4484+1166+2801+1346</f>
        <v>32219</v>
      </c>
      <c r="L154" s="32">
        <v>0</v>
      </c>
      <c r="M154" s="32">
        <v>0</v>
      </c>
      <c r="N154" s="32">
        <f>1793+1681+54+180+180</f>
        <v>3888</v>
      </c>
      <c r="O154" s="32">
        <v>0</v>
      </c>
      <c r="P154" s="32">
        <f>1440+660+720+144+120</f>
        <v>3084</v>
      </c>
      <c r="Q154" s="43">
        <f t="shared" si="4"/>
        <v>45390</v>
      </c>
      <c r="R154" s="69">
        <f t="shared" si="5"/>
        <v>38581.5</v>
      </c>
      <c r="S154" s="30"/>
      <c r="T154" s="30"/>
    </row>
    <row r="155" spans="1:20" ht="45" customHeight="1" x14ac:dyDescent="0.3">
      <c r="A155" s="36">
        <v>143</v>
      </c>
      <c r="B155" s="32" t="s">
        <v>582</v>
      </c>
      <c r="C155" s="32" t="s">
        <v>587</v>
      </c>
      <c r="D155" s="32" t="s">
        <v>588</v>
      </c>
      <c r="E155" s="32">
        <v>1995</v>
      </c>
      <c r="F155" s="32" t="s">
        <v>19</v>
      </c>
      <c r="G155" s="32" t="s">
        <v>722</v>
      </c>
      <c r="H155" s="32" t="s">
        <v>722</v>
      </c>
      <c r="I155" s="32" t="s">
        <v>826</v>
      </c>
      <c r="J155" s="32">
        <v>6199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43">
        <f t="shared" si="4"/>
        <v>6199</v>
      </c>
      <c r="R155" s="69">
        <f t="shared" si="5"/>
        <v>5269.15</v>
      </c>
      <c r="S155" s="30"/>
      <c r="T155" s="30"/>
    </row>
    <row r="156" spans="1:20" ht="45" customHeight="1" x14ac:dyDescent="0.3">
      <c r="A156" s="31">
        <v>144</v>
      </c>
      <c r="B156" s="32" t="s">
        <v>582</v>
      </c>
      <c r="C156" s="32" t="s">
        <v>589</v>
      </c>
      <c r="D156" s="32" t="s">
        <v>590</v>
      </c>
      <c r="E156" s="32">
        <v>2025</v>
      </c>
      <c r="F156" s="32" t="s">
        <v>18</v>
      </c>
      <c r="G156" s="32" t="s">
        <v>723</v>
      </c>
      <c r="H156" s="32" t="s">
        <v>754</v>
      </c>
      <c r="I156" s="32" t="s">
        <v>294</v>
      </c>
      <c r="J156" s="32">
        <v>6199</v>
      </c>
      <c r="K156" s="32">
        <f>6278+4484+4484+1346+2332+2332+2332+2332+2332+6995+6995+2332+6995</f>
        <v>51569</v>
      </c>
      <c r="L156" s="32">
        <v>0</v>
      </c>
      <c r="M156" s="32">
        <v>0</v>
      </c>
      <c r="N156" s="32">
        <v>3148</v>
      </c>
      <c r="O156" s="32">
        <v>0</v>
      </c>
      <c r="P156" s="32">
        <v>0</v>
      </c>
      <c r="Q156" s="43">
        <f t="shared" si="4"/>
        <v>60916</v>
      </c>
      <c r="R156" s="69">
        <f t="shared" si="5"/>
        <v>51778.6</v>
      </c>
      <c r="S156" s="30"/>
      <c r="T156" s="30"/>
    </row>
    <row r="157" spans="1:20" ht="45" customHeight="1" x14ac:dyDescent="0.3">
      <c r="A157" s="31">
        <v>145</v>
      </c>
      <c r="B157" s="32" t="s">
        <v>582</v>
      </c>
      <c r="C157" s="32" t="s">
        <v>591</v>
      </c>
      <c r="D157" s="32" t="s">
        <v>592</v>
      </c>
      <c r="E157" s="32">
        <v>2019</v>
      </c>
      <c r="F157" s="32" t="s">
        <v>19</v>
      </c>
      <c r="G157" s="32" t="s">
        <v>724</v>
      </c>
      <c r="H157" s="32" t="s">
        <v>789</v>
      </c>
      <c r="I157" s="32" t="s">
        <v>827</v>
      </c>
      <c r="J157" s="32">
        <v>6199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43">
        <f t="shared" si="4"/>
        <v>6199</v>
      </c>
      <c r="R157" s="69">
        <f t="shared" si="5"/>
        <v>5269.15</v>
      </c>
      <c r="S157" s="30"/>
      <c r="T157" s="30"/>
    </row>
    <row r="158" spans="1:20" ht="45" customHeight="1" x14ac:dyDescent="0.3">
      <c r="A158" s="36">
        <v>146</v>
      </c>
      <c r="B158" s="32" t="s">
        <v>582</v>
      </c>
      <c r="C158" s="32" t="s">
        <v>593</v>
      </c>
      <c r="D158" s="32" t="s">
        <v>594</v>
      </c>
      <c r="E158" s="32">
        <v>1996</v>
      </c>
      <c r="F158" s="32" t="s">
        <v>19</v>
      </c>
      <c r="G158" s="32" t="s">
        <v>725</v>
      </c>
      <c r="H158" s="32" t="s">
        <v>725</v>
      </c>
      <c r="I158" s="32" t="s">
        <v>828</v>
      </c>
      <c r="J158" s="32">
        <v>6199</v>
      </c>
      <c r="K158" s="32">
        <f>2332+2332+2243</f>
        <v>6907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43">
        <f t="shared" si="4"/>
        <v>13106</v>
      </c>
      <c r="R158" s="69">
        <f t="shared" si="5"/>
        <v>11140.1</v>
      </c>
      <c r="S158" s="30"/>
      <c r="T158" s="30"/>
    </row>
    <row r="159" spans="1:20" ht="45" customHeight="1" x14ac:dyDescent="0.3">
      <c r="A159" s="31">
        <v>147</v>
      </c>
      <c r="B159" s="32" t="s">
        <v>582</v>
      </c>
      <c r="C159" s="32" t="s">
        <v>595</v>
      </c>
      <c r="D159" s="32" t="s">
        <v>596</v>
      </c>
      <c r="E159" s="32">
        <v>2022</v>
      </c>
      <c r="F159" s="32" t="s">
        <v>18</v>
      </c>
      <c r="G159" s="32" t="s">
        <v>726</v>
      </c>
      <c r="H159" s="32" t="s">
        <v>725</v>
      </c>
      <c r="I159" s="32" t="s">
        <v>828</v>
      </c>
      <c r="J159" s="32">
        <v>6199</v>
      </c>
      <c r="K159" s="32">
        <f>1346+6278+4484+4484+2332+2332+2332+2332+2332+2332+6995+6995+2332+6995</f>
        <v>53901</v>
      </c>
      <c r="L159" s="32">
        <v>0</v>
      </c>
      <c r="M159" s="32">
        <v>0</v>
      </c>
      <c r="N159" s="32">
        <v>3148</v>
      </c>
      <c r="O159" s="32">
        <v>0</v>
      </c>
      <c r="P159" s="32">
        <v>0</v>
      </c>
      <c r="Q159" s="43">
        <f t="shared" si="4"/>
        <v>63248</v>
      </c>
      <c r="R159" s="69">
        <f t="shared" si="5"/>
        <v>53760.800000000003</v>
      </c>
      <c r="S159" s="30"/>
      <c r="T159" s="30"/>
    </row>
    <row r="160" spans="1:20" ht="45" customHeight="1" x14ac:dyDescent="0.3">
      <c r="A160" s="31">
        <v>148</v>
      </c>
      <c r="B160" s="32" t="s">
        <v>582</v>
      </c>
      <c r="C160" s="32" t="s">
        <v>597</v>
      </c>
      <c r="D160" s="32" t="s">
        <v>598</v>
      </c>
      <c r="E160" s="32">
        <v>2022</v>
      </c>
      <c r="F160" s="32" t="s">
        <v>18</v>
      </c>
      <c r="G160" s="32" t="s">
        <v>727</v>
      </c>
      <c r="H160" s="32" t="s">
        <v>790</v>
      </c>
      <c r="I160" s="32" t="s">
        <v>296</v>
      </c>
      <c r="J160" s="32">
        <v>6199</v>
      </c>
      <c r="K160" s="32">
        <f>2332+2332</f>
        <v>4664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43">
        <f t="shared" si="4"/>
        <v>10863</v>
      </c>
      <c r="R160" s="69">
        <f t="shared" si="5"/>
        <v>9233.5499999999993</v>
      </c>
      <c r="S160" s="30"/>
      <c r="T160" s="30"/>
    </row>
    <row r="161" spans="1:20" ht="45" customHeight="1" x14ac:dyDescent="0.3">
      <c r="A161" s="36">
        <v>149</v>
      </c>
      <c r="B161" s="32" t="s">
        <v>582</v>
      </c>
      <c r="C161" s="32" t="s">
        <v>599</v>
      </c>
      <c r="D161" s="32" t="s">
        <v>600</v>
      </c>
      <c r="E161" s="32">
        <v>2015</v>
      </c>
      <c r="F161" s="32" t="s">
        <v>19</v>
      </c>
      <c r="G161" s="32" t="s">
        <v>728</v>
      </c>
      <c r="H161" s="32" t="s">
        <v>791</v>
      </c>
      <c r="I161" s="32" t="s">
        <v>829</v>
      </c>
      <c r="J161" s="32">
        <v>6199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43">
        <f t="shared" si="4"/>
        <v>6199</v>
      </c>
      <c r="R161" s="69">
        <f t="shared" si="5"/>
        <v>5269.15</v>
      </c>
      <c r="S161" s="30"/>
      <c r="T161" s="30"/>
    </row>
    <row r="162" spans="1:20" ht="45" customHeight="1" x14ac:dyDescent="0.3">
      <c r="A162" s="31">
        <v>150</v>
      </c>
      <c r="B162" s="32" t="s">
        <v>582</v>
      </c>
      <c r="C162" s="32" t="s">
        <v>601</v>
      </c>
      <c r="D162" s="32" t="s">
        <v>602</v>
      </c>
      <c r="E162" s="32">
        <v>2003</v>
      </c>
      <c r="F162" s="32" t="s">
        <v>19</v>
      </c>
      <c r="G162" s="32" t="s">
        <v>729</v>
      </c>
      <c r="H162" s="32" t="s">
        <v>729</v>
      </c>
      <c r="I162" s="32" t="s">
        <v>830</v>
      </c>
      <c r="J162" s="32">
        <v>6199</v>
      </c>
      <c r="K162" s="32">
        <f>1346+6278+4484+2332+2332+2332+2332+2332+3587+6995+2332+2332+2332+3000+3000+3228</f>
        <v>50574</v>
      </c>
      <c r="L162" s="32">
        <v>13298</v>
      </c>
      <c r="M162" s="32">
        <v>0</v>
      </c>
      <c r="N162" s="32">
        <v>1793</v>
      </c>
      <c r="O162" s="32">
        <v>0</v>
      </c>
      <c r="P162" s="32">
        <v>0</v>
      </c>
      <c r="Q162" s="43">
        <f t="shared" si="4"/>
        <v>71864</v>
      </c>
      <c r="R162" s="69">
        <f t="shared" si="5"/>
        <v>61084.4</v>
      </c>
      <c r="S162" s="30"/>
      <c r="T162" s="30"/>
    </row>
    <row r="163" spans="1:20" ht="45" customHeight="1" x14ac:dyDescent="0.3">
      <c r="A163" s="31">
        <v>151</v>
      </c>
      <c r="B163" s="32" t="s">
        <v>582</v>
      </c>
      <c r="C163" s="32" t="s">
        <v>603</v>
      </c>
      <c r="D163" s="32" t="s">
        <v>604</v>
      </c>
      <c r="E163" s="32">
        <v>1994</v>
      </c>
      <c r="F163" s="32" t="s">
        <v>19</v>
      </c>
      <c r="G163" s="32" t="s">
        <v>730</v>
      </c>
      <c r="H163" s="32" t="s">
        <v>792</v>
      </c>
      <c r="I163" s="32" t="s">
        <v>300</v>
      </c>
      <c r="J163" s="32">
        <v>6199</v>
      </c>
      <c r="K163" s="32">
        <f>2332+2332+3587+6278+4484</f>
        <v>19013</v>
      </c>
      <c r="L163" s="32">
        <v>0</v>
      </c>
      <c r="M163" s="32">
        <v>0</v>
      </c>
      <c r="N163" s="32">
        <v>1793</v>
      </c>
      <c r="O163" s="32">
        <v>0</v>
      </c>
      <c r="P163" s="32">
        <v>0</v>
      </c>
      <c r="Q163" s="43">
        <f t="shared" si="4"/>
        <v>27005</v>
      </c>
      <c r="R163" s="69">
        <f t="shared" si="5"/>
        <v>22954.25</v>
      </c>
      <c r="S163" s="30"/>
      <c r="T163" s="30"/>
    </row>
    <row r="164" spans="1:20" ht="45" customHeight="1" x14ac:dyDescent="0.3">
      <c r="A164" s="36">
        <v>152</v>
      </c>
      <c r="B164" s="32" t="s">
        <v>582</v>
      </c>
      <c r="C164" s="32" t="s">
        <v>605</v>
      </c>
      <c r="D164" s="32" t="s">
        <v>606</v>
      </c>
      <c r="E164" s="32">
        <v>1985</v>
      </c>
      <c r="F164" s="32" t="s">
        <v>18</v>
      </c>
      <c r="G164" s="32" t="s">
        <v>731</v>
      </c>
      <c r="H164" s="32" t="s">
        <v>731</v>
      </c>
      <c r="I164" s="32" t="s">
        <v>831</v>
      </c>
      <c r="J164" s="32">
        <v>6199</v>
      </c>
      <c r="K164" s="32">
        <v>0</v>
      </c>
      <c r="L164" s="32">
        <v>20807</v>
      </c>
      <c r="M164" s="32">
        <v>0</v>
      </c>
      <c r="N164" s="32">
        <v>0</v>
      </c>
      <c r="O164" s="32">
        <v>0</v>
      </c>
      <c r="P164" s="32">
        <v>0</v>
      </c>
      <c r="Q164" s="43">
        <f t="shared" si="4"/>
        <v>27006</v>
      </c>
      <c r="R164" s="69">
        <f t="shared" si="5"/>
        <v>22955.1</v>
      </c>
      <c r="S164" s="30"/>
      <c r="T164" s="30"/>
    </row>
    <row r="165" spans="1:20" ht="45" customHeight="1" x14ac:dyDescent="0.3">
      <c r="A165" s="31">
        <v>153</v>
      </c>
      <c r="B165" s="32" t="s">
        <v>582</v>
      </c>
      <c r="C165" s="32" t="s">
        <v>607</v>
      </c>
      <c r="D165" s="32" t="s">
        <v>608</v>
      </c>
      <c r="E165" s="32">
        <v>2007</v>
      </c>
      <c r="F165" s="32" t="s">
        <v>18</v>
      </c>
      <c r="G165" s="32" t="s">
        <v>732</v>
      </c>
      <c r="H165" s="32" t="s">
        <v>793</v>
      </c>
      <c r="I165" s="32" t="s">
        <v>832</v>
      </c>
      <c r="J165" s="32">
        <v>6199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43">
        <f t="shared" si="4"/>
        <v>6199</v>
      </c>
      <c r="R165" s="69">
        <f t="shared" si="5"/>
        <v>5269.15</v>
      </c>
      <c r="S165" s="30"/>
      <c r="T165" s="30"/>
    </row>
    <row r="166" spans="1:20" ht="45" customHeight="1" x14ac:dyDescent="0.3">
      <c r="A166" s="31">
        <v>154</v>
      </c>
      <c r="B166" s="32" t="s">
        <v>582</v>
      </c>
      <c r="C166" s="32" t="s">
        <v>609</v>
      </c>
      <c r="D166" s="32" t="s">
        <v>610</v>
      </c>
      <c r="E166" s="32">
        <v>1938</v>
      </c>
      <c r="F166" s="32" t="s">
        <v>18</v>
      </c>
      <c r="G166" s="32" t="s">
        <v>733</v>
      </c>
      <c r="H166" s="32" t="s">
        <v>733</v>
      </c>
      <c r="I166" s="32" t="s">
        <v>253</v>
      </c>
      <c r="J166" s="32">
        <v>3587</v>
      </c>
      <c r="K166" s="32">
        <v>0</v>
      </c>
      <c r="L166" s="32">
        <v>0</v>
      </c>
      <c r="M166" s="32">
        <v>0</v>
      </c>
      <c r="N166" s="32">
        <v>0</v>
      </c>
      <c r="O166" s="32">
        <v>0</v>
      </c>
      <c r="P166" s="32">
        <v>0</v>
      </c>
      <c r="Q166" s="43">
        <f t="shared" si="4"/>
        <v>3587</v>
      </c>
      <c r="R166" s="69">
        <f t="shared" si="5"/>
        <v>3048.95</v>
      </c>
      <c r="S166" s="30"/>
      <c r="T166" s="30"/>
    </row>
    <row r="167" spans="1:20" ht="45" customHeight="1" x14ac:dyDescent="0.3">
      <c r="A167" s="36">
        <v>155</v>
      </c>
      <c r="B167" s="32" t="s">
        <v>582</v>
      </c>
      <c r="C167" s="32" t="s">
        <v>611</v>
      </c>
      <c r="D167" s="32" t="s">
        <v>612</v>
      </c>
      <c r="E167" s="32">
        <v>2007</v>
      </c>
      <c r="F167" s="32" t="s">
        <v>19</v>
      </c>
      <c r="G167" s="32" t="s">
        <v>734</v>
      </c>
      <c r="H167" s="32" t="s">
        <v>794</v>
      </c>
      <c r="I167" s="32" t="s">
        <v>833</v>
      </c>
      <c r="J167" s="32">
        <v>6199</v>
      </c>
      <c r="K167" s="32">
        <f>2332+2332+6278+4484+6995+2332+2332+2332+3228+2332+2332+2332+3000+3000+1166+3500</f>
        <v>50307</v>
      </c>
      <c r="L167" s="32">
        <v>0</v>
      </c>
      <c r="M167" s="32">
        <v>0</v>
      </c>
      <c r="N167" s="32">
        <v>1793</v>
      </c>
      <c r="O167" s="32">
        <v>0</v>
      </c>
      <c r="P167" s="32">
        <v>0</v>
      </c>
      <c r="Q167" s="43">
        <f t="shared" si="4"/>
        <v>58299</v>
      </c>
      <c r="R167" s="69">
        <f t="shared" si="5"/>
        <v>49554.15</v>
      </c>
      <c r="S167" s="30"/>
      <c r="T167" s="30"/>
    </row>
    <row r="168" spans="1:20" ht="45" customHeight="1" x14ac:dyDescent="0.3">
      <c r="A168" s="31">
        <v>156</v>
      </c>
      <c r="B168" s="32" t="s">
        <v>582</v>
      </c>
      <c r="C168" s="32" t="s">
        <v>613</v>
      </c>
      <c r="D168" s="32" t="s">
        <v>614</v>
      </c>
      <c r="E168" s="32">
        <v>1953</v>
      </c>
      <c r="F168" s="32" t="s">
        <v>18</v>
      </c>
      <c r="G168" s="32" t="s">
        <v>735</v>
      </c>
      <c r="H168" s="32" t="s">
        <v>795</v>
      </c>
      <c r="I168" s="32" t="s">
        <v>575</v>
      </c>
      <c r="J168" s="32">
        <v>6199</v>
      </c>
      <c r="K168" s="32">
        <f>2332+2332+2332+4484+4484+4484+2332+2332+2332+13452+6995+6995+2332</f>
        <v>57218</v>
      </c>
      <c r="L168" s="32">
        <v>0</v>
      </c>
      <c r="M168" s="32">
        <v>0</v>
      </c>
      <c r="N168" s="32">
        <v>1793</v>
      </c>
      <c r="O168" s="32">
        <v>0</v>
      </c>
      <c r="P168" s="32">
        <v>0</v>
      </c>
      <c r="Q168" s="43">
        <f t="shared" si="4"/>
        <v>65210</v>
      </c>
      <c r="R168" s="69">
        <f t="shared" si="5"/>
        <v>55428.5</v>
      </c>
      <c r="S168" s="30"/>
      <c r="T168" s="30"/>
    </row>
    <row r="169" spans="1:20" ht="45" customHeight="1" x14ac:dyDescent="0.3">
      <c r="A169" s="31">
        <v>157</v>
      </c>
      <c r="B169" s="32" t="s">
        <v>582</v>
      </c>
      <c r="C169" s="32" t="s">
        <v>615</v>
      </c>
      <c r="D169" s="32" t="s">
        <v>616</v>
      </c>
      <c r="E169" s="32">
        <v>1974</v>
      </c>
      <c r="F169" s="32" t="s">
        <v>19</v>
      </c>
      <c r="G169" s="32" t="s">
        <v>736</v>
      </c>
      <c r="H169" s="32" t="s">
        <v>736</v>
      </c>
      <c r="I169" s="32" t="s">
        <v>573</v>
      </c>
      <c r="J169" s="32">
        <v>6199</v>
      </c>
      <c r="K169" s="32">
        <v>2332</v>
      </c>
      <c r="L169" s="32">
        <v>0</v>
      </c>
      <c r="M169" s="32">
        <v>0</v>
      </c>
      <c r="N169" s="32">
        <v>1793</v>
      </c>
      <c r="O169" s="32">
        <v>0</v>
      </c>
      <c r="P169" s="32">
        <v>0</v>
      </c>
      <c r="Q169" s="43">
        <f t="shared" si="4"/>
        <v>10324</v>
      </c>
      <c r="R169" s="69">
        <f t="shared" si="5"/>
        <v>8775.4</v>
      </c>
      <c r="S169" s="30"/>
      <c r="T169" s="30"/>
    </row>
    <row r="170" spans="1:20" ht="45" customHeight="1" x14ac:dyDescent="0.3">
      <c r="A170" s="36">
        <v>158</v>
      </c>
      <c r="B170" s="32" t="s">
        <v>582</v>
      </c>
      <c r="C170" s="32" t="s">
        <v>617</v>
      </c>
      <c r="D170" s="32" t="s">
        <v>618</v>
      </c>
      <c r="E170" s="32">
        <v>2009</v>
      </c>
      <c r="F170" s="32" t="s">
        <v>18</v>
      </c>
      <c r="G170" s="32" t="s">
        <v>737</v>
      </c>
      <c r="H170" s="32" t="s">
        <v>796</v>
      </c>
      <c r="I170" s="32" t="s">
        <v>834</v>
      </c>
      <c r="J170" s="32">
        <v>6199</v>
      </c>
      <c r="K170" s="32">
        <v>0</v>
      </c>
      <c r="L170" s="32">
        <v>20807</v>
      </c>
      <c r="M170" s="32">
        <v>0</v>
      </c>
      <c r="N170" s="32">
        <v>0</v>
      </c>
      <c r="O170" s="32">
        <v>0</v>
      </c>
      <c r="P170" s="32">
        <v>0</v>
      </c>
      <c r="Q170" s="43">
        <f t="shared" si="4"/>
        <v>27006</v>
      </c>
      <c r="R170" s="69">
        <f t="shared" si="5"/>
        <v>22955.1</v>
      </c>
      <c r="S170" s="30"/>
      <c r="T170" s="30"/>
    </row>
    <row r="171" spans="1:20" ht="45" customHeight="1" x14ac:dyDescent="0.3">
      <c r="A171" s="31">
        <v>159</v>
      </c>
      <c r="B171" s="32" t="s">
        <v>582</v>
      </c>
      <c r="C171" s="32" t="s">
        <v>619</v>
      </c>
      <c r="D171" s="32" t="s">
        <v>620</v>
      </c>
      <c r="E171" s="32">
        <v>1962</v>
      </c>
      <c r="F171" s="32" t="s">
        <v>18</v>
      </c>
      <c r="G171" s="32" t="s">
        <v>738</v>
      </c>
      <c r="H171" s="32" t="s">
        <v>738</v>
      </c>
      <c r="I171" s="32" t="s">
        <v>824</v>
      </c>
      <c r="J171" s="32">
        <v>6199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43">
        <f t="shared" si="4"/>
        <v>6199</v>
      </c>
      <c r="R171" s="69">
        <f t="shared" si="5"/>
        <v>5269.15</v>
      </c>
      <c r="S171" s="30"/>
      <c r="T171" s="30"/>
    </row>
    <row r="172" spans="1:20" ht="45" customHeight="1" x14ac:dyDescent="0.3">
      <c r="A172" s="31">
        <v>160</v>
      </c>
      <c r="B172" s="32" t="s">
        <v>582</v>
      </c>
      <c r="C172" s="32" t="s">
        <v>621</v>
      </c>
      <c r="D172" s="32" t="s">
        <v>622</v>
      </c>
      <c r="E172" s="32">
        <v>2021</v>
      </c>
      <c r="F172" s="32" t="s">
        <v>18</v>
      </c>
      <c r="G172" s="32" t="s">
        <v>739</v>
      </c>
      <c r="H172" s="32" t="s">
        <v>797</v>
      </c>
      <c r="I172" s="32" t="s">
        <v>835</v>
      </c>
      <c r="J172" s="32">
        <v>6199</v>
      </c>
      <c r="K172" s="32">
        <f>1346+6278+4484+2332+2332+4484+2332+2332+2332+6995+6995+2332+6995+2332</f>
        <v>53901</v>
      </c>
      <c r="L172" s="32">
        <v>0</v>
      </c>
      <c r="M172" s="32">
        <v>0</v>
      </c>
      <c r="N172" s="32">
        <v>3148</v>
      </c>
      <c r="O172" s="32">
        <v>0</v>
      </c>
      <c r="P172" s="32">
        <v>0</v>
      </c>
      <c r="Q172" s="43">
        <f t="shared" si="4"/>
        <v>63248</v>
      </c>
      <c r="R172" s="69">
        <f t="shared" si="5"/>
        <v>53760.800000000003</v>
      </c>
      <c r="S172" s="30"/>
      <c r="T172" s="30"/>
    </row>
    <row r="173" spans="1:20" ht="45" customHeight="1" x14ac:dyDescent="0.3">
      <c r="A173" s="36">
        <v>161</v>
      </c>
      <c r="B173" s="32" t="s">
        <v>582</v>
      </c>
      <c r="C173" s="32" t="s">
        <v>623</v>
      </c>
      <c r="D173" s="32" t="s">
        <v>624</v>
      </c>
      <c r="E173" s="32">
        <v>1997</v>
      </c>
      <c r="F173" s="32" t="s">
        <v>19</v>
      </c>
      <c r="G173" s="32" t="s">
        <v>740</v>
      </c>
      <c r="H173" s="32" t="s">
        <v>798</v>
      </c>
      <c r="I173" s="32" t="s">
        <v>835</v>
      </c>
      <c r="J173" s="32">
        <v>6199</v>
      </c>
      <c r="K173" s="32">
        <f>1346+6278+4484+2332+2332+2332+6995+2332+2332+2332+3000+3000+1166+3500+3228+2332+2332+3587</f>
        <v>55240</v>
      </c>
      <c r="L173" s="32">
        <v>0</v>
      </c>
      <c r="M173" s="32">
        <v>0</v>
      </c>
      <c r="N173" s="32">
        <v>1793</v>
      </c>
      <c r="O173" s="32">
        <v>0</v>
      </c>
      <c r="P173" s="32">
        <v>0</v>
      </c>
      <c r="Q173" s="43">
        <f t="shared" si="4"/>
        <v>63232</v>
      </c>
      <c r="R173" s="69">
        <f t="shared" si="5"/>
        <v>53747.199999999997</v>
      </c>
      <c r="S173" s="30"/>
      <c r="T173" s="30"/>
    </row>
    <row r="174" spans="1:20" ht="45" customHeight="1" x14ac:dyDescent="0.3">
      <c r="A174" s="31">
        <v>162</v>
      </c>
      <c r="B174" s="32" t="s">
        <v>582</v>
      </c>
      <c r="C174" s="32" t="s">
        <v>625</v>
      </c>
      <c r="D174" s="32" t="s">
        <v>626</v>
      </c>
      <c r="E174" s="32">
        <v>2023</v>
      </c>
      <c r="F174" s="32" t="s">
        <v>18</v>
      </c>
      <c r="G174" s="32" t="s">
        <v>741</v>
      </c>
      <c r="H174" s="32" t="s">
        <v>799</v>
      </c>
      <c r="I174" s="32" t="s">
        <v>29</v>
      </c>
      <c r="J174" s="32">
        <v>6199</v>
      </c>
      <c r="K174" s="32">
        <f>6278+4484+4484+2332+1346+2332+2332+2332+2332+6995+6995+2332+6995+1166+2332</f>
        <v>55067</v>
      </c>
      <c r="L174" s="32">
        <v>0</v>
      </c>
      <c r="M174" s="32">
        <v>0</v>
      </c>
      <c r="N174" s="32">
        <v>3148</v>
      </c>
      <c r="O174" s="32">
        <v>0</v>
      </c>
      <c r="P174" s="32">
        <v>0</v>
      </c>
      <c r="Q174" s="43">
        <f t="shared" si="4"/>
        <v>64414</v>
      </c>
      <c r="R174" s="69">
        <f t="shared" si="5"/>
        <v>54751.9</v>
      </c>
      <c r="S174" s="30"/>
      <c r="T174" s="30"/>
    </row>
    <row r="175" spans="1:20" ht="45" customHeight="1" x14ac:dyDescent="0.3">
      <c r="A175" s="31">
        <v>163</v>
      </c>
      <c r="B175" s="32" t="s">
        <v>582</v>
      </c>
      <c r="C175" s="32" t="s">
        <v>627</v>
      </c>
      <c r="D175" s="32" t="s">
        <v>628</v>
      </c>
      <c r="E175" s="32">
        <v>2025</v>
      </c>
      <c r="F175" s="32" t="s">
        <v>19</v>
      </c>
      <c r="G175" s="32" t="s">
        <v>742</v>
      </c>
      <c r="H175" s="32" t="s">
        <v>800</v>
      </c>
      <c r="I175" s="32" t="s">
        <v>288</v>
      </c>
      <c r="J175" s="32">
        <v>6199</v>
      </c>
      <c r="K175" s="32">
        <f>6278+4484+1346</f>
        <v>12108</v>
      </c>
      <c r="L175" s="32">
        <v>0</v>
      </c>
      <c r="M175" s="32">
        <v>0</v>
      </c>
      <c r="N175" s="32">
        <v>1793</v>
      </c>
      <c r="O175" s="32">
        <v>0</v>
      </c>
      <c r="P175" s="32">
        <v>0</v>
      </c>
      <c r="Q175" s="43">
        <f t="shared" si="4"/>
        <v>20100</v>
      </c>
      <c r="R175" s="69">
        <f t="shared" si="5"/>
        <v>17085</v>
      </c>
      <c r="S175" s="30"/>
      <c r="T175" s="30"/>
    </row>
    <row r="176" spans="1:20" ht="45" customHeight="1" x14ac:dyDescent="0.3">
      <c r="A176" s="36">
        <v>164</v>
      </c>
      <c r="B176" s="32" t="s">
        <v>582</v>
      </c>
      <c r="C176" s="32" t="s">
        <v>629</v>
      </c>
      <c r="D176" s="32" t="s">
        <v>630</v>
      </c>
      <c r="E176" s="32">
        <v>1980</v>
      </c>
      <c r="F176" s="32" t="s">
        <v>18</v>
      </c>
      <c r="G176" s="32" t="s">
        <v>743</v>
      </c>
      <c r="H176" s="32" t="s">
        <v>743</v>
      </c>
      <c r="I176" s="32" t="s">
        <v>836</v>
      </c>
      <c r="J176" s="32">
        <v>6199</v>
      </c>
      <c r="K176" s="32">
        <v>0</v>
      </c>
      <c r="L176" s="32">
        <v>0</v>
      </c>
      <c r="M176" s="32">
        <v>0</v>
      </c>
      <c r="N176" s="32">
        <v>0</v>
      </c>
      <c r="O176" s="32">
        <v>0</v>
      </c>
      <c r="P176" s="32">
        <v>0</v>
      </c>
      <c r="Q176" s="43">
        <f t="shared" si="4"/>
        <v>6199</v>
      </c>
      <c r="R176" s="69">
        <f t="shared" si="5"/>
        <v>5269.15</v>
      </c>
      <c r="S176" s="30"/>
      <c r="T176" s="30"/>
    </row>
    <row r="177" spans="1:20" ht="45" customHeight="1" x14ac:dyDescent="0.3">
      <c r="A177" s="31">
        <v>165</v>
      </c>
      <c r="B177" s="32" t="s">
        <v>582</v>
      </c>
      <c r="C177" s="32" t="s">
        <v>631</v>
      </c>
      <c r="D177" s="32" t="s">
        <v>632</v>
      </c>
      <c r="E177" s="32">
        <v>2023</v>
      </c>
      <c r="F177" s="32" t="s">
        <v>18</v>
      </c>
      <c r="G177" s="32" t="s">
        <v>744</v>
      </c>
      <c r="H177" s="32" t="s">
        <v>801</v>
      </c>
      <c r="I177" s="32" t="s">
        <v>837</v>
      </c>
      <c r="J177" s="32">
        <v>6199</v>
      </c>
      <c r="K177" s="32">
        <f>1346+6278+4484+2332+2332+2332+6995+6995+2332+6995+2332+2332+2332+4484</f>
        <v>53901</v>
      </c>
      <c r="L177" s="32">
        <v>0</v>
      </c>
      <c r="M177" s="32">
        <v>0</v>
      </c>
      <c r="N177" s="32">
        <v>3148</v>
      </c>
      <c r="O177" s="32">
        <v>0</v>
      </c>
      <c r="P177" s="32">
        <v>0</v>
      </c>
      <c r="Q177" s="43">
        <f t="shared" si="4"/>
        <v>63248</v>
      </c>
      <c r="R177" s="69">
        <f t="shared" si="5"/>
        <v>53760.800000000003</v>
      </c>
      <c r="S177" s="30"/>
      <c r="T177" s="30"/>
    </row>
    <row r="178" spans="1:20" ht="45" customHeight="1" x14ac:dyDescent="0.3">
      <c r="A178" s="31">
        <v>166</v>
      </c>
      <c r="B178" s="32" t="s">
        <v>582</v>
      </c>
      <c r="C178" s="32" t="s">
        <v>633</v>
      </c>
      <c r="D178" s="32" t="s">
        <v>634</v>
      </c>
      <c r="E178" s="32">
        <v>2022</v>
      </c>
      <c r="F178" s="32" t="s">
        <v>18</v>
      </c>
      <c r="G178" s="32" t="s">
        <v>745</v>
      </c>
      <c r="H178" s="32" t="s">
        <v>802</v>
      </c>
      <c r="I178" s="32" t="s">
        <v>838</v>
      </c>
      <c r="J178" s="32">
        <v>6199</v>
      </c>
      <c r="K178" s="32">
        <f>1346+6278+4484+4484+2332+2332+2332+2332+2332+2332+6995+6995+2332+6995</f>
        <v>53901</v>
      </c>
      <c r="L178" s="32">
        <v>0</v>
      </c>
      <c r="M178" s="32">
        <v>0</v>
      </c>
      <c r="N178" s="32">
        <v>3148</v>
      </c>
      <c r="O178" s="32">
        <v>0</v>
      </c>
      <c r="P178" s="32">
        <v>0</v>
      </c>
      <c r="Q178" s="43">
        <f t="shared" si="4"/>
        <v>63248</v>
      </c>
      <c r="R178" s="69">
        <f t="shared" si="5"/>
        <v>53760.800000000003</v>
      </c>
      <c r="S178" s="30"/>
      <c r="T178" s="30"/>
    </row>
    <row r="179" spans="1:20" ht="45" customHeight="1" x14ac:dyDescent="0.3">
      <c r="A179" s="36">
        <v>167</v>
      </c>
      <c r="B179" s="32" t="s">
        <v>582</v>
      </c>
      <c r="C179" s="32" t="s">
        <v>635</v>
      </c>
      <c r="D179" s="32" t="s">
        <v>636</v>
      </c>
      <c r="E179" s="32">
        <v>1964</v>
      </c>
      <c r="F179" s="32" t="s">
        <v>19</v>
      </c>
      <c r="G179" s="32" t="s">
        <v>746</v>
      </c>
      <c r="H179" s="32" t="s">
        <v>746</v>
      </c>
      <c r="I179" s="32" t="s">
        <v>839</v>
      </c>
      <c r="J179" s="32">
        <v>3793</v>
      </c>
      <c r="K179" s="32">
        <v>0</v>
      </c>
      <c r="L179" s="32">
        <v>0</v>
      </c>
      <c r="M179" s="32">
        <v>0</v>
      </c>
      <c r="N179" s="32">
        <f>1178+3179</f>
        <v>4357</v>
      </c>
      <c r="O179" s="32">
        <v>0</v>
      </c>
      <c r="P179" s="32">
        <f>2454+1200</f>
        <v>3654</v>
      </c>
      <c r="Q179" s="43">
        <f t="shared" si="4"/>
        <v>11804</v>
      </c>
      <c r="R179" s="69">
        <f t="shared" si="5"/>
        <v>10033.4</v>
      </c>
      <c r="S179" s="30"/>
      <c r="T179" s="30"/>
    </row>
    <row r="180" spans="1:20" ht="45" customHeight="1" x14ac:dyDescent="0.3">
      <c r="A180" s="31">
        <v>168</v>
      </c>
      <c r="B180" s="32" t="s">
        <v>582</v>
      </c>
      <c r="C180" s="32" t="s">
        <v>637</v>
      </c>
      <c r="D180" s="32" t="s">
        <v>638</v>
      </c>
      <c r="E180" s="32">
        <v>1978</v>
      </c>
      <c r="F180" s="32" t="s">
        <v>18</v>
      </c>
      <c r="G180" s="32" t="s">
        <v>747</v>
      </c>
      <c r="H180" s="32" t="s">
        <v>747</v>
      </c>
      <c r="I180" s="32" t="s">
        <v>840</v>
      </c>
      <c r="J180" s="32">
        <v>6199</v>
      </c>
      <c r="K180" s="32">
        <f>6278+13452+2332+2332+2332</f>
        <v>26726</v>
      </c>
      <c r="L180" s="32">
        <v>0</v>
      </c>
      <c r="M180" s="32">
        <v>0</v>
      </c>
      <c r="N180" s="32">
        <v>1793</v>
      </c>
      <c r="O180" s="32">
        <v>0</v>
      </c>
      <c r="P180" s="32">
        <v>0</v>
      </c>
      <c r="Q180" s="43">
        <f t="shared" si="4"/>
        <v>34718</v>
      </c>
      <c r="R180" s="69">
        <f t="shared" si="5"/>
        <v>29510.3</v>
      </c>
      <c r="S180" s="30"/>
      <c r="T180" s="30"/>
    </row>
    <row r="181" spans="1:20" ht="45" customHeight="1" x14ac:dyDescent="0.3">
      <c r="A181" s="31">
        <v>169</v>
      </c>
      <c r="B181" s="32" t="s">
        <v>582</v>
      </c>
      <c r="C181" s="32" t="s">
        <v>639</v>
      </c>
      <c r="D181" s="32" t="s">
        <v>596</v>
      </c>
      <c r="E181" s="32">
        <v>2022</v>
      </c>
      <c r="F181" s="32" t="s">
        <v>18</v>
      </c>
      <c r="G181" s="32" t="s">
        <v>726</v>
      </c>
      <c r="H181" s="32" t="s">
        <v>725</v>
      </c>
      <c r="I181" s="32" t="s">
        <v>828</v>
      </c>
      <c r="J181" s="32">
        <v>3582</v>
      </c>
      <c r="K181" s="32">
        <v>0</v>
      </c>
      <c r="L181" s="32">
        <v>0</v>
      </c>
      <c r="M181" s="32">
        <v>0</v>
      </c>
      <c r="N181" s="32">
        <v>15443</v>
      </c>
      <c r="O181" s="32">
        <v>0</v>
      </c>
      <c r="P181" s="32">
        <v>0</v>
      </c>
      <c r="Q181" s="43">
        <f t="shared" si="4"/>
        <v>19025</v>
      </c>
      <c r="R181" s="69">
        <f t="shared" si="5"/>
        <v>16171.25</v>
      </c>
      <c r="S181" s="30"/>
      <c r="T181" s="30"/>
    </row>
    <row r="182" spans="1:20" s="41" customFormat="1" ht="45" customHeight="1" x14ac:dyDescent="0.3">
      <c r="A182" s="36">
        <v>170</v>
      </c>
      <c r="B182" s="38" t="s">
        <v>582</v>
      </c>
      <c r="C182" s="38" t="s">
        <v>640</v>
      </c>
      <c r="D182" s="38" t="s">
        <v>641</v>
      </c>
      <c r="E182" s="38">
        <v>2006</v>
      </c>
      <c r="F182" s="38" t="s">
        <v>19</v>
      </c>
      <c r="G182" s="38" t="s">
        <v>748</v>
      </c>
      <c r="H182" s="38" t="s">
        <v>803</v>
      </c>
      <c r="I182" s="38" t="s">
        <v>841</v>
      </c>
      <c r="J182" s="38">
        <v>6199</v>
      </c>
      <c r="K182" s="38">
        <f>6278+2332+3500</f>
        <v>12110</v>
      </c>
      <c r="L182" s="38">
        <v>0</v>
      </c>
      <c r="M182" s="38">
        <v>0</v>
      </c>
      <c r="N182" s="38">
        <f>1178+4053+1793</f>
        <v>7024</v>
      </c>
      <c r="O182" s="38">
        <v>0</v>
      </c>
      <c r="P182" s="38">
        <f>720+120+144+720+374</f>
        <v>2078</v>
      </c>
      <c r="Q182" s="43">
        <f t="shared" si="4"/>
        <v>27411</v>
      </c>
      <c r="R182" s="69">
        <f t="shared" si="5"/>
        <v>23299.35</v>
      </c>
      <c r="S182" s="40"/>
      <c r="T182" s="40"/>
    </row>
    <row r="183" spans="1:20" s="41" customFormat="1" ht="45" customHeight="1" x14ac:dyDescent="0.3">
      <c r="A183" s="31">
        <v>171</v>
      </c>
      <c r="B183" s="38" t="s">
        <v>582</v>
      </c>
      <c r="C183" s="38" t="s">
        <v>640</v>
      </c>
      <c r="D183" s="38" t="s">
        <v>641</v>
      </c>
      <c r="E183" s="38">
        <v>2006</v>
      </c>
      <c r="F183" s="38" t="s">
        <v>19</v>
      </c>
      <c r="G183" s="38" t="s">
        <v>748</v>
      </c>
      <c r="H183" s="38" t="s">
        <v>803</v>
      </c>
      <c r="I183" s="38" t="s">
        <v>841</v>
      </c>
      <c r="J183" s="38">
        <v>0</v>
      </c>
      <c r="K183" s="38">
        <v>0</v>
      </c>
      <c r="L183" s="38">
        <v>0</v>
      </c>
      <c r="M183" s="38">
        <v>17688</v>
      </c>
      <c r="N183" s="38">
        <v>0</v>
      </c>
      <c r="O183" s="38">
        <v>0</v>
      </c>
      <c r="P183" s="38">
        <v>0</v>
      </c>
      <c r="Q183" s="43">
        <f t="shared" si="4"/>
        <v>17688</v>
      </c>
      <c r="R183" s="69">
        <f t="shared" si="5"/>
        <v>15034.8</v>
      </c>
      <c r="S183" s="40"/>
      <c r="T183" s="40"/>
    </row>
    <row r="184" spans="1:20" ht="45" customHeight="1" x14ac:dyDescent="0.3">
      <c r="A184" s="31">
        <v>172</v>
      </c>
      <c r="B184" s="32" t="s">
        <v>582</v>
      </c>
      <c r="C184" s="32" t="s">
        <v>642</v>
      </c>
      <c r="D184" s="32" t="s">
        <v>643</v>
      </c>
      <c r="E184" s="32">
        <v>1965</v>
      </c>
      <c r="F184" s="32" t="s">
        <v>19</v>
      </c>
      <c r="G184" s="32" t="s">
        <v>749</v>
      </c>
      <c r="H184" s="32" t="s">
        <v>749</v>
      </c>
      <c r="I184" s="32" t="s">
        <v>300</v>
      </c>
      <c r="J184" s="32">
        <v>6199</v>
      </c>
      <c r="K184" s="32">
        <v>0</v>
      </c>
      <c r="L184" s="32">
        <v>0</v>
      </c>
      <c r="M184" s="32">
        <v>0</v>
      </c>
      <c r="N184" s="32">
        <v>0</v>
      </c>
      <c r="O184" s="32">
        <v>0</v>
      </c>
      <c r="P184" s="32">
        <v>0</v>
      </c>
      <c r="Q184" s="43">
        <f t="shared" si="4"/>
        <v>6199</v>
      </c>
      <c r="R184" s="69">
        <f t="shared" si="5"/>
        <v>5269.15</v>
      </c>
      <c r="S184" s="30"/>
      <c r="T184" s="30"/>
    </row>
    <row r="185" spans="1:20" ht="45" customHeight="1" x14ac:dyDescent="0.3">
      <c r="A185" s="36">
        <v>173</v>
      </c>
      <c r="B185" s="32" t="s">
        <v>582</v>
      </c>
      <c r="C185" s="32" t="s">
        <v>644</v>
      </c>
      <c r="D185" s="32" t="s">
        <v>645</v>
      </c>
      <c r="E185" s="32">
        <v>1991</v>
      </c>
      <c r="F185" s="32" t="s">
        <v>19</v>
      </c>
      <c r="G185" s="32" t="s">
        <v>750</v>
      </c>
      <c r="H185" s="32" t="s">
        <v>750</v>
      </c>
      <c r="I185" s="32" t="s">
        <v>249</v>
      </c>
      <c r="J185" s="32">
        <v>6199</v>
      </c>
      <c r="K185" s="32">
        <f>1346+6278+4484+2332+2332+2332</f>
        <v>19104</v>
      </c>
      <c r="L185" s="32">
        <v>9422</v>
      </c>
      <c r="M185" s="32">
        <v>0</v>
      </c>
      <c r="N185" s="32">
        <v>1793</v>
      </c>
      <c r="O185" s="32">
        <v>0</v>
      </c>
      <c r="P185" s="32">
        <v>0</v>
      </c>
      <c r="Q185" s="43">
        <f t="shared" si="4"/>
        <v>36518</v>
      </c>
      <c r="R185" s="69">
        <f t="shared" si="5"/>
        <v>31040.3</v>
      </c>
      <c r="S185" s="30"/>
      <c r="T185" s="30"/>
    </row>
    <row r="186" spans="1:20" ht="45" customHeight="1" x14ac:dyDescent="0.3">
      <c r="A186" s="31">
        <v>174</v>
      </c>
      <c r="B186" s="32" t="s">
        <v>582</v>
      </c>
      <c r="C186" s="32" t="s">
        <v>646</v>
      </c>
      <c r="D186" s="32" t="s">
        <v>139</v>
      </c>
      <c r="E186" s="32">
        <v>1996</v>
      </c>
      <c r="F186" s="32" t="s">
        <v>18</v>
      </c>
      <c r="G186" s="32" t="s">
        <v>200</v>
      </c>
      <c r="H186" s="32" t="s">
        <v>200</v>
      </c>
      <c r="I186" s="32" t="s">
        <v>294</v>
      </c>
      <c r="J186" s="32">
        <v>0</v>
      </c>
      <c r="K186" s="32">
        <v>0</v>
      </c>
      <c r="L186" s="32">
        <v>0</v>
      </c>
      <c r="M186" s="32">
        <v>0</v>
      </c>
      <c r="N186" s="32">
        <v>5321</v>
      </c>
      <c r="O186" s="32">
        <v>0</v>
      </c>
      <c r="P186" s="32">
        <v>0</v>
      </c>
      <c r="Q186" s="43">
        <f t="shared" si="4"/>
        <v>5321</v>
      </c>
      <c r="R186" s="69">
        <f t="shared" si="5"/>
        <v>4522.8500000000004</v>
      </c>
      <c r="S186" s="30"/>
      <c r="T186" s="30"/>
    </row>
    <row r="187" spans="1:20" ht="45" customHeight="1" x14ac:dyDescent="0.3">
      <c r="A187" s="31">
        <v>175</v>
      </c>
      <c r="B187" s="32" t="s">
        <v>582</v>
      </c>
      <c r="C187" s="32" t="s">
        <v>647</v>
      </c>
      <c r="D187" s="32" t="s">
        <v>648</v>
      </c>
      <c r="E187" s="32">
        <v>1980</v>
      </c>
      <c r="F187" s="32" t="s">
        <v>19</v>
      </c>
      <c r="G187" s="32" t="s">
        <v>751</v>
      </c>
      <c r="H187" s="32" t="s">
        <v>751</v>
      </c>
      <c r="I187" s="32" t="s">
        <v>293</v>
      </c>
      <c r="J187" s="32">
        <v>6199</v>
      </c>
      <c r="K187" s="32">
        <v>0</v>
      </c>
      <c r="L187" s="32">
        <v>13526</v>
      </c>
      <c r="M187" s="32">
        <v>0</v>
      </c>
      <c r="N187" s="32">
        <v>0</v>
      </c>
      <c r="O187" s="32">
        <v>0</v>
      </c>
      <c r="P187" s="32">
        <v>0</v>
      </c>
      <c r="Q187" s="43">
        <f t="shared" si="4"/>
        <v>19725</v>
      </c>
      <c r="R187" s="69">
        <f t="shared" si="5"/>
        <v>16766.25</v>
      </c>
      <c r="S187" s="30"/>
      <c r="T187" s="30"/>
    </row>
    <row r="188" spans="1:20" ht="45" customHeight="1" x14ac:dyDescent="0.3">
      <c r="A188" s="36">
        <v>176</v>
      </c>
      <c r="B188" s="32" t="s">
        <v>582</v>
      </c>
      <c r="C188" s="32" t="s">
        <v>649</v>
      </c>
      <c r="D188" s="32" t="s">
        <v>650</v>
      </c>
      <c r="E188" s="32">
        <v>1982</v>
      </c>
      <c r="F188" s="32" t="s">
        <v>19</v>
      </c>
      <c r="G188" s="32" t="s">
        <v>752</v>
      </c>
      <c r="H188" s="32" t="s">
        <v>804</v>
      </c>
      <c r="I188" s="32" t="s">
        <v>561</v>
      </c>
      <c r="J188" s="32">
        <v>6199</v>
      </c>
      <c r="K188" s="32">
        <f>6278+4484+2332+2332+2332+6995+2332+2332+2332+3000+3000+1166+3500+2332+2332</f>
        <v>47079</v>
      </c>
      <c r="L188" s="32">
        <v>20807</v>
      </c>
      <c r="M188" s="32">
        <v>0</v>
      </c>
      <c r="N188" s="32">
        <v>1793</v>
      </c>
      <c r="O188" s="32">
        <v>0</v>
      </c>
      <c r="P188" s="32">
        <v>0</v>
      </c>
      <c r="Q188" s="43">
        <f t="shared" si="4"/>
        <v>75878</v>
      </c>
      <c r="R188" s="69">
        <f t="shared" si="5"/>
        <v>64496.3</v>
      </c>
      <c r="S188" s="30"/>
      <c r="T188" s="30"/>
    </row>
    <row r="189" spans="1:20" ht="45" customHeight="1" x14ac:dyDescent="0.3">
      <c r="A189" s="31">
        <v>177</v>
      </c>
      <c r="B189" s="32" t="s">
        <v>582</v>
      </c>
      <c r="C189" s="32" t="s">
        <v>651</v>
      </c>
      <c r="D189" s="32" t="s">
        <v>652</v>
      </c>
      <c r="E189" s="32">
        <v>2015</v>
      </c>
      <c r="F189" s="32" t="s">
        <v>18</v>
      </c>
      <c r="G189" s="32" t="s">
        <v>753</v>
      </c>
      <c r="H189" s="32" t="s">
        <v>805</v>
      </c>
      <c r="I189" s="32" t="s">
        <v>842</v>
      </c>
      <c r="J189" s="32">
        <v>6199</v>
      </c>
      <c r="K189" s="32">
        <v>1166</v>
      </c>
      <c r="L189" s="32">
        <v>0</v>
      </c>
      <c r="M189" s="32">
        <v>0</v>
      </c>
      <c r="N189" s="32">
        <v>0</v>
      </c>
      <c r="O189" s="32">
        <v>0</v>
      </c>
      <c r="P189" s="32">
        <v>0</v>
      </c>
      <c r="Q189" s="43">
        <f t="shared" si="4"/>
        <v>7365</v>
      </c>
      <c r="R189" s="69">
        <f t="shared" si="5"/>
        <v>6260.25</v>
      </c>
      <c r="S189" s="30"/>
      <c r="T189" s="30"/>
    </row>
    <row r="190" spans="1:20" ht="45" customHeight="1" x14ac:dyDescent="0.3">
      <c r="A190" s="31">
        <v>178</v>
      </c>
      <c r="B190" s="32" t="s">
        <v>582</v>
      </c>
      <c r="C190" s="32" t="s">
        <v>653</v>
      </c>
      <c r="D190" s="32" t="s">
        <v>654</v>
      </c>
      <c r="E190" s="32">
        <v>1997</v>
      </c>
      <c r="F190" s="32" t="s">
        <v>19</v>
      </c>
      <c r="G190" s="32" t="s">
        <v>754</v>
      </c>
      <c r="H190" s="32" t="s">
        <v>754</v>
      </c>
      <c r="I190" s="32" t="s">
        <v>294</v>
      </c>
      <c r="J190" s="32">
        <v>6199</v>
      </c>
      <c r="K190" s="32">
        <v>0</v>
      </c>
      <c r="L190" s="32">
        <v>0</v>
      </c>
      <c r="M190" s="32">
        <v>0</v>
      </c>
      <c r="N190" s="32">
        <v>0</v>
      </c>
      <c r="O190" s="32">
        <v>0</v>
      </c>
      <c r="P190" s="32">
        <v>0</v>
      </c>
      <c r="Q190" s="43">
        <f t="shared" si="4"/>
        <v>6199</v>
      </c>
      <c r="R190" s="69">
        <f t="shared" si="5"/>
        <v>5269.15</v>
      </c>
      <c r="S190" s="30"/>
      <c r="T190" s="30"/>
    </row>
    <row r="191" spans="1:20" ht="45" customHeight="1" x14ac:dyDescent="0.3">
      <c r="A191" s="36">
        <v>179</v>
      </c>
      <c r="B191" s="32" t="s">
        <v>582</v>
      </c>
      <c r="C191" s="32" t="s">
        <v>655</v>
      </c>
      <c r="D191" s="32" t="s">
        <v>656</v>
      </c>
      <c r="E191" s="32">
        <v>1958</v>
      </c>
      <c r="F191" s="32" t="s">
        <v>18</v>
      </c>
      <c r="G191" s="32" t="s">
        <v>755</v>
      </c>
      <c r="H191" s="32" t="s">
        <v>806</v>
      </c>
      <c r="I191" s="32" t="s">
        <v>843</v>
      </c>
      <c r="J191" s="32">
        <v>6199</v>
      </c>
      <c r="K191" s="32">
        <v>0</v>
      </c>
      <c r="L191" s="32">
        <v>0</v>
      </c>
      <c r="M191" s="32">
        <v>0</v>
      </c>
      <c r="N191" s="32">
        <v>0</v>
      </c>
      <c r="O191" s="32">
        <v>0</v>
      </c>
      <c r="P191" s="32">
        <v>0</v>
      </c>
      <c r="Q191" s="43">
        <f t="shared" si="4"/>
        <v>6199</v>
      </c>
      <c r="R191" s="69">
        <f t="shared" si="5"/>
        <v>5269.15</v>
      </c>
      <c r="S191" s="30"/>
      <c r="T191" s="30"/>
    </row>
    <row r="192" spans="1:20" ht="45" customHeight="1" x14ac:dyDescent="0.3">
      <c r="A192" s="31">
        <v>180</v>
      </c>
      <c r="B192" s="32" t="s">
        <v>582</v>
      </c>
      <c r="C192" s="32" t="s">
        <v>657</v>
      </c>
      <c r="D192" s="32" t="s">
        <v>658</v>
      </c>
      <c r="E192" s="32">
        <v>1987</v>
      </c>
      <c r="F192" s="32" t="s">
        <v>19</v>
      </c>
      <c r="G192" s="32" t="s">
        <v>756</v>
      </c>
      <c r="H192" s="32" t="s">
        <v>756</v>
      </c>
      <c r="I192" s="32" t="s">
        <v>844</v>
      </c>
      <c r="J192" s="32">
        <v>6199</v>
      </c>
      <c r="K192" s="32">
        <v>3587</v>
      </c>
      <c r="L192" s="32">
        <v>0</v>
      </c>
      <c r="M192" s="32">
        <v>0</v>
      </c>
      <c r="N192" s="32">
        <v>0</v>
      </c>
      <c r="O192" s="32">
        <v>0</v>
      </c>
      <c r="P192" s="32">
        <v>0</v>
      </c>
      <c r="Q192" s="43">
        <f t="shared" si="4"/>
        <v>9786</v>
      </c>
      <c r="R192" s="69">
        <f t="shared" si="5"/>
        <v>8318.1</v>
      </c>
      <c r="S192" s="30"/>
      <c r="T192" s="30"/>
    </row>
    <row r="193" spans="1:20" ht="45" customHeight="1" x14ac:dyDescent="0.3">
      <c r="A193" s="31">
        <v>181</v>
      </c>
      <c r="B193" s="32" t="s">
        <v>582</v>
      </c>
      <c r="C193" s="32" t="s">
        <v>659</v>
      </c>
      <c r="D193" s="32" t="s">
        <v>660</v>
      </c>
      <c r="E193" s="32">
        <v>2012</v>
      </c>
      <c r="F193" s="32" t="s">
        <v>19</v>
      </c>
      <c r="G193" s="32" t="s">
        <v>757</v>
      </c>
      <c r="H193" s="32" t="s">
        <v>807</v>
      </c>
      <c r="I193" s="32" t="s">
        <v>20</v>
      </c>
      <c r="J193" s="32">
        <v>6199</v>
      </c>
      <c r="K193" s="32">
        <f>6278+4484+2332+3500</f>
        <v>16594</v>
      </c>
      <c r="L193" s="32">
        <v>0</v>
      </c>
      <c r="M193" s="32">
        <v>0</v>
      </c>
      <c r="N193" s="32">
        <f>1178+4053+1793</f>
        <v>7024</v>
      </c>
      <c r="O193" s="32">
        <v>0</v>
      </c>
      <c r="P193" s="32">
        <f>720+374</f>
        <v>1094</v>
      </c>
      <c r="Q193" s="43">
        <f t="shared" si="4"/>
        <v>30911</v>
      </c>
      <c r="R193" s="69">
        <f t="shared" si="5"/>
        <v>26274.35</v>
      </c>
      <c r="S193" s="30"/>
      <c r="T193" s="30"/>
    </row>
    <row r="194" spans="1:20" ht="45" customHeight="1" x14ac:dyDescent="0.3">
      <c r="A194" s="36">
        <v>182</v>
      </c>
      <c r="B194" s="32" t="s">
        <v>582</v>
      </c>
      <c r="C194" s="32" t="s">
        <v>661</v>
      </c>
      <c r="D194" s="32" t="s">
        <v>662</v>
      </c>
      <c r="E194" s="32">
        <v>2022</v>
      </c>
      <c r="F194" s="32" t="s">
        <v>18</v>
      </c>
      <c r="G194" s="32" t="s">
        <v>758</v>
      </c>
      <c r="H194" s="32" t="s">
        <v>808</v>
      </c>
      <c r="I194" s="32" t="s">
        <v>298</v>
      </c>
      <c r="J194" s="32">
        <v>6199</v>
      </c>
      <c r="K194" s="32">
        <f>6278+4484+1346</f>
        <v>12108</v>
      </c>
      <c r="L194" s="32">
        <v>0</v>
      </c>
      <c r="M194" s="32">
        <v>0</v>
      </c>
      <c r="N194" s="32">
        <v>3148</v>
      </c>
      <c r="O194" s="32">
        <v>0</v>
      </c>
      <c r="P194" s="32">
        <v>0</v>
      </c>
      <c r="Q194" s="43">
        <f t="shared" si="4"/>
        <v>21455</v>
      </c>
      <c r="R194" s="69">
        <f t="shared" si="5"/>
        <v>18236.75</v>
      </c>
      <c r="S194" s="30"/>
      <c r="T194" s="30"/>
    </row>
    <row r="195" spans="1:20" ht="45" customHeight="1" x14ac:dyDescent="0.3">
      <c r="A195" s="31">
        <v>183</v>
      </c>
      <c r="B195" s="32" t="s">
        <v>582</v>
      </c>
      <c r="C195" s="32" t="s">
        <v>663</v>
      </c>
      <c r="D195" s="32" t="s">
        <v>664</v>
      </c>
      <c r="E195" s="32">
        <v>1988</v>
      </c>
      <c r="F195" s="32" t="s">
        <v>19</v>
      </c>
      <c r="G195" s="32" t="s">
        <v>759</v>
      </c>
      <c r="H195" s="32" t="s">
        <v>759</v>
      </c>
      <c r="I195" s="32" t="s">
        <v>845</v>
      </c>
      <c r="J195" s="32">
        <v>6199</v>
      </c>
      <c r="K195" s="32">
        <f>2332+2332+3587+3252</f>
        <v>11503</v>
      </c>
      <c r="L195" s="32">
        <v>20807</v>
      </c>
      <c r="M195" s="32">
        <v>0</v>
      </c>
      <c r="N195" s="32">
        <v>0</v>
      </c>
      <c r="O195" s="32">
        <v>0</v>
      </c>
      <c r="P195" s="32">
        <v>0</v>
      </c>
      <c r="Q195" s="43">
        <f t="shared" si="4"/>
        <v>38509</v>
      </c>
      <c r="R195" s="69">
        <f t="shared" si="5"/>
        <v>32732.65</v>
      </c>
      <c r="S195" s="30"/>
      <c r="T195" s="30"/>
    </row>
    <row r="196" spans="1:20" ht="45" customHeight="1" x14ac:dyDescent="0.3">
      <c r="A196" s="31">
        <v>184</v>
      </c>
      <c r="B196" s="32" t="s">
        <v>582</v>
      </c>
      <c r="C196" s="32" t="s">
        <v>665</v>
      </c>
      <c r="D196" s="32" t="s">
        <v>666</v>
      </c>
      <c r="E196" s="32">
        <v>2025</v>
      </c>
      <c r="F196" s="32" t="s">
        <v>19</v>
      </c>
      <c r="G196" s="32" t="s">
        <v>760</v>
      </c>
      <c r="H196" s="32" t="s">
        <v>809</v>
      </c>
      <c r="I196" s="32" t="s">
        <v>846</v>
      </c>
      <c r="J196" s="32">
        <v>6199</v>
      </c>
      <c r="K196" s="32">
        <v>0</v>
      </c>
      <c r="L196" s="32">
        <v>0</v>
      </c>
      <c r="M196" s="32">
        <v>0</v>
      </c>
      <c r="N196" s="32">
        <v>0</v>
      </c>
      <c r="O196" s="32">
        <v>0</v>
      </c>
      <c r="P196" s="32">
        <v>0</v>
      </c>
      <c r="Q196" s="43">
        <f t="shared" si="4"/>
        <v>6199</v>
      </c>
      <c r="R196" s="69">
        <f t="shared" si="5"/>
        <v>5269.15</v>
      </c>
      <c r="S196" s="30"/>
      <c r="T196" s="30"/>
    </row>
    <row r="197" spans="1:20" ht="45" customHeight="1" x14ac:dyDescent="0.3">
      <c r="A197" s="36">
        <v>185</v>
      </c>
      <c r="B197" s="32" t="s">
        <v>582</v>
      </c>
      <c r="C197" s="32" t="s">
        <v>667</v>
      </c>
      <c r="D197" s="32" t="s">
        <v>668</v>
      </c>
      <c r="E197" s="32">
        <v>2023</v>
      </c>
      <c r="F197" s="32" t="s">
        <v>19</v>
      </c>
      <c r="G197" s="32" t="s">
        <v>761</v>
      </c>
      <c r="H197" s="32" t="s">
        <v>810</v>
      </c>
      <c r="I197" s="32" t="s">
        <v>847</v>
      </c>
      <c r="J197" s="32">
        <v>6199</v>
      </c>
      <c r="K197" s="32">
        <f>6278+4484+1346+2332+2332+2332+2332+4484+2332+6995+6995+2332+6995+2332</f>
        <v>53901</v>
      </c>
      <c r="L197" s="32">
        <v>0</v>
      </c>
      <c r="M197" s="32">
        <v>0</v>
      </c>
      <c r="N197" s="32">
        <v>3148</v>
      </c>
      <c r="O197" s="32">
        <v>0</v>
      </c>
      <c r="P197" s="32">
        <v>0</v>
      </c>
      <c r="Q197" s="43">
        <f t="shared" si="4"/>
        <v>63248</v>
      </c>
      <c r="R197" s="69">
        <f t="shared" si="5"/>
        <v>53760.800000000003</v>
      </c>
      <c r="S197" s="30"/>
      <c r="T197" s="30"/>
    </row>
    <row r="198" spans="1:20" ht="45" customHeight="1" x14ac:dyDescent="0.3">
      <c r="A198" s="31">
        <v>186</v>
      </c>
      <c r="B198" s="32" t="s">
        <v>582</v>
      </c>
      <c r="C198" s="32" t="s">
        <v>669</v>
      </c>
      <c r="D198" s="32" t="s">
        <v>670</v>
      </c>
      <c r="E198" s="32">
        <v>2022</v>
      </c>
      <c r="F198" s="32" t="s">
        <v>19</v>
      </c>
      <c r="G198" s="32" t="s">
        <v>762</v>
      </c>
      <c r="H198" s="32" t="s">
        <v>811</v>
      </c>
      <c r="I198" s="32" t="s">
        <v>848</v>
      </c>
      <c r="J198" s="32">
        <v>6199</v>
      </c>
      <c r="K198" s="32">
        <f>1346+6278+4484+2332+2332+2332+2332+2332+2332+4484+6995+6995+2332+6995</f>
        <v>53901</v>
      </c>
      <c r="L198" s="32">
        <v>0</v>
      </c>
      <c r="M198" s="32">
        <v>0</v>
      </c>
      <c r="N198" s="32">
        <v>3148</v>
      </c>
      <c r="O198" s="32">
        <v>0</v>
      </c>
      <c r="P198" s="32">
        <v>0</v>
      </c>
      <c r="Q198" s="43">
        <f t="shared" si="4"/>
        <v>63248</v>
      </c>
      <c r="R198" s="69">
        <f t="shared" si="5"/>
        <v>53760.800000000003</v>
      </c>
      <c r="S198" s="30"/>
      <c r="T198" s="30"/>
    </row>
    <row r="199" spans="1:20" ht="45" customHeight="1" x14ac:dyDescent="0.3">
      <c r="A199" s="31">
        <v>187</v>
      </c>
      <c r="B199" s="32" t="s">
        <v>582</v>
      </c>
      <c r="C199" s="32" t="s">
        <v>669</v>
      </c>
      <c r="D199" s="32" t="s">
        <v>670</v>
      </c>
      <c r="E199" s="32">
        <v>2022</v>
      </c>
      <c r="F199" s="32" t="s">
        <v>19</v>
      </c>
      <c r="G199" s="32" t="s">
        <v>762</v>
      </c>
      <c r="H199" s="32" t="s">
        <v>811</v>
      </c>
      <c r="I199" s="32" t="s">
        <v>848</v>
      </c>
      <c r="J199" s="32">
        <v>0</v>
      </c>
      <c r="K199" s="32">
        <v>0</v>
      </c>
      <c r="L199" s="32">
        <v>0</v>
      </c>
      <c r="M199" s="32">
        <v>0</v>
      </c>
      <c r="N199" s="32">
        <v>4053</v>
      </c>
      <c r="O199" s="32">
        <v>0</v>
      </c>
      <c r="P199" s="32">
        <f>720+120+1080</f>
        <v>1920</v>
      </c>
      <c r="Q199" s="43">
        <f t="shared" si="4"/>
        <v>5973</v>
      </c>
      <c r="R199" s="69">
        <f t="shared" si="5"/>
        <v>5077.05</v>
      </c>
      <c r="S199" s="30"/>
      <c r="T199" s="30"/>
    </row>
    <row r="200" spans="1:20" ht="45" customHeight="1" x14ac:dyDescent="0.3">
      <c r="A200" s="36">
        <v>188</v>
      </c>
      <c r="B200" s="32" t="s">
        <v>582</v>
      </c>
      <c r="C200" s="32" t="s">
        <v>669</v>
      </c>
      <c r="D200" s="32" t="s">
        <v>670</v>
      </c>
      <c r="E200" s="32">
        <v>2022</v>
      </c>
      <c r="F200" s="32" t="s">
        <v>19</v>
      </c>
      <c r="G200" s="32" t="s">
        <v>762</v>
      </c>
      <c r="H200" s="32" t="s">
        <v>811</v>
      </c>
      <c r="I200" s="32" t="s">
        <v>848</v>
      </c>
      <c r="J200" s="32">
        <v>0</v>
      </c>
      <c r="K200" s="32">
        <v>0</v>
      </c>
      <c r="L200" s="32">
        <v>0</v>
      </c>
      <c r="M200" s="32">
        <v>17688</v>
      </c>
      <c r="N200" s="32">
        <v>2088</v>
      </c>
      <c r="O200" s="32">
        <v>0</v>
      </c>
      <c r="P200" s="32">
        <f>56+360</f>
        <v>416</v>
      </c>
      <c r="Q200" s="43">
        <f t="shared" si="4"/>
        <v>20192</v>
      </c>
      <c r="R200" s="69">
        <f t="shared" si="5"/>
        <v>17163.2</v>
      </c>
      <c r="S200" s="30"/>
      <c r="T200" s="30"/>
    </row>
    <row r="201" spans="1:20" ht="45" customHeight="1" x14ac:dyDescent="0.3">
      <c r="A201" s="31">
        <v>189</v>
      </c>
      <c r="B201" s="32" t="s">
        <v>582</v>
      </c>
      <c r="C201" s="32" t="s">
        <v>671</v>
      </c>
      <c r="D201" s="32" t="s">
        <v>672</v>
      </c>
      <c r="E201" s="32">
        <v>2021</v>
      </c>
      <c r="F201" s="32" t="s">
        <v>19</v>
      </c>
      <c r="G201" s="32" t="s">
        <v>763</v>
      </c>
      <c r="H201" s="32" t="s">
        <v>812</v>
      </c>
      <c r="I201" s="32" t="s">
        <v>848</v>
      </c>
      <c r="J201" s="32">
        <v>6199</v>
      </c>
      <c r="K201" s="32">
        <v>0</v>
      </c>
      <c r="L201" s="32">
        <v>0</v>
      </c>
      <c r="M201" s="32">
        <v>0</v>
      </c>
      <c r="N201" s="32">
        <v>0</v>
      </c>
      <c r="O201" s="32">
        <v>0</v>
      </c>
      <c r="P201" s="32">
        <v>0</v>
      </c>
      <c r="Q201" s="43">
        <f t="shared" si="4"/>
        <v>6199</v>
      </c>
      <c r="R201" s="69">
        <f t="shared" si="5"/>
        <v>5269.15</v>
      </c>
      <c r="S201" s="30"/>
      <c r="T201" s="30"/>
    </row>
    <row r="202" spans="1:20" ht="45" customHeight="1" x14ac:dyDescent="0.3">
      <c r="A202" s="31">
        <v>190</v>
      </c>
      <c r="B202" s="32" t="s">
        <v>582</v>
      </c>
      <c r="C202" s="32" t="s">
        <v>673</v>
      </c>
      <c r="D202" s="32" t="s">
        <v>674</v>
      </c>
      <c r="E202" s="32">
        <v>1988</v>
      </c>
      <c r="F202" s="32" t="s">
        <v>18</v>
      </c>
      <c r="G202" s="32" t="s">
        <v>764</v>
      </c>
      <c r="H202" s="32" t="s">
        <v>764</v>
      </c>
      <c r="I202" s="32" t="s">
        <v>849</v>
      </c>
      <c r="J202" s="32">
        <v>6199</v>
      </c>
      <c r="K202" s="32">
        <f>1346+6278+4484+2332+2332+2332+3228</f>
        <v>22332</v>
      </c>
      <c r="L202" s="32">
        <v>0</v>
      </c>
      <c r="M202" s="32">
        <v>0</v>
      </c>
      <c r="N202" s="32">
        <v>1793</v>
      </c>
      <c r="O202" s="32">
        <v>0</v>
      </c>
      <c r="P202" s="32">
        <v>0</v>
      </c>
      <c r="Q202" s="43">
        <f t="shared" si="4"/>
        <v>30324</v>
      </c>
      <c r="R202" s="69">
        <f t="shared" si="5"/>
        <v>25775.4</v>
      </c>
      <c r="S202" s="30"/>
      <c r="T202" s="30"/>
    </row>
    <row r="203" spans="1:20" ht="45" customHeight="1" x14ac:dyDescent="0.3">
      <c r="A203" s="36">
        <v>191</v>
      </c>
      <c r="B203" s="32" t="s">
        <v>582</v>
      </c>
      <c r="C203" s="32" t="s">
        <v>675</v>
      </c>
      <c r="D203" s="32" t="s">
        <v>676</v>
      </c>
      <c r="E203" s="32">
        <v>1984</v>
      </c>
      <c r="F203" s="32" t="s">
        <v>18</v>
      </c>
      <c r="G203" s="32" t="s">
        <v>765</v>
      </c>
      <c r="H203" s="32" t="s">
        <v>765</v>
      </c>
      <c r="I203" s="32" t="s">
        <v>24</v>
      </c>
      <c r="J203" s="32">
        <v>6199</v>
      </c>
      <c r="K203" s="32">
        <v>0</v>
      </c>
      <c r="L203" s="32">
        <v>0</v>
      </c>
      <c r="M203" s="32">
        <v>0</v>
      </c>
      <c r="N203" s="32">
        <v>0</v>
      </c>
      <c r="O203" s="32">
        <v>0</v>
      </c>
      <c r="P203" s="32">
        <v>0</v>
      </c>
      <c r="Q203" s="43">
        <f t="shared" si="4"/>
        <v>6199</v>
      </c>
      <c r="R203" s="69">
        <f t="shared" si="5"/>
        <v>5269.15</v>
      </c>
      <c r="S203" s="30"/>
      <c r="T203" s="30"/>
    </row>
    <row r="204" spans="1:20" ht="45" customHeight="1" x14ac:dyDescent="0.3">
      <c r="A204" s="31">
        <v>192</v>
      </c>
      <c r="B204" s="32" t="s">
        <v>582</v>
      </c>
      <c r="C204" s="32" t="s">
        <v>677</v>
      </c>
      <c r="D204" s="32" t="s">
        <v>678</v>
      </c>
      <c r="E204" s="32">
        <v>2021</v>
      </c>
      <c r="F204" s="32" t="s">
        <v>18</v>
      </c>
      <c r="G204" s="32" t="s">
        <v>766</v>
      </c>
      <c r="H204" s="32" t="s">
        <v>813</v>
      </c>
      <c r="I204" s="32" t="s">
        <v>850</v>
      </c>
      <c r="J204" s="32">
        <v>6199</v>
      </c>
      <c r="K204" s="32">
        <f>6278+4484+1346+4484+2332+2332+2332+2332+2332+4484</f>
        <v>32736</v>
      </c>
      <c r="L204" s="32">
        <v>0</v>
      </c>
      <c r="M204" s="32">
        <v>0</v>
      </c>
      <c r="N204" s="32">
        <v>3148</v>
      </c>
      <c r="O204" s="32">
        <v>0</v>
      </c>
      <c r="P204" s="32">
        <v>0</v>
      </c>
      <c r="Q204" s="43">
        <f t="shared" si="4"/>
        <v>42083</v>
      </c>
      <c r="R204" s="69">
        <f t="shared" si="5"/>
        <v>35770.550000000003</v>
      </c>
      <c r="S204" s="30"/>
      <c r="T204" s="30"/>
    </row>
    <row r="205" spans="1:20" ht="45" customHeight="1" x14ac:dyDescent="0.3">
      <c r="A205" s="31">
        <v>193</v>
      </c>
      <c r="B205" s="32" t="s">
        <v>582</v>
      </c>
      <c r="C205" s="32" t="s">
        <v>679</v>
      </c>
      <c r="D205" s="32" t="s">
        <v>680</v>
      </c>
      <c r="E205" s="32">
        <v>1986</v>
      </c>
      <c r="F205" s="32" t="s">
        <v>19</v>
      </c>
      <c r="G205" s="32" t="s">
        <v>767</v>
      </c>
      <c r="H205" s="32" t="s">
        <v>767</v>
      </c>
      <c r="I205" s="32" t="s">
        <v>851</v>
      </c>
      <c r="J205" s="32">
        <v>6199</v>
      </c>
      <c r="K205" s="32">
        <v>0</v>
      </c>
      <c r="L205" s="32">
        <v>0</v>
      </c>
      <c r="M205" s="32">
        <v>0</v>
      </c>
      <c r="N205" s="32">
        <v>9871</v>
      </c>
      <c r="O205" s="32">
        <v>0</v>
      </c>
      <c r="P205" s="32">
        <v>0</v>
      </c>
      <c r="Q205" s="43">
        <f t="shared" ref="Q205:Q268" si="6">SUM(J205:P205)</f>
        <v>16070</v>
      </c>
      <c r="R205" s="69">
        <f t="shared" si="5"/>
        <v>13659.5</v>
      </c>
      <c r="S205" s="30"/>
      <c r="T205" s="30"/>
    </row>
    <row r="206" spans="1:20" ht="45" customHeight="1" x14ac:dyDescent="0.3">
      <c r="A206" s="36">
        <v>194</v>
      </c>
      <c r="B206" s="32" t="s">
        <v>582</v>
      </c>
      <c r="C206" s="32" t="s">
        <v>681</v>
      </c>
      <c r="D206" s="32" t="s">
        <v>429</v>
      </c>
      <c r="E206" s="32">
        <v>2024</v>
      </c>
      <c r="F206" s="32" t="s">
        <v>18</v>
      </c>
      <c r="G206" s="32" t="s">
        <v>494</v>
      </c>
      <c r="H206" s="32" t="s">
        <v>531</v>
      </c>
      <c r="I206" s="32" t="s">
        <v>570</v>
      </c>
      <c r="J206" s="32">
        <v>0</v>
      </c>
      <c r="K206" s="32">
        <f>6278+4484+1346</f>
        <v>12108</v>
      </c>
      <c r="L206" s="32">
        <v>0</v>
      </c>
      <c r="M206" s="32">
        <v>0</v>
      </c>
      <c r="N206" s="32">
        <f>3148+3179</f>
        <v>6327</v>
      </c>
      <c r="O206" s="32">
        <v>0</v>
      </c>
      <c r="P206" s="32">
        <v>1200</v>
      </c>
      <c r="Q206" s="43">
        <f t="shared" si="6"/>
        <v>19635</v>
      </c>
      <c r="R206" s="69">
        <f t="shared" ref="R206:R269" si="7">Q206*85/100</f>
        <v>16689.75</v>
      </c>
      <c r="S206" s="30"/>
      <c r="T206" s="30"/>
    </row>
    <row r="207" spans="1:20" ht="45" customHeight="1" x14ac:dyDescent="0.3">
      <c r="A207" s="31">
        <v>195</v>
      </c>
      <c r="B207" s="32" t="s">
        <v>582</v>
      </c>
      <c r="C207" s="32" t="s">
        <v>681</v>
      </c>
      <c r="D207" s="32" t="s">
        <v>429</v>
      </c>
      <c r="E207" s="32">
        <v>2024</v>
      </c>
      <c r="F207" s="32" t="s">
        <v>18</v>
      </c>
      <c r="G207" s="32" t="s">
        <v>494</v>
      </c>
      <c r="H207" s="32" t="s">
        <v>531</v>
      </c>
      <c r="I207" s="32" t="s">
        <v>570</v>
      </c>
      <c r="J207" s="32">
        <v>0</v>
      </c>
      <c r="K207" s="32">
        <v>0</v>
      </c>
      <c r="L207" s="32">
        <v>0</v>
      </c>
      <c r="M207" s="32">
        <v>17688</v>
      </c>
      <c r="N207" s="32">
        <v>2088</v>
      </c>
      <c r="O207" s="32">
        <v>0</v>
      </c>
      <c r="P207" s="32">
        <f>360+56</f>
        <v>416</v>
      </c>
      <c r="Q207" s="43">
        <f t="shared" si="6"/>
        <v>20192</v>
      </c>
      <c r="R207" s="69">
        <f t="shared" si="7"/>
        <v>17163.2</v>
      </c>
      <c r="S207" s="30"/>
      <c r="T207" s="30"/>
    </row>
    <row r="208" spans="1:20" ht="45" customHeight="1" x14ac:dyDescent="0.3">
      <c r="A208" s="31">
        <v>196</v>
      </c>
      <c r="B208" s="32" t="s">
        <v>582</v>
      </c>
      <c r="C208" s="32" t="s">
        <v>682</v>
      </c>
      <c r="D208" s="32" t="s">
        <v>683</v>
      </c>
      <c r="E208" s="32">
        <v>2013</v>
      </c>
      <c r="F208" s="32" t="s">
        <v>19</v>
      </c>
      <c r="G208" s="32" t="s">
        <v>768</v>
      </c>
      <c r="H208" s="32" t="s">
        <v>814</v>
      </c>
      <c r="I208" s="32" t="s">
        <v>852</v>
      </c>
      <c r="J208" s="32">
        <v>3582</v>
      </c>
      <c r="K208" s="32">
        <v>0</v>
      </c>
      <c r="L208" s="32">
        <v>0</v>
      </c>
      <c r="M208" s="32">
        <v>0</v>
      </c>
      <c r="N208" s="32">
        <f>15443+21194+13563</f>
        <v>50200</v>
      </c>
      <c r="O208" s="32">
        <v>0</v>
      </c>
      <c r="P208" s="32">
        <v>0</v>
      </c>
      <c r="Q208" s="43">
        <f t="shared" si="6"/>
        <v>53782</v>
      </c>
      <c r="R208" s="69">
        <f t="shared" si="7"/>
        <v>45714.7</v>
      </c>
      <c r="S208" s="30"/>
      <c r="T208" s="30"/>
    </row>
    <row r="209" spans="1:20" ht="45" customHeight="1" x14ac:dyDescent="0.3">
      <c r="A209" s="36">
        <v>197</v>
      </c>
      <c r="B209" s="32" t="s">
        <v>582</v>
      </c>
      <c r="C209" s="32" t="s">
        <v>684</v>
      </c>
      <c r="D209" s="32" t="s">
        <v>685</v>
      </c>
      <c r="E209" s="32">
        <v>1989</v>
      </c>
      <c r="F209" s="32" t="s">
        <v>19</v>
      </c>
      <c r="G209" s="32" t="s">
        <v>769</v>
      </c>
      <c r="H209" s="32" t="s">
        <v>769</v>
      </c>
      <c r="I209" s="32" t="s">
        <v>853</v>
      </c>
      <c r="J209" s="32">
        <v>6199</v>
      </c>
      <c r="K209" s="32">
        <v>0</v>
      </c>
      <c r="L209" s="32">
        <v>0</v>
      </c>
      <c r="M209" s="32">
        <v>0</v>
      </c>
      <c r="N209" s="32">
        <v>0</v>
      </c>
      <c r="O209" s="32">
        <v>0</v>
      </c>
      <c r="P209" s="32">
        <v>0</v>
      </c>
      <c r="Q209" s="43">
        <f t="shared" si="6"/>
        <v>6199</v>
      </c>
      <c r="R209" s="69">
        <f t="shared" si="7"/>
        <v>5269.15</v>
      </c>
      <c r="S209" s="30"/>
      <c r="T209" s="30"/>
    </row>
    <row r="210" spans="1:20" ht="45" customHeight="1" x14ac:dyDescent="0.3">
      <c r="A210" s="31">
        <v>198</v>
      </c>
      <c r="B210" s="32" t="s">
        <v>582</v>
      </c>
      <c r="C210" s="32" t="s">
        <v>686</v>
      </c>
      <c r="D210" s="32" t="s">
        <v>687</v>
      </c>
      <c r="E210" s="32">
        <v>2008</v>
      </c>
      <c r="F210" s="32" t="s">
        <v>19</v>
      </c>
      <c r="G210" s="32" t="s">
        <v>770</v>
      </c>
      <c r="H210" s="32" t="s">
        <v>815</v>
      </c>
      <c r="I210" s="32" t="s">
        <v>26</v>
      </c>
      <c r="J210" s="32">
        <v>6199</v>
      </c>
      <c r="K210" s="32">
        <f>1346+6278+4484+1166</f>
        <v>13274</v>
      </c>
      <c r="L210" s="32">
        <v>0</v>
      </c>
      <c r="M210" s="32">
        <v>0</v>
      </c>
      <c r="N210" s="32">
        <v>1793</v>
      </c>
      <c r="O210" s="32">
        <v>0</v>
      </c>
      <c r="P210" s="32">
        <v>0</v>
      </c>
      <c r="Q210" s="43">
        <f t="shared" si="6"/>
        <v>21266</v>
      </c>
      <c r="R210" s="69">
        <f t="shared" si="7"/>
        <v>18076.099999999999</v>
      </c>
      <c r="S210" s="30"/>
      <c r="T210" s="30"/>
    </row>
    <row r="211" spans="1:20" ht="45" customHeight="1" x14ac:dyDescent="0.3">
      <c r="A211" s="31">
        <v>199</v>
      </c>
      <c r="B211" s="32" t="s">
        <v>582</v>
      </c>
      <c r="C211" s="32" t="s">
        <v>688</v>
      </c>
      <c r="D211" s="32" t="s">
        <v>689</v>
      </c>
      <c r="E211" s="32">
        <v>2001</v>
      </c>
      <c r="F211" s="32" t="s">
        <v>18</v>
      </c>
      <c r="G211" s="32" t="s">
        <v>771</v>
      </c>
      <c r="H211" s="32" t="s">
        <v>771</v>
      </c>
      <c r="I211" s="32" t="s">
        <v>854</v>
      </c>
      <c r="J211" s="32">
        <v>6199</v>
      </c>
      <c r="K211" s="32">
        <v>0</v>
      </c>
      <c r="L211" s="32">
        <v>13298</v>
      </c>
      <c r="M211" s="32">
        <v>0</v>
      </c>
      <c r="N211" s="32">
        <v>0</v>
      </c>
      <c r="O211" s="32">
        <v>0</v>
      </c>
      <c r="P211" s="32">
        <v>0</v>
      </c>
      <c r="Q211" s="43">
        <f t="shared" si="6"/>
        <v>19497</v>
      </c>
      <c r="R211" s="69">
        <f t="shared" si="7"/>
        <v>16572.45</v>
      </c>
      <c r="S211" s="30"/>
      <c r="T211" s="30"/>
    </row>
    <row r="212" spans="1:20" ht="45" customHeight="1" x14ac:dyDescent="0.3">
      <c r="A212" s="36">
        <v>200</v>
      </c>
      <c r="B212" s="32" t="s">
        <v>582</v>
      </c>
      <c r="C212" s="32" t="s">
        <v>690</v>
      </c>
      <c r="D212" s="32" t="s">
        <v>691</v>
      </c>
      <c r="E212" s="32">
        <v>1971</v>
      </c>
      <c r="F212" s="32" t="s">
        <v>18</v>
      </c>
      <c r="G212" s="32" t="s">
        <v>772</v>
      </c>
      <c r="H212" s="32" t="s">
        <v>772</v>
      </c>
      <c r="I212" s="32" t="s">
        <v>855</v>
      </c>
      <c r="J212" s="32">
        <v>6199</v>
      </c>
      <c r="K212" s="32">
        <v>0</v>
      </c>
      <c r="L212" s="32">
        <v>0</v>
      </c>
      <c r="M212" s="32">
        <v>0</v>
      </c>
      <c r="N212" s="32">
        <v>0</v>
      </c>
      <c r="O212" s="32">
        <v>0</v>
      </c>
      <c r="P212" s="32">
        <v>0</v>
      </c>
      <c r="Q212" s="43">
        <f t="shared" si="6"/>
        <v>6199</v>
      </c>
      <c r="R212" s="69">
        <f t="shared" si="7"/>
        <v>5269.15</v>
      </c>
      <c r="S212" s="30"/>
      <c r="T212" s="30"/>
    </row>
    <row r="213" spans="1:20" ht="45" customHeight="1" x14ac:dyDescent="0.3">
      <c r="A213" s="31">
        <v>201</v>
      </c>
      <c r="B213" s="32" t="s">
        <v>582</v>
      </c>
      <c r="C213" s="32" t="s">
        <v>692</v>
      </c>
      <c r="D213" s="32" t="s">
        <v>693</v>
      </c>
      <c r="E213" s="32">
        <v>1995</v>
      </c>
      <c r="F213" s="32" t="s">
        <v>18</v>
      </c>
      <c r="G213" s="32" t="s">
        <v>773</v>
      </c>
      <c r="H213" s="32" t="s">
        <v>773</v>
      </c>
      <c r="I213" s="32" t="s">
        <v>856</v>
      </c>
      <c r="J213" s="32">
        <v>3582</v>
      </c>
      <c r="K213" s="32">
        <v>0</v>
      </c>
      <c r="L213" s="32">
        <v>0</v>
      </c>
      <c r="M213" s="32">
        <v>0</v>
      </c>
      <c r="N213" s="32">
        <v>0</v>
      </c>
      <c r="O213" s="32">
        <v>0</v>
      </c>
      <c r="P213" s="32">
        <v>0</v>
      </c>
      <c r="Q213" s="43">
        <f t="shared" si="6"/>
        <v>3582</v>
      </c>
      <c r="R213" s="69">
        <f t="shared" si="7"/>
        <v>3044.7</v>
      </c>
      <c r="S213" s="30"/>
      <c r="T213" s="30"/>
    </row>
    <row r="214" spans="1:20" ht="45" customHeight="1" x14ac:dyDescent="0.3">
      <c r="A214" s="31">
        <v>202</v>
      </c>
      <c r="B214" s="32" t="s">
        <v>582</v>
      </c>
      <c r="C214" s="32" t="s">
        <v>694</v>
      </c>
      <c r="D214" s="32" t="s">
        <v>695</v>
      </c>
      <c r="E214" s="32">
        <v>1996</v>
      </c>
      <c r="F214" s="32" t="s">
        <v>19</v>
      </c>
      <c r="G214" s="32" t="s">
        <v>774</v>
      </c>
      <c r="H214" s="32" t="s">
        <v>774</v>
      </c>
      <c r="I214" s="32" t="s">
        <v>857</v>
      </c>
      <c r="J214" s="32">
        <v>3582</v>
      </c>
      <c r="K214" s="32">
        <v>0</v>
      </c>
      <c r="L214" s="32">
        <v>0</v>
      </c>
      <c r="M214" s="32">
        <v>0</v>
      </c>
      <c r="N214" s="32">
        <f>34016+27380</f>
        <v>61396</v>
      </c>
      <c r="O214" s="32">
        <v>0</v>
      </c>
      <c r="P214" s="32">
        <v>0</v>
      </c>
      <c r="Q214" s="43">
        <f t="shared" si="6"/>
        <v>64978</v>
      </c>
      <c r="R214" s="69">
        <f t="shared" si="7"/>
        <v>55231.3</v>
      </c>
      <c r="S214" s="30"/>
      <c r="T214" s="30"/>
    </row>
    <row r="215" spans="1:20" ht="45" customHeight="1" x14ac:dyDescent="0.3">
      <c r="A215" s="36">
        <v>203</v>
      </c>
      <c r="B215" s="32" t="s">
        <v>582</v>
      </c>
      <c r="C215" s="32" t="s">
        <v>696</v>
      </c>
      <c r="D215" s="32" t="s">
        <v>697</v>
      </c>
      <c r="E215" s="32">
        <v>1990</v>
      </c>
      <c r="F215" s="32" t="s">
        <v>18</v>
      </c>
      <c r="G215" s="32" t="s">
        <v>775</v>
      </c>
      <c r="H215" s="32" t="s">
        <v>775</v>
      </c>
      <c r="I215" s="32" t="s">
        <v>858</v>
      </c>
      <c r="J215" s="32">
        <v>6199</v>
      </c>
      <c r="K215" s="32">
        <v>0</v>
      </c>
      <c r="L215" s="32">
        <v>0</v>
      </c>
      <c r="M215" s="32">
        <v>0</v>
      </c>
      <c r="N215" s="32">
        <v>0</v>
      </c>
      <c r="O215" s="32">
        <v>0</v>
      </c>
      <c r="P215" s="32">
        <v>0</v>
      </c>
      <c r="Q215" s="43">
        <f t="shared" si="6"/>
        <v>6199</v>
      </c>
      <c r="R215" s="69">
        <f t="shared" si="7"/>
        <v>5269.15</v>
      </c>
      <c r="S215" s="30"/>
      <c r="T215" s="30"/>
    </row>
    <row r="216" spans="1:20" ht="45" customHeight="1" x14ac:dyDescent="0.3">
      <c r="A216" s="31">
        <v>204</v>
      </c>
      <c r="B216" s="32" t="s">
        <v>582</v>
      </c>
      <c r="C216" s="32" t="s">
        <v>698</v>
      </c>
      <c r="D216" s="32" t="s">
        <v>699</v>
      </c>
      <c r="E216" s="32">
        <v>1986</v>
      </c>
      <c r="F216" s="32" t="s">
        <v>18</v>
      </c>
      <c r="G216" s="32" t="s">
        <v>776</v>
      </c>
      <c r="H216" s="32" t="s">
        <v>776</v>
      </c>
      <c r="I216" s="32" t="s">
        <v>300</v>
      </c>
      <c r="J216" s="32">
        <v>3793</v>
      </c>
      <c r="K216" s="32">
        <v>0</v>
      </c>
      <c r="L216" s="32">
        <v>0</v>
      </c>
      <c r="M216" s="32">
        <v>0</v>
      </c>
      <c r="N216" s="32">
        <v>0</v>
      </c>
      <c r="O216" s="32">
        <v>0</v>
      </c>
      <c r="P216" s="32">
        <v>0</v>
      </c>
      <c r="Q216" s="43">
        <f t="shared" si="6"/>
        <v>3793</v>
      </c>
      <c r="R216" s="69">
        <f t="shared" si="7"/>
        <v>3224.05</v>
      </c>
      <c r="S216" s="30"/>
      <c r="T216" s="30"/>
    </row>
    <row r="217" spans="1:20" ht="45" customHeight="1" x14ac:dyDescent="0.3">
      <c r="A217" s="31">
        <v>205</v>
      </c>
      <c r="B217" s="32" t="s">
        <v>582</v>
      </c>
      <c r="C217" s="32" t="s">
        <v>700</v>
      </c>
      <c r="D217" s="32" t="s">
        <v>701</v>
      </c>
      <c r="E217" s="32">
        <v>2025</v>
      </c>
      <c r="F217" s="32" t="s">
        <v>18</v>
      </c>
      <c r="G217" s="32" t="s">
        <v>777</v>
      </c>
      <c r="H217" s="32" t="s">
        <v>816</v>
      </c>
      <c r="I217" s="32" t="s">
        <v>570</v>
      </c>
      <c r="J217" s="32">
        <v>6199</v>
      </c>
      <c r="K217" s="32">
        <f>1346+6278+4484+4484+2332+2332+2332+2332+2332+2332+6995+6995+2332+6995</f>
        <v>53901</v>
      </c>
      <c r="L217" s="32">
        <v>0</v>
      </c>
      <c r="M217" s="32">
        <v>0</v>
      </c>
      <c r="N217" s="32">
        <v>3148</v>
      </c>
      <c r="O217" s="32">
        <v>0</v>
      </c>
      <c r="P217" s="32">
        <v>0</v>
      </c>
      <c r="Q217" s="43">
        <f t="shared" si="6"/>
        <v>63248</v>
      </c>
      <c r="R217" s="69">
        <f t="shared" si="7"/>
        <v>53760.800000000003</v>
      </c>
      <c r="S217" s="30"/>
      <c r="T217" s="30"/>
    </row>
    <row r="218" spans="1:20" ht="45" customHeight="1" x14ac:dyDescent="0.3">
      <c r="A218" s="36">
        <v>206</v>
      </c>
      <c r="B218" s="32" t="s">
        <v>582</v>
      </c>
      <c r="C218" s="32" t="s">
        <v>702</v>
      </c>
      <c r="D218" s="32" t="s">
        <v>703</v>
      </c>
      <c r="E218" s="32">
        <v>2022</v>
      </c>
      <c r="F218" s="32" t="s">
        <v>18</v>
      </c>
      <c r="G218" s="32" t="s">
        <v>778</v>
      </c>
      <c r="H218" s="32" t="s">
        <v>817</v>
      </c>
      <c r="I218" s="32" t="s">
        <v>859</v>
      </c>
      <c r="J218" s="32">
        <v>6199</v>
      </c>
      <c r="K218" s="32">
        <f>1346+6278+4484</f>
        <v>12108</v>
      </c>
      <c r="L218" s="32">
        <v>0</v>
      </c>
      <c r="M218" s="32">
        <v>0</v>
      </c>
      <c r="N218" s="32">
        <v>3148</v>
      </c>
      <c r="O218" s="32">
        <v>0</v>
      </c>
      <c r="P218" s="32">
        <v>0</v>
      </c>
      <c r="Q218" s="43">
        <f t="shared" si="6"/>
        <v>21455</v>
      </c>
      <c r="R218" s="69">
        <f t="shared" si="7"/>
        <v>18236.75</v>
      </c>
      <c r="S218" s="30"/>
      <c r="T218" s="30"/>
    </row>
    <row r="219" spans="1:20" ht="45" customHeight="1" x14ac:dyDescent="0.3">
      <c r="A219" s="31">
        <v>207</v>
      </c>
      <c r="B219" s="32" t="s">
        <v>582</v>
      </c>
      <c r="C219" s="32" t="s">
        <v>704</v>
      </c>
      <c r="D219" s="32" t="s">
        <v>705</v>
      </c>
      <c r="E219" s="32">
        <v>2018</v>
      </c>
      <c r="F219" s="32" t="s">
        <v>19</v>
      </c>
      <c r="G219" s="32" t="s">
        <v>779</v>
      </c>
      <c r="H219" s="32" t="s">
        <v>818</v>
      </c>
      <c r="I219" s="32" t="s">
        <v>300</v>
      </c>
      <c r="J219" s="32">
        <v>6199</v>
      </c>
      <c r="K219" s="32">
        <v>0</v>
      </c>
      <c r="L219" s="32">
        <v>0</v>
      </c>
      <c r="M219" s="32">
        <v>0</v>
      </c>
      <c r="N219" s="32">
        <v>0</v>
      </c>
      <c r="O219" s="32">
        <v>0</v>
      </c>
      <c r="P219" s="32">
        <v>0</v>
      </c>
      <c r="Q219" s="43">
        <f t="shared" si="6"/>
        <v>6199</v>
      </c>
      <c r="R219" s="69">
        <f t="shared" si="7"/>
        <v>5269.15</v>
      </c>
      <c r="S219" s="30"/>
      <c r="T219" s="30"/>
    </row>
    <row r="220" spans="1:20" ht="45" customHeight="1" x14ac:dyDescent="0.3">
      <c r="A220" s="31">
        <v>208</v>
      </c>
      <c r="B220" s="32" t="s">
        <v>582</v>
      </c>
      <c r="C220" s="32" t="s">
        <v>706</v>
      </c>
      <c r="D220" s="32" t="s">
        <v>707</v>
      </c>
      <c r="E220" s="32">
        <v>1995</v>
      </c>
      <c r="F220" s="32" t="s">
        <v>19</v>
      </c>
      <c r="G220" s="32" t="s">
        <v>780</v>
      </c>
      <c r="H220" s="32" t="s">
        <v>819</v>
      </c>
      <c r="I220" s="32" t="s">
        <v>860</v>
      </c>
      <c r="J220" s="32">
        <v>6199</v>
      </c>
      <c r="K220" s="32">
        <v>0</v>
      </c>
      <c r="L220" s="32">
        <v>0</v>
      </c>
      <c r="M220" s="32">
        <v>0</v>
      </c>
      <c r="N220" s="32">
        <v>0</v>
      </c>
      <c r="O220" s="32">
        <v>0</v>
      </c>
      <c r="P220" s="32">
        <v>0</v>
      </c>
      <c r="Q220" s="43">
        <f t="shared" si="6"/>
        <v>6199</v>
      </c>
      <c r="R220" s="69">
        <f t="shared" si="7"/>
        <v>5269.15</v>
      </c>
      <c r="S220" s="30"/>
      <c r="T220" s="30"/>
    </row>
    <row r="221" spans="1:20" ht="45" customHeight="1" x14ac:dyDescent="0.3">
      <c r="A221" s="36">
        <v>209</v>
      </c>
      <c r="B221" s="32" t="s">
        <v>582</v>
      </c>
      <c r="C221" s="32" t="s">
        <v>708</v>
      </c>
      <c r="D221" s="32" t="s">
        <v>709</v>
      </c>
      <c r="E221" s="32">
        <v>2023</v>
      </c>
      <c r="F221" s="32" t="s">
        <v>18</v>
      </c>
      <c r="G221" s="32" t="s">
        <v>781</v>
      </c>
      <c r="H221" s="32" t="s">
        <v>820</v>
      </c>
      <c r="I221" s="32" t="s">
        <v>20</v>
      </c>
      <c r="J221" s="32">
        <v>6199</v>
      </c>
      <c r="K221" s="32">
        <f>1346+6278+4484</f>
        <v>12108</v>
      </c>
      <c r="L221" s="32">
        <v>0</v>
      </c>
      <c r="M221" s="32">
        <v>0</v>
      </c>
      <c r="N221" s="32">
        <v>3148</v>
      </c>
      <c r="O221" s="32">
        <v>0</v>
      </c>
      <c r="P221" s="32">
        <v>0</v>
      </c>
      <c r="Q221" s="43">
        <f t="shared" si="6"/>
        <v>21455</v>
      </c>
      <c r="R221" s="69">
        <f t="shared" si="7"/>
        <v>18236.75</v>
      </c>
      <c r="S221" s="30"/>
      <c r="T221" s="30"/>
    </row>
    <row r="222" spans="1:20" ht="45" customHeight="1" x14ac:dyDescent="0.3">
      <c r="A222" s="31">
        <v>210</v>
      </c>
      <c r="B222" s="32" t="s">
        <v>582</v>
      </c>
      <c r="C222" s="32" t="s">
        <v>710</v>
      </c>
      <c r="D222" s="32" t="s">
        <v>711</v>
      </c>
      <c r="E222" s="32">
        <v>2022</v>
      </c>
      <c r="F222" s="32" t="s">
        <v>18</v>
      </c>
      <c r="G222" s="32" t="s">
        <v>782</v>
      </c>
      <c r="H222" s="32" t="s">
        <v>821</v>
      </c>
      <c r="I222" s="32" t="s">
        <v>861</v>
      </c>
      <c r="J222" s="32">
        <v>6199</v>
      </c>
      <c r="K222" s="32">
        <f>1346+6278+4484</f>
        <v>12108</v>
      </c>
      <c r="L222" s="32">
        <v>0</v>
      </c>
      <c r="M222" s="32">
        <v>0</v>
      </c>
      <c r="N222" s="32">
        <v>3148</v>
      </c>
      <c r="O222" s="32">
        <v>0</v>
      </c>
      <c r="P222" s="32">
        <v>0</v>
      </c>
      <c r="Q222" s="43">
        <f t="shared" si="6"/>
        <v>21455</v>
      </c>
      <c r="R222" s="69">
        <f t="shared" si="7"/>
        <v>18236.75</v>
      </c>
      <c r="S222" s="30"/>
      <c r="T222" s="30"/>
    </row>
    <row r="223" spans="1:20" ht="45" customHeight="1" x14ac:dyDescent="0.3">
      <c r="A223" s="31">
        <v>211</v>
      </c>
      <c r="B223" s="32" t="s">
        <v>582</v>
      </c>
      <c r="C223" s="32" t="s">
        <v>712</v>
      </c>
      <c r="D223" s="32" t="s">
        <v>713</v>
      </c>
      <c r="E223" s="32">
        <v>1989</v>
      </c>
      <c r="F223" s="32" t="s">
        <v>19</v>
      </c>
      <c r="G223" s="32" t="s">
        <v>783</v>
      </c>
      <c r="H223" s="32" t="s">
        <v>783</v>
      </c>
      <c r="I223" s="32" t="s">
        <v>293</v>
      </c>
      <c r="J223" s="32">
        <v>6199</v>
      </c>
      <c r="K223" s="32">
        <v>0</v>
      </c>
      <c r="L223" s="32">
        <v>0</v>
      </c>
      <c r="M223" s="32">
        <v>0</v>
      </c>
      <c r="N223" s="32">
        <v>0</v>
      </c>
      <c r="O223" s="32">
        <v>0</v>
      </c>
      <c r="P223" s="32">
        <v>0</v>
      </c>
      <c r="Q223" s="43">
        <f t="shared" si="6"/>
        <v>6199</v>
      </c>
      <c r="R223" s="69">
        <f t="shared" si="7"/>
        <v>5269.15</v>
      </c>
      <c r="S223" s="30"/>
      <c r="T223" s="30"/>
    </row>
    <row r="224" spans="1:20" ht="45" customHeight="1" x14ac:dyDescent="0.3">
      <c r="A224" s="36">
        <v>212</v>
      </c>
      <c r="B224" s="32" t="s">
        <v>582</v>
      </c>
      <c r="C224" s="32" t="s">
        <v>714</v>
      </c>
      <c r="D224" s="32" t="s">
        <v>715</v>
      </c>
      <c r="E224" s="32">
        <v>2024</v>
      </c>
      <c r="F224" s="32" t="s">
        <v>18</v>
      </c>
      <c r="G224" s="32" t="s">
        <v>784</v>
      </c>
      <c r="H224" s="32" t="s">
        <v>822</v>
      </c>
      <c r="I224" s="32" t="s">
        <v>293</v>
      </c>
      <c r="J224" s="32">
        <v>6199</v>
      </c>
      <c r="K224" s="32">
        <f>1346+6278+4484</f>
        <v>12108</v>
      </c>
      <c r="L224" s="32">
        <v>0</v>
      </c>
      <c r="M224" s="32">
        <v>0</v>
      </c>
      <c r="N224" s="32">
        <v>3148</v>
      </c>
      <c r="O224" s="32">
        <v>0</v>
      </c>
      <c r="P224" s="32">
        <v>0</v>
      </c>
      <c r="Q224" s="43">
        <f t="shared" si="6"/>
        <v>21455</v>
      </c>
      <c r="R224" s="69">
        <f t="shared" si="7"/>
        <v>18236.75</v>
      </c>
      <c r="S224" s="30"/>
      <c r="T224" s="30"/>
    </row>
    <row r="225" spans="1:20" ht="45" customHeight="1" x14ac:dyDescent="0.3">
      <c r="A225" s="31">
        <v>213</v>
      </c>
      <c r="B225" s="32" t="s">
        <v>582</v>
      </c>
      <c r="C225" s="32" t="s">
        <v>716</v>
      </c>
      <c r="D225" s="32" t="s">
        <v>717</v>
      </c>
      <c r="E225" s="32">
        <v>2012</v>
      </c>
      <c r="F225" s="32" t="s">
        <v>18</v>
      </c>
      <c r="G225" s="32" t="s">
        <v>785</v>
      </c>
      <c r="H225" s="32" t="s">
        <v>823</v>
      </c>
      <c r="I225" s="32" t="s">
        <v>862</v>
      </c>
      <c r="J225" s="32">
        <v>6199</v>
      </c>
      <c r="K225" s="32">
        <f>1346+6278+4484+2332+2332+2332+1166</f>
        <v>20270</v>
      </c>
      <c r="L225" s="32">
        <v>0</v>
      </c>
      <c r="M225" s="32">
        <v>0</v>
      </c>
      <c r="N225" s="32">
        <v>1793</v>
      </c>
      <c r="O225" s="32">
        <v>0</v>
      </c>
      <c r="P225" s="32">
        <v>0</v>
      </c>
      <c r="Q225" s="43">
        <f t="shared" si="6"/>
        <v>28262</v>
      </c>
      <c r="R225" s="69">
        <f t="shared" si="7"/>
        <v>24022.7</v>
      </c>
      <c r="S225" s="30"/>
      <c r="T225" s="30"/>
    </row>
    <row r="226" spans="1:20" ht="45" customHeight="1" x14ac:dyDescent="0.3">
      <c r="A226" s="31">
        <v>214</v>
      </c>
      <c r="B226" s="32" t="s">
        <v>582</v>
      </c>
      <c r="C226" s="32" t="s">
        <v>718</v>
      </c>
      <c r="D226" s="32" t="s">
        <v>719</v>
      </c>
      <c r="E226" s="32">
        <v>1980</v>
      </c>
      <c r="F226" s="32" t="s">
        <v>18</v>
      </c>
      <c r="G226" s="32" t="s">
        <v>786</v>
      </c>
      <c r="H226" s="32" t="s">
        <v>786</v>
      </c>
      <c r="I226" s="32" t="s">
        <v>843</v>
      </c>
      <c r="J226" s="32">
        <v>3793</v>
      </c>
      <c r="K226" s="32">
        <v>0</v>
      </c>
      <c r="L226" s="32">
        <v>0</v>
      </c>
      <c r="M226" s="32">
        <v>0</v>
      </c>
      <c r="N226" s="32">
        <v>0</v>
      </c>
      <c r="O226" s="32">
        <v>0</v>
      </c>
      <c r="P226" s="32">
        <v>0</v>
      </c>
      <c r="Q226" s="43">
        <f t="shared" si="6"/>
        <v>3793</v>
      </c>
      <c r="R226" s="69">
        <f t="shared" si="7"/>
        <v>3224.05</v>
      </c>
      <c r="S226" s="30"/>
      <c r="T226" s="30"/>
    </row>
    <row r="227" spans="1:20" ht="45" customHeight="1" x14ac:dyDescent="0.3">
      <c r="A227" s="36">
        <v>215</v>
      </c>
      <c r="B227" s="32" t="s">
        <v>582</v>
      </c>
      <c r="C227" s="32" t="s">
        <v>7355</v>
      </c>
      <c r="D227" s="34" t="s">
        <v>2641</v>
      </c>
      <c r="E227" s="32">
        <v>2023</v>
      </c>
      <c r="F227" s="32" t="s">
        <v>19</v>
      </c>
      <c r="G227" s="32" t="s">
        <v>2642</v>
      </c>
      <c r="H227" s="32" t="s">
        <v>2643</v>
      </c>
      <c r="I227" s="32" t="s">
        <v>2644</v>
      </c>
      <c r="J227" s="32">
        <v>3793</v>
      </c>
      <c r="K227" s="32">
        <f>1346+6278+4484+4484+2332+2332+2332+6995+6995+2332+6995+2332+2332+2332</f>
        <v>53901</v>
      </c>
      <c r="L227" s="32">
        <v>0</v>
      </c>
      <c r="M227" s="32">
        <v>0</v>
      </c>
      <c r="N227" s="32">
        <f>3148+4053</f>
        <v>7201</v>
      </c>
      <c r="O227" s="32">
        <v>0</v>
      </c>
      <c r="P227" s="32">
        <f>720+1080+120</f>
        <v>1920</v>
      </c>
      <c r="Q227" s="43">
        <f t="shared" si="6"/>
        <v>66815</v>
      </c>
      <c r="R227" s="69">
        <f t="shared" si="7"/>
        <v>56792.75</v>
      </c>
      <c r="S227" s="30"/>
      <c r="T227" s="30"/>
    </row>
    <row r="228" spans="1:20" ht="45" customHeight="1" x14ac:dyDescent="0.3">
      <c r="A228" s="31">
        <v>216</v>
      </c>
      <c r="B228" s="32" t="s">
        <v>582</v>
      </c>
      <c r="C228" s="32" t="s">
        <v>7355</v>
      </c>
      <c r="D228" s="34" t="s">
        <v>2641</v>
      </c>
      <c r="E228" s="32">
        <v>2023</v>
      </c>
      <c r="F228" s="32" t="s">
        <v>19</v>
      </c>
      <c r="G228" s="32" t="s">
        <v>2642</v>
      </c>
      <c r="H228" s="32" t="s">
        <v>2643</v>
      </c>
      <c r="I228" s="32" t="s">
        <v>2644</v>
      </c>
      <c r="J228" s="32">
        <v>0</v>
      </c>
      <c r="K228" s="32">
        <v>0</v>
      </c>
      <c r="L228" s="32">
        <v>0</v>
      </c>
      <c r="M228" s="32">
        <v>17688</v>
      </c>
      <c r="N228" s="32">
        <v>4176</v>
      </c>
      <c r="O228" s="32">
        <v>0</v>
      </c>
      <c r="P228" s="32">
        <f>720+112</f>
        <v>832</v>
      </c>
      <c r="Q228" s="43">
        <f t="shared" si="6"/>
        <v>22696</v>
      </c>
      <c r="R228" s="69">
        <f t="shared" si="7"/>
        <v>19291.599999999999</v>
      </c>
      <c r="S228" s="30"/>
      <c r="T228" s="30"/>
    </row>
    <row r="229" spans="1:20" ht="45" customHeight="1" x14ac:dyDescent="0.3">
      <c r="A229" s="31">
        <v>217</v>
      </c>
      <c r="B229" s="32" t="s">
        <v>582</v>
      </c>
      <c r="C229" s="32" t="s">
        <v>7356</v>
      </c>
      <c r="D229" s="34" t="s">
        <v>2636</v>
      </c>
      <c r="E229" s="32">
        <v>2024</v>
      </c>
      <c r="F229" s="32" t="s">
        <v>18</v>
      </c>
      <c r="G229" s="32" t="s">
        <v>2637</v>
      </c>
      <c r="H229" s="32" t="s">
        <v>2638</v>
      </c>
      <c r="I229" s="32" t="s">
        <v>2639</v>
      </c>
      <c r="J229" s="32">
        <v>2900</v>
      </c>
      <c r="K229" s="32">
        <v>0</v>
      </c>
      <c r="L229" s="32">
        <v>0</v>
      </c>
      <c r="M229" s="32">
        <v>17688</v>
      </c>
      <c r="N229" s="32">
        <v>2088</v>
      </c>
      <c r="O229" s="32">
        <v>0</v>
      </c>
      <c r="P229" s="32">
        <f>60+1080+396+168</f>
        <v>1704</v>
      </c>
      <c r="Q229" s="43">
        <f t="shared" si="6"/>
        <v>24380</v>
      </c>
      <c r="R229" s="69">
        <f t="shared" si="7"/>
        <v>20723</v>
      </c>
      <c r="S229" s="30"/>
      <c r="T229" s="30"/>
    </row>
    <row r="230" spans="1:20" ht="45" customHeight="1" x14ac:dyDescent="0.3">
      <c r="A230" s="36">
        <v>218</v>
      </c>
      <c r="B230" s="32" t="s">
        <v>582</v>
      </c>
      <c r="C230" s="32" t="s">
        <v>7357</v>
      </c>
      <c r="D230" s="34" t="s">
        <v>311</v>
      </c>
      <c r="E230" s="32">
        <v>2025</v>
      </c>
      <c r="F230" s="32" t="s">
        <v>19</v>
      </c>
      <c r="G230" s="32" t="s">
        <v>437</v>
      </c>
      <c r="H230" s="32" t="s">
        <v>499</v>
      </c>
      <c r="I230" s="32" t="s">
        <v>300</v>
      </c>
      <c r="J230" s="32">
        <v>2900</v>
      </c>
      <c r="K230" s="32">
        <v>0</v>
      </c>
      <c r="L230" s="32">
        <v>0</v>
      </c>
      <c r="M230" s="32">
        <v>0</v>
      </c>
      <c r="N230" s="32">
        <v>2088</v>
      </c>
      <c r="O230" s="32">
        <v>0</v>
      </c>
      <c r="P230" s="32">
        <f>360+56</f>
        <v>416</v>
      </c>
      <c r="Q230" s="43">
        <f t="shared" si="6"/>
        <v>5404</v>
      </c>
      <c r="R230" s="69">
        <f t="shared" si="7"/>
        <v>4593.3999999999996</v>
      </c>
      <c r="S230" s="30"/>
      <c r="T230" s="30"/>
    </row>
    <row r="231" spans="1:20" ht="45" customHeight="1" x14ac:dyDescent="0.3">
      <c r="A231" s="31">
        <v>219</v>
      </c>
      <c r="B231" s="32" t="s">
        <v>582</v>
      </c>
      <c r="C231" s="32" t="s">
        <v>7358</v>
      </c>
      <c r="D231" s="34" t="s">
        <v>57</v>
      </c>
      <c r="E231" s="32">
        <v>2023</v>
      </c>
      <c r="F231" s="32" t="s">
        <v>19</v>
      </c>
      <c r="G231" s="32" t="s">
        <v>157</v>
      </c>
      <c r="H231" s="32" t="s">
        <v>216</v>
      </c>
      <c r="I231" s="32" t="s">
        <v>256</v>
      </c>
      <c r="J231" s="32">
        <v>2900</v>
      </c>
      <c r="K231" s="32">
        <v>0</v>
      </c>
      <c r="L231" s="32">
        <v>0</v>
      </c>
      <c r="M231" s="32">
        <v>0</v>
      </c>
      <c r="N231" s="32">
        <f>2088+1178</f>
        <v>3266</v>
      </c>
      <c r="O231" s="32">
        <v>0</v>
      </c>
      <c r="P231" s="32">
        <f>360+56+396</f>
        <v>812</v>
      </c>
      <c r="Q231" s="43">
        <f t="shared" si="6"/>
        <v>6978</v>
      </c>
      <c r="R231" s="69">
        <f t="shared" si="7"/>
        <v>5931.3</v>
      </c>
      <c r="S231" s="30"/>
      <c r="T231" s="30"/>
    </row>
    <row r="232" spans="1:20" ht="45" customHeight="1" x14ac:dyDescent="0.3">
      <c r="A232" s="31">
        <v>220</v>
      </c>
      <c r="B232" s="32" t="s">
        <v>582</v>
      </c>
      <c r="C232" s="32" t="s">
        <v>7359</v>
      </c>
      <c r="D232" s="34" t="s">
        <v>94</v>
      </c>
      <c r="E232" s="32">
        <v>2021</v>
      </c>
      <c r="F232" s="32" t="s">
        <v>18</v>
      </c>
      <c r="G232" s="32" t="s">
        <v>176</v>
      </c>
      <c r="H232" s="32" t="s">
        <v>227</v>
      </c>
      <c r="I232" s="32" t="s">
        <v>2645</v>
      </c>
      <c r="J232" s="32">
        <v>2900</v>
      </c>
      <c r="K232" s="32">
        <v>0</v>
      </c>
      <c r="L232" s="32">
        <v>0</v>
      </c>
      <c r="M232" s="32">
        <v>17688</v>
      </c>
      <c r="N232" s="32">
        <v>2088</v>
      </c>
      <c r="O232" s="32">
        <v>0</v>
      </c>
      <c r="P232" s="32">
        <f>1080+168</f>
        <v>1248</v>
      </c>
      <c r="Q232" s="43">
        <f t="shared" si="6"/>
        <v>23924</v>
      </c>
      <c r="R232" s="69">
        <f t="shared" si="7"/>
        <v>20335.400000000001</v>
      </c>
      <c r="S232" s="30"/>
      <c r="T232" s="30"/>
    </row>
    <row r="233" spans="1:20" ht="45" customHeight="1" x14ac:dyDescent="0.3">
      <c r="A233" s="36">
        <v>221</v>
      </c>
      <c r="B233" s="32" t="s">
        <v>582</v>
      </c>
      <c r="C233" s="32" t="s">
        <v>7360</v>
      </c>
      <c r="D233" s="34" t="s">
        <v>321</v>
      </c>
      <c r="E233" s="32">
        <v>2019</v>
      </c>
      <c r="F233" s="32" t="s">
        <v>18</v>
      </c>
      <c r="G233" s="32" t="s">
        <v>442</v>
      </c>
      <c r="H233" s="32" t="s">
        <v>503</v>
      </c>
      <c r="I233" s="32" t="s">
        <v>25</v>
      </c>
      <c r="J233" s="32">
        <v>2900</v>
      </c>
      <c r="K233" s="32">
        <v>0</v>
      </c>
      <c r="L233" s="32">
        <v>0</v>
      </c>
      <c r="M233" s="32">
        <v>17688</v>
      </c>
      <c r="N233" s="32">
        <v>2088</v>
      </c>
      <c r="O233" s="32">
        <v>0</v>
      </c>
      <c r="P233" s="32">
        <f>1080+168</f>
        <v>1248</v>
      </c>
      <c r="Q233" s="43">
        <f t="shared" si="6"/>
        <v>23924</v>
      </c>
      <c r="R233" s="69">
        <f t="shared" si="7"/>
        <v>20335.400000000001</v>
      </c>
      <c r="S233" s="30"/>
      <c r="T233" s="30"/>
    </row>
    <row r="234" spans="1:20" ht="45" customHeight="1" x14ac:dyDescent="0.3">
      <c r="A234" s="31">
        <v>222</v>
      </c>
      <c r="B234" s="32" t="s">
        <v>582</v>
      </c>
      <c r="C234" s="32" t="s">
        <v>7178</v>
      </c>
      <c r="D234" s="34" t="s">
        <v>332</v>
      </c>
      <c r="E234" s="32">
        <v>2025</v>
      </c>
      <c r="F234" s="32" t="s">
        <v>18</v>
      </c>
      <c r="G234" s="32" t="s">
        <v>447</v>
      </c>
      <c r="H234" s="32" t="s">
        <v>504</v>
      </c>
      <c r="I234" s="32" t="s">
        <v>544</v>
      </c>
      <c r="J234" s="32">
        <v>2900</v>
      </c>
      <c r="K234" s="32">
        <v>0</v>
      </c>
      <c r="L234" s="32">
        <v>0</v>
      </c>
      <c r="M234" s="32">
        <v>17688</v>
      </c>
      <c r="N234" s="32">
        <v>2088</v>
      </c>
      <c r="O234" s="32">
        <v>0</v>
      </c>
      <c r="P234" s="32">
        <f>1080+168</f>
        <v>1248</v>
      </c>
      <c r="Q234" s="43">
        <f t="shared" si="6"/>
        <v>23924</v>
      </c>
      <c r="R234" s="69">
        <f t="shared" si="7"/>
        <v>20335.400000000001</v>
      </c>
      <c r="S234" s="30"/>
      <c r="T234" s="30"/>
    </row>
    <row r="235" spans="1:20" ht="45" customHeight="1" x14ac:dyDescent="0.3">
      <c r="A235" s="31">
        <v>223</v>
      </c>
      <c r="B235" s="32" t="s">
        <v>863</v>
      </c>
      <c r="C235" s="32" t="s">
        <v>864</v>
      </c>
      <c r="D235" s="32" t="s">
        <v>865</v>
      </c>
      <c r="E235" s="32">
        <v>2023</v>
      </c>
      <c r="F235" s="32" t="s">
        <v>19</v>
      </c>
      <c r="G235" s="32" t="s">
        <v>966</v>
      </c>
      <c r="H235" s="32" t="s">
        <v>1015</v>
      </c>
      <c r="I235" s="32" t="s">
        <v>1046</v>
      </c>
      <c r="J235" s="32">
        <v>6199</v>
      </c>
      <c r="K235" s="32">
        <f>6278+4484+4484+1346+2332+2332+2332+2332+2332+2332+6995+6995+2332+6995</f>
        <v>53901</v>
      </c>
      <c r="L235" s="32">
        <v>0</v>
      </c>
      <c r="M235" s="32">
        <v>0</v>
      </c>
      <c r="N235" s="32">
        <v>3148</v>
      </c>
      <c r="O235" s="32">
        <v>0</v>
      </c>
      <c r="P235" s="32">
        <v>0</v>
      </c>
      <c r="Q235" s="43">
        <f t="shared" si="6"/>
        <v>63248</v>
      </c>
      <c r="R235" s="69">
        <f t="shared" si="7"/>
        <v>53760.800000000003</v>
      </c>
      <c r="S235" s="30"/>
      <c r="T235" s="30"/>
    </row>
    <row r="236" spans="1:20" ht="45" customHeight="1" x14ac:dyDescent="0.3">
      <c r="A236" s="36">
        <v>224</v>
      </c>
      <c r="B236" s="32" t="s">
        <v>863</v>
      </c>
      <c r="C236" s="32" t="s">
        <v>866</v>
      </c>
      <c r="D236" s="32" t="s">
        <v>867</v>
      </c>
      <c r="E236" s="32">
        <v>2018</v>
      </c>
      <c r="F236" s="32" t="s">
        <v>19</v>
      </c>
      <c r="G236" s="32" t="s">
        <v>967</v>
      </c>
      <c r="H236" s="32" t="s">
        <v>1016</v>
      </c>
      <c r="I236" s="32" t="s">
        <v>1047</v>
      </c>
      <c r="J236" s="32">
        <v>6199</v>
      </c>
      <c r="K236" s="32">
        <v>0</v>
      </c>
      <c r="L236" s="32">
        <v>0</v>
      </c>
      <c r="M236" s="32">
        <v>0</v>
      </c>
      <c r="N236" s="32">
        <f>15443+17918</f>
        <v>33361</v>
      </c>
      <c r="O236" s="32">
        <v>0</v>
      </c>
      <c r="P236" s="32">
        <v>0</v>
      </c>
      <c r="Q236" s="43">
        <f t="shared" si="6"/>
        <v>39560</v>
      </c>
      <c r="R236" s="69">
        <f t="shared" si="7"/>
        <v>33626</v>
      </c>
      <c r="S236" s="30"/>
      <c r="T236" s="30"/>
    </row>
    <row r="237" spans="1:20" ht="45" customHeight="1" x14ac:dyDescent="0.3">
      <c r="A237" s="31">
        <v>225</v>
      </c>
      <c r="B237" s="32" t="s">
        <v>863</v>
      </c>
      <c r="C237" s="32" t="s">
        <v>868</v>
      </c>
      <c r="D237" s="32" t="s">
        <v>869</v>
      </c>
      <c r="E237" s="32">
        <v>1991</v>
      </c>
      <c r="F237" s="32" t="s">
        <v>19</v>
      </c>
      <c r="G237" s="32" t="s">
        <v>968</v>
      </c>
      <c r="H237" s="32" t="s">
        <v>968</v>
      </c>
      <c r="I237" s="32" t="s">
        <v>300</v>
      </c>
      <c r="J237" s="32">
        <v>6199</v>
      </c>
      <c r="K237" s="32">
        <v>0</v>
      </c>
      <c r="L237" s="32">
        <v>0</v>
      </c>
      <c r="M237" s="32">
        <v>0</v>
      </c>
      <c r="N237" s="32">
        <f>248001+15443</f>
        <v>263444</v>
      </c>
      <c r="O237" s="32">
        <v>0</v>
      </c>
      <c r="P237" s="32">
        <v>0</v>
      </c>
      <c r="Q237" s="43">
        <f t="shared" si="6"/>
        <v>269643</v>
      </c>
      <c r="R237" s="69">
        <f t="shared" si="7"/>
        <v>229196.55</v>
      </c>
      <c r="S237" s="30"/>
      <c r="T237" s="30"/>
    </row>
    <row r="238" spans="1:20" ht="45" customHeight="1" x14ac:dyDescent="0.3">
      <c r="A238" s="31">
        <v>226</v>
      </c>
      <c r="B238" s="32" t="s">
        <v>863</v>
      </c>
      <c r="C238" s="32" t="s">
        <v>870</v>
      </c>
      <c r="D238" s="32" t="s">
        <v>871</v>
      </c>
      <c r="E238" s="32">
        <v>1990</v>
      </c>
      <c r="F238" s="32" t="s">
        <v>19</v>
      </c>
      <c r="G238" s="32" t="s">
        <v>969</v>
      </c>
      <c r="H238" s="32" t="s">
        <v>1017</v>
      </c>
      <c r="I238" s="32" t="s">
        <v>1048</v>
      </c>
      <c r="J238" s="32">
        <v>6199</v>
      </c>
      <c r="K238" s="32">
        <v>0</v>
      </c>
      <c r="L238" s="32">
        <v>0</v>
      </c>
      <c r="M238" s="32">
        <v>0</v>
      </c>
      <c r="N238" s="32">
        <f>248001+30886</f>
        <v>278887</v>
      </c>
      <c r="O238" s="32">
        <v>0</v>
      </c>
      <c r="P238" s="32">
        <v>0</v>
      </c>
      <c r="Q238" s="43">
        <f t="shared" si="6"/>
        <v>285086</v>
      </c>
      <c r="R238" s="69">
        <f t="shared" si="7"/>
        <v>242323.1</v>
      </c>
      <c r="S238" s="30"/>
      <c r="T238" s="30"/>
    </row>
    <row r="239" spans="1:20" ht="45" customHeight="1" x14ac:dyDescent="0.3">
      <c r="A239" s="36">
        <v>227</v>
      </c>
      <c r="B239" s="32" t="s">
        <v>863</v>
      </c>
      <c r="C239" s="32" t="s">
        <v>872</v>
      </c>
      <c r="D239" s="32" t="s">
        <v>873</v>
      </c>
      <c r="E239" s="32">
        <v>2011</v>
      </c>
      <c r="F239" s="32" t="s">
        <v>18</v>
      </c>
      <c r="G239" s="32" t="s">
        <v>970</v>
      </c>
      <c r="H239" s="32" t="s">
        <v>1018</v>
      </c>
      <c r="I239" s="32" t="s">
        <v>1049</v>
      </c>
      <c r="J239" s="32">
        <v>6199</v>
      </c>
      <c r="K239" s="32">
        <f>6278+4484+1346+2332+2332+2332+2332+2332+2332+3000+3000+1166+2332+6995+6995+2332+6995</f>
        <v>58915</v>
      </c>
      <c r="L239" s="32">
        <v>0</v>
      </c>
      <c r="M239" s="32">
        <v>0</v>
      </c>
      <c r="N239" s="32">
        <v>1793</v>
      </c>
      <c r="O239" s="32">
        <v>0</v>
      </c>
      <c r="P239" s="32">
        <v>0</v>
      </c>
      <c r="Q239" s="43">
        <f t="shared" si="6"/>
        <v>66907</v>
      </c>
      <c r="R239" s="69">
        <f t="shared" si="7"/>
        <v>56870.95</v>
      </c>
      <c r="S239" s="30"/>
      <c r="T239" s="30"/>
    </row>
    <row r="240" spans="1:20" ht="45" customHeight="1" x14ac:dyDescent="0.3">
      <c r="A240" s="31">
        <v>228</v>
      </c>
      <c r="B240" s="32" t="s">
        <v>863</v>
      </c>
      <c r="C240" s="32" t="s">
        <v>874</v>
      </c>
      <c r="D240" s="32" t="s">
        <v>875</v>
      </c>
      <c r="E240" s="32">
        <v>1980</v>
      </c>
      <c r="F240" s="32" t="s">
        <v>19</v>
      </c>
      <c r="G240" s="32" t="s">
        <v>971</v>
      </c>
      <c r="H240" s="32" t="s">
        <v>1019</v>
      </c>
      <c r="I240" s="32" t="s">
        <v>534</v>
      </c>
      <c r="J240" s="32">
        <v>6199</v>
      </c>
      <c r="K240" s="32">
        <f>1346+6278+4484+2332+2332+2332+6995+2332+2332+2332+3228+4484+4484+2332+4484+3000+3000+2332+2332+6995+2243+3587</f>
        <v>75596</v>
      </c>
      <c r="L240" s="32">
        <v>0</v>
      </c>
      <c r="M240" s="32">
        <v>0</v>
      </c>
      <c r="N240" s="32">
        <v>1793</v>
      </c>
      <c r="O240" s="32">
        <v>0</v>
      </c>
      <c r="P240" s="32">
        <v>0</v>
      </c>
      <c r="Q240" s="43">
        <f t="shared" si="6"/>
        <v>83588</v>
      </c>
      <c r="R240" s="69">
        <f t="shared" si="7"/>
        <v>71049.8</v>
      </c>
      <c r="S240" s="30"/>
      <c r="T240" s="30"/>
    </row>
    <row r="241" spans="1:20" ht="45" customHeight="1" x14ac:dyDescent="0.3">
      <c r="A241" s="31">
        <v>229</v>
      </c>
      <c r="B241" s="32" t="s">
        <v>863</v>
      </c>
      <c r="C241" s="32" t="s">
        <v>876</v>
      </c>
      <c r="D241" s="32" t="s">
        <v>877</v>
      </c>
      <c r="E241" s="32">
        <v>1977</v>
      </c>
      <c r="F241" s="32" t="s">
        <v>18</v>
      </c>
      <c r="G241" s="32" t="s">
        <v>972</v>
      </c>
      <c r="H241" s="32" t="s">
        <v>1020</v>
      </c>
      <c r="I241" s="32" t="s">
        <v>293</v>
      </c>
      <c r="J241" s="32">
        <v>6199</v>
      </c>
      <c r="K241" s="32">
        <v>0</v>
      </c>
      <c r="L241" s="32">
        <v>0</v>
      </c>
      <c r="M241" s="32">
        <v>0</v>
      </c>
      <c r="N241" s="32">
        <v>0</v>
      </c>
      <c r="O241" s="32">
        <v>0</v>
      </c>
      <c r="P241" s="32">
        <v>0</v>
      </c>
      <c r="Q241" s="43">
        <f t="shared" si="6"/>
        <v>6199</v>
      </c>
      <c r="R241" s="69">
        <f t="shared" si="7"/>
        <v>5269.15</v>
      </c>
      <c r="S241" s="30"/>
      <c r="T241" s="30"/>
    </row>
    <row r="242" spans="1:20" ht="45" customHeight="1" x14ac:dyDescent="0.3">
      <c r="A242" s="36">
        <v>230</v>
      </c>
      <c r="B242" s="32" t="s">
        <v>863</v>
      </c>
      <c r="C242" s="32" t="s">
        <v>878</v>
      </c>
      <c r="D242" s="32" t="s">
        <v>879</v>
      </c>
      <c r="E242" s="32">
        <v>1980</v>
      </c>
      <c r="F242" s="32" t="s">
        <v>19</v>
      </c>
      <c r="G242" s="32" t="s">
        <v>973</v>
      </c>
      <c r="H242" s="32" t="s">
        <v>973</v>
      </c>
      <c r="I242" s="32" t="s">
        <v>1050</v>
      </c>
      <c r="J242" s="32">
        <v>3582</v>
      </c>
      <c r="K242" s="32">
        <v>0</v>
      </c>
      <c r="L242" s="32">
        <v>0</v>
      </c>
      <c r="M242" s="32">
        <v>0</v>
      </c>
      <c r="N242" s="32">
        <f>15443+20859</f>
        <v>36302</v>
      </c>
      <c r="O242" s="32">
        <v>0</v>
      </c>
      <c r="P242" s="32">
        <v>0</v>
      </c>
      <c r="Q242" s="43">
        <f t="shared" si="6"/>
        <v>39884</v>
      </c>
      <c r="R242" s="69">
        <f t="shared" si="7"/>
        <v>33901.4</v>
      </c>
      <c r="S242" s="30"/>
      <c r="T242" s="30"/>
    </row>
    <row r="243" spans="1:20" ht="45" customHeight="1" x14ac:dyDescent="0.3">
      <c r="A243" s="31">
        <v>231</v>
      </c>
      <c r="B243" s="32" t="s">
        <v>863</v>
      </c>
      <c r="C243" s="32" t="s">
        <v>880</v>
      </c>
      <c r="D243" s="32" t="s">
        <v>881</v>
      </c>
      <c r="E243" s="32">
        <v>2009</v>
      </c>
      <c r="F243" s="32" t="s">
        <v>18</v>
      </c>
      <c r="G243" s="32" t="s">
        <v>974</v>
      </c>
      <c r="H243" s="32" t="s">
        <v>1021</v>
      </c>
      <c r="I243" s="32" t="s">
        <v>1050</v>
      </c>
      <c r="J243" s="32">
        <v>6199</v>
      </c>
      <c r="K243" s="32">
        <v>0</v>
      </c>
      <c r="L243" s="32">
        <v>0</v>
      </c>
      <c r="M243" s="32">
        <v>0</v>
      </c>
      <c r="N243" s="32">
        <v>54760</v>
      </c>
      <c r="O243" s="32">
        <v>0</v>
      </c>
      <c r="P243" s="32">
        <v>0</v>
      </c>
      <c r="Q243" s="43">
        <f t="shared" si="6"/>
        <v>60959</v>
      </c>
      <c r="R243" s="69">
        <f t="shared" si="7"/>
        <v>51815.15</v>
      </c>
      <c r="S243" s="30"/>
      <c r="T243" s="30"/>
    </row>
    <row r="244" spans="1:20" ht="45" customHeight="1" x14ac:dyDescent="0.3">
      <c r="A244" s="31">
        <v>232</v>
      </c>
      <c r="B244" s="32" t="s">
        <v>863</v>
      </c>
      <c r="C244" s="32" t="s">
        <v>882</v>
      </c>
      <c r="D244" s="32" t="s">
        <v>879</v>
      </c>
      <c r="E244" s="32">
        <v>1980</v>
      </c>
      <c r="F244" s="32" t="s">
        <v>19</v>
      </c>
      <c r="G244" s="32" t="s">
        <v>973</v>
      </c>
      <c r="H244" s="32" t="s">
        <v>973</v>
      </c>
      <c r="I244" s="32" t="s">
        <v>1050</v>
      </c>
      <c r="J244" s="32">
        <v>3793</v>
      </c>
      <c r="K244" s="32">
        <v>0</v>
      </c>
      <c r="L244" s="32">
        <v>0</v>
      </c>
      <c r="M244" s="32">
        <v>0</v>
      </c>
      <c r="N244" s="32">
        <v>0</v>
      </c>
      <c r="O244" s="32">
        <v>0</v>
      </c>
      <c r="P244" s="32">
        <v>0</v>
      </c>
      <c r="Q244" s="43">
        <f t="shared" si="6"/>
        <v>3793</v>
      </c>
      <c r="R244" s="69">
        <f t="shared" si="7"/>
        <v>3224.05</v>
      </c>
      <c r="S244" s="30"/>
      <c r="T244" s="30"/>
    </row>
    <row r="245" spans="1:20" ht="45" customHeight="1" x14ac:dyDescent="0.3">
      <c r="A245" s="36">
        <v>233</v>
      </c>
      <c r="B245" s="32" t="s">
        <v>863</v>
      </c>
      <c r="C245" s="32" t="s">
        <v>883</v>
      </c>
      <c r="D245" s="32" t="s">
        <v>884</v>
      </c>
      <c r="E245" s="32">
        <v>2016</v>
      </c>
      <c r="F245" s="32" t="s">
        <v>19</v>
      </c>
      <c r="G245" s="32" t="s">
        <v>975</v>
      </c>
      <c r="H245" s="32" t="s">
        <v>1022</v>
      </c>
      <c r="I245" s="32" t="s">
        <v>1051</v>
      </c>
      <c r="J245" s="32">
        <v>6199</v>
      </c>
      <c r="K245" s="32">
        <f>6278+1346+1166+4484</f>
        <v>13274</v>
      </c>
      <c r="L245" s="32">
        <v>0</v>
      </c>
      <c r="M245" s="32">
        <v>0</v>
      </c>
      <c r="N245" s="32">
        <v>3148</v>
      </c>
      <c r="O245" s="32">
        <v>0</v>
      </c>
      <c r="P245" s="32">
        <v>0</v>
      </c>
      <c r="Q245" s="43">
        <f t="shared" si="6"/>
        <v>22621</v>
      </c>
      <c r="R245" s="69">
        <f t="shared" si="7"/>
        <v>19227.849999999999</v>
      </c>
      <c r="S245" s="30"/>
      <c r="T245" s="30"/>
    </row>
    <row r="246" spans="1:20" ht="45" customHeight="1" x14ac:dyDescent="0.3">
      <c r="A246" s="31">
        <v>234</v>
      </c>
      <c r="B246" s="32" t="s">
        <v>863</v>
      </c>
      <c r="C246" s="32" t="s">
        <v>885</v>
      </c>
      <c r="D246" s="32" t="s">
        <v>886</v>
      </c>
      <c r="E246" s="32">
        <v>1994</v>
      </c>
      <c r="F246" s="32" t="s">
        <v>19</v>
      </c>
      <c r="G246" s="32" t="s">
        <v>976</v>
      </c>
      <c r="H246" s="32" t="s">
        <v>1023</v>
      </c>
      <c r="I246" s="32" t="s">
        <v>1052</v>
      </c>
      <c r="J246" s="32">
        <v>3793</v>
      </c>
      <c r="K246" s="32">
        <v>0</v>
      </c>
      <c r="L246" s="32">
        <v>9422</v>
      </c>
      <c r="M246" s="32">
        <v>0</v>
      </c>
      <c r="N246" s="32">
        <v>0</v>
      </c>
      <c r="O246" s="32">
        <v>0</v>
      </c>
      <c r="P246" s="32">
        <v>0</v>
      </c>
      <c r="Q246" s="43">
        <f t="shared" si="6"/>
        <v>13215</v>
      </c>
      <c r="R246" s="69">
        <f t="shared" si="7"/>
        <v>11232.75</v>
      </c>
      <c r="S246" s="30"/>
      <c r="T246" s="30"/>
    </row>
    <row r="247" spans="1:20" ht="45" customHeight="1" x14ac:dyDescent="0.3">
      <c r="A247" s="31">
        <v>235</v>
      </c>
      <c r="B247" s="32" t="s">
        <v>863</v>
      </c>
      <c r="C247" s="32" t="s">
        <v>887</v>
      </c>
      <c r="D247" s="32" t="s">
        <v>888</v>
      </c>
      <c r="E247" s="32">
        <v>2011</v>
      </c>
      <c r="F247" s="32" t="s">
        <v>19</v>
      </c>
      <c r="G247" s="32" t="s">
        <v>977</v>
      </c>
      <c r="H247" s="32" t="s">
        <v>1024</v>
      </c>
      <c r="I247" s="32" t="s">
        <v>300</v>
      </c>
      <c r="J247" s="32">
        <v>6199</v>
      </c>
      <c r="K247" s="32">
        <v>0</v>
      </c>
      <c r="L247" s="32">
        <v>0</v>
      </c>
      <c r="M247" s="32">
        <v>0</v>
      </c>
      <c r="N247" s="32">
        <v>68032</v>
      </c>
      <c r="O247" s="32">
        <v>0</v>
      </c>
      <c r="P247" s="32">
        <v>0</v>
      </c>
      <c r="Q247" s="43">
        <f t="shared" si="6"/>
        <v>74231</v>
      </c>
      <c r="R247" s="69">
        <f t="shared" si="7"/>
        <v>63096.35</v>
      </c>
      <c r="S247" s="30"/>
      <c r="T247" s="30"/>
    </row>
    <row r="248" spans="1:20" ht="45" customHeight="1" x14ac:dyDescent="0.3">
      <c r="A248" s="36">
        <v>236</v>
      </c>
      <c r="B248" s="32" t="s">
        <v>863</v>
      </c>
      <c r="C248" s="32" t="s">
        <v>889</v>
      </c>
      <c r="D248" s="32" t="s">
        <v>344</v>
      </c>
      <c r="E248" s="32">
        <v>2014</v>
      </c>
      <c r="F248" s="32" t="s">
        <v>19</v>
      </c>
      <c r="G248" s="32" t="s">
        <v>453</v>
      </c>
      <c r="H248" s="32" t="s">
        <v>508</v>
      </c>
      <c r="I248" s="32" t="s">
        <v>549</v>
      </c>
      <c r="J248" s="32">
        <v>0</v>
      </c>
      <c r="K248" s="32">
        <v>0</v>
      </c>
      <c r="L248" s="32">
        <v>0</v>
      </c>
      <c r="M248" s="32">
        <v>0</v>
      </c>
      <c r="N248" s="32">
        <v>5321</v>
      </c>
      <c r="O248" s="32">
        <v>0</v>
      </c>
      <c r="P248" s="32">
        <v>0</v>
      </c>
      <c r="Q248" s="43">
        <f t="shared" si="6"/>
        <v>5321</v>
      </c>
      <c r="R248" s="69">
        <f t="shared" si="7"/>
        <v>4522.8500000000004</v>
      </c>
      <c r="S248" s="30"/>
      <c r="T248" s="30"/>
    </row>
    <row r="249" spans="1:20" ht="45" customHeight="1" x14ac:dyDescent="0.3">
      <c r="A249" s="31">
        <v>237</v>
      </c>
      <c r="B249" s="32" t="s">
        <v>863</v>
      </c>
      <c r="C249" s="32" t="s">
        <v>890</v>
      </c>
      <c r="D249" s="32" t="s">
        <v>891</v>
      </c>
      <c r="E249" s="32">
        <v>1978</v>
      </c>
      <c r="F249" s="32" t="s">
        <v>18</v>
      </c>
      <c r="G249" s="32" t="s">
        <v>978</v>
      </c>
      <c r="H249" s="32" t="s">
        <v>978</v>
      </c>
      <c r="I249" s="32" t="s">
        <v>1053</v>
      </c>
      <c r="J249" s="32">
        <v>6199</v>
      </c>
      <c r="K249" s="32">
        <v>0</v>
      </c>
      <c r="L249" s="32">
        <v>0</v>
      </c>
      <c r="M249" s="32">
        <v>0</v>
      </c>
      <c r="N249" s="32">
        <v>0</v>
      </c>
      <c r="O249" s="32">
        <v>0</v>
      </c>
      <c r="P249" s="32">
        <v>0</v>
      </c>
      <c r="Q249" s="43">
        <f t="shared" si="6"/>
        <v>6199</v>
      </c>
      <c r="R249" s="69">
        <f t="shared" si="7"/>
        <v>5269.15</v>
      </c>
      <c r="S249" s="30"/>
      <c r="T249" s="30"/>
    </row>
    <row r="250" spans="1:20" ht="45" customHeight="1" x14ac:dyDescent="0.3">
      <c r="A250" s="31">
        <v>238</v>
      </c>
      <c r="B250" s="32" t="s">
        <v>863</v>
      </c>
      <c r="C250" s="32" t="s">
        <v>892</v>
      </c>
      <c r="D250" s="32" t="s">
        <v>893</v>
      </c>
      <c r="E250" s="32">
        <v>1982</v>
      </c>
      <c r="F250" s="32" t="s">
        <v>18</v>
      </c>
      <c r="G250" s="32" t="s">
        <v>979</v>
      </c>
      <c r="H250" s="32" t="s">
        <v>1025</v>
      </c>
      <c r="I250" s="32" t="s">
        <v>1054</v>
      </c>
      <c r="J250" s="32">
        <v>6199</v>
      </c>
      <c r="K250" s="32">
        <f>6278+4484+2332+2332+2332+2332+2332+2332+3000+3000+3228+4484+4484+2332+4484+1166</f>
        <v>50932</v>
      </c>
      <c r="L250" s="32">
        <v>0</v>
      </c>
      <c r="M250" s="32">
        <v>0</v>
      </c>
      <c r="N250" s="32">
        <v>1793</v>
      </c>
      <c r="O250" s="32">
        <v>0</v>
      </c>
      <c r="P250" s="32">
        <v>0</v>
      </c>
      <c r="Q250" s="43">
        <f t="shared" si="6"/>
        <v>58924</v>
      </c>
      <c r="R250" s="69">
        <f t="shared" si="7"/>
        <v>50085.4</v>
      </c>
      <c r="S250" s="30"/>
      <c r="T250" s="30"/>
    </row>
    <row r="251" spans="1:20" s="41" customFormat="1" ht="45" customHeight="1" x14ac:dyDescent="0.3">
      <c r="A251" s="36">
        <v>239</v>
      </c>
      <c r="B251" s="38" t="s">
        <v>863</v>
      </c>
      <c r="C251" s="38" t="s">
        <v>894</v>
      </c>
      <c r="D251" s="38" t="s">
        <v>404</v>
      </c>
      <c r="E251" s="38">
        <v>2022</v>
      </c>
      <c r="F251" s="38" t="s">
        <v>18</v>
      </c>
      <c r="G251" s="38" t="s">
        <v>481</v>
      </c>
      <c r="H251" s="38" t="s">
        <v>523</v>
      </c>
      <c r="I251" s="38" t="s">
        <v>268</v>
      </c>
      <c r="J251" s="38">
        <v>3793</v>
      </c>
      <c r="K251" s="38">
        <f>1346+6278+4484+4484+2332+2332+2332+2332+2332+6995+6995+2332+6995+2332</f>
        <v>53901</v>
      </c>
      <c r="L251" s="38">
        <v>0</v>
      </c>
      <c r="M251" s="38">
        <v>0</v>
      </c>
      <c r="N251" s="38">
        <f>3148+1178+4053</f>
        <v>8379</v>
      </c>
      <c r="O251" s="38">
        <v>0</v>
      </c>
      <c r="P251" s="38">
        <f>720+1080+120</f>
        <v>1920</v>
      </c>
      <c r="Q251" s="43">
        <f t="shared" si="6"/>
        <v>67993</v>
      </c>
      <c r="R251" s="69">
        <f t="shared" si="7"/>
        <v>57794.05</v>
      </c>
      <c r="S251" s="40"/>
      <c r="T251" s="40"/>
    </row>
    <row r="252" spans="1:20" s="41" customFormat="1" ht="45" customHeight="1" x14ac:dyDescent="0.3">
      <c r="A252" s="31">
        <v>240</v>
      </c>
      <c r="B252" s="38" t="s">
        <v>863</v>
      </c>
      <c r="C252" s="38" t="s">
        <v>894</v>
      </c>
      <c r="D252" s="38" t="s">
        <v>404</v>
      </c>
      <c r="E252" s="38">
        <v>2022</v>
      </c>
      <c r="F252" s="38" t="s">
        <v>18</v>
      </c>
      <c r="G252" s="38" t="s">
        <v>481</v>
      </c>
      <c r="H252" s="38" t="s">
        <v>523</v>
      </c>
      <c r="I252" s="38" t="s">
        <v>268</v>
      </c>
      <c r="J252" s="38">
        <v>0</v>
      </c>
      <c r="K252" s="38">
        <v>0</v>
      </c>
      <c r="L252" s="38">
        <v>0</v>
      </c>
      <c r="M252" s="38">
        <v>17688</v>
      </c>
      <c r="N252" s="38">
        <v>2088</v>
      </c>
      <c r="O252" s="38">
        <v>0</v>
      </c>
      <c r="P252" s="38">
        <f>720+112+1200</f>
        <v>2032</v>
      </c>
      <c r="Q252" s="43">
        <f t="shared" si="6"/>
        <v>21808</v>
      </c>
      <c r="R252" s="69">
        <f t="shared" si="7"/>
        <v>18536.8</v>
      </c>
      <c r="S252" s="40"/>
      <c r="T252" s="40"/>
    </row>
    <row r="253" spans="1:20" ht="45" customHeight="1" x14ac:dyDescent="0.3">
      <c r="A253" s="31">
        <v>241</v>
      </c>
      <c r="B253" s="32" t="s">
        <v>863</v>
      </c>
      <c r="C253" s="32" t="s">
        <v>895</v>
      </c>
      <c r="D253" s="32" t="s">
        <v>896</v>
      </c>
      <c r="E253" s="32">
        <v>1996</v>
      </c>
      <c r="F253" s="32" t="s">
        <v>19</v>
      </c>
      <c r="G253" s="32" t="s">
        <v>980</v>
      </c>
      <c r="H253" s="32" t="s">
        <v>980</v>
      </c>
      <c r="I253" s="32" t="s">
        <v>283</v>
      </c>
      <c r="J253" s="32">
        <v>6199</v>
      </c>
      <c r="K253" s="32">
        <v>0</v>
      </c>
      <c r="L253" s="32">
        <v>0</v>
      </c>
      <c r="M253" s="32">
        <v>0</v>
      </c>
      <c r="N253" s="32">
        <v>55832</v>
      </c>
      <c r="O253" s="32">
        <v>0</v>
      </c>
      <c r="P253" s="32">
        <v>0</v>
      </c>
      <c r="Q253" s="43">
        <f t="shared" si="6"/>
        <v>62031</v>
      </c>
      <c r="R253" s="69">
        <f t="shared" si="7"/>
        <v>52726.35</v>
      </c>
      <c r="S253" s="30"/>
      <c r="T253" s="30"/>
    </row>
    <row r="254" spans="1:20" ht="45" customHeight="1" x14ac:dyDescent="0.3">
      <c r="A254" s="36">
        <v>242</v>
      </c>
      <c r="B254" s="32" t="s">
        <v>863</v>
      </c>
      <c r="C254" s="32" t="s">
        <v>897</v>
      </c>
      <c r="D254" s="32" t="s">
        <v>898</v>
      </c>
      <c r="E254" s="32">
        <v>2020</v>
      </c>
      <c r="F254" s="32" t="s">
        <v>18</v>
      </c>
      <c r="G254" s="32" t="s">
        <v>981</v>
      </c>
      <c r="H254" s="32" t="s">
        <v>1026</v>
      </c>
      <c r="I254" s="32" t="s">
        <v>1055</v>
      </c>
      <c r="J254" s="32">
        <v>6199</v>
      </c>
      <c r="K254" s="32">
        <f>1346+6278+4484+4484+2332+2332+2332+2332+2332+2332+6995+6995+2332+6995</f>
        <v>53901</v>
      </c>
      <c r="L254" s="32">
        <v>0</v>
      </c>
      <c r="M254" s="32">
        <v>0</v>
      </c>
      <c r="N254" s="32">
        <v>3148</v>
      </c>
      <c r="O254" s="32">
        <v>0</v>
      </c>
      <c r="P254" s="32">
        <v>0</v>
      </c>
      <c r="Q254" s="43">
        <f t="shared" si="6"/>
        <v>63248</v>
      </c>
      <c r="R254" s="69">
        <f t="shared" si="7"/>
        <v>53760.800000000003</v>
      </c>
      <c r="S254" s="30"/>
      <c r="T254" s="30"/>
    </row>
    <row r="255" spans="1:20" ht="45" customHeight="1" x14ac:dyDescent="0.3">
      <c r="A255" s="31">
        <v>243</v>
      </c>
      <c r="B255" s="32" t="s">
        <v>863</v>
      </c>
      <c r="C255" s="32" t="s">
        <v>899</v>
      </c>
      <c r="D255" s="32" t="s">
        <v>900</v>
      </c>
      <c r="E255" s="32">
        <v>2015</v>
      </c>
      <c r="F255" s="32" t="s">
        <v>19</v>
      </c>
      <c r="G255" s="32" t="s">
        <v>982</v>
      </c>
      <c r="H255" s="32" t="s">
        <v>1027</v>
      </c>
      <c r="I255" s="32" t="s">
        <v>1050</v>
      </c>
      <c r="J255" s="32">
        <v>6199</v>
      </c>
      <c r="K255" s="32">
        <v>0</v>
      </c>
      <c r="L255" s="32">
        <v>0</v>
      </c>
      <c r="M255" s="32">
        <v>0</v>
      </c>
      <c r="N255" s="32">
        <v>0</v>
      </c>
      <c r="O255" s="32">
        <v>0</v>
      </c>
      <c r="P255" s="32">
        <v>0</v>
      </c>
      <c r="Q255" s="43">
        <f t="shared" si="6"/>
        <v>6199</v>
      </c>
      <c r="R255" s="69">
        <f t="shared" si="7"/>
        <v>5269.15</v>
      </c>
      <c r="S255" s="30"/>
      <c r="T255" s="30"/>
    </row>
    <row r="256" spans="1:20" ht="45" customHeight="1" x14ac:dyDescent="0.3">
      <c r="A256" s="31">
        <v>244</v>
      </c>
      <c r="B256" s="32" t="s">
        <v>863</v>
      </c>
      <c r="C256" s="32" t="s">
        <v>901</v>
      </c>
      <c r="D256" s="32" t="s">
        <v>902</v>
      </c>
      <c r="E256" s="32">
        <v>2020</v>
      </c>
      <c r="F256" s="32" t="s">
        <v>19</v>
      </c>
      <c r="G256" s="32" t="s">
        <v>983</v>
      </c>
      <c r="H256" s="32" t="s">
        <v>1028</v>
      </c>
      <c r="I256" s="32" t="s">
        <v>1056</v>
      </c>
      <c r="J256" s="32">
        <v>6199</v>
      </c>
      <c r="K256" s="32">
        <v>1166</v>
      </c>
      <c r="L256" s="32">
        <v>0</v>
      </c>
      <c r="M256" s="32">
        <v>0</v>
      </c>
      <c r="N256" s="32">
        <v>0</v>
      </c>
      <c r="O256" s="32">
        <v>0</v>
      </c>
      <c r="P256" s="32">
        <v>0</v>
      </c>
      <c r="Q256" s="43">
        <f t="shared" si="6"/>
        <v>7365</v>
      </c>
      <c r="R256" s="69">
        <f t="shared" si="7"/>
        <v>6260.25</v>
      </c>
      <c r="S256" s="30"/>
      <c r="T256" s="30"/>
    </row>
    <row r="257" spans="1:20" ht="45" customHeight="1" x14ac:dyDescent="0.3">
      <c r="A257" s="36">
        <v>245</v>
      </c>
      <c r="B257" s="32" t="s">
        <v>863</v>
      </c>
      <c r="C257" s="32" t="s">
        <v>903</v>
      </c>
      <c r="D257" s="32" t="s">
        <v>904</v>
      </c>
      <c r="E257" s="32">
        <v>1975</v>
      </c>
      <c r="F257" s="32" t="s">
        <v>18</v>
      </c>
      <c r="G257" s="32" t="s">
        <v>984</v>
      </c>
      <c r="H257" s="32" t="s">
        <v>984</v>
      </c>
      <c r="I257" s="32" t="s">
        <v>1057</v>
      </c>
      <c r="J257" s="32">
        <v>6199</v>
      </c>
      <c r="K257" s="32">
        <v>0</v>
      </c>
      <c r="L257" s="32">
        <v>0</v>
      </c>
      <c r="M257" s="32">
        <v>0</v>
      </c>
      <c r="N257" s="32">
        <v>0</v>
      </c>
      <c r="O257" s="32">
        <v>0</v>
      </c>
      <c r="P257" s="32">
        <v>0</v>
      </c>
      <c r="Q257" s="43">
        <f t="shared" si="6"/>
        <v>6199</v>
      </c>
      <c r="R257" s="69">
        <f t="shared" si="7"/>
        <v>5269.15</v>
      </c>
      <c r="S257" s="30"/>
      <c r="T257" s="30"/>
    </row>
    <row r="258" spans="1:20" ht="45" customHeight="1" x14ac:dyDescent="0.3">
      <c r="A258" s="31">
        <v>246</v>
      </c>
      <c r="B258" s="32" t="s">
        <v>863</v>
      </c>
      <c r="C258" s="32" t="s">
        <v>905</v>
      </c>
      <c r="D258" s="32" t="s">
        <v>906</v>
      </c>
      <c r="E258" s="32">
        <v>2017</v>
      </c>
      <c r="F258" s="32" t="s">
        <v>18</v>
      </c>
      <c r="G258" s="32" t="s">
        <v>985</v>
      </c>
      <c r="H258" s="32" t="s">
        <v>1029</v>
      </c>
      <c r="I258" s="32" t="s">
        <v>1058</v>
      </c>
      <c r="J258" s="32">
        <v>6199</v>
      </c>
      <c r="K258" s="32">
        <f>6278+4484+1346+1166+4484+4484+2332+2332+2332+2332+2332+2332+2332</f>
        <v>38566</v>
      </c>
      <c r="L258" s="32">
        <v>0</v>
      </c>
      <c r="M258" s="32">
        <v>0</v>
      </c>
      <c r="N258" s="32">
        <v>3148</v>
      </c>
      <c r="O258" s="32">
        <v>0</v>
      </c>
      <c r="P258" s="32">
        <v>0</v>
      </c>
      <c r="Q258" s="43">
        <f t="shared" si="6"/>
        <v>47913</v>
      </c>
      <c r="R258" s="69">
        <f t="shared" si="7"/>
        <v>40726.050000000003</v>
      </c>
      <c r="S258" s="30"/>
      <c r="T258" s="30"/>
    </row>
    <row r="259" spans="1:20" ht="45" customHeight="1" x14ac:dyDescent="0.3">
      <c r="A259" s="31">
        <v>247</v>
      </c>
      <c r="B259" s="32" t="s">
        <v>863</v>
      </c>
      <c r="C259" s="32" t="s">
        <v>907</v>
      </c>
      <c r="D259" s="32" t="s">
        <v>908</v>
      </c>
      <c r="E259" s="32">
        <v>2025</v>
      </c>
      <c r="F259" s="32" t="s">
        <v>19</v>
      </c>
      <c r="G259" s="32" t="s">
        <v>986</v>
      </c>
      <c r="H259" s="32" t="s">
        <v>1030</v>
      </c>
      <c r="I259" s="32" t="s">
        <v>1059</v>
      </c>
      <c r="J259" s="32">
        <v>6199</v>
      </c>
      <c r="K259" s="32">
        <f>1346+6278+4484+2332+2332+2332+2332+2332+2332+6995+6995+2332+6995</f>
        <v>49417</v>
      </c>
      <c r="L259" s="32">
        <v>0</v>
      </c>
      <c r="M259" s="32">
        <v>0</v>
      </c>
      <c r="N259" s="32">
        <v>3148</v>
      </c>
      <c r="O259" s="32">
        <v>0</v>
      </c>
      <c r="P259" s="32">
        <v>0</v>
      </c>
      <c r="Q259" s="43">
        <f t="shared" si="6"/>
        <v>58764</v>
      </c>
      <c r="R259" s="69">
        <f t="shared" si="7"/>
        <v>49949.4</v>
      </c>
      <c r="S259" s="30"/>
      <c r="T259" s="30"/>
    </row>
    <row r="260" spans="1:20" ht="45" customHeight="1" x14ac:dyDescent="0.3">
      <c r="A260" s="36">
        <v>248</v>
      </c>
      <c r="B260" s="32" t="s">
        <v>863</v>
      </c>
      <c r="C260" s="32" t="s">
        <v>909</v>
      </c>
      <c r="D260" s="32" t="s">
        <v>910</v>
      </c>
      <c r="E260" s="32">
        <v>2010</v>
      </c>
      <c r="F260" s="32" t="s">
        <v>19</v>
      </c>
      <c r="G260" s="32" t="s">
        <v>987</v>
      </c>
      <c r="H260" s="32" t="s">
        <v>1031</v>
      </c>
      <c r="I260" s="32" t="s">
        <v>1060</v>
      </c>
      <c r="J260" s="32">
        <v>6199</v>
      </c>
      <c r="K260" s="32">
        <f>1346+6278+4484</f>
        <v>12108</v>
      </c>
      <c r="L260" s="32">
        <v>0</v>
      </c>
      <c r="M260" s="32">
        <v>0</v>
      </c>
      <c r="N260" s="32">
        <v>1793</v>
      </c>
      <c r="O260" s="32">
        <v>0</v>
      </c>
      <c r="P260" s="32">
        <v>0</v>
      </c>
      <c r="Q260" s="43">
        <f t="shared" si="6"/>
        <v>20100</v>
      </c>
      <c r="R260" s="69">
        <f t="shared" si="7"/>
        <v>17085</v>
      </c>
      <c r="S260" s="30"/>
      <c r="T260" s="30"/>
    </row>
    <row r="261" spans="1:20" ht="45" customHeight="1" x14ac:dyDescent="0.3">
      <c r="A261" s="31">
        <v>249</v>
      </c>
      <c r="B261" s="32" t="s">
        <v>863</v>
      </c>
      <c r="C261" s="32" t="s">
        <v>911</v>
      </c>
      <c r="D261" s="32" t="s">
        <v>912</v>
      </c>
      <c r="E261" s="32">
        <v>1995</v>
      </c>
      <c r="F261" s="32" t="s">
        <v>19</v>
      </c>
      <c r="G261" s="32" t="s">
        <v>988</v>
      </c>
      <c r="H261" s="32" t="s">
        <v>988</v>
      </c>
      <c r="I261" s="32" t="s">
        <v>32</v>
      </c>
      <c r="J261" s="32">
        <v>0</v>
      </c>
      <c r="K261" s="32">
        <v>0</v>
      </c>
      <c r="L261" s="32">
        <v>0</v>
      </c>
      <c r="M261" s="32">
        <v>0</v>
      </c>
      <c r="N261" s="32">
        <f>34016+27380</f>
        <v>61396</v>
      </c>
      <c r="O261" s="32">
        <v>0</v>
      </c>
      <c r="P261" s="32">
        <v>0</v>
      </c>
      <c r="Q261" s="43">
        <f t="shared" si="6"/>
        <v>61396</v>
      </c>
      <c r="R261" s="69">
        <f t="shared" si="7"/>
        <v>52186.6</v>
      </c>
      <c r="S261" s="30"/>
      <c r="T261" s="30"/>
    </row>
    <row r="262" spans="1:20" ht="45" customHeight="1" x14ac:dyDescent="0.3">
      <c r="A262" s="31">
        <v>250</v>
      </c>
      <c r="B262" s="32" t="s">
        <v>863</v>
      </c>
      <c r="C262" s="32" t="s">
        <v>913</v>
      </c>
      <c r="D262" s="32" t="s">
        <v>914</v>
      </c>
      <c r="E262" s="32">
        <v>1996</v>
      </c>
      <c r="F262" s="32" t="s">
        <v>19</v>
      </c>
      <c r="G262" s="32" t="s">
        <v>989</v>
      </c>
      <c r="H262" s="32" t="s">
        <v>1032</v>
      </c>
      <c r="I262" s="32" t="s">
        <v>1061</v>
      </c>
      <c r="J262" s="32">
        <v>6199</v>
      </c>
      <c r="K262" s="32">
        <v>0</v>
      </c>
      <c r="L262" s="32">
        <v>0</v>
      </c>
      <c r="M262" s="32">
        <v>0</v>
      </c>
      <c r="N262" s="32">
        <v>9871</v>
      </c>
      <c r="O262" s="32">
        <v>0</v>
      </c>
      <c r="P262" s="32">
        <v>0</v>
      </c>
      <c r="Q262" s="43">
        <f t="shared" si="6"/>
        <v>16070</v>
      </c>
      <c r="R262" s="69">
        <f t="shared" si="7"/>
        <v>13659.5</v>
      </c>
      <c r="S262" s="30"/>
      <c r="T262" s="30"/>
    </row>
    <row r="263" spans="1:20" ht="45" customHeight="1" x14ac:dyDescent="0.3">
      <c r="A263" s="36">
        <v>251</v>
      </c>
      <c r="B263" s="32" t="s">
        <v>863</v>
      </c>
      <c r="C263" s="32" t="s">
        <v>915</v>
      </c>
      <c r="D263" s="32" t="s">
        <v>914</v>
      </c>
      <c r="E263" s="32">
        <v>1996</v>
      </c>
      <c r="F263" s="32" t="s">
        <v>19</v>
      </c>
      <c r="G263" s="32" t="s">
        <v>989</v>
      </c>
      <c r="H263" s="32" t="s">
        <v>1032</v>
      </c>
      <c r="I263" s="32" t="s">
        <v>1061</v>
      </c>
      <c r="J263" s="32">
        <v>3582</v>
      </c>
      <c r="K263" s="32">
        <v>0</v>
      </c>
      <c r="L263" s="32">
        <v>0</v>
      </c>
      <c r="M263" s="32">
        <v>0</v>
      </c>
      <c r="N263" s="32">
        <f>34016+38478</f>
        <v>72494</v>
      </c>
      <c r="O263" s="32">
        <v>0</v>
      </c>
      <c r="P263" s="32">
        <v>0</v>
      </c>
      <c r="Q263" s="43">
        <f t="shared" si="6"/>
        <v>76076</v>
      </c>
      <c r="R263" s="69">
        <f t="shared" si="7"/>
        <v>64664.6</v>
      </c>
      <c r="S263" s="30"/>
      <c r="T263" s="30"/>
    </row>
    <row r="264" spans="1:20" ht="45" customHeight="1" x14ac:dyDescent="0.3">
      <c r="A264" s="31">
        <v>252</v>
      </c>
      <c r="B264" s="32" t="s">
        <v>863</v>
      </c>
      <c r="C264" s="32" t="s">
        <v>916</v>
      </c>
      <c r="D264" s="32" t="s">
        <v>917</v>
      </c>
      <c r="E264" s="32">
        <v>1985</v>
      </c>
      <c r="F264" s="32" t="s">
        <v>18</v>
      </c>
      <c r="G264" s="32" t="s">
        <v>990</v>
      </c>
      <c r="H264" s="32" t="s">
        <v>990</v>
      </c>
      <c r="I264" s="32" t="s">
        <v>1062</v>
      </c>
      <c r="J264" s="32">
        <v>6199</v>
      </c>
      <c r="K264" s="32">
        <f>6278+4484+2332+2332+2332+6995+2332+2332+2332+3000+3000+2332+2332+4484</f>
        <v>46897</v>
      </c>
      <c r="L264" s="32">
        <v>0</v>
      </c>
      <c r="M264" s="32">
        <v>0</v>
      </c>
      <c r="N264" s="32">
        <v>1793</v>
      </c>
      <c r="O264" s="32">
        <v>0</v>
      </c>
      <c r="P264" s="32">
        <v>0</v>
      </c>
      <c r="Q264" s="43">
        <f t="shared" si="6"/>
        <v>54889</v>
      </c>
      <c r="R264" s="69">
        <f t="shared" si="7"/>
        <v>46655.65</v>
      </c>
      <c r="S264" s="30"/>
      <c r="T264" s="30"/>
    </row>
    <row r="265" spans="1:20" ht="45" customHeight="1" x14ac:dyDescent="0.3">
      <c r="A265" s="31">
        <v>253</v>
      </c>
      <c r="B265" s="32" t="s">
        <v>863</v>
      </c>
      <c r="C265" s="32" t="s">
        <v>918</v>
      </c>
      <c r="D265" s="32" t="s">
        <v>919</v>
      </c>
      <c r="E265" s="32">
        <v>1998</v>
      </c>
      <c r="F265" s="32" t="s">
        <v>19</v>
      </c>
      <c r="G265" s="32" t="s">
        <v>991</v>
      </c>
      <c r="H265" s="32" t="s">
        <v>991</v>
      </c>
      <c r="I265" s="32" t="s">
        <v>1063</v>
      </c>
      <c r="J265" s="32">
        <v>6199</v>
      </c>
      <c r="K265" s="32">
        <v>0</v>
      </c>
      <c r="L265" s="32">
        <v>0</v>
      </c>
      <c r="M265" s="32">
        <v>0</v>
      </c>
      <c r="N265" s="32">
        <v>27380</v>
      </c>
      <c r="O265" s="32">
        <v>0</v>
      </c>
      <c r="P265" s="32">
        <v>0</v>
      </c>
      <c r="Q265" s="43">
        <f t="shared" si="6"/>
        <v>33579</v>
      </c>
      <c r="R265" s="69">
        <f t="shared" si="7"/>
        <v>28542.15</v>
      </c>
      <c r="S265" s="30"/>
      <c r="T265" s="30"/>
    </row>
    <row r="266" spans="1:20" s="41" customFormat="1" ht="45" customHeight="1" x14ac:dyDescent="0.3">
      <c r="A266" s="36">
        <v>254</v>
      </c>
      <c r="B266" s="38" t="s">
        <v>863</v>
      </c>
      <c r="C266" s="38" t="s">
        <v>920</v>
      </c>
      <c r="D266" s="38" t="s">
        <v>921</v>
      </c>
      <c r="E266" s="38">
        <v>1973</v>
      </c>
      <c r="F266" s="38" t="s">
        <v>19</v>
      </c>
      <c r="G266" s="38" t="s">
        <v>992</v>
      </c>
      <c r="H266" s="38" t="s">
        <v>992</v>
      </c>
      <c r="I266" s="38" t="s">
        <v>1064</v>
      </c>
      <c r="J266" s="38">
        <v>6199</v>
      </c>
      <c r="K266" s="38">
        <f>1346+6278+4484+2332+2332+2332</f>
        <v>19104</v>
      </c>
      <c r="L266" s="38">
        <v>0</v>
      </c>
      <c r="M266" s="38">
        <v>0</v>
      </c>
      <c r="N266" s="38">
        <v>1793</v>
      </c>
      <c r="O266" s="38">
        <v>0</v>
      </c>
      <c r="P266" s="38">
        <v>0</v>
      </c>
      <c r="Q266" s="43">
        <f t="shared" si="6"/>
        <v>27096</v>
      </c>
      <c r="R266" s="69">
        <f t="shared" si="7"/>
        <v>23031.599999999999</v>
      </c>
      <c r="S266" s="40"/>
      <c r="T266" s="40"/>
    </row>
    <row r="267" spans="1:20" ht="45" customHeight="1" x14ac:dyDescent="0.3">
      <c r="A267" s="31">
        <v>255</v>
      </c>
      <c r="B267" s="32" t="s">
        <v>863</v>
      </c>
      <c r="C267" s="32" t="s">
        <v>922</v>
      </c>
      <c r="D267" s="32" t="s">
        <v>923</v>
      </c>
      <c r="E267" s="32">
        <v>2019</v>
      </c>
      <c r="F267" s="32" t="s">
        <v>19</v>
      </c>
      <c r="G267" s="32" t="s">
        <v>993</v>
      </c>
      <c r="H267" s="32" t="s">
        <v>1033</v>
      </c>
      <c r="I267" s="32" t="s">
        <v>1065</v>
      </c>
      <c r="J267" s="32">
        <v>6199</v>
      </c>
      <c r="K267" s="32">
        <f>6278+4484+1346+4484+2332+2332+2332+2332+2332+6995+6995+2332+6995+2332</f>
        <v>53901</v>
      </c>
      <c r="L267" s="32">
        <v>0</v>
      </c>
      <c r="M267" s="32">
        <v>0</v>
      </c>
      <c r="N267" s="32">
        <v>3148</v>
      </c>
      <c r="O267" s="32">
        <v>0</v>
      </c>
      <c r="P267" s="32">
        <v>0</v>
      </c>
      <c r="Q267" s="43">
        <f t="shared" si="6"/>
        <v>63248</v>
      </c>
      <c r="R267" s="69">
        <f t="shared" si="7"/>
        <v>53760.800000000003</v>
      </c>
      <c r="S267" s="30"/>
      <c r="T267" s="30"/>
    </row>
    <row r="268" spans="1:20" s="41" customFormat="1" ht="45" customHeight="1" x14ac:dyDescent="0.3">
      <c r="A268" s="31">
        <v>256</v>
      </c>
      <c r="B268" s="38" t="s">
        <v>863</v>
      </c>
      <c r="C268" s="38" t="s">
        <v>2650</v>
      </c>
      <c r="D268" s="39" t="s">
        <v>2651</v>
      </c>
      <c r="E268" s="38">
        <v>2012</v>
      </c>
      <c r="F268" s="38" t="s">
        <v>19</v>
      </c>
      <c r="G268" s="38" t="s">
        <v>2652</v>
      </c>
      <c r="H268" s="38" t="s">
        <v>2653</v>
      </c>
      <c r="I268" s="38" t="s">
        <v>1885</v>
      </c>
      <c r="J268" s="38">
        <v>6199</v>
      </c>
      <c r="K268" s="38">
        <f>6278+4484+1346+2332+2332+4484+2332+2332+2332+2332+6995+6995+2332+6995+3000+3000+2332+2332+1166</f>
        <v>65731</v>
      </c>
      <c r="L268" s="38">
        <v>0</v>
      </c>
      <c r="M268" s="38">
        <v>0</v>
      </c>
      <c r="N268" s="38">
        <f>3148+4053+2088</f>
        <v>9289</v>
      </c>
      <c r="O268" s="38">
        <v>0</v>
      </c>
      <c r="P268" s="38">
        <f>660+100</f>
        <v>760</v>
      </c>
      <c r="Q268" s="43">
        <f t="shared" si="6"/>
        <v>81979</v>
      </c>
      <c r="R268" s="69">
        <f t="shared" si="7"/>
        <v>69682.149999999994</v>
      </c>
      <c r="S268" s="40"/>
      <c r="T268" s="40"/>
    </row>
    <row r="269" spans="1:20" s="41" customFormat="1" ht="45" customHeight="1" x14ac:dyDescent="0.3">
      <c r="A269" s="36">
        <v>257</v>
      </c>
      <c r="B269" s="38" t="s">
        <v>863</v>
      </c>
      <c r="C269" s="38" t="s">
        <v>2650</v>
      </c>
      <c r="D269" s="39" t="s">
        <v>2651</v>
      </c>
      <c r="E269" s="38">
        <v>2012</v>
      </c>
      <c r="F269" s="38" t="s">
        <v>19</v>
      </c>
      <c r="G269" s="38" t="s">
        <v>2652</v>
      </c>
      <c r="H269" s="38" t="s">
        <v>2653</v>
      </c>
      <c r="I269" s="38" t="s">
        <v>1885</v>
      </c>
      <c r="J269" s="38">
        <v>0</v>
      </c>
      <c r="K269" s="38">
        <v>0</v>
      </c>
      <c r="L269" s="38">
        <v>0</v>
      </c>
      <c r="M269" s="38">
        <v>17688</v>
      </c>
      <c r="N269" s="38">
        <v>1178</v>
      </c>
      <c r="O269" s="38">
        <v>0</v>
      </c>
      <c r="P269" s="38">
        <f>1320+2160</f>
        <v>3480</v>
      </c>
      <c r="Q269" s="43">
        <f t="shared" ref="Q269:Q332" si="8">SUM(J269:P269)</f>
        <v>22346</v>
      </c>
      <c r="R269" s="69">
        <f t="shared" si="7"/>
        <v>18994.099999999999</v>
      </c>
      <c r="S269" s="40"/>
      <c r="T269" s="40"/>
    </row>
    <row r="270" spans="1:20" ht="45" customHeight="1" x14ac:dyDescent="0.3">
      <c r="A270" s="31">
        <v>258</v>
      </c>
      <c r="B270" s="32" t="s">
        <v>863</v>
      </c>
      <c r="C270" s="32" t="s">
        <v>924</v>
      </c>
      <c r="D270" s="32" t="s">
        <v>925</v>
      </c>
      <c r="E270" s="32">
        <v>2010</v>
      </c>
      <c r="F270" s="32" t="s">
        <v>19</v>
      </c>
      <c r="G270" s="32" t="s">
        <v>994</v>
      </c>
      <c r="H270" s="32" t="s">
        <v>1034</v>
      </c>
      <c r="I270" s="32" t="s">
        <v>1067</v>
      </c>
      <c r="J270" s="32">
        <v>6199</v>
      </c>
      <c r="K270" s="32">
        <f>1166+2801</f>
        <v>3967</v>
      </c>
      <c r="L270" s="32">
        <v>0</v>
      </c>
      <c r="M270" s="32">
        <v>0</v>
      </c>
      <c r="N270" s="32">
        <v>0</v>
      </c>
      <c r="O270" s="32">
        <v>0</v>
      </c>
      <c r="P270" s="32">
        <v>0</v>
      </c>
      <c r="Q270" s="43">
        <f t="shared" si="8"/>
        <v>10166</v>
      </c>
      <c r="R270" s="69">
        <f t="shared" ref="R270:R333" si="9">Q270*85/100</f>
        <v>8641.1</v>
      </c>
      <c r="S270" s="30"/>
      <c r="T270" s="30"/>
    </row>
    <row r="271" spans="1:20" ht="45" customHeight="1" x14ac:dyDescent="0.3">
      <c r="A271" s="31">
        <v>259</v>
      </c>
      <c r="B271" s="32" t="s">
        <v>863</v>
      </c>
      <c r="C271" s="32" t="s">
        <v>926</v>
      </c>
      <c r="D271" s="32" t="s">
        <v>927</v>
      </c>
      <c r="E271" s="32">
        <v>1986</v>
      </c>
      <c r="F271" s="32" t="s">
        <v>18</v>
      </c>
      <c r="G271" s="32" t="s">
        <v>995</v>
      </c>
      <c r="H271" s="32" t="s">
        <v>995</v>
      </c>
      <c r="I271" s="32" t="s">
        <v>1068</v>
      </c>
      <c r="J271" s="32">
        <v>3582</v>
      </c>
      <c r="K271" s="32">
        <v>0</v>
      </c>
      <c r="L271" s="32">
        <v>0</v>
      </c>
      <c r="M271" s="32">
        <v>0</v>
      </c>
      <c r="N271" s="32">
        <f>15443+42388+27126</f>
        <v>84957</v>
      </c>
      <c r="O271" s="32">
        <v>0</v>
      </c>
      <c r="P271" s="32">
        <v>0</v>
      </c>
      <c r="Q271" s="43">
        <f t="shared" si="8"/>
        <v>88539</v>
      </c>
      <c r="R271" s="69">
        <f t="shared" si="9"/>
        <v>75258.149999999994</v>
      </c>
      <c r="S271" s="30"/>
      <c r="T271" s="30"/>
    </row>
    <row r="272" spans="1:20" ht="45" customHeight="1" x14ac:dyDescent="0.3">
      <c r="A272" s="36">
        <v>260</v>
      </c>
      <c r="B272" s="32" t="s">
        <v>863</v>
      </c>
      <c r="C272" s="32" t="s">
        <v>928</v>
      </c>
      <c r="D272" s="32" t="s">
        <v>929</v>
      </c>
      <c r="E272" s="32">
        <v>1988</v>
      </c>
      <c r="F272" s="32" t="s">
        <v>19</v>
      </c>
      <c r="G272" s="32" t="s">
        <v>996</v>
      </c>
      <c r="H272" s="32" t="s">
        <v>996</v>
      </c>
      <c r="I272" s="32" t="s">
        <v>1069</v>
      </c>
      <c r="J272" s="32">
        <v>6199</v>
      </c>
      <c r="K272" s="32">
        <f>2332+2332+1166+2243</f>
        <v>8073</v>
      </c>
      <c r="L272" s="32">
        <v>0</v>
      </c>
      <c r="M272" s="32">
        <v>0</v>
      </c>
      <c r="N272" s="32">
        <v>0</v>
      </c>
      <c r="O272" s="32">
        <v>0</v>
      </c>
      <c r="P272" s="32">
        <v>0</v>
      </c>
      <c r="Q272" s="43">
        <f t="shared" si="8"/>
        <v>14272</v>
      </c>
      <c r="R272" s="69">
        <f t="shared" si="9"/>
        <v>12131.2</v>
      </c>
      <c r="S272" s="30"/>
      <c r="T272" s="30"/>
    </row>
    <row r="273" spans="1:20" ht="45" customHeight="1" x14ac:dyDescent="0.3">
      <c r="A273" s="31">
        <v>261</v>
      </c>
      <c r="B273" s="32" t="s">
        <v>863</v>
      </c>
      <c r="C273" s="32" t="s">
        <v>930</v>
      </c>
      <c r="D273" s="32" t="s">
        <v>931</v>
      </c>
      <c r="E273" s="32">
        <v>2025</v>
      </c>
      <c r="F273" s="32" t="s">
        <v>19</v>
      </c>
      <c r="G273" s="32" t="s">
        <v>997</v>
      </c>
      <c r="H273" s="32" t="s">
        <v>1035</v>
      </c>
      <c r="I273" s="32" t="s">
        <v>1070</v>
      </c>
      <c r="J273" s="32">
        <v>6199</v>
      </c>
      <c r="K273" s="32">
        <v>0</v>
      </c>
      <c r="L273" s="32">
        <v>0</v>
      </c>
      <c r="M273" s="32">
        <v>0</v>
      </c>
      <c r="N273" s="32">
        <v>0</v>
      </c>
      <c r="O273" s="32">
        <v>0</v>
      </c>
      <c r="P273" s="32">
        <v>0</v>
      </c>
      <c r="Q273" s="43">
        <f t="shared" si="8"/>
        <v>6199</v>
      </c>
      <c r="R273" s="69">
        <f t="shared" si="9"/>
        <v>5269.15</v>
      </c>
      <c r="S273" s="30"/>
      <c r="T273" s="30"/>
    </row>
    <row r="274" spans="1:20" ht="45" customHeight="1" x14ac:dyDescent="0.3">
      <c r="A274" s="31">
        <v>262</v>
      </c>
      <c r="B274" s="32" t="s">
        <v>863</v>
      </c>
      <c r="C274" s="32" t="s">
        <v>932</v>
      </c>
      <c r="D274" s="32" t="s">
        <v>933</v>
      </c>
      <c r="E274" s="32">
        <v>1997</v>
      </c>
      <c r="F274" s="32" t="s">
        <v>18</v>
      </c>
      <c r="G274" s="32" t="s">
        <v>998</v>
      </c>
      <c r="H274" s="32" t="s">
        <v>998</v>
      </c>
      <c r="I274" s="32" t="s">
        <v>1071</v>
      </c>
      <c r="J274" s="32">
        <v>6199</v>
      </c>
      <c r="K274" s="32">
        <f>6278+4484+1346+4484+2332+2332+2332+2332+2332+3000+3000+6995+6995+2332+6995</f>
        <v>57569</v>
      </c>
      <c r="L274" s="32">
        <v>0</v>
      </c>
      <c r="M274" s="32">
        <v>0</v>
      </c>
      <c r="N274" s="32">
        <v>1793</v>
      </c>
      <c r="O274" s="32">
        <v>0</v>
      </c>
      <c r="P274" s="32">
        <v>0</v>
      </c>
      <c r="Q274" s="43">
        <f t="shared" si="8"/>
        <v>65561</v>
      </c>
      <c r="R274" s="69">
        <f t="shared" si="9"/>
        <v>55726.85</v>
      </c>
      <c r="S274" s="30"/>
      <c r="T274" s="30"/>
    </row>
    <row r="275" spans="1:20" ht="45" customHeight="1" x14ac:dyDescent="0.3">
      <c r="A275" s="36">
        <v>263</v>
      </c>
      <c r="B275" s="32" t="s">
        <v>863</v>
      </c>
      <c r="C275" s="32" t="s">
        <v>934</v>
      </c>
      <c r="D275" s="32" t="s">
        <v>935</v>
      </c>
      <c r="E275" s="32">
        <v>1981</v>
      </c>
      <c r="F275" s="32" t="s">
        <v>18</v>
      </c>
      <c r="G275" s="32" t="s">
        <v>999</v>
      </c>
      <c r="H275" s="32" t="s">
        <v>999</v>
      </c>
      <c r="I275" s="32" t="s">
        <v>35</v>
      </c>
      <c r="J275" s="32">
        <v>3793</v>
      </c>
      <c r="K275" s="32">
        <v>0</v>
      </c>
      <c r="L275" s="32">
        <v>0</v>
      </c>
      <c r="M275" s="32">
        <v>0</v>
      </c>
      <c r="N275" s="32">
        <v>13298</v>
      </c>
      <c r="O275" s="32">
        <v>0</v>
      </c>
      <c r="P275" s="32">
        <v>0</v>
      </c>
      <c r="Q275" s="43">
        <f t="shared" si="8"/>
        <v>17091</v>
      </c>
      <c r="R275" s="69">
        <f t="shared" si="9"/>
        <v>14527.35</v>
      </c>
      <c r="S275" s="30"/>
      <c r="T275" s="30"/>
    </row>
    <row r="276" spans="1:20" ht="45" customHeight="1" x14ac:dyDescent="0.3">
      <c r="A276" s="31">
        <v>264</v>
      </c>
      <c r="B276" s="32" t="s">
        <v>863</v>
      </c>
      <c r="C276" s="32" t="s">
        <v>936</v>
      </c>
      <c r="D276" s="32" t="s">
        <v>937</v>
      </c>
      <c r="E276" s="32">
        <v>2010</v>
      </c>
      <c r="F276" s="32" t="s">
        <v>18</v>
      </c>
      <c r="G276" s="32" t="s">
        <v>1000</v>
      </c>
      <c r="H276" s="32" t="s">
        <v>1036</v>
      </c>
      <c r="I276" s="32" t="s">
        <v>1072</v>
      </c>
      <c r="J276" s="32">
        <v>6199</v>
      </c>
      <c r="K276" s="32">
        <f>1346+6278+4484</f>
        <v>12108</v>
      </c>
      <c r="L276" s="32">
        <v>0</v>
      </c>
      <c r="M276" s="32">
        <v>0</v>
      </c>
      <c r="N276" s="32">
        <v>1793</v>
      </c>
      <c r="O276" s="32">
        <v>0</v>
      </c>
      <c r="P276" s="32">
        <v>0</v>
      </c>
      <c r="Q276" s="43">
        <f t="shared" si="8"/>
        <v>20100</v>
      </c>
      <c r="R276" s="69">
        <f t="shared" si="9"/>
        <v>17085</v>
      </c>
      <c r="S276" s="30"/>
      <c r="T276" s="30"/>
    </row>
    <row r="277" spans="1:20" ht="45" customHeight="1" x14ac:dyDescent="0.3">
      <c r="A277" s="31">
        <v>265</v>
      </c>
      <c r="B277" s="32" t="s">
        <v>863</v>
      </c>
      <c r="C277" s="32" t="s">
        <v>938</v>
      </c>
      <c r="D277" s="32" t="s">
        <v>939</v>
      </c>
      <c r="E277" s="32">
        <v>2020</v>
      </c>
      <c r="F277" s="32" t="s">
        <v>19</v>
      </c>
      <c r="G277" s="32" t="s">
        <v>1001</v>
      </c>
      <c r="H277" s="32" t="s">
        <v>1037</v>
      </c>
      <c r="I277" s="32" t="s">
        <v>1073</v>
      </c>
      <c r="J277" s="32">
        <v>6199</v>
      </c>
      <c r="K277" s="32">
        <f>6278+4484+1166+4484</f>
        <v>16412</v>
      </c>
      <c r="L277" s="32">
        <v>0</v>
      </c>
      <c r="M277" s="32">
        <v>0</v>
      </c>
      <c r="N277" s="32">
        <v>3148</v>
      </c>
      <c r="O277" s="32">
        <v>0</v>
      </c>
      <c r="P277" s="32">
        <v>0</v>
      </c>
      <c r="Q277" s="43">
        <f t="shared" si="8"/>
        <v>25759</v>
      </c>
      <c r="R277" s="69">
        <f t="shared" si="9"/>
        <v>21895.15</v>
      </c>
      <c r="S277" s="30"/>
      <c r="T277" s="30"/>
    </row>
    <row r="278" spans="1:20" ht="45" customHeight="1" x14ac:dyDescent="0.3">
      <c r="A278" s="36">
        <v>266</v>
      </c>
      <c r="B278" s="32" t="s">
        <v>863</v>
      </c>
      <c r="C278" s="32" t="s">
        <v>940</v>
      </c>
      <c r="D278" s="32" t="s">
        <v>941</v>
      </c>
      <c r="E278" s="32">
        <v>2024</v>
      </c>
      <c r="F278" s="32" t="s">
        <v>19</v>
      </c>
      <c r="G278" s="32" t="s">
        <v>1002</v>
      </c>
      <c r="H278" s="32" t="s">
        <v>1038</v>
      </c>
      <c r="I278" s="32" t="s">
        <v>1074</v>
      </c>
      <c r="J278" s="32">
        <v>6199</v>
      </c>
      <c r="K278" s="32">
        <f>1346+6278+4484</f>
        <v>12108</v>
      </c>
      <c r="L278" s="32">
        <v>0</v>
      </c>
      <c r="M278" s="32">
        <v>0</v>
      </c>
      <c r="N278" s="32">
        <v>3148</v>
      </c>
      <c r="O278" s="32">
        <v>0</v>
      </c>
      <c r="P278" s="32">
        <v>0</v>
      </c>
      <c r="Q278" s="43">
        <f t="shared" si="8"/>
        <v>21455</v>
      </c>
      <c r="R278" s="69">
        <f t="shared" si="9"/>
        <v>18236.75</v>
      </c>
      <c r="S278" s="30"/>
      <c r="T278" s="30"/>
    </row>
    <row r="279" spans="1:20" ht="45" customHeight="1" x14ac:dyDescent="0.3">
      <c r="A279" s="31">
        <v>267</v>
      </c>
      <c r="B279" s="32" t="s">
        <v>863</v>
      </c>
      <c r="C279" s="32" t="s">
        <v>942</v>
      </c>
      <c r="D279" s="32" t="s">
        <v>943</v>
      </c>
      <c r="E279" s="32">
        <v>1995</v>
      </c>
      <c r="F279" s="32" t="s">
        <v>19</v>
      </c>
      <c r="G279" s="32" t="s">
        <v>1003</v>
      </c>
      <c r="H279" s="32" t="s">
        <v>1003</v>
      </c>
      <c r="I279" s="32" t="s">
        <v>1075</v>
      </c>
      <c r="J279" s="32">
        <v>3793</v>
      </c>
      <c r="K279" s="32">
        <f>2332+2332</f>
        <v>4664</v>
      </c>
      <c r="L279" s="32">
        <v>0</v>
      </c>
      <c r="M279" s="32">
        <v>0</v>
      </c>
      <c r="N279" s="32">
        <v>0</v>
      </c>
      <c r="O279" s="32">
        <v>0</v>
      </c>
      <c r="P279" s="32">
        <v>0</v>
      </c>
      <c r="Q279" s="43">
        <f t="shared" si="8"/>
        <v>8457</v>
      </c>
      <c r="R279" s="69">
        <f t="shared" si="9"/>
        <v>7188.45</v>
      </c>
      <c r="S279" s="30"/>
      <c r="T279" s="30"/>
    </row>
    <row r="280" spans="1:20" ht="45" customHeight="1" x14ac:dyDescent="0.3">
      <c r="A280" s="31">
        <v>268</v>
      </c>
      <c r="B280" s="32" t="s">
        <v>863</v>
      </c>
      <c r="C280" s="32" t="s">
        <v>944</v>
      </c>
      <c r="D280" s="32" t="s">
        <v>945</v>
      </c>
      <c r="E280" s="32">
        <v>2022</v>
      </c>
      <c r="F280" s="32" t="s">
        <v>19</v>
      </c>
      <c r="G280" s="32" t="s">
        <v>1004</v>
      </c>
      <c r="H280" s="32" t="s">
        <v>1039</v>
      </c>
      <c r="I280" s="32" t="s">
        <v>1076</v>
      </c>
      <c r="J280" s="32">
        <v>6199</v>
      </c>
      <c r="K280" s="32">
        <f>1346+6278+4484</f>
        <v>12108</v>
      </c>
      <c r="L280" s="32">
        <v>0</v>
      </c>
      <c r="M280" s="32">
        <v>0</v>
      </c>
      <c r="N280" s="32">
        <v>3148</v>
      </c>
      <c r="O280" s="32">
        <v>0</v>
      </c>
      <c r="P280" s="32">
        <v>0</v>
      </c>
      <c r="Q280" s="43">
        <f t="shared" si="8"/>
        <v>21455</v>
      </c>
      <c r="R280" s="69">
        <f t="shared" si="9"/>
        <v>18236.75</v>
      </c>
      <c r="S280" s="30"/>
      <c r="T280" s="30"/>
    </row>
    <row r="281" spans="1:20" ht="45" customHeight="1" x14ac:dyDescent="0.3">
      <c r="A281" s="36">
        <v>269</v>
      </c>
      <c r="B281" s="32" t="s">
        <v>863</v>
      </c>
      <c r="C281" s="32" t="s">
        <v>946</v>
      </c>
      <c r="D281" s="32" t="s">
        <v>947</v>
      </c>
      <c r="E281" s="32">
        <v>2021</v>
      </c>
      <c r="F281" s="32" t="s">
        <v>19</v>
      </c>
      <c r="G281" s="32" t="s">
        <v>1005</v>
      </c>
      <c r="H281" s="32" t="s">
        <v>1040</v>
      </c>
      <c r="I281" s="32" t="s">
        <v>1077</v>
      </c>
      <c r="J281" s="32">
        <v>6199</v>
      </c>
      <c r="K281" s="32">
        <v>0</v>
      </c>
      <c r="L281" s="32">
        <v>0</v>
      </c>
      <c r="M281" s="32">
        <v>0</v>
      </c>
      <c r="N281" s="32">
        <v>0</v>
      </c>
      <c r="O281" s="32">
        <v>0</v>
      </c>
      <c r="P281" s="32">
        <v>0</v>
      </c>
      <c r="Q281" s="43">
        <f t="shared" si="8"/>
        <v>6199</v>
      </c>
      <c r="R281" s="69">
        <f t="shared" si="9"/>
        <v>5269.15</v>
      </c>
      <c r="S281" s="30"/>
      <c r="T281" s="30"/>
    </row>
    <row r="282" spans="1:20" ht="45" customHeight="1" x14ac:dyDescent="0.3">
      <c r="A282" s="31">
        <v>270</v>
      </c>
      <c r="B282" s="32" t="s">
        <v>863</v>
      </c>
      <c r="C282" s="32" t="s">
        <v>948</v>
      </c>
      <c r="D282" s="32" t="s">
        <v>949</v>
      </c>
      <c r="E282" s="32">
        <v>2012</v>
      </c>
      <c r="F282" s="32" t="s">
        <v>18</v>
      </c>
      <c r="G282" s="32" t="s">
        <v>1006</v>
      </c>
      <c r="H282" s="32" t="s">
        <v>1041</v>
      </c>
      <c r="I282" s="32" t="s">
        <v>1078</v>
      </c>
      <c r="J282" s="32">
        <v>6199</v>
      </c>
      <c r="K282" s="32">
        <f>1346+6278+4484</f>
        <v>12108</v>
      </c>
      <c r="L282" s="32">
        <v>0</v>
      </c>
      <c r="M282" s="32">
        <v>0</v>
      </c>
      <c r="N282" s="32">
        <v>1793</v>
      </c>
      <c r="O282" s="32">
        <v>0</v>
      </c>
      <c r="P282" s="32">
        <v>0</v>
      </c>
      <c r="Q282" s="43">
        <f t="shared" si="8"/>
        <v>20100</v>
      </c>
      <c r="R282" s="69">
        <f t="shared" si="9"/>
        <v>17085</v>
      </c>
      <c r="S282" s="30"/>
      <c r="T282" s="30"/>
    </row>
    <row r="283" spans="1:20" ht="45" customHeight="1" x14ac:dyDescent="0.3">
      <c r="A283" s="31">
        <v>271</v>
      </c>
      <c r="B283" s="32" t="s">
        <v>863</v>
      </c>
      <c r="C283" s="32" t="s">
        <v>950</v>
      </c>
      <c r="D283" s="32" t="s">
        <v>951</v>
      </c>
      <c r="E283" s="32">
        <v>2025</v>
      </c>
      <c r="F283" s="32" t="s">
        <v>18</v>
      </c>
      <c r="G283" s="32" t="s">
        <v>1007</v>
      </c>
      <c r="H283" s="32" t="s">
        <v>1042</v>
      </c>
      <c r="I283" s="32" t="s">
        <v>1079</v>
      </c>
      <c r="J283" s="32">
        <v>6199</v>
      </c>
      <c r="K283" s="32">
        <v>0</v>
      </c>
      <c r="L283" s="32">
        <v>0</v>
      </c>
      <c r="M283" s="32">
        <v>0</v>
      </c>
      <c r="N283" s="32">
        <v>0</v>
      </c>
      <c r="O283" s="32">
        <v>0</v>
      </c>
      <c r="P283" s="32">
        <v>0</v>
      </c>
      <c r="Q283" s="43">
        <f t="shared" si="8"/>
        <v>6199</v>
      </c>
      <c r="R283" s="69">
        <f t="shared" si="9"/>
        <v>5269.15</v>
      </c>
      <c r="S283" s="30"/>
      <c r="T283" s="30"/>
    </row>
    <row r="284" spans="1:20" ht="45" customHeight="1" x14ac:dyDescent="0.3">
      <c r="A284" s="36">
        <v>272</v>
      </c>
      <c r="B284" s="32" t="s">
        <v>863</v>
      </c>
      <c r="C284" s="32" t="s">
        <v>952</v>
      </c>
      <c r="D284" s="32" t="s">
        <v>953</v>
      </c>
      <c r="E284" s="32">
        <v>1972</v>
      </c>
      <c r="F284" s="32" t="s">
        <v>18</v>
      </c>
      <c r="G284" s="32" t="s">
        <v>1008</v>
      </c>
      <c r="H284" s="32" t="s">
        <v>1008</v>
      </c>
      <c r="I284" s="32" t="s">
        <v>1080</v>
      </c>
      <c r="J284" s="32">
        <v>6199</v>
      </c>
      <c r="K284" s="32">
        <v>0</v>
      </c>
      <c r="L284" s="32">
        <v>0</v>
      </c>
      <c r="M284" s="32">
        <v>0</v>
      </c>
      <c r="N284" s="32">
        <v>0</v>
      </c>
      <c r="O284" s="32">
        <v>0</v>
      </c>
      <c r="P284" s="32">
        <v>0</v>
      </c>
      <c r="Q284" s="43">
        <f t="shared" si="8"/>
        <v>6199</v>
      </c>
      <c r="R284" s="69">
        <f t="shared" si="9"/>
        <v>5269.15</v>
      </c>
      <c r="S284" s="30"/>
      <c r="T284" s="30"/>
    </row>
    <row r="285" spans="1:20" ht="45" customHeight="1" x14ac:dyDescent="0.3">
      <c r="A285" s="31">
        <v>273</v>
      </c>
      <c r="B285" s="32" t="s">
        <v>863</v>
      </c>
      <c r="C285" s="32" t="s">
        <v>954</v>
      </c>
      <c r="D285" s="32" t="s">
        <v>955</v>
      </c>
      <c r="E285" s="32">
        <v>2016</v>
      </c>
      <c r="F285" s="32" t="s">
        <v>18</v>
      </c>
      <c r="G285" s="32" t="s">
        <v>1009</v>
      </c>
      <c r="H285" s="32" t="s">
        <v>1043</v>
      </c>
      <c r="I285" s="32" t="s">
        <v>1081</v>
      </c>
      <c r="J285" s="32">
        <v>6199</v>
      </c>
      <c r="K285" s="32">
        <v>1166</v>
      </c>
      <c r="L285" s="32">
        <v>0</v>
      </c>
      <c r="M285" s="32">
        <v>0</v>
      </c>
      <c r="N285" s="32">
        <v>0</v>
      </c>
      <c r="O285" s="32">
        <v>0</v>
      </c>
      <c r="P285" s="32">
        <v>0</v>
      </c>
      <c r="Q285" s="43">
        <f t="shared" si="8"/>
        <v>7365</v>
      </c>
      <c r="R285" s="69">
        <f t="shared" si="9"/>
        <v>6260.25</v>
      </c>
      <c r="S285" s="30"/>
      <c r="T285" s="30"/>
    </row>
    <row r="286" spans="1:20" ht="45" customHeight="1" x14ac:dyDescent="0.3">
      <c r="A286" s="31">
        <v>274</v>
      </c>
      <c r="B286" s="32" t="s">
        <v>863</v>
      </c>
      <c r="C286" s="32" t="s">
        <v>956</v>
      </c>
      <c r="D286" s="32" t="s">
        <v>957</v>
      </c>
      <c r="E286" s="32">
        <v>2018</v>
      </c>
      <c r="F286" s="32" t="s">
        <v>19</v>
      </c>
      <c r="G286" s="32" t="s">
        <v>1010</v>
      </c>
      <c r="H286" s="32" t="s">
        <v>1043</v>
      </c>
      <c r="I286" s="32" t="s">
        <v>1081</v>
      </c>
      <c r="J286" s="32">
        <v>6199</v>
      </c>
      <c r="K286" s="32">
        <v>0</v>
      </c>
      <c r="L286" s="32">
        <v>0</v>
      </c>
      <c r="M286" s="32">
        <v>0</v>
      </c>
      <c r="N286" s="32">
        <v>0</v>
      </c>
      <c r="O286" s="32">
        <v>0</v>
      </c>
      <c r="P286" s="32">
        <v>0</v>
      </c>
      <c r="Q286" s="43">
        <f t="shared" si="8"/>
        <v>6199</v>
      </c>
      <c r="R286" s="69">
        <f t="shared" si="9"/>
        <v>5269.15</v>
      </c>
      <c r="S286" s="30"/>
      <c r="T286" s="30"/>
    </row>
    <row r="287" spans="1:20" ht="45" customHeight="1" x14ac:dyDescent="0.3">
      <c r="A287" s="36">
        <v>275</v>
      </c>
      <c r="B287" s="32" t="s">
        <v>863</v>
      </c>
      <c r="C287" s="32" t="s">
        <v>958</v>
      </c>
      <c r="D287" s="32" t="s">
        <v>959</v>
      </c>
      <c r="E287" s="32">
        <v>1990</v>
      </c>
      <c r="F287" s="32" t="s">
        <v>19</v>
      </c>
      <c r="G287" s="32" t="s">
        <v>1011</v>
      </c>
      <c r="H287" s="32" t="s">
        <v>1044</v>
      </c>
      <c r="I287" s="32" t="s">
        <v>1082</v>
      </c>
      <c r="J287" s="32">
        <v>3793</v>
      </c>
      <c r="K287" s="32">
        <v>0</v>
      </c>
      <c r="L287" s="32">
        <v>0</v>
      </c>
      <c r="M287" s="32">
        <v>0</v>
      </c>
      <c r="N287" s="32">
        <v>0</v>
      </c>
      <c r="O287" s="32">
        <v>0</v>
      </c>
      <c r="P287" s="32">
        <v>0</v>
      </c>
      <c r="Q287" s="43">
        <f t="shared" si="8"/>
        <v>3793</v>
      </c>
      <c r="R287" s="69">
        <f t="shared" si="9"/>
        <v>3224.05</v>
      </c>
      <c r="S287" s="30"/>
      <c r="T287" s="30"/>
    </row>
    <row r="288" spans="1:20" ht="45" customHeight="1" x14ac:dyDescent="0.3">
      <c r="A288" s="31">
        <v>276</v>
      </c>
      <c r="B288" s="32" t="s">
        <v>863</v>
      </c>
      <c r="C288" s="32" t="s">
        <v>960</v>
      </c>
      <c r="D288" s="32" t="s">
        <v>961</v>
      </c>
      <c r="E288" s="32">
        <v>1986</v>
      </c>
      <c r="F288" s="32" t="s">
        <v>19</v>
      </c>
      <c r="G288" s="32" t="s">
        <v>1012</v>
      </c>
      <c r="H288" s="32" t="s">
        <v>1041</v>
      </c>
      <c r="I288" s="32" t="s">
        <v>1078</v>
      </c>
      <c r="J288" s="32">
        <v>6199</v>
      </c>
      <c r="K288" s="32">
        <v>0</v>
      </c>
      <c r="L288" s="32">
        <v>0</v>
      </c>
      <c r="M288" s="32">
        <v>0</v>
      </c>
      <c r="N288" s="32">
        <v>0</v>
      </c>
      <c r="O288" s="32">
        <v>0</v>
      </c>
      <c r="P288" s="32">
        <v>0</v>
      </c>
      <c r="Q288" s="43">
        <f t="shared" si="8"/>
        <v>6199</v>
      </c>
      <c r="R288" s="69">
        <f t="shared" si="9"/>
        <v>5269.15</v>
      </c>
      <c r="S288" s="30"/>
      <c r="T288" s="30"/>
    </row>
    <row r="289" spans="1:20" ht="45" customHeight="1" x14ac:dyDescent="0.3">
      <c r="A289" s="31">
        <v>277</v>
      </c>
      <c r="B289" s="32" t="s">
        <v>863</v>
      </c>
      <c r="C289" s="32" t="s">
        <v>962</v>
      </c>
      <c r="D289" s="32" t="s">
        <v>963</v>
      </c>
      <c r="E289" s="32">
        <v>1995</v>
      </c>
      <c r="F289" s="32" t="s">
        <v>19</v>
      </c>
      <c r="G289" s="32" t="s">
        <v>1013</v>
      </c>
      <c r="H289" s="32" t="s">
        <v>1045</v>
      </c>
      <c r="I289" s="32" t="s">
        <v>1083</v>
      </c>
      <c r="J289" s="32">
        <v>6199</v>
      </c>
      <c r="K289" s="32">
        <v>0</v>
      </c>
      <c r="L289" s="32">
        <v>0</v>
      </c>
      <c r="M289" s="32">
        <v>0</v>
      </c>
      <c r="N289" s="32">
        <v>0</v>
      </c>
      <c r="O289" s="32">
        <v>0</v>
      </c>
      <c r="P289" s="32">
        <v>0</v>
      </c>
      <c r="Q289" s="43">
        <f t="shared" si="8"/>
        <v>6199</v>
      </c>
      <c r="R289" s="69">
        <f t="shared" si="9"/>
        <v>5269.15</v>
      </c>
      <c r="S289" s="30"/>
      <c r="T289" s="30"/>
    </row>
    <row r="290" spans="1:20" ht="45" customHeight="1" x14ac:dyDescent="0.3">
      <c r="A290" s="36">
        <v>278</v>
      </c>
      <c r="B290" s="32" t="s">
        <v>863</v>
      </c>
      <c r="C290" s="32" t="s">
        <v>964</v>
      </c>
      <c r="D290" s="32" t="s">
        <v>965</v>
      </c>
      <c r="E290" s="32">
        <v>1984</v>
      </c>
      <c r="F290" s="32" t="s">
        <v>18</v>
      </c>
      <c r="G290" s="32" t="s">
        <v>1014</v>
      </c>
      <c r="H290" s="32" t="s">
        <v>1014</v>
      </c>
      <c r="I290" s="32" t="s">
        <v>1084</v>
      </c>
      <c r="J290" s="32">
        <v>6199</v>
      </c>
      <c r="K290" s="32">
        <v>0</v>
      </c>
      <c r="L290" s="32">
        <v>0</v>
      </c>
      <c r="M290" s="32">
        <v>0</v>
      </c>
      <c r="N290" s="32">
        <v>0</v>
      </c>
      <c r="O290" s="32">
        <v>0</v>
      </c>
      <c r="P290" s="32">
        <v>0</v>
      </c>
      <c r="Q290" s="43">
        <f t="shared" si="8"/>
        <v>6199</v>
      </c>
      <c r="R290" s="69">
        <f t="shared" si="9"/>
        <v>5269.15</v>
      </c>
      <c r="S290" s="30"/>
      <c r="T290" s="30"/>
    </row>
    <row r="291" spans="1:20" ht="45" customHeight="1" x14ac:dyDescent="0.3">
      <c r="A291" s="31">
        <v>279</v>
      </c>
      <c r="B291" s="32" t="s">
        <v>863</v>
      </c>
      <c r="C291" s="32" t="s">
        <v>7179</v>
      </c>
      <c r="D291" s="34" t="s">
        <v>2641</v>
      </c>
      <c r="E291" s="32">
        <v>2023</v>
      </c>
      <c r="F291" s="32" t="s">
        <v>19</v>
      </c>
      <c r="G291" s="32" t="s">
        <v>2642</v>
      </c>
      <c r="H291" s="32" t="s">
        <v>2643</v>
      </c>
      <c r="I291" s="32" t="s">
        <v>1460</v>
      </c>
      <c r="J291" s="32">
        <v>2900</v>
      </c>
      <c r="K291" s="32">
        <v>0</v>
      </c>
      <c r="L291" s="32">
        <v>0</v>
      </c>
      <c r="M291" s="32">
        <v>17688</v>
      </c>
      <c r="N291" s="32">
        <v>2088</v>
      </c>
      <c r="O291" s="32">
        <v>0</v>
      </c>
      <c r="P291" s="32">
        <f>1080+168+1200</f>
        <v>2448</v>
      </c>
      <c r="Q291" s="43">
        <f t="shared" si="8"/>
        <v>25124</v>
      </c>
      <c r="R291" s="69">
        <f t="shared" si="9"/>
        <v>21355.4</v>
      </c>
      <c r="S291" s="30"/>
      <c r="T291" s="30"/>
    </row>
    <row r="292" spans="1:20" ht="45" customHeight="1" x14ac:dyDescent="0.3">
      <c r="A292" s="31">
        <v>280</v>
      </c>
      <c r="B292" s="32" t="s">
        <v>863</v>
      </c>
      <c r="C292" s="32" t="s">
        <v>7180</v>
      </c>
      <c r="D292" s="34" t="s">
        <v>2636</v>
      </c>
      <c r="E292" s="32">
        <v>2024</v>
      </c>
      <c r="F292" s="32" t="s">
        <v>18</v>
      </c>
      <c r="G292" s="32" t="s">
        <v>2637</v>
      </c>
      <c r="H292" s="32" t="s">
        <v>2638</v>
      </c>
      <c r="I292" s="32" t="s">
        <v>2639</v>
      </c>
      <c r="J292" s="32">
        <v>2900</v>
      </c>
      <c r="K292" s="32">
        <v>0</v>
      </c>
      <c r="L292" s="32">
        <v>0</v>
      </c>
      <c r="M292" s="32">
        <v>0</v>
      </c>
      <c r="N292" s="32">
        <v>2088</v>
      </c>
      <c r="O292" s="32">
        <v>0</v>
      </c>
      <c r="P292" s="32">
        <f>360+56</f>
        <v>416</v>
      </c>
      <c r="Q292" s="43">
        <f t="shared" si="8"/>
        <v>5404</v>
      </c>
      <c r="R292" s="69">
        <f t="shared" si="9"/>
        <v>4593.3999999999996</v>
      </c>
      <c r="S292" s="30"/>
      <c r="T292" s="30"/>
    </row>
    <row r="293" spans="1:20" ht="45" customHeight="1" x14ac:dyDescent="0.3">
      <c r="A293" s="36">
        <v>281</v>
      </c>
      <c r="B293" s="32" t="s">
        <v>863</v>
      </c>
      <c r="C293" s="32" t="s">
        <v>7181</v>
      </c>
      <c r="D293" s="34" t="s">
        <v>641</v>
      </c>
      <c r="E293" s="32">
        <v>2006</v>
      </c>
      <c r="F293" s="32" t="s">
        <v>19</v>
      </c>
      <c r="G293" s="32" t="s">
        <v>748</v>
      </c>
      <c r="H293" s="32" t="s">
        <v>803</v>
      </c>
      <c r="I293" s="32" t="s">
        <v>283</v>
      </c>
      <c r="J293" s="32">
        <v>2900</v>
      </c>
      <c r="K293" s="32">
        <v>0</v>
      </c>
      <c r="L293" s="32">
        <v>0</v>
      </c>
      <c r="M293" s="32">
        <v>0</v>
      </c>
      <c r="N293" s="32">
        <v>0</v>
      </c>
      <c r="O293" s="32">
        <v>0</v>
      </c>
      <c r="P293" s="32">
        <f>144+720+720</f>
        <v>1584</v>
      </c>
      <c r="Q293" s="43">
        <f t="shared" si="8"/>
        <v>4484</v>
      </c>
      <c r="R293" s="69">
        <f t="shared" si="9"/>
        <v>3811.4</v>
      </c>
      <c r="S293" s="30"/>
      <c r="T293" s="30"/>
    </row>
    <row r="294" spans="1:20" ht="45" customHeight="1" x14ac:dyDescent="0.3">
      <c r="A294" s="31">
        <v>282</v>
      </c>
      <c r="B294" s="32" t="s">
        <v>863</v>
      </c>
      <c r="C294" s="32" t="s">
        <v>7182</v>
      </c>
      <c r="D294" s="34" t="s">
        <v>94</v>
      </c>
      <c r="E294" s="32">
        <v>2021</v>
      </c>
      <c r="F294" s="32" t="s">
        <v>18</v>
      </c>
      <c r="G294" s="32" t="s">
        <v>176</v>
      </c>
      <c r="H294" s="32" t="s">
        <v>227</v>
      </c>
      <c r="I294" s="32" t="s">
        <v>570</v>
      </c>
      <c r="J294" s="32">
        <v>2900</v>
      </c>
      <c r="K294" s="32">
        <v>0</v>
      </c>
      <c r="L294" s="32">
        <v>0</v>
      </c>
      <c r="M294" s="32">
        <v>0</v>
      </c>
      <c r="N294" s="32">
        <v>2088</v>
      </c>
      <c r="O294" s="32">
        <v>0</v>
      </c>
      <c r="P294" s="32">
        <f>360+56</f>
        <v>416</v>
      </c>
      <c r="Q294" s="43">
        <f t="shared" si="8"/>
        <v>5404</v>
      </c>
      <c r="R294" s="69">
        <f t="shared" si="9"/>
        <v>4593.3999999999996</v>
      </c>
      <c r="S294" s="30"/>
      <c r="T294" s="30"/>
    </row>
    <row r="295" spans="1:20" ht="45" customHeight="1" x14ac:dyDescent="0.3">
      <c r="A295" s="31">
        <v>283</v>
      </c>
      <c r="B295" s="32" t="s">
        <v>863</v>
      </c>
      <c r="C295" s="32" t="s">
        <v>7183</v>
      </c>
      <c r="D295" s="34" t="s">
        <v>332</v>
      </c>
      <c r="E295" s="32">
        <v>2025</v>
      </c>
      <c r="F295" s="32" t="s">
        <v>18</v>
      </c>
      <c r="G295" s="32" t="s">
        <v>447</v>
      </c>
      <c r="H295" s="32" t="s">
        <v>504</v>
      </c>
      <c r="I295" s="32" t="s">
        <v>544</v>
      </c>
      <c r="J295" s="32">
        <v>2900</v>
      </c>
      <c r="K295" s="32">
        <f>6278+4484</f>
        <v>10762</v>
      </c>
      <c r="L295" s="32">
        <v>0</v>
      </c>
      <c r="M295" s="32">
        <v>0</v>
      </c>
      <c r="N295" s="32">
        <f>2088+3148</f>
        <v>5236</v>
      </c>
      <c r="O295" s="32">
        <v>0</v>
      </c>
      <c r="P295" s="32">
        <f>720+112</f>
        <v>832</v>
      </c>
      <c r="Q295" s="43">
        <f t="shared" si="8"/>
        <v>19730</v>
      </c>
      <c r="R295" s="69">
        <f t="shared" si="9"/>
        <v>16770.5</v>
      </c>
      <c r="S295" s="30"/>
      <c r="T295" s="30"/>
    </row>
    <row r="296" spans="1:20" ht="45" customHeight="1" x14ac:dyDescent="0.3">
      <c r="A296" s="36">
        <v>284</v>
      </c>
      <c r="B296" s="32" t="s">
        <v>863</v>
      </c>
      <c r="C296" s="32" t="s">
        <v>7184</v>
      </c>
      <c r="D296" s="34" t="s">
        <v>429</v>
      </c>
      <c r="E296" s="32">
        <v>2024</v>
      </c>
      <c r="F296" s="32" t="s">
        <v>18</v>
      </c>
      <c r="G296" s="32" t="s">
        <v>494</v>
      </c>
      <c r="H296" s="32" t="s">
        <v>531</v>
      </c>
      <c r="I296" s="32" t="s">
        <v>570</v>
      </c>
      <c r="J296" s="32">
        <v>2900</v>
      </c>
      <c r="K296" s="32">
        <v>0</v>
      </c>
      <c r="L296" s="32">
        <v>0</v>
      </c>
      <c r="M296" s="32">
        <v>0</v>
      </c>
      <c r="N296" s="32">
        <v>2088</v>
      </c>
      <c r="O296" s="32">
        <v>0</v>
      </c>
      <c r="P296" s="32">
        <f>360+56+1200</f>
        <v>1616</v>
      </c>
      <c r="Q296" s="43">
        <f t="shared" si="8"/>
        <v>6604</v>
      </c>
      <c r="R296" s="69">
        <f t="shared" si="9"/>
        <v>5613.4</v>
      </c>
      <c r="S296" s="30"/>
      <c r="T296" s="30"/>
    </row>
    <row r="297" spans="1:20" ht="45" customHeight="1" x14ac:dyDescent="0.3">
      <c r="A297" s="31">
        <v>285</v>
      </c>
      <c r="B297" s="32" t="s">
        <v>863</v>
      </c>
      <c r="C297" s="32" t="s">
        <v>7185</v>
      </c>
      <c r="D297" s="34" t="s">
        <v>2646</v>
      </c>
      <c r="E297" s="32">
        <v>2022</v>
      </c>
      <c r="F297" s="32" t="s">
        <v>19</v>
      </c>
      <c r="G297" s="32" t="s">
        <v>762</v>
      </c>
      <c r="H297" s="32" t="s">
        <v>811</v>
      </c>
      <c r="I297" s="32" t="s">
        <v>848</v>
      </c>
      <c r="J297" s="32">
        <v>2900</v>
      </c>
      <c r="K297" s="32">
        <v>0</v>
      </c>
      <c r="L297" s="32">
        <v>0</v>
      </c>
      <c r="M297" s="32">
        <v>0</v>
      </c>
      <c r="N297" s="32">
        <v>2088</v>
      </c>
      <c r="O297" s="32">
        <v>0</v>
      </c>
      <c r="P297" s="32">
        <f>360+56</f>
        <v>416</v>
      </c>
      <c r="Q297" s="43">
        <f t="shared" si="8"/>
        <v>5404</v>
      </c>
      <c r="R297" s="69">
        <f t="shared" si="9"/>
        <v>4593.3999999999996</v>
      </c>
      <c r="S297" s="30"/>
      <c r="T297" s="30"/>
    </row>
    <row r="298" spans="1:20" ht="45" customHeight="1" x14ac:dyDescent="0.3">
      <c r="A298" s="31">
        <v>286</v>
      </c>
      <c r="B298" s="32" t="s">
        <v>863</v>
      </c>
      <c r="C298" s="32" t="s">
        <v>7186</v>
      </c>
      <c r="D298" s="34" t="s">
        <v>321</v>
      </c>
      <c r="E298" s="32">
        <v>2019</v>
      </c>
      <c r="F298" s="32" t="s">
        <v>18</v>
      </c>
      <c r="G298" s="32" t="s">
        <v>442</v>
      </c>
      <c r="H298" s="32" t="s">
        <v>503</v>
      </c>
      <c r="I298" s="32" t="s">
        <v>25</v>
      </c>
      <c r="J298" s="32">
        <v>2900</v>
      </c>
      <c r="K298" s="32">
        <v>0</v>
      </c>
      <c r="L298" s="32">
        <v>0</v>
      </c>
      <c r="M298" s="32">
        <v>0</v>
      </c>
      <c r="N298" s="32">
        <v>2088</v>
      </c>
      <c r="O298" s="32">
        <v>0</v>
      </c>
      <c r="P298" s="32">
        <f>360+56</f>
        <v>416</v>
      </c>
      <c r="Q298" s="43">
        <f t="shared" si="8"/>
        <v>5404</v>
      </c>
      <c r="R298" s="69">
        <f t="shared" si="9"/>
        <v>4593.3999999999996</v>
      </c>
      <c r="S298" s="30"/>
      <c r="T298" s="30"/>
    </row>
    <row r="299" spans="1:20" ht="45" customHeight="1" x14ac:dyDescent="0.3">
      <c r="A299" s="36">
        <v>287</v>
      </c>
      <c r="B299" s="32" t="s">
        <v>1085</v>
      </c>
      <c r="C299" s="32" t="s">
        <v>1086</v>
      </c>
      <c r="D299" s="32" t="s">
        <v>1087</v>
      </c>
      <c r="E299" s="32">
        <v>1993</v>
      </c>
      <c r="F299" s="32" t="s">
        <v>19</v>
      </c>
      <c r="G299" s="32" t="s">
        <v>1170</v>
      </c>
      <c r="H299" s="32" t="s">
        <v>1170</v>
      </c>
      <c r="I299" s="32" t="s">
        <v>1254</v>
      </c>
      <c r="J299" s="32">
        <v>3582</v>
      </c>
      <c r="K299" s="32">
        <v>0</v>
      </c>
      <c r="L299" s="32">
        <v>0</v>
      </c>
      <c r="M299" s="32">
        <v>0</v>
      </c>
      <c r="N299" s="32">
        <f>34016+27380</f>
        <v>61396</v>
      </c>
      <c r="O299" s="32">
        <v>0</v>
      </c>
      <c r="P299" s="32">
        <v>0</v>
      </c>
      <c r="Q299" s="43">
        <f t="shared" si="8"/>
        <v>64978</v>
      </c>
      <c r="R299" s="69">
        <f t="shared" si="9"/>
        <v>55231.3</v>
      </c>
      <c r="S299" s="30"/>
      <c r="T299" s="30"/>
    </row>
    <row r="300" spans="1:20" ht="45" customHeight="1" x14ac:dyDescent="0.3">
      <c r="A300" s="31">
        <v>288</v>
      </c>
      <c r="B300" s="32" t="s">
        <v>1085</v>
      </c>
      <c r="C300" s="32" t="s">
        <v>1088</v>
      </c>
      <c r="D300" s="32" t="s">
        <v>1089</v>
      </c>
      <c r="E300" s="32">
        <v>1994</v>
      </c>
      <c r="F300" s="32" t="s">
        <v>19</v>
      </c>
      <c r="G300" s="32" t="s">
        <v>1171</v>
      </c>
      <c r="H300" s="32" t="s">
        <v>1171</v>
      </c>
      <c r="I300" s="32" t="s">
        <v>1255</v>
      </c>
      <c r="J300" s="32">
        <v>6199</v>
      </c>
      <c r="K300" s="32">
        <f>6278+4484+1346+2332+2332+4484+2332+2332+2332+1346+3000+3000</f>
        <v>35598</v>
      </c>
      <c r="L300" s="32">
        <v>0</v>
      </c>
      <c r="M300" s="32">
        <v>0</v>
      </c>
      <c r="N300" s="32">
        <v>1793</v>
      </c>
      <c r="O300" s="32">
        <v>0</v>
      </c>
      <c r="P300" s="32">
        <v>0</v>
      </c>
      <c r="Q300" s="43">
        <f t="shared" si="8"/>
        <v>43590</v>
      </c>
      <c r="R300" s="69">
        <f t="shared" si="9"/>
        <v>37051.5</v>
      </c>
      <c r="S300" s="30"/>
      <c r="T300" s="30"/>
    </row>
    <row r="301" spans="1:20" ht="45" customHeight="1" x14ac:dyDescent="0.3">
      <c r="A301" s="31">
        <v>289</v>
      </c>
      <c r="B301" s="32" t="s">
        <v>1085</v>
      </c>
      <c r="C301" s="32" t="s">
        <v>1090</v>
      </c>
      <c r="D301" s="32" t="s">
        <v>1091</v>
      </c>
      <c r="E301" s="32">
        <v>1984</v>
      </c>
      <c r="F301" s="32" t="s">
        <v>18</v>
      </c>
      <c r="G301" s="32" t="s">
        <v>1172</v>
      </c>
      <c r="H301" s="32" t="s">
        <v>1172</v>
      </c>
      <c r="I301" s="32" t="s">
        <v>836</v>
      </c>
      <c r="J301" s="32">
        <v>6199</v>
      </c>
      <c r="K301" s="32">
        <f>6278+4484+1346+2332+4484+2332+2332+2332+2332+4484+4484+4484+2332</f>
        <v>44036</v>
      </c>
      <c r="L301" s="32">
        <v>0</v>
      </c>
      <c r="M301" s="32">
        <v>0</v>
      </c>
      <c r="N301" s="32">
        <v>1793</v>
      </c>
      <c r="O301" s="32">
        <v>0</v>
      </c>
      <c r="P301" s="32">
        <v>0</v>
      </c>
      <c r="Q301" s="43">
        <f t="shared" si="8"/>
        <v>52028</v>
      </c>
      <c r="R301" s="69">
        <f t="shared" si="9"/>
        <v>44223.8</v>
      </c>
      <c r="S301" s="30"/>
      <c r="T301" s="30"/>
    </row>
    <row r="302" spans="1:20" ht="45" customHeight="1" x14ac:dyDescent="0.3">
      <c r="A302" s="36">
        <v>290</v>
      </c>
      <c r="B302" s="32" t="s">
        <v>1085</v>
      </c>
      <c r="C302" s="32" t="s">
        <v>1092</v>
      </c>
      <c r="D302" s="32" t="s">
        <v>1093</v>
      </c>
      <c r="E302" s="32">
        <v>2022</v>
      </c>
      <c r="F302" s="32" t="s">
        <v>18</v>
      </c>
      <c r="G302" s="32" t="s">
        <v>1173</v>
      </c>
      <c r="H302" s="32" t="s">
        <v>1224</v>
      </c>
      <c r="I302" s="32" t="s">
        <v>1256</v>
      </c>
      <c r="J302" s="32">
        <v>6199</v>
      </c>
      <c r="K302" s="32">
        <f>1346+6278+4484+4484+2332+2332+2332+6995+2332+2332+2332+6995+6995+2332</f>
        <v>53901</v>
      </c>
      <c r="L302" s="32">
        <v>0</v>
      </c>
      <c r="M302" s="32">
        <v>0</v>
      </c>
      <c r="N302" s="32">
        <v>3148</v>
      </c>
      <c r="O302" s="32">
        <v>0</v>
      </c>
      <c r="P302" s="32">
        <v>0</v>
      </c>
      <c r="Q302" s="43">
        <f t="shared" si="8"/>
        <v>63248</v>
      </c>
      <c r="R302" s="69">
        <f t="shared" si="9"/>
        <v>53760.800000000003</v>
      </c>
      <c r="S302" s="30"/>
      <c r="T302" s="30"/>
    </row>
    <row r="303" spans="1:20" ht="45" customHeight="1" x14ac:dyDescent="0.3">
      <c r="A303" s="31">
        <v>291</v>
      </c>
      <c r="B303" s="32" t="s">
        <v>1085</v>
      </c>
      <c r="C303" s="32" t="s">
        <v>1094</v>
      </c>
      <c r="D303" s="32" t="s">
        <v>1095</v>
      </c>
      <c r="E303" s="32">
        <v>1986</v>
      </c>
      <c r="F303" s="32" t="s">
        <v>19</v>
      </c>
      <c r="G303" s="32" t="s">
        <v>1174</v>
      </c>
      <c r="H303" s="32" t="s">
        <v>1174</v>
      </c>
      <c r="I303" s="32" t="s">
        <v>1257</v>
      </c>
      <c r="J303" s="32">
        <v>6199</v>
      </c>
      <c r="K303" s="32">
        <f>6278+4484+6995+2332+2332+2332+3000+3000+6995+3228+2332+2332+2243+2332+2332+2332+4484+4484+2332+4484</f>
        <v>70663</v>
      </c>
      <c r="L303" s="32">
        <v>20807</v>
      </c>
      <c r="M303" s="32">
        <v>0</v>
      </c>
      <c r="N303" s="32">
        <f>1793+1681</f>
        <v>3474</v>
      </c>
      <c r="O303" s="32">
        <v>0</v>
      </c>
      <c r="P303" s="32">
        <f>624+112</f>
        <v>736</v>
      </c>
      <c r="Q303" s="43">
        <f t="shared" si="8"/>
        <v>101879</v>
      </c>
      <c r="R303" s="69">
        <f t="shared" si="9"/>
        <v>86597.15</v>
      </c>
      <c r="S303" s="30"/>
      <c r="T303" s="30"/>
    </row>
    <row r="304" spans="1:20" ht="45" customHeight="1" x14ac:dyDescent="0.3">
      <c r="A304" s="31">
        <v>292</v>
      </c>
      <c r="B304" s="32" t="s">
        <v>1085</v>
      </c>
      <c r="C304" s="32" t="s">
        <v>1096</v>
      </c>
      <c r="D304" s="32" t="s">
        <v>1097</v>
      </c>
      <c r="E304" s="32">
        <v>1994</v>
      </c>
      <c r="F304" s="32" t="s">
        <v>18</v>
      </c>
      <c r="G304" s="32" t="s">
        <v>1175</v>
      </c>
      <c r="H304" s="32" t="s">
        <v>1175</v>
      </c>
      <c r="I304" s="32" t="s">
        <v>1258</v>
      </c>
      <c r="J304" s="32">
        <v>6199</v>
      </c>
      <c r="K304" s="32">
        <f>1346+6278+4484+4484+2332+2332+2332+2332+2332+2332+1346+1346+2332+2332</f>
        <v>37940</v>
      </c>
      <c r="L304" s="32">
        <v>0</v>
      </c>
      <c r="M304" s="32">
        <v>0</v>
      </c>
      <c r="N304" s="32">
        <v>1793</v>
      </c>
      <c r="O304" s="32">
        <v>0</v>
      </c>
      <c r="P304" s="32">
        <v>0</v>
      </c>
      <c r="Q304" s="43">
        <f t="shared" si="8"/>
        <v>45932</v>
      </c>
      <c r="R304" s="69">
        <f t="shared" si="9"/>
        <v>39042.199999999997</v>
      </c>
      <c r="S304" s="30"/>
      <c r="T304" s="30"/>
    </row>
    <row r="305" spans="1:20" ht="45" customHeight="1" x14ac:dyDescent="0.3">
      <c r="A305" s="36">
        <v>293</v>
      </c>
      <c r="B305" s="32" t="s">
        <v>1085</v>
      </c>
      <c r="C305" s="32" t="s">
        <v>1098</v>
      </c>
      <c r="D305" s="32" t="s">
        <v>1099</v>
      </c>
      <c r="E305" s="32">
        <v>1999</v>
      </c>
      <c r="F305" s="32" t="s">
        <v>19</v>
      </c>
      <c r="G305" s="32" t="s">
        <v>1176</v>
      </c>
      <c r="H305" s="32" t="s">
        <v>1176</v>
      </c>
      <c r="I305" s="32" t="s">
        <v>544</v>
      </c>
      <c r="J305" s="32">
        <v>6199</v>
      </c>
      <c r="K305" s="32">
        <f>1166+2801</f>
        <v>3967</v>
      </c>
      <c r="L305" s="32">
        <v>0</v>
      </c>
      <c r="M305" s="32">
        <v>0</v>
      </c>
      <c r="N305" s="32">
        <v>0</v>
      </c>
      <c r="O305" s="32">
        <v>0</v>
      </c>
      <c r="P305" s="32">
        <v>0</v>
      </c>
      <c r="Q305" s="43">
        <f t="shared" si="8"/>
        <v>10166</v>
      </c>
      <c r="R305" s="69">
        <f t="shared" si="9"/>
        <v>8641.1</v>
      </c>
      <c r="S305" s="30"/>
      <c r="T305" s="30"/>
    </row>
    <row r="306" spans="1:20" ht="45" customHeight="1" x14ac:dyDescent="0.3">
      <c r="A306" s="31">
        <v>294</v>
      </c>
      <c r="B306" s="32" t="s">
        <v>1085</v>
      </c>
      <c r="C306" s="32" t="s">
        <v>1100</v>
      </c>
      <c r="D306" s="32" t="s">
        <v>1101</v>
      </c>
      <c r="E306" s="32">
        <v>2025</v>
      </c>
      <c r="F306" s="32" t="s">
        <v>19</v>
      </c>
      <c r="G306" s="32" t="s">
        <v>1177</v>
      </c>
      <c r="H306" s="32" t="s">
        <v>1225</v>
      </c>
      <c r="I306" s="32" t="s">
        <v>544</v>
      </c>
      <c r="J306" s="32">
        <v>6199</v>
      </c>
      <c r="K306" s="32">
        <f>6278+4484+1346</f>
        <v>12108</v>
      </c>
      <c r="L306" s="32">
        <v>0</v>
      </c>
      <c r="M306" s="32">
        <v>0</v>
      </c>
      <c r="N306" s="32">
        <v>3148</v>
      </c>
      <c r="O306" s="32">
        <v>0</v>
      </c>
      <c r="P306" s="32">
        <v>0</v>
      </c>
      <c r="Q306" s="43">
        <f t="shared" si="8"/>
        <v>21455</v>
      </c>
      <c r="R306" s="69">
        <f t="shared" si="9"/>
        <v>18236.75</v>
      </c>
      <c r="S306" s="30"/>
      <c r="T306" s="30"/>
    </row>
    <row r="307" spans="1:20" ht="45" customHeight="1" x14ac:dyDescent="0.3">
      <c r="A307" s="31">
        <v>295</v>
      </c>
      <c r="B307" s="32" t="s">
        <v>1085</v>
      </c>
      <c r="C307" s="32" t="s">
        <v>1102</v>
      </c>
      <c r="D307" s="32" t="s">
        <v>1103</v>
      </c>
      <c r="E307" s="32">
        <v>2012</v>
      </c>
      <c r="F307" s="32" t="s">
        <v>19</v>
      </c>
      <c r="G307" s="32" t="s">
        <v>1178</v>
      </c>
      <c r="H307" s="32" t="s">
        <v>1226</v>
      </c>
      <c r="I307" s="32" t="s">
        <v>268</v>
      </c>
      <c r="J307" s="32">
        <v>6199</v>
      </c>
      <c r="K307" s="32">
        <f>6278+4484+2332+2332+2332+2332+1166+2801+4484+2332</f>
        <v>30873</v>
      </c>
      <c r="L307" s="32">
        <v>13298</v>
      </c>
      <c r="M307" s="32">
        <v>0</v>
      </c>
      <c r="N307" s="32">
        <v>3148</v>
      </c>
      <c r="O307" s="32">
        <v>0</v>
      </c>
      <c r="P307" s="32">
        <v>0</v>
      </c>
      <c r="Q307" s="43">
        <f t="shared" si="8"/>
        <v>53518</v>
      </c>
      <c r="R307" s="69">
        <f t="shared" si="9"/>
        <v>45490.3</v>
      </c>
      <c r="S307" s="30"/>
      <c r="T307" s="30"/>
    </row>
    <row r="308" spans="1:20" ht="45" customHeight="1" x14ac:dyDescent="0.3">
      <c r="A308" s="36">
        <v>296</v>
      </c>
      <c r="B308" s="32" t="s">
        <v>1085</v>
      </c>
      <c r="C308" s="32" t="s">
        <v>1104</v>
      </c>
      <c r="D308" s="32" t="s">
        <v>1105</v>
      </c>
      <c r="E308" s="32">
        <v>2009</v>
      </c>
      <c r="F308" s="32" t="s">
        <v>18</v>
      </c>
      <c r="G308" s="32" t="s">
        <v>1179</v>
      </c>
      <c r="H308" s="32" t="s">
        <v>1227</v>
      </c>
      <c r="I308" s="32" t="s">
        <v>1259</v>
      </c>
      <c r="J308" s="32">
        <v>6199</v>
      </c>
      <c r="K308" s="32">
        <v>0</v>
      </c>
      <c r="L308" s="32">
        <v>0</v>
      </c>
      <c r="M308" s="32">
        <v>0</v>
      </c>
      <c r="N308" s="32">
        <v>0</v>
      </c>
      <c r="O308" s="32">
        <v>0</v>
      </c>
      <c r="P308" s="32">
        <v>0</v>
      </c>
      <c r="Q308" s="43">
        <f t="shared" si="8"/>
        <v>6199</v>
      </c>
      <c r="R308" s="69">
        <f t="shared" si="9"/>
        <v>5269.15</v>
      </c>
      <c r="S308" s="30"/>
      <c r="T308" s="30"/>
    </row>
    <row r="309" spans="1:20" s="41" customFormat="1" ht="45" customHeight="1" x14ac:dyDescent="0.3">
      <c r="A309" s="31">
        <v>297</v>
      </c>
      <c r="B309" s="38" t="s">
        <v>1085</v>
      </c>
      <c r="C309" s="38" t="s">
        <v>1106</v>
      </c>
      <c r="D309" s="38" t="s">
        <v>1107</v>
      </c>
      <c r="E309" s="38">
        <v>2022</v>
      </c>
      <c r="F309" s="38" t="s">
        <v>18</v>
      </c>
      <c r="G309" s="38" t="s">
        <v>1180</v>
      </c>
      <c r="H309" s="38" t="s">
        <v>1228</v>
      </c>
      <c r="I309" s="38" t="s">
        <v>1260</v>
      </c>
      <c r="J309" s="38">
        <v>6199</v>
      </c>
      <c r="K309" s="38">
        <v>0</v>
      </c>
      <c r="L309" s="38">
        <v>0</v>
      </c>
      <c r="M309" s="38">
        <v>0</v>
      </c>
      <c r="N309" s="38">
        <f>1178+4053</f>
        <v>5231</v>
      </c>
      <c r="O309" s="38">
        <v>0</v>
      </c>
      <c r="P309" s="38">
        <v>720</v>
      </c>
      <c r="Q309" s="43">
        <f t="shared" si="8"/>
        <v>12150</v>
      </c>
      <c r="R309" s="69">
        <f t="shared" si="9"/>
        <v>10327.5</v>
      </c>
      <c r="S309" s="40"/>
      <c r="T309" s="40"/>
    </row>
    <row r="310" spans="1:20" ht="45" customHeight="1" x14ac:dyDescent="0.3">
      <c r="A310" s="31">
        <v>298</v>
      </c>
      <c r="B310" s="32" t="s">
        <v>1085</v>
      </c>
      <c r="C310" s="32" t="s">
        <v>1108</v>
      </c>
      <c r="D310" s="32" t="s">
        <v>1109</v>
      </c>
      <c r="E310" s="32">
        <v>2013</v>
      </c>
      <c r="F310" s="32" t="s">
        <v>18</v>
      </c>
      <c r="G310" s="32" t="s">
        <v>1181</v>
      </c>
      <c r="H310" s="32" t="s">
        <v>1229</v>
      </c>
      <c r="I310" s="32" t="s">
        <v>1063</v>
      </c>
      <c r="J310" s="32">
        <v>3582</v>
      </c>
      <c r="K310" s="32">
        <v>0</v>
      </c>
      <c r="L310" s="32">
        <v>0</v>
      </c>
      <c r="M310" s="32">
        <v>0</v>
      </c>
      <c r="N310" s="32">
        <f>15443+17918</f>
        <v>33361</v>
      </c>
      <c r="O310" s="32">
        <v>0</v>
      </c>
      <c r="P310" s="32">
        <v>0</v>
      </c>
      <c r="Q310" s="43">
        <f t="shared" si="8"/>
        <v>36943</v>
      </c>
      <c r="R310" s="69">
        <f t="shared" si="9"/>
        <v>31401.55</v>
      </c>
      <c r="S310" s="30"/>
      <c r="T310" s="30"/>
    </row>
    <row r="311" spans="1:20" ht="45" customHeight="1" x14ac:dyDescent="0.3">
      <c r="A311" s="36">
        <v>299</v>
      </c>
      <c r="B311" s="32" t="s">
        <v>1085</v>
      </c>
      <c r="C311" s="32" t="s">
        <v>1110</v>
      </c>
      <c r="D311" s="32" t="s">
        <v>1111</v>
      </c>
      <c r="E311" s="32">
        <v>2021</v>
      </c>
      <c r="F311" s="32" t="s">
        <v>19</v>
      </c>
      <c r="G311" s="32" t="s">
        <v>1182</v>
      </c>
      <c r="H311" s="32" t="s">
        <v>1230</v>
      </c>
      <c r="I311" s="32" t="s">
        <v>1261</v>
      </c>
      <c r="J311" s="32">
        <v>6199</v>
      </c>
      <c r="K311" s="32">
        <v>0</v>
      </c>
      <c r="L311" s="32">
        <f>13526+13298</f>
        <v>26824</v>
      </c>
      <c r="M311" s="32">
        <v>0</v>
      </c>
      <c r="N311" s="32">
        <v>33882</v>
      </c>
      <c r="O311" s="32">
        <v>0</v>
      </c>
      <c r="P311" s="32">
        <v>0</v>
      </c>
      <c r="Q311" s="43">
        <f t="shared" si="8"/>
        <v>66905</v>
      </c>
      <c r="R311" s="69">
        <f t="shared" si="9"/>
        <v>56869.25</v>
      </c>
      <c r="S311" s="30"/>
      <c r="T311" s="30"/>
    </row>
    <row r="312" spans="1:20" ht="45" customHeight="1" x14ac:dyDescent="0.3">
      <c r="A312" s="31">
        <v>300</v>
      </c>
      <c r="B312" s="32" t="s">
        <v>1085</v>
      </c>
      <c r="C312" s="32" t="s">
        <v>1112</v>
      </c>
      <c r="D312" s="32" t="s">
        <v>1113</v>
      </c>
      <c r="E312" s="32">
        <v>1956</v>
      </c>
      <c r="F312" s="32" t="s">
        <v>19</v>
      </c>
      <c r="G312" s="32" t="s">
        <v>1183</v>
      </c>
      <c r="H312" s="32" t="s">
        <v>1183</v>
      </c>
      <c r="I312" s="32" t="s">
        <v>824</v>
      </c>
      <c r="J312" s="32">
        <v>6199</v>
      </c>
      <c r="K312" s="32">
        <v>0</v>
      </c>
      <c r="L312" s="32">
        <v>0</v>
      </c>
      <c r="M312" s="32">
        <v>0</v>
      </c>
      <c r="N312" s="32">
        <v>0</v>
      </c>
      <c r="O312" s="32">
        <v>0</v>
      </c>
      <c r="P312" s="32">
        <v>0</v>
      </c>
      <c r="Q312" s="43">
        <f t="shared" si="8"/>
        <v>6199</v>
      </c>
      <c r="R312" s="69">
        <f t="shared" si="9"/>
        <v>5269.15</v>
      </c>
      <c r="S312" s="30"/>
      <c r="T312" s="30"/>
    </row>
    <row r="313" spans="1:20" ht="45" customHeight="1" x14ac:dyDescent="0.3">
      <c r="A313" s="31">
        <v>301</v>
      </c>
      <c r="B313" s="32" t="s">
        <v>1085</v>
      </c>
      <c r="C313" s="32" t="s">
        <v>1114</v>
      </c>
      <c r="D313" s="32" t="s">
        <v>1115</v>
      </c>
      <c r="E313" s="32">
        <v>1999</v>
      </c>
      <c r="F313" s="32" t="s">
        <v>18</v>
      </c>
      <c r="G313" s="32" t="s">
        <v>1184</v>
      </c>
      <c r="H313" s="32" t="s">
        <v>1231</v>
      </c>
      <c r="I313" s="32" t="s">
        <v>1262</v>
      </c>
      <c r="J313" s="32">
        <v>6199</v>
      </c>
      <c r="K313" s="32">
        <v>13452</v>
      </c>
      <c r="L313" s="32">
        <v>0</v>
      </c>
      <c r="M313" s="32">
        <v>0</v>
      </c>
      <c r="N313" s="32">
        <v>1793</v>
      </c>
      <c r="O313" s="32">
        <v>0</v>
      </c>
      <c r="P313" s="32">
        <v>0</v>
      </c>
      <c r="Q313" s="43">
        <f t="shared" si="8"/>
        <v>21444</v>
      </c>
      <c r="R313" s="69">
        <f t="shared" si="9"/>
        <v>18227.400000000001</v>
      </c>
      <c r="S313" s="30"/>
      <c r="T313" s="30"/>
    </row>
    <row r="314" spans="1:20" ht="45" customHeight="1" x14ac:dyDescent="0.3">
      <c r="A314" s="36">
        <v>302</v>
      </c>
      <c r="B314" s="32" t="s">
        <v>1085</v>
      </c>
      <c r="C314" s="32" t="s">
        <v>1116</v>
      </c>
      <c r="D314" s="32" t="s">
        <v>1117</v>
      </c>
      <c r="E314" s="32">
        <v>1995</v>
      </c>
      <c r="F314" s="32" t="s">
        <v>18</v>
      </c>
      <c r="G314" s="32" t="s">
        <v>1185</v>
      </c>
      <c r="H314" s="32" t="s">
        <v>1185</v>
      </c>
      <c r="I314" s="32" t="s">
        <v>1263</v>
      </c>
      <c r="J314" s="32">
        <v>6199</v>
      </c>
      <c r="K314" s="32">
        <v>0</v>
      </c>
      <c r="L314" s="32">
        <v>0</v>
      </c>
      <c r="M314" s="32">
        <v>0</v>
      </c>
      <c r="N314" s="32">
        <v>0</v>
      </c>
      <c r="O314" s="32">
        <v>0</v>
      </c>
      <c r="P314" s="32">
        <v>0</v>
      </c>
      <c r="Q314" s="43">
        <f t="shared" si="8"/>
        <v>6199</v>
      </c>
      <c r="R314" s="69">
        <f t="shared" si="9"/>
        <v>5269.15</v>
      </c>
      <c r="S314" s="30"/>
      <c r="T314" s="30"/>
    </row>
    <row r="315" spans="1:20" ht="45" customHeight="1" x14ac:dyDescent="0.3">
      <c r="A315" s="31">
        <v>303</v>
      </c>
      <c r="B315" s="32" t="s">
        <v>1085</v>
      </c>
      <c r="C315" s="32" t="s">
        <v>1118</v>
      </c>
      <c r="D315" s="32" t="s">
        <v>1119</v>
      </c>
      <c r="E315" s="32">
        <v>2022</v>
      </c>
      <c r="F315" s="32" t="s">
        <v>18</v>
      </c>
      <c r="G315" s="32" t="s">
        <v>1186</v>
      </c>
      <c r="H315" s="32" t="s">
        <v>1187</v>
      </c>
      <c r="I315" s="32" t="s">
        <v>1264</v>
      </c>
      <c r="J315" s="32">
        <v>6199</v>
      </c>
      <c r="K315" s="32">
        <f>6278+4484+4484+2332+2332+1346+2332+2332+2332+2332+6995+6995+2332+6995</f>
        <v>53901</v>
      </c>
      <c r="L315" s="32">
        <v>0</v>
      </c>
      <c r="M315" s="32">
        <v>0</v>
      </c>
      <c r="N315" s="32">
        <v>3148</v>
      </c>
      <c r="O315" s="32">
        <v>0</v>
      </c>
      <c r="P315" s="32">
        <v>0</v>
      </c>
      <c r="Q315" s="43">
        <f t="shared" si="8"/>
        <v>63248</v>
      </c>
      <c r="R315" s="69">
        <f t="shared" si="9"/>
        <v>53760.800000000003</v>
      </c>
      <c r="S315" s="30"/>
      <c r="T315" s="30"/>
    </row>
    <row r="316" spans="1:20" ht="45" customHeight="1" x14ac:dyDescent="0.3">
      <c r="A316" s="31">
        <v>304</v>
      </c>
      <c r="B316" s="32" t="s">
        <v>1085</v>
      </c>
      <c r="C316" s="32" t="s">
        <v>1120</v>
      </c>
      <c r="D316" s="32" t="s">
        <v>1121</v>
      </c>
      <c r="E316" s="32">
        <v>1989</v>
      </c>
      <c r="F316" s="32" t="s">
        <v>19</v>
      </c>
      <c r="G316" s="32" t="s">
        <v>1187</v>
      </c>
      <c r="H316" s="32" t="s">
        <v>1187</v>
      </c>
      <c r="I316" s="32" t="s">
        <v>1265</v>
      </c>
      <c r="J316" s="32">
        <v>3582</v>
      </c>
      <c r="K316" s="32">
        <v>0</v>
      </c>
      <c r="L316" s="32">
        <v>0</v>
      </c>
      <c r="M316" s="32">
        <v>0</v>
      </c>
      <c r="N316" s="32">
        <f>34016+27380</f>
        <v>61396</v>
      </c>
      <c r="O316" s="32">
        <v>0</v>
      </c>
      <c r="P316" s="32">
        <v>0</v>
      </c>
      <c r="Q316" s="43">
        <f t="shared" si="8"/>
        <v>64978</v>
      </c>
      <c r="R316" s="69">
        <f t="shared" si="9"/>
        <v>55231.3</v>
      </c>
      <c r="S316" s="30"/>
      <c r="T316" s="30"/>
    </row>
    <row r="317" spans="1:20" ht="45" customHeight="1" x14ac:dyDescent="0.3">
      <c r="A317" s="36">
        <v>305</v>
      </c>
      <c r="B317" s="32" t="s">
        <v>1085</v>
      </c>
      <c r="C317" s="32" t="s">
        <v>1122</v>
      </c>
      <c r="D317" s="32" t="s">
        <v>1123</v>
      </c>
      <c r="E317" s="32">
        <v>2022</v>
      </c>
      <c r="F317" s="32" t="s">
        <v>19</v>
      </c>
      <c r="G317" s="32" t="s">
        <v>1188</v>
      </c>
      <c r="H317" s="32" t="s">
        <v>1232</v>
      </c>
      <c r="I317" s="32" t="s">
        <v>1266</v>
      </c>
      <c r="J317" s="32">
        <v>6199</v>
      </c>
      <c r="K317" s="32">
        <f>1346+6278+4484+1166</f>
        <v>13274</v>
      </c>
      <c r="L317" s="32">
        <v>0</v>
      </c>
      <c r="M317" s="32">
        <v>0</v>
      </c>
      <c r="N317" s="32">
        <v>3148</v>
      </c>
      <c r="O317" s="32">
        <v>0</v>
      </c>
      <c r="P317" s="32">
        <v>0</v>
      </c>
      <c r="Q317" s="43">
        <f t="shared" si="8"/>
        <v>22621</v>
      </c>
      <c r="R317" s="69">
        <f t="shared" si="9"/>
        <v>19227.849999999999</v>
      </c>
      <c r="S317" s="30"/>
      <c r="T317" s="30"/>
    </row>
    <row r="318" spans="1:20" ht="45" customHeight="1" x14ac:dyDescent="0.3">
      <c r="A318" s="31">
        <v>306</v>
      </c>
      <c r="B318" s="32" t="s">
        <v>1085</v>
      </c>
      <c r="C318" s="32" t="s">
        <v>1124</v>
      </c>
      <c r="D318" s="32" t="s">
        <v>1125</v>
      </c>
      <c r="E318" s="32">
        <v>2015</v>
      </c>
      <c r="F318" s="32" t="s">
        <v>19</v>
      </c>
      <c r="G318" s="32" t="s">
        <v>1189</v>
      </c>
      <c r="H318" s="32" t="s">
        <v>1233</v>
      </c>
      <c r="I318" s="32" t="s">
        <v>1267</v>
      </c>
      <c r="J318" s="32">
        <v>6199</v>
      </c>
      <c r="K318" s="32">
        <f>1346+6278+4484+4484</f>
        <v>16592</v>
      </c>
      <c r="L318" s="32">
        <v>0</v>
      </c>
      <c r="M318" s="32">
        <v>0</v>
      </c>
      <c r="N318" s="32">
        <v>3148</v>
      </c>
      <c r="O318" s="32">
        <v>0</v>
      </c>
      <c r="P318" s="32">
        <v>0</v>
      </c>
      <c r="Q318" s="43">
        <f t="shared" si="8"/>
        <v>25939</v>
      </c>
      <c r="R318" s="69">
        <f t="shared" si="9"/>
        <v>22048.15</v>
      </c>
      <c r="S318" s="30"/>
      <c r="T318" s="30"/>
    </row>
    <row r="319" spans="1:20" ht="45" customHeight="1" x14ac:dyDescent="0.3">
      <c r="A319" s="31">
        <v>307</v>
      </c>
      <c r="B319" s="32" t="s">
        <v>1085</v>
      </c>
      <c r="C319" s="32" t="s">
        <v>1126</v>
      </c>
      <c r="D319" s="32" t="s">
        <v>1127</v>
      </c>
      <c r="E319" s="32">
        <v>1972</v>
      </c>
      <c r="F319" s="32" t="s">
        <v>19</v>
      </c>
      <c r="G319" s="32" t="s">
        <v>1190</v>
      </c>
      <c r="H319" s="32" t="s">
        <v>1190</v>
      </c>
      <c r="I319" s="32" t="s">
        <v>253</v>
      </c>
      <c r="J319" s="32">
        <v>6199</v>
      </c>
      <c r="K319" s="32">
        <v>0</v>
      </c>
      <c r="L319" s="32">
        <v>0</v>
      </c>
      <c r="M319" s="32">
        <v>0</v>
      </c>
      <c r="N319" s="32">
        <v>0</v>
      </c>
      <c r="O319" s="32">
        <v>0</v>
      </c>
      <c r="P319" s="32">
        <v>0</v>
      </c>
      <c r="Q319" s="43">
        <f t="shared" si="8"/>
        <v>6199</v>
      </c>
      <c r="R319" s="69">
        <f t="shared" si="9"/>
        <v>5269.15</v>
      </c>
      <c r="S319" s="30"/>
      <c r="T319" s="30"/>
    </row>
    <row r="320" spans="1:20" ht="45" customHeight="1" x14ac:dyDescent="0.3">
      <c r="A320" s="36">
        <v>308</v>
      </c>
      <c r="B320" s="32" t="s">
        <v>1085</v>
      </c>
      <c r="C320" s="32" t="s">
        <v>1128</v>
      </c>
      <c r="D320" s="32" t="s">
        <v>1129</v>
      </c>
      <c r="E320" s="32">
        <v>2015</v>
      </c>
      <c r="F320" s="32" t="s">
        <v>18</v>
      </c>
      <c r="G320" s="32" t="s">
        <v>1191</v>
      </c>
      <c r="H320" s="32" t="s">
        <v>1234</v>
      </c>
      <c r="I320" s="32" t="s">
        <v>1268</v>
      </c>
      <c r="J320" s="32">
        <v>6199</v>
      </c>
      <c r="K320" s="32">
        <v>1166</v>
      </c>
      <c r="L320" s="32">
        <v>17620</v>
      </c>
      <c r="M320" s="32">
        <v>0</v>
      </c>
      <c r="N320" s="32">
        <v>0</v>
      </c>
      <c r="O320" s="32">
        <v>0</v>
      </c>
      <c r="P320" s="32">
        <v>0</v>
      </c>
      <c r="Q320" s="43">
        <f t="shared" si="8"/>
        <v>24985</v>
      </c>
      <c r="R320" s="69">
        <f t="shared" si="9"/>
        <v>21237.25</v>
      </c>
      <c r="S320" s="30"/>
      <c r="T320" s="30"/>
    </row>
    <row r="321" spans="1:20" ht="45" customHeight="1" x14ac:dyDescent="0.3">
      <c r="A321" s="31">
        <v>309</v>
      </c>
      <c r="B321" s="32" t="s">
        <v>1085</v>
      </c>
      <c r="C321" s="32" t="s">
        <v>1130</v>
      </c>
      <c r="D321" s="32" t="s">
        <v>1131</v>
      </c>
      <c r="E321" s="32">
        <v>2004</v>
      </c>
      <c r="F321" s="32" t="s">
        <v>18</v>
      </c>
      <c r="G321" s="32" t="s">
        <v>1192</v>
      </c>
      <c r="H321" s="32" t="s">
        <v>1235</v>
      </c>
      <c r="I321" s="32" t="s">
        <v>1269</v>
      </c>
      <c r="J321" s="32">
        <v>6199</v>
      </c>
      <c r="K321" s="32">
        <f>6278+4484+4484+6995+2332+2332+2332+2332+2332+2332+2332+2332+1346+1346+3228</f>
        <v>46817</v>
      </c>
      <c r="L321" s="32">
        <v>20807</v>
      </c>
      <c r="M321" s="32">
        <v>0</v>
      </c>
      <c r="N321" s="32">
        <v>1793</v>
      </c>
      <c r="O321" s="32">
        <v>0</v>
      </c>
      <c r="P321" s="32">
        <v>0</v>
      </c>
      <c r="Q321" s="43">
        <f t="shared" si="8"/>
        <v>75616</v>
      </c>
      <c r="R321" s="69">
        <f t="shared" si="9"/>
        <v>64273.599999999999</v>
      </c>
      <c r="S321" s="30"/>
      <c r="T321" s="30"/>
    </row>
    <row r="322" spans="1:20" ht="45" customHeight="1" x14ac:dyDescent="0.3">
      <c r="A322" s="31">
        <v>310</v>
      </c>
      <c r="B322" s="32" t="s">
        <v>1085</v>
      </c>
      <c r="C322" s="32" t="s">
        <v>1132</v>
      </c>
      <c r="D322" s="32" t="s">
        <v>1133</v>
      </c>
      <c r="E322" s="32">
        <v>1997</v>
      </c>
      <c r="F322" s="32" t="s">
        <v>19</v>
      </c>
      <c r="G322" s="32" t="s">
        <v>1193</v>
      </c>
      <c r="H322" s="32" t="s">
        <v>1193</v>
      </c>
      <c r="I322" s="32" t="s">
        <v>279</v>
      </c>
      <c r="J322" s="32">
        <v>6199</v>
      </c>
      <c r="K322" s="32">
        <f>1346+6278+4484+6995+3228+3000+3000+3587+2332+2332+2332+2332+2332+2332+6995+6995+6995+2332+1166+2801+2332+2332</f>
        <v>77858</v>
      </c>
      <c r="L322" s="32">
        <v>0</v>
      </c>
      <c r="M322" s="32">
        <v>0</v>
      </c>
      <c r="N322" s="32">
        <f>1793+3179</f>
        <v>4972</v>
      </c>
      <c r="O322" s="32">
        <v>0</v>
      </c>
      <c r="P322" s="32">
        <f>1440+374</f>
        <v>1814</v>
      </c>
      <c r="Q322" s="43">
        <f t="shared" si="8"/>
        <v>90843</v>
      </c>
      <c r="R322" s="69">
        <f t="shared" si="9"/>
        <v>77216.55</v>
      </c>
      <c r="S322" s="30"/>
      <c r="T322" s="30"/>
    </row>
    <row r="323" spans="1:20" ht="45" customHeight="1" x14ac:dyDescent="0.3">
      <c r="A323" s="36">
        <v>311</v>
      </c>
      <c r="B323" s="32" t="s">
        <v>1085</v>
      </c>
      <c r="C323" s="32" t="s">
        <v>1134</v>
      </c>
      <c r="D323" s="32" t="s">
        <v>1135</v>
      </c>
      <c r="E323" s="32">
        <v>2006</v>
      </c>
      <c r="F323" s="32" t="s">
        <v>19</v>
      </c>
      <c r="G323" s="32" t="s">
        <v>1194</v>
      </c>
      <c r="H323" s="32" t="s">
        <v>1236</v>
      </c>
      <c r="I323" s="32" t="s">
        <v>1270</v>
      </c>
      <c r="J323" s="32">
        <v>3582</v>
      </c>
      <c r="K323" s="32">
        <v>0</v>
      </c>
      <c r="L323" s="32">
        <v>0</v>
      </c>
      <c r="M323" s="32">
        <v>0</v>
      </c>
      <c r="N323" s="32">
        <v>15443</v>
      </c>
      <c r="O323" s="32">
        <v>0</v>
      </c>
      <c r="P323" s="32">
        <v>0</v>
      </c>
      <c r="Q323" s="43">
        <f t="shared" si="8"/>
        <v>19025</v>
      </c>
      <c r="R323" s="69">
        <f t="shared" si="9"/>
        <v>16171.25</v>
      </c>
      <c r="S323" s="30"/>
      <c r="T323" s="30"/>
    </row>
    <row r="324" spans="1:20" ht="45" customHeight="1" x14ac:dyDescent="0.3">
      <c r="A324" s="31">
        <v>312</v>
      </c>
      <c r="B324" s="32" t="s">
        <v>1085</v>
      </c>
      <c r="C324" s="32" t="s">
        <v>1136</v>
      </c>
      <c r="D324" s="32" t="s">
        <v>1137</v>
      </c>
      <c r="E324" s="32">
        <v>2021</v>
      </c>
      <c r="F324" s="32" t="s">
        <v>18</v>
      </c>
      <c r="G324" s="32" t="s">
        <v>1195</v>
      </c>
      <c r="H324" s="32" t="s">
        <v>1237</v>
      </c>
      <c r="I324" s="32" t="s">
        <v>1271</v>
      </c>
      <c r="J324" s="32">
        <v>6199</v>
      </c>
      <c r="K324" s="32">
        <f>6278+4484+1346+4484+2332+2332+2332+2332+2332+2332+6995+6995+2332+6995+1166</f>
        <v>55067</v>
      </c>
      <c r="L324" s="32">
        <v>0</v>
      </c>
      <c r="M324" s="32">
        <v>0</v>
      </c>
      <c r="N324" s="32">
        <v>3148</v>
      </c>
      <c r="O324" s="32">
        <v>0</v>
      </c>
      <c r="P324" s="32">
        <v>0</v>
      </c>
      <c r="Q324" s="43">
        <f t="shared" si="8"/>
        <v>64414</v>
      </c>
      <c r="R324" s="69">
        <f t="shared" si="9"/>
        <v>54751.9</v>
      </c>
      <c r="S324" s="30"/>
      <c r="T324" s="30"/>
    </row>
    <row r="325" spans="1:20" ht="45" customHeight="1" x14ac:dyDescent="0.3">
      <c r="A325" s="31">
        <v>313</v>
      </c>
      <c r="B325" s="32" t="s">
        <v>1085</v>
      </c>
      <c r="C325" s="32" t="s">
        <v>1138</v>
      </c>
      <c r="D325" s="32" t="s">
        <v>1139</v>
      </c>
      <c r="E325" s="32">
        <v>1989</v>
      </c>
      <c r="F325" s="32" t="s">
        <v>19</v>
      </c>
      <c r="G325" s="32" t="s">
        <v>1196</v>
      </c>
      <c r="H325" s="32" t="s">
        <v>817</v>
      </c>
      <c r="I325" s="32" t="s">
        <v>1272</v>
      </c>
      <c r="J325" s="32">
        <v>6199</v>
      </c>
      <c r="K325" s="32">
        <v>0</v>
      </c>
      <c r="L325" s="32">
        <v>9422</v>
      </c>
      <c r="M325" s="32">
        <v>0</v>
      </c>
      <c r="N325" s="32">
        <v>0</v>
      </c>
      <c r="O325" s="32">
        <v>0</v>
      </c>
      <c r="P325" s="32">
        <v>0</v>
      </c>
      <c r="Q325" s="43">
        <f t="shared" si="8"/>
        <v>15621</v>
      </c>
      <c r="R325" s="69">
        <f t="shared" si="9"/>
        <v>13277.85</v>
      </c>
      <c r="S325" s="30"/>
      <c r="T325" s="30"/>
    </row>
    <row r="326" spans="1:20" ht="45" customHeight="1" x14ac:dyDescent="0.3">
      <c r="A326" s="36">
        <v>314</v>
      </c>
      <c r="B326" s="32" t="s">
        <v>1085</v>
      </c>
      <c r="C326" s="32" t="s">
        <v>1140</v>
      </c>
      <c r="D326" s="32" t="s">
        <v>1141</v>
      </c>
      <c r="E326" s="32">
        <v>1993</v>
      </c>
      <c r="F326" s="32" t="s">
        <v>18</v>
      </c>
      <c r="G326" s="32" t="s">
        <v>1197</v>
      </c>
      <c r="H326" s="32" t="s">
        <v>1197</v>
      </c>
      <c r="I326" s="32" t="s">
        <v>1058</v>
      </c>
      <c r="J326" s="32">
        <v>6199</v>
      </c>
      <c r="K326" s="32">
        <f>1346+6278+4484+2332+2332+2332</f>
        <v>19104</v>
      </c>
      <c r="L326" s="32">
        <v>0</v>
      </c>
      <c r="M326" s="32">
        <v>0</v>
      </c>
      <c r="N326" s="32">
        <v>3148</v>
      </c>
      <c r="O326" s="32">
        <v>0</v>
      </c>
      <c r="P326" s="32">
        <v>0</v>
      </c>
      <c r="Q326" s="43">
        <f t="shared" si="8"/>
        <v>28451</v>
      </c>
      <c r="R326" s="69">
        <f t="shared" si="9"/>
        <v>24183.35</v>
      </c>
      <c r="S326" s="30"/>
      <c r="T326" s="30"/>
    </row>
    <row r="327" spans="1:20" s="41" customFormat="1" ht="45" customHeight="1" x14ac:dyDescent="0.3">
      <c r="A327" s="31">
        <v>315</v>
      </c>
      <c r="B327" s="38" t="s">
        <v>1085</v>
      </c>
      <c r="C327" s="38" t="s">
        <v>1142</v>
      </c>
      <c r="D327" s="38" t="s">
        <v>1143</v>
      </c>
      <c r="E327" s="38">
        <v>2019</v>
      </c>
      <c r="F327" s="38" t="s">
        <v>18</v>
      </c>
      <c r="G327" s="38" t="s">
        <v>1198</v>
      </c>
      <c r="H327" s="38" t="s">
        <v>1238</v>
      </c>
      <c r="I327" s="38" t="s">
        <v>1066</v>
      </c>
      <c r="J327" s="38">
        <v>6199</v>
      </c>
      <c r="K327" s="38">
        <f>1346+6278+4484+4484+2332+2332+2332+2332+2332+2332+6995+6995+2332+6995</f>
        <v>53901</v>
      </c>
      <c r="L327" s="38">
        <v>0</v>
      </c>
      <c r="M327" s="38">
        <v>0</v>
      </c>
      <c r="N327" s="38">
        <f>3148+1178+4053</f>
        <v>8379</v>
      </c>
      <c r="O327" s="38">
        <v>0</v>
      </c>
      <c r="P327" s="38">
        <f>720+120+1080</f>
        <v>1920</v>
      </c>
      <c r="Q327" s="43">
        <f t="shared" si="8"/>
        <v>70399</v>
      </c>
      <c r="R327" s="69">
        <f t="shared" si="9"/>
        <v>59839.15</v>
      </c>
      <c r="S327" s="40"/>
      <c r="T327" s="40"/>
    </row>
    <row r="328" spans="1:20" s="41" customFormat="1" ht="45" customHeight="1" x14ac:dyDescent="0.3">
      <c r="A328" s="31">
        <v>316</v>
      </c>
      <c r="B328" s="38" t="s">
        <v>1085</v>
      </c>
      <c r="C328" s="38" t="s">
        <v>1142</v>
      </c>
      <c r="D328" s="38" t="s">
        <v>1143</v>
      </c>
      <c r="E328" s="38">
        <v>2019</v>
      </c>
      <c r="F328" s="38" t="s">
        <v>18</v>
      </c>
      <c r="G328" s="38" t="s">
        <v>1198</v>
      </c>
      <c r="H328" s="38" t="s">
        <v>1238</v>
      </c>
      <c r="I328" s="38" t="s">
        <v>1066</v>
      </c>
      <c r="J328" s="38">
        <v>0</v>
      </c>
      <c r="K328" s="38">
        <v>0</v>
      </c>
      <c r="L328" s="38">
        <v>0</v>
      </c>
      <c r="M328" s="38">
        <v>17688</v>
      </c>
      <c r="N328" s="38">
        <v>2088</v>
      </c>
      <c r="O328" s="38">
        <v>0</v>
      </c>
      <c r="P328" s="38">
        <f>720+112</f>
        <v>832</v>
      </c>
      <c r="Q328" s="43">
        <f t="shared" si="8"/>
        <v>20608</v>
      </c>
      <c r="R328" s="69">
        <f t="shared" si="9"/>
        <v>17516.8</v>
      </c>
      <c r="S328" s="40"/>
      <c r="T328" s="40"/>
    </row>
    <row r="329" spans="1:20" ht="45" customHeight="1" x14ac:dyDescent="0.3">
      <c r="A329" s="36">
        <v>317</v>
      </c>
      <c r="B329" s="32" t="s">
        <v>1085</v>
      </c>
      <c r="C329" s="32" t="s">
        <v>1144</v>
      </c>
      <c r="D329" s="32" t="s">
        <v>1145</v>
      </c>
      <c r="E329" s="32">
        <v>2020</v>
      </c>
      <c r="F329" s="32" t="s">
        <v>19</v>
      </c>
      <c r="G329" s="32" t="s">
        <v>1199</v>
      </c>
      <c r="H329" s="32" t="s">
        <v>1239</v>
      </c>
      <c r="I329" s="32" t="s">
        <v>1273</v>
      </c>
      <c r="J329" s="32">
        <v>6199</v>
      </c>
      <c r="K329" s="32">
        <v>0</v>
      </c>
      <c r="L329" s="32">
        <v>13298</v>
      </c>
      <c r="M329" s="32">
        <v>0</v>
      </c>
      <c r="N329" s="32">
        <v>0</v>
      </c>
      <c r="O329" s="32">
        <v>0</v>
      </c>
      <c r="P329" s="32">
        <v>0</v>
      </c>
      <c r="Q329" s="43">
        <f t="shared" si="8"/>
        <v>19497</v>
      </c>
      <c r="R329" s="69">
        <f t="shared" si="9"/>
        <v>16572.45</v>
      </c>
      <c r="S329" s="30"/>
      <c r="T329" s="30"/>
    </row>
    <row r="330" spans="1:20" ht="45" customHeight="1" x14ac:dyDescent="0.3">
      <c r="A330" s="31">
        <v>318</v>
      </c>
      <c r="B330" s="32" t="s">
        <v>1085</v>
      </c>
      <c r="C330" s="32" t="s">
        <v>7187</v>
      </c>
      <c r="D330" s="32" t="s">
        <v>1146</v>
      </c>
      <c r="E330" s="32">
        <v>2024</v>
      </c>
      <c r="F330" s="32" t="s">
        <v>18</v>
      </c>
      <c r="G330" s="32" t="s">
        <v>1200</v>
      </c>
      <c r="H330" s="32" t="s">
        <v>1241</v>
      </c>
      <c r="I330" s="32" t="s">
        <v>1275</v>
      </c>
      <c r="J330" s="32">
        <v>6199</v>
      </c>
      <c r="K330" s="32">
        <f>6278+4484</f>
        <v>10762</v>
      </c>
      <c r="L330" s="32">
        <v>0</v>
      </c>
      <c r="M330" s="32">
        <v>0</v>
      </c>
      <c r="N330" s="32">
        <v>3148</v>
      </c>
      <c r="O330" s="32">
        <v>0</v>
      </c>
      <c r="P330" s="32">
        <v>0</v>
      </c>
      <c r="Q330" s="43">
        <f t="shared" si="8"/>
        <v>20109</v>
      </c>
      <c r="R330" s="69">
        <f t="shared" si="9"/>
        <v>17092.650000000001</v>
      </c>
      <c r="S330" s="30"/>
      <c r="T330" s="30"/>
    </row>
    <row r="331" spans="1:20" ht="45" customHeight="1" x14ac:dyDescent="0.3">
      <c r="A331" s="31">
        <v>319</v>
      </c>
      <c r="B331" s="32" t="s">
        <v>1085</v>
      </c>
      <c r="C331" s="32" t="s">
        <v>7188</v>
      </c>
      <c r="D331" s="32" t="s">
        <v>1147</v>
      </c>
      <c r="E331" s="32">
        <v>2000</v>
      </c>
      <c r="F331" s="32" t="s">
        <v>19</v>
      </c>
      <c r="G331" s="32" t="s">
        <v>1201</v>
      </c>
      <c r="H331" s="32" t="s">
        <v>1242</v>
      </c>
      <c r="I331" s="32" t="s">
        <v>32</v>
      </c>
      <c r="J331" s="32">
        <v>3793</v>
      </c>
      <c r="K331" s="32">
        <f>6278+4484+1346+4484+2332</f>
        <v>18924</v>
      </c>
      <c r="L331" s="32">
        <v>0</v>
      </c>
      <c r="M331" s="32">
        <v>0</v>
      </c>
      <c r="N331" s="32">
        <v>1793</v>
      </c>
      <c r="O331" s="32">
        <v>0</v>
      </c>
      <c r="P331" s="32">
        <v>0</v>
      </c>
      <c r="Q331" s="43">
        <f t="shared" si="8"/>
        <v>24510</v>
      </c>
      <c r="R331" s="69">
        <f t="shared" si="9"/>
        <v>20833.5</v>
      </c>
      <c r="S331" s="30"/>
      <c r="T331" s="30"/>
    </row>
    <row r="332" spans="1:20" ht="45" customHeight="1" x14ac:dyDescent="0.3">
      <c r="A332" s="36">
        <v>320</v>
      </c>
      <c r="B332" s="32" t="s">
        <v>1085</v>
      </c>
      <c r="C332" s="32" t="s">
        <v>7189</v>
      </c>
      <c r="D332" s="32" t="s">
        <v>1148</v>
      </c>
      <c r="E332" s="32">
        <v>1985</v>
      </c>
      <c r="F332" s="32" t="s">
        <v>19</v>
      </c>
      <c r="G332" s="32" t="s">
        <v>1202</v>
      </c>
      <c r="H332" s="32" t="s">
        <v>1202</v>
      </c>
      <c r="I332" s="32" t="s">
        <v>1276</v>
      </c>
      <c r="J332" s="32">
        <v>6199</v>
      </c>
      <c r="K332" s="32">
        <v>0</v>
      </c>
      <c r="L332" s="32">
        <v>0</v>
      </c>
      <c r="M332" s="32">
        <v>0</v>
      </c>
      <c r="N332" s="32">
        <v>0</v>
      </c>
      <c r="O332" s="32">
        <v>0</v>
      </c>
      <c r="P332" s="32">
        <v>0</v>
      </c>
      <c r="Q332" s="43">
        <f t="shared" si="8"/>
        <v>6199</v>
      </c>
      <c r="R332" s="69">
        <f t="shared" si="9"/>
        <v>5269.15</v>
      </c>
      <c r="S332" s="30"/>
      <c r="T332" s="30"/>
    </row>
    <row r="333" spans="1:20" ht="45" customHeight="1" x14ac:dyDescent="0.3">
      <c r="A333" s="31">
        <v>321</v>
      </c>
      <c r="B333" s="32" t="s">
        <v>1085</v>
      </c>
      <c r="C333" s="32" t="s">
        <v>7190</v>
      </c>
      <c r="D333" s="32" t="s">
        <v>1149</v>
      </c>
      <c r="E333" s="32">
        <v>2002</v>
      </c>
      <c r="F333" s="32" t="s">
        <v>18</v>
      </c>
      <c r="G333" s="32" t="s">
        <v>1203</v>
      </c>
      <c r="H333" s="32" t="s">
        <v>1203</v>
      </c>
      <c r="I333" s="32" t="s">
        <v>1257</v>
      </c>
      <c r="J333" s="32">
        <v>6199</v>
      </c>
      <c r="K333" s="32">
        <v>0</v>
      </c>
      <c r="L333" s="32">
        <v>0</v>
      </c>
      <c r="M333" s="32">
        <v>0</v>
      </c>
      <c r="N333" s="32">
        <v>30758</v>
      </c>
      <c r="O333" s="32">
        <v>0</v>
      </c>
      <c r="P333" s="32">
        <v>0</v>
      </c>
      <c r="Q333" s="43">
        <f t="shared" ref="Q333:Q396" si="10">SUM(J333:P333)</f>
        <v>36957</v>
      </c>
      <c r="R333" s="69">
        <f t="shared" si="9"/>
        <v>31413.45</v>
      </c>
      <c r="S333" s="30"/>
      <c r="T333" s="30"/>
    </row>
    <row r="334" spans="1:20" ht="45" customHeight="1" x14ac:dyDescent="0.3">
      <c r="A334" s="31">
        <v>322</v>
      </c>
      <c r="B334" s="32" t="s">
        <v>1085</v>
      </c>
      <c r="C334" s="32" t="s">
        <v>7191</v>
      </c>
      <c r="D334" s="32" t="s">
        <v>1150</v>
      </c>
      <c r="E334" s="32">
        <v>2018</v>
      </c>
      <c r="F334" s="32" t="s">
        <v>18</v>
      </c>
      <c r="G334" s="32" t="s">
        <v>1204</v>
      </c>
      <c r="H334" s="32" t="s">
        <v>1243</v>
      </c>
      <c r="I334" s="32" t="s">
        <v>1277</v>
      </c>
      <c r="J334" s="32">
        <v>6199</v>
      </c>
      <c r="K334" s="32">
        <v>0</v>
      </c>
      <c r="L334" s="32">
        <v>0</v>
      </c>
      <c r="M334" s="32">
        <v>0</v>
      </c>
      <c r="N334" s="32">
        <v>0</v>
      </c>
      <c r="O334" s="32">
        <v>0</v>
      </c>
      <c r="P334" s="32">
        <v>0</v>
      </c>
      <c r="Q334" s="43">
        <f t="shared" si="10"/>
        <v>6199</v>
      </c>
      <c r="R334" s="69">
        <f t="shared" ref="R334:R397" si="11">Q334*85/100</f>
        <v>5269.15</v>
      </c>
      <c r="S334" s="30"/>
      <c r="T334" s="30"/>
    </row>
    <row r="335" spans="1:20" ht="45" customHeight="1" x14ac:dyDescent="0.3">
      <c r="A335" s="36">
        <v>323</v>
      </c>
      <c r="B335" s="32" t="s">
        <v>1085</v>
      </c>
      <c r="C335" s="32" t="s">
        <v>7192</v>
      </c>
      <c r="D335" s="32" t="s">
        <v>1151</v>
      </c>
      <c r="E335" s="32">
        <v>2021</v>
      </c>
      <c r="F335" s="32" t="s">
        <v>19</v>
      </c>
      <c r="G335" s="32" t="s">
        <v>1205</v>
      </c>
      <c r="H335" s="32" t="s">
        <v>1207</v>
      </c>
      <c r="I335" s="32" t="s">
        <v>1278</v>
      </c>
      <c r="J335" s="32">
        <v>3793</v>
      </c>
      <c r="K335" s="32">
        <v>0</v>
      </c>
      <c r="L335" s="32">
        <v>0</v>
      </c>
      <c r="M335" s="32">
        <v>0</v>
      </c>
      <c r="N335" s="32">
        <v>0</v>
      </c>
      <c r="O335" s="32">
        <v>0</v>
      </c>
      <c r="P335" s="32">
        <v>0</v>
      </c>
      <c r="Q335" s="43">
        <f t="shared" si="10"/>
        <v>3793</v>
      </c>
      <c r="R335" s="69">
        <f t="shared" si="11"/>
        <v>3224.05</v>
      </c>
      <c r="S335" s="30"/>
      <c r="T335" s="30"/>
    </row>
    <row r="336" spans="1:20" ht="45" customHeight="1" x14ac:dyDescent="0.3">
      <c r="A336" s="31">
        <v>324</v>
      </c>
      <c r="B336" s="32" t="s">
        <v>1085</v>
      </c>
      <c r="C336" s="32" t="s">
        <v>7193</v>
      </c>
      <c r="D336" s="32" t="s">
        <v>1152</v>
      </c>
      <c r="E336" s="32">
        <v>2017</v>
      </c>
      <c r="F336" s="32" t="s">
        <v>18</v>
      </c>
      <c r="G336" s="32" t="s">
        <v>1206</v>
      </c>
      <c r="H336" s="32" t="s">
        <v>1244</v>
      </c>
      <c r="I336" s="32" t="s">
        <v>546</v>
      </c>
      <c r="J336" s="32">
        <v>6199</v>
      </c>
      <c r="K336" s="32">
        <f>6278+4484+1346</f>
        <v>12108</v>
      </c>
      <c r="L336" s="32">
        <v>0</v>
      </c>
      <c r="M336" s="32">
        <v>0</v>
      </c>
      <c r="N336" s="32">
        <v>3148</v>
      </c>
      <c r="O336" s="32">
        <v>0</v>
      </c>
      <c r="P336" s="32">
        <v>0</v>
      </c>
      <c r="Q336" s="43">
        <f t="shared" si="10"/>
        <v>21455</v>
      </c>
      <c r="R336" s="69">
        <f t="shared" si="11"/>
        <v>18236.75</v>
      </c>
      <c r="S336" s="30"/>
      <c r="T336" s="30"/>
    </row>
    <row r="337" spans="1:20" ht="45" customHeight="1" x14ac:dyDescent="0.3">
      <c r="A337" s="31">
        <v>325</v>
      </c>
      <c r="B337" s="32" t="s">
        <v>1085</v>
      </c>
      <c r="C337" s="32" t="s">
        <v>7194</v>
      </c>
      <c r="D337" s="32" t="s">
        <v>1153</v>
      </c>
      <c r="E337" s="32">
        <v>1989</v>
      </c>
      <c r="F337" s="32" t="s">
        <v>19</v>
      </c>
      <c r="G337" s="32" t="s">
        <v>1207</v>
      </c>
      <c r="H337" s="32" t="s">
        <v>1207</v>
      </c>
      <c r="I337" s="32" t="s">
        <v>1278</v>
      </c>
      <c r="J337" s="32">
        <v>6199</v>
      </c>
      <c r="K337" s="32">
        <f>6278+4484+1346+2332+4484+2332+2332+2332+2332</f>
        <v>28252</v>
      </c>
      <c r="L337" s="32">
        <v>0</v>
      </c>
      <c r="M337" s="32">
        <v>0</v>
      </c>
      <c r="N337" s="32">
        <v>1793</v>
      </c>
      <c r="O337" s="32">
        <v>0</v>
      </c>
      <c r="P337" s="32">
        <v>0</v>
      </c>
      <c r="Q337" s="43">
        <f t="shared" si="10"/>
        <v>36244</v>
      </c>
      <c r="R337" s="69">
        <f t="shared" si="11"/>
        <v>30807.4</v>
      </c>
      <c r="S337" s="30"/>
      <c r="T337" s="30"/>
    </row>
    <row r="338" spans="1:20" ht="45" customHeight="1" x14ac:dyDescent="0.3">
      <c r="A338" s="36">
        <v>326</v>
      </c>
      <c r="B338" s="32" t="s">
        <v>1085</v>
      </c>
      <c r="C338" s="32" t="s">
        <v>7195</v>
      </c>
      <c r="D338" s="32" t="s">
        <v>1154</v>
      </c>
      <c r="E338" s="32">
        <v>2022</v>
      </c>
      <c r="F338" s="32" t="s">
        <v>18</v>
      </c>
      <c r="G338" s="32" t="s">
        <v>1208</v>
      </c>
      <c r="H338" s="32" t="s">
        <v>1245</v>
      </c>
      <c r="I338" s="32" t="s">
        <v>1267</v>
      </c>
      <c r="J338" s="32">
        <v>6199</v>
      </c>
      <c r="K338" s="32">
        <f>6278+4484+4484+2332+2332+2332+2332+2332+1346</f>
        <v>28252</v>
      </c>
      <c r="L338" s="32">
        <v>0</v>
      </c>
      <c r="M338" s="32">
        <v>0</v>
      </c>
      <c r="N338" s="32">
        <v>3148</v>
      </c>
      <c r="O338" s="32">
        <v>0</v>
      </c>
      <c r="P338" s="32">
        <v>0</v>
      </c>
      <c r="Q338" s="43">
        <f t="shared" si="10"/>
        <v>37599</v>
      </c>
      <c r="R338" s="69">
        <f t="shared" si="11"/>
        <v>31959.15</v>
      </c>
      <c r="S338" s="30"/>
      <c r="T338" s="30"/>
    </row>
    <row r="339" spans="1:20" s="41" customFormat="1" ht="45" customHeight="1" x14ac:dyDescent="0.3">
      <c r="A339" s="31">
        <v>327</v>
      </c>
      <c r="B339" s="38" t="s">
        <v>1085</v>
      </c>
      <c r="C339" s="38" t="s">
        <v>7196</v>
      </c>
      <c r="D339" s="38" t="s">
        <v>1155</v>
      </c>
      <c r="E339" s="38">
        <v>2018</v>
      </c>
      <c r="F339" s="38" t="s">
        <v>18</v>
      </c>
      <c r="G339" s="38" t="s">
        <v>1209</v>
      </c>
      <c r="H339" s="38" t="s">
        <v>1246</v>
      </c>
      <c r="I339" s="38" t="s">
        <v>1279</v>
      </c>
      <c r="J339" s="38">
        <v>3582</v>
      </c>
      <c r="K339" s="38">
        <v>0</v>
      </c>
      <c r="L339" s="38">
        <v>0</v>
      </c>
      <c r="M339" s="38">
        <v>0</v>
      </c>
      <c r="N339" s="38">
        <v>35836</v>
      </c>
      <c r="O339" s="38">
        <v>0</v>
      </c>
      <c r="P339" s="38">
        <v>0</v>
      </c>
      <c r="Q339" s="43">
        <f t="shared" si="10"/>
        <v>39418</v>
      </c>
      <c r="R339" s="69">
        <f t="shared" si="11"/>
        <v>33505.300000000003</v>
      </c>
      <c r="S339" s="40"/>
      <c r="T339" s="40"/>
    </row>
    <row r="340" spans="1:20" s="41" customFormat="1" ht="45" customHeight="1" x14ac:dyDescent="0.3">
      <c r="A340" s="31">
        <v>328</v>
      </c>
      <c r="B340" s="38" t="s">
        <v>1085</v>
      </c>
      <c r="C340" s="38" t="s">
        <v>7197</v>
      </c>
      <c r="D340" s="38" t="s">
        <v>1156</v>
      </c>
      <c r="E340" s="38">
        <v>2021</v>
      </c>
      <c r="F340" s="38" t="s">
        <v>19</v>
      </c>
      <c r="G340" s="38" t="s">
        <v>1210</v>
      </c>
      <c r="H340" s="38" t="s">
        <v>1247</v>
      </c>
      <c r="I340" s="38" t="s">
        <v>1279</v>
      </c>
      <c r="J340" s="38">
        <v>6199</v>
      </c>
      <c r="K340" s="38">
        <v>0</v>
      </c>
      <c r="L340" s="38">
        <v>26596</v>
      </c>
      <c r="M340" s="38">
        <v>0</v>
      </c>
      <c r="N340" s="38">
        <v>0</v>
      </c>
      <c r="O340" s="38">
        <v>0</v>
      </c>
      <c r="P340" s="38">
        <v>63</v>
      </c>
      <c r="Q340" s="43">
        <f t="shared" si="10"/>
        <v>32858</v>
      </c>
      <c r="R340" s="69">
        <f t="shared" si="11"/>
        <v>27929.3</v>
      </c>
      <c r="S340" s="40"/>
      <c r="T340" s="40"/>
    </row>
    <row r="341" spans="1:20" ht="45" customHeight="1" x14ac:dyDescent="0.3">
      <c r="A341" s="36">
        <v>329</v>
      </c>
      <c r="B341" s="32" t="s">
        <v>1085</v>
      </c>
      <c r="C341" s="32" t="s">
        <v>7198</v>
      </c>
      <c r="D341" s="32" t="s">
        <v>1157</v>
      </c>
      <c r="E341" s="32">
        <v>2021</v>
      </c>
      <c r="F341" s="32" t="s">
        <v>19</v>
      </c>
      <c r="G341" s="32" t="s">
        <v>1211</v>
      </c>
      <c r="H341" s="32" t="s">
        <v>1248</v>
      </c>
      <c r="I341" s="32" t="s">
        <v>1280</v>
      </c>
      <c r="J341" s="32">
        <v>6199</v>
      </c>
      <c r="K341" s="32">
        <f>1346+6278+4484+4484+2332+2332+2332+2332+2332+2332+6995+6995+2332+6995+1166</f>
        <v>55067</v>
      </c>
      <c r="L341" s="32">
        <v>0</v>
      </c>
      <c r="M341" s="32">
        <v>0</v>
      </c>
      <c r="N341" s="32">
        <v>3148</v>
      </c>
      <c r="O341" s="32">
        <v>0</v>
      </c>
      <c r="P341" s="32">
        <v>0</v>
      </c>
      <c r="Q341" s="43">
        <f t="shared" si="10"/>
        <v>64414</v>
      </c>
      <c r="R341" s="69">
        <f t="shared" si="11"/>
        <v>54751.9</v>
      </c>
      <c r="S341" s="30"/>
      <c r="T341" s="30"/>
    </row>
    <row r="342" spans="1:20" ht="45" customHeight="1" x14ac:dyDescent="0.3">
      <c r="A342" s="31">
        <v>330</v>
      </c>
      <c r="B342" s="32" t="s">
        <v>1085</v>
      </c>
      <c r="C342" s="32" t="s">
        <v>7199</v>
      </c>
      <c r="D342" s="32" t="s">
        <v>1158</v>
      </c>
      <c r="E342" s="32">
        <v>2020</v>
      </c>
      <c r="F342" s="32" t="s">
        <v>18</v>
      </c>
      <c r="G342" s="32" t="s">
        <v>1212</v>
      </c>
      <c r="H342" s="32" t="s">
        <v>1249</v>
      </c>
      <c r="I342" s="32" t="s">
        <v>1281</v>
      </c>
      <c r="J342" s="32">
        <v>6199</v>
      </c>
      <c r="K342" s="32">
        <f>1346+6278+4484+4484+2332+2332+2332+2332+2332+2332+6995+6995+2332+6995</f>
        <v>53901</v>
      </c>
      <c r="L342" s="32">
        <v>0</v>
      </c>
      <c r="M342" s="32">
        <v>0</v>
      </c>
      <c r="N342" s="32">
        <v>3148</v>
      </c>
      <c r="O342" s="32">
        <v>0</v>
      </c>
      <c r="P342" s="32">
        <v>0</v>
      </c>
      <c r="Q342" s="43">
        <f t="shared" si="10"/>
        <v>63248</v>
      </c>
      <c r="R342" s="69">
        <f t="shared" si="11"/>
        <v>53760.800000000003</v>
      </c>
      <c r="S342" s="30"/>
      <c r="T342" s="30"/>
    </row>
    <row r="343" spans="1:20" ht="45" customHeight="1" x14ac:dyDescent="0.3">
      <c r="A343" s="31">
        <v>331</v>
      </c>
      <c r="B343" s="32" t="s">
        <v>1085</v>
      </c>
      <c r="C343" s="32" t="s">
        <v>7199</v>
      </c>
      <c r="D343" s="32" t="s">
        <v>1158</v>
      </c>
      <c r="E343" s="32">
        <v>2020</v>
      </c>
      <c r="F343" s="32" t="s">
        <v>18</v>
      </c>
      <c r="G343" s="32" t="s">
        <v>1212</v>
      </c>
      <c r="H343" s="32" t="s">
        <v>1249</v>
      </c>
      <c r="I343" s="32" t="s">
        <v>1281</v>
      </c>
      <c r="J343" s="32">
        <v>0</v>
      </c>
      <c r="K343" s="32">
        <v>0</v>
      </c>
      <c r="L343" s="32">
        <v>0</v>
      </c>
      <c r="M343" s="32">
        <v>17688</v>
      </c>
      <c r="N343" s="32">
        <f>4053+2088</f>
        <v>6141</v>
      </c>
      <c r="O343" s="32">
        <v>0</v>
      </c>
      <c r="P343" s="32">
        <f>360+56+720+1080+1200</f>
        <v>3416</v>
      </c>
      <c r="Q343" s="43">
        <f t="shared" si="10"/>
        <v>27245</v>
      </c>
      <c r="R343" s="69">
        <f t="shared" si="11"/>
        <v>23158.25</v>
      </c>
      <c r="S343" s="30"/>
      <c r="T343" s="30"/>
    </row>
    <row r="344" spans="1:20" ht="45" customHeight="1" x14ac:dyDescent="0.3">
      <c r="A344" s="36">
        <v>332</v>
      </c>
      <c r="B344" s="32" t="s">
        <v>1085</v>
      </c>
      <c r="C344" s="32" t="s">
        <v>7200</v>
      </c>
      <c r="D344" s="32" t="s">
        <v>1159</v>
      </c>
      <c r="E344" s="32">
        <v>1980</v>
      </c>
      <c r="F344" s="32" t="s">
        <v>19</v>
      </c>
      <c r="G344" s="32" t="s">
        <v>1213</v>
      </c>
      <c r="H344" s="32" t="s">
        <v>1250</v>
      </c>
      <c r="I344" s="32" t="s">
        <v>1282</v>
      </c>
      <c r="J344" s="32">
        <v>6199</v>
      </c>
      <c r="K344" s="32">
        <f>6278+4484+2332+2332+2332+1346+1346+2332+2332+4484</f>
        <v>29598</v>
      </c>
      <c r="L344" s="32">
        <v>0</v>
      </c>
      <c r="M344" s="32">
        <v>0</v>
      </c>
      <c r="N344" s="32">
        <v>1793</v>
      </c>
      <c r="O344" s="32">
        <v>0</v>
      </c>
      <c r="P344" s="32">
        <v>0</v>
      </c>
      <c r="Q344" s="43">
        <f t="shared" si="10"/>
        <v>37590</v>
      </c>
      <c r="R344" s="69">
        <f t="shared" si="11"/>
        <v>31951.5</v>
      </c>
      <c r="S344" s="30"/>
      <c r="T344" s="30"/>
    </row>
    <row r="345" spans="1:20" ht="45" customHeight="1" x14ac:dyDescent="0.3">
      <c r="A345" s="31">
        <v>333</v>
      </c>
      <c r="B345" s="32" t="s">
        <v>1085</v>
      </c>
      <c r="C345" s="32" t="s">
        <v>7201</v>
      </c>
      <c r="D345" s="32" t="s">
        <v>1160</v>
      </c>
      <c r="E345" s="32">
        <v>2024</v>
      </c>
      <c r="F345" s="32" t="s">
        <v>19</v>
      </c>
      <c r="G345" s="32" t="s">
        <v>1214</v>
      </c>
      <c r="H345" s="32" t="s">
        <v>1251</v>
      </c>
      <c r="I345" s="32" t="s">
        <v>576</v>
      </c>
      <c r="J345" s="32">
        <v>6199</v>
      </c>
      <c r="K345" s="32">
        <f>1346+6278+4484+4484+2332+2332+2332+6995+6995+2332+6995+2332+2332+2332</f>
        <v>53901</v>
      </c>
      <c r="L345" s="32">
        <v>0</v>
      </c>
      <c r="M345" s="32">
        <v>0</v>
      </c>
      <c r="N345" s="32">
        <v>3148</v>
      </c>
      <c r="O345" s="32">
        <v>0</v>
      </c>
      <c r="P345" s="32">
        <v>0</v>
      </c>
      <c r="Q345" s="43">
        <f t="shared" si="10"/>
        <v>63248</v>
      </c>
      <c r="R345" s="69">
        <f t="shared" si="11"/>
        <v>53760.800000000003</v>
      </c>
      <c r="S345" s="30"/>
      <c r="T345" s="30"/>
    </row>
    <row r="346" spans="1:20" ht="45" customHeight="1" x14ac:dyDescent="0.3">
      <c r="A346" s="31">
        <v>334</v>
      </c>
      <c r="B346" s="32" t="s">
        <v>1085</v>
      </c>
      <c r="C346" s="32" t="s">
        <v>7202</v>
      </c>
      <c r="D346" s="32" t="s">
        <v>1161</v>
      </c>
      <c r="E346" s="32">
        <v>1986</v>
      </c>
      <c r="F346" s="32" t="s">
        <v>19</v>
      </c>
      <c r="G346" s="32" t="s">
        <v>1215</v>
      </c>
      <c r="H346" s="32" t="s">
        <v>1215</v>
      </c>
      <c r="I346" s="32" t="s">
        <v>27</v>
      </c>
      <c r="J346" s="32">
        <v>6199</v>
      </c>
      <c r="K346" s="32">
        <v>0</v>
      </c>
      <c r="L346" s="32">
        <v>0</v>
      </c>
      <c r="M346" s="32">
        <v>0</v>
      </c>
      <c r="N346" s="32">
        <v>0</v>
      </c>
      <c r="O346" s="32">
        <v>0</v>
      </c>
      <c r="P346" s="32">
        <v>0</v>
      </c>
      <c r="Q346" s="43">
        <f t="shared" si="10"/>
        <v>6199</v>
      </c>
      <c r="R346" s="69">
        <f t="shared" si="11"/>
        <v>5269.15</v>
      </c>
      <c r="S346" s="30"/>
      <c r="T346" s="30"/>
    </row>
    <row r="347" spans="1:20" ht="45" customHeight="1" x14ac:dyDescent="0.3">
      <c r="A347" s="36">
        <v>335</v>
      </c>
      <c r="B347" s="32" t="s">
        <v>1085</v>
      </c>
      <c r="C347" s="32" t="s">
        <v>7203</v>
      </c>
      <c r="D347" s="32" t="s">
        <v>406</v>
      </c>
      <c r="E347" s="32">
        <v>2018</v>
      </c>
      <c r="F347" s="32" t="s">
        <v>18</v>
      </c>
      <c r="G347" s="32" t="s">
        <v>482</v>
      </c>
      <c r="H347" s="32" t="s">
        <v>523</v>
      </c>
      <c r="I347" s="32" t="s">
        <v>268</v>
      </c>
      <c r="J347" s="32">
        <v>3793</v>
      </c>
      <c r="K347" s="32">
        <f>1346+6278+4484+2332+2332+2332+2332+2332+2332+6995+6995+2332+6995+4484</f>
        <v>53901</v>
      </c>
      <c r="L347" s="32">
        <v>0</v>
      </c>
      <c r="M347" s="32">
        <v>0</v>
      </c>
      <c r="N347" s="32">
        <v>3148</v>
      </c>
      <c r="O347" s="32">
        <v>0</v>
      </c>
      <c r="P347" s="32">
        <v>0</v>
      </c>
      <c r="Q347" s="43">
        <f t="shared" si="10"/>
        <v>60842</v>
      </c>
      <c r="R347" s="69">
        <f t="shared" si="11"/>
        <v>51715.7</v>
      </c>
      <c r="S347" s="30"/>
      <c r="T347" s="30"/>
    </row>
    <row r="348" spans="1:20" ht="45" customHeight="1" x14ac:dyDescent="0.3">
      <c r="A348" s="31">
        <v>336</v>
      </c>
      <c r="B348" s="32" t="s">
        <v>1085</v>
      </c>
      <c r="C348" s="32" t="s">
        <v>7203</v>
      </c>
      <c r="D348" s="32" t="s">
        <v>406</v>
      </c>
      <c r="E348" s="32">
        <v>2018</v>
      </c>
      <c r="F348" s="32" t="s">
        <v>18</v>
      </c>
      <c r="G348" s="32" t="s">
        <v>482</v>
      </c>
      <c r="H348" s="32" t="s">
        <v>523</v>
      </c>
      <c r="I348" s="32" t="s">
        <v>268</v>
      </c>
      <c r="J348" s="32">
        <v>0</v>
      </c>
      <c r="K348" s="32">
        <v>0</v>
      </c>
      <c r="L348" s="32">
        <v>0</v>
      </c>
      <c r="M348" s="32">
        <v>17688</v>
      </c>
      <c r="N348" s="32">
        <f>4053+2088</f>
        <v>6141</v>
      </c>
      <c r="O348" s="32">
        <v>0</v>
      </c>
      <c r="P348" s="32">
        <f>720+1080+374+360+56</f>
        <v>2590</v>
      </c>
      <c r="Q348" s="43">
        <f t="shared" si="10"/>
        <v>26419</v>
      </c>
      <c r="R348" s="69">
        <f t="shared" si="11"/>
        <v>22456.15</v>
      </c>
      <c r="S348" s="30"/>
      <c r="T348" s="30"/>
    </row>
    <row r="349" spans="1:20" ht="45" customHeight="1" x14ac:dyDescent="0.3">
      <c r="A349" s="31">
        <v>337</v>
      </c>
      <c r="B349" s="32" t="s">
        <v>1085</v>
      </c>
      <c r="C349" s="32" t="s">
        <v>7204</v>
      </c>
      <c r="D349" s="32" t="s">
        <v>1162</v>
      </c>
      <c r="E349" s="32">
        <v>1996</v>
      </c>
      <c r="F349" s="32" t="s">
        <v>18</v>
      </c>
      <c r="G349" s="32" t="s">
        <v>1216</v>
      </c>
      <c r="H349" s="32" t="s">
        <v>1216</v>
      </c>
      <c r="I349" s="32" t="s">
        <v>289</v>
      </c>
      <c r="J349" s="32">
        <v>6199</v>
      </c>
      <c r="K349" s="32">
        <v>0</v>
      </c>
      <c r="L349" s="32">
        <v>0</v>
      </c>
      <c r="M349" s="32">
        <v>0</v>
      </c>
      <c r="N349" s="32">
        <v>0</v>
      </c>
      <c r="O349" s="32">
        <v>0</v>
      </c>
      <c r="P349" s="32">
        <v>0</v>
      </c>
      <c r="Q349" s="43">
        <f t="shared" si="10"/>
        <v>6199</v>
      </c>
      <c r="R349" s="69">
        <f t="shared" si="11"/>
        <v>5269.15</v>
      </c>
      <c r="S349" s="30"/>
      <c r="T349" s="30"/>
    </row>
    <row r="350" spans="1:20" ht="45" customHeight="1" x14ac:dyDescent="0.3">
      <c r="A350" s="36">
        <v>338</v>
      </c>
      <c r="B350" s="32" t="s">
        <v>1085</v>
      </c>
      <c r="C350" s="32" t="s">
        <v>7205</v>
      </c>
      <c r="D350" s="32" t="s">
        <v>1163</v>
      </c>
      <c r="E350" s="32">
        <v>1985</v>
      </c>
      <c r="F350" s="32" t="s">
        <v>18</v>
      </c>
      <c r="G350" s="32" t="s">
        <v>1217</v>
      </c>
      <c r="H350" s="32" t="s">
        <v>1217</v>
      </c>
      <c r="I350" s="32" t="s">
        <v>300</v>
      </c>
      <c r="J350" s="32">
        <v>6199</v>
      </c>
      <c r="K350" s="32">
        <v>0</v>
      </c>
      <c r="L350" s="32">
        <v>0</v>
      </c>
      <c r="M350" s="32">
        <v>0</v>
      </c>
      <c r="N350" s="32">
        <v>0</v>
      </c>
      <c r="O350" s="32">
        <v>0</v>
      </c>
      <c r="P350" s="32">
        <v>0</v>
      </c>
      <c r="Q350" s="43">
        <f t="shared" si="10"/>
        <v>6199</v>
      </c>
      <c r="R350" s="69">
        <f t="shared" si="11"/>
        <v>5269.15</v>
      </c>
      <c r="S350" s="30"/>
      <c r="T350" s="30"/>
    </row>
    <row r="351" spans="1:20" ht="45" customHeight="1" x14ac:dyDescent="0.3">
      <c r="A351" s="31">
        <v>339</v>
      </c>
      <c r="B351" s="32" t="s">
        <v>1085</v>
      </c>
      <c r="C351" s="32" t="s">
        <v>7206</v>
      </c>
      <c r="D351" s="32" t="s">
        <v>1164</v>
      </c>
      <c r="E351" s="32">
        <v>1995</v>
      </c>
      <c r="F351" s="32" t="s">
        <v>19</v>
      </c>
      <c r="G351" s="32" t="s">
        <v>1218</v>
      </c>
      <c r="H351" s="32" t="s">
        <v>1218</v>
      </c>
      <c r="I351" s="32" t="s">
        <v>848</v>
      </c>
      <c r="J351" s="32">
        <v>6199</v>
      </c>
      <c r="K351" s="32">
        <f>6278+4484+2332+2332+2332+2332+2332</f>
        <v>22422</v>
      </c>
      <c r="L351" s="32">
        <v>0</v>
      </c>
      <c r="M351" s="32">
        <v>0</v>
      </c>
      <c r="N351" s="32">
        <v>1793</v>
      </c>
      <c r="O351" s="32">
        <v>0</v>
      </c>
      <c r="P351" s="32">
        <v>0</v>
      </c>
      <c r="Q351" s="43">
        <f t="shared" si="10"/>
        <v>30414</v>
      </c>
      <c r="R351" s="69">
        <f t="shared" si="11"/>
        <v>25851.9</v>
      </c>
      <c r="S351" s="30"/>
      <c r="T351" s="30"/>
    </row>
    <row r="352" spans="1:20" ht="45" customHeight="1" x14ac:dyDescent="0.3">
      <c r="A352" s="31">
        <v>340</v>
      </c>
      <c r="B352" s="32" t="s">
        <v>1085</v>
      </c>
      <c r="C352" s="32" t="s">
        <v>7207</v>
      </c>
      <c r="D352" s="32" t="s">
        <v>1165</v>
      </c>
      <c r="E352" s="32">
        <v>1999</v>
      </c>
      <c r="F352" s="32" t="s">
        <v>19</v>
      </c>
      <c r="G352" s="32" t="s">
        <v>1219</v>
      </c>
      <c r="H352" s="32" t="s">
        <v>1219</v>
      </c>
      <c r="I352" s="32" t="s">
        <v>1283</v>
      </c>
      <c r="J352" s="32">
        <v>6199</v>
      </c>
      <c r="K352" s="32">
        <v>0</v>
      </c>
      <c r="L352" s="32">
        <v>0</v>
      </c>
      <c r="M352" s="32">
        <v>0</v>
      </c>
      <c r="N352" s="32">
        <v>0</v>
      </c>
      <c r="O352" s="32">
        <v>0</v>
      </c>
      <c r="P352" s="32">
        <v>0</v>
      </c>
      <c r="Q352" s="43">
        <f t="shared" si="10"/>
        <v>6199</v>
      </c>
      <c r="R352" s="69">
        <f t="shared" si="11"/>
        <v>5269.15</v>
      </c>
      <c r="S352" s="30"/>
      <c r="T352" s="30"/>
    </row>
    <row r="353" spans="1:20" ht="45" customHeight="1" x14ac:dyDescent="0.3">
      <c r="A353" s="36">
        <v>341</v>
      </c>
      <c r="B353" s="32" t="s">
        <v>1085</v>
      </c>
      <c r="C353" s="32" t="s">
        <v>7208</v>
      </c>
      <c r="D353" s="32" t="s">
        <v>1166</v>
      </c>
      <c r="E353" s="32">
        <v>2015</v>
      </c>
      <c r="F353" s="32" t="s">
        <v>19</v>
      </c>
      <c r="G353" s="32" t="s">
        <v>1220</v>
      </c>
      <c r="H353" s="32" t="s">
        <v>1252</v>
      </c>
      <c r="I353" s="32" t="s">
        <v>1280</v>
      </c>
      <c r="J353" s="32">
        <v>3793</v>
      </c>
      <c r="K353" s="32">
        <v>0</v>
      </c>
      <c r="L353" s="32">
        <v>0</v>
      </c>
      <c r="M353" s="32">
        <v>0</v>
      </c>
      <c r="N353" s="32">
        <v>0</v>
      </c>
      <c r="O353" s="32">
        <v>0</v>
      </c>
      <c r="P353" s="32">
        <v>0</v>
      </c>
      <c r="Q353" s="43">
        <f t="shared" si="10"/>
        <v>3793</v>
      </c>
      <c r="R353" s="69">
        <f t="shared" si="11"/>
        <v>3224.05</v>
      </c>
      <c r="S353" s="30"/>
      <c r="T353" s="30"/>
    </row>
    <row r="354" spans="1:20" ht="45" customHeight="1" x14ac:dyDescent="0.3">
      <c r="A354" s="31">
        <v>342</v>
      </c>
      <c r="B354" s="32" t="s">
        <v>1085</v>
      </c>
      <c r="C354" s="32" t="s">
        <v>7209</v>
      </c>
      <c r="D354" s="32" t="s">
        <v>1167</v>
      </c>
      <c r="E354" s="32">
        <v>2017</v>
      </c>
      <c r="F354" s="32" t="s">
        <v>18</v>
      </c>
      <c r="G354" s="32" t="s">
        <v>1221</v>
      </c>
      <c r="H354" s="32" t="s">
        <v>1253</v>
      </c>
      <c r="I354" s="32" t="s">
        <v>1284</v>
      </c>
      <c r="J354" s="32">
        <v>6199</v>
      </c>
      <c r="K354" s="32">
        <v>0</v>
      </c>
      <c r="L354" s="32">
        <v>0</v>
      </c>
      <c r="M354" s="32">
        <v>0</v>
      </c>
      <c r="N354" s="32">
        <v>0</v>
      </c>
      <c r="O354" s="32">
        <v>0</v>
      </c>
      <c r="P354" s="32">
        <v>0</v>
      </c>
      <c r="Q354" s="43">
        <f t="shared" si="10"/>
        <v>6199</v>
      </c>
      <c r="R354" s="69">
        <f t="shared" si="11"/>
        <v>5269.15</v>
      </c>
      <c r="S354" s="30"/>
      <c r="T354" s="30"/>
    </row>
    <row r="355" spans="1:20" ht="45" customHeight="1" x14ac:dyDescent="0.3">
      <c r="A355" s="31">
        <v>343</v>
      </c>
      <c r="B355" s="32" t="s">
        <v>1085</v>
      </c>
      <c r="C355" s="32" t="s">
        <v>7210</v>
      </c>
      <c r="D355" s="32" t="s">
        <v>1168</v>
      </c>
      <c r="E355" s="32">
        <v>1989</v>
      </c>
      <c r="F355" s="32" t="s">
        <v>19</v>
      </c>
      <c r="G355" s="32" t="s">
        <v>1222</v>
      </c>
      <c r="H355" s="32" t="s">
        <v>1222</v>
      </c>
      <c r="I355" s="32" t="s">
        <v>1285</v>
      </c>
      <c r="J355" s="32">
        <v>6199</v>
      </c>
      <c r="K355" s="32">
        <v>0</v>
      </c>
      <c r="L355" s="32">
        <v>9422</v>
      </c>
      <c r="M355" s="32">
        <v>0</v>
      </c>
      <c r="N355" s="32">
        <v>0</v>
      </c>
      <c r="O355" s="32">
        <v>0</v>
      </c>
      <c r="P355" s="32">
        <v>0</v>
      </c>
      <c r="Q355" s="43">
        <f t="shared" si="10"/>
        <v>15621</v>
      </c>
      <c r="R355" s="69">
        <f t="shared" si="11"/>
        <v>13277.85</v>
      </c>
      <c r="S355" s="30"/>
      <c r="T355" s="30"/>
    </row>
    <row r="356" spans="1:20" ht="45" customHeight="1" x14ac:dyDescent="0.3">
      <c r="A356" s="36">
        <v>344</v>
      </c>
      <c r="B356" s="32" t="s">
        <v>1085</v>
      </c>
      <c r="C356" s="32" t="s">
        <v>7211</v>
      </c>
      <c r="D356" s="32" t="s">
        <v>1169</v>
      </c>
      <c r="E356" s="32">
        <v>1992</v>
      </c>
      <c r="F356" s="32" t="s">
        <v>18</v>
      </c>
      <c r="G356" s="32" t="s">
        <v>1223</v>
      </c>
      <c r="H356" s="32" t="s">
        <v>1223</v>
      </c>
      <c r="I356" s="32" t="s">
        <v>1066</v>
      </c>
      <c r="J356" s="32">
        <v>6199</v>
      </c>
      <c r="K356" s="32">
        <v>0</v>
      </c>
      <c r="L356" s="32">
        <v>0</v>
      </c>
      <c r="M356" s="32">
        <v>0</v>
      </c>
      <c r="N356" s="32">
        <v>1681</v>
      </c>
      <c r="O356" s="32">
        <v>0</v>
      </c>
      <c r="P356" s="32">
        <v>200</v>
      </c>
      <c r="Q356" s="43">
        <f t="shared" si="10"/>
        <v>8080</v>
      </c>
      <c r="R356" s="69">
        <f t="shared" si="11"/>
        <v>6868</v>
      </c>
      <c r="S356" s="30"/>
      <c r="T356" s="30"/>
    </row>
    <row r="357" spans="1:20" ht="45" customHeight="1" x14ac:dyDescent="0.3">
      <c r="A357" s="31">
        <v>345</v>
      </c>
      <c r="B357" s="32" t="s">
        <v>1085</v>
      </c>
      <c r="C357" s="32" t="s">
        <v>7212</v>
      </c>
      <c r="D357" s="32" t="s">
        <v>2647</v>
      </c>
      <c r="E357" s="32">
        <v>1979</v>
      </c>
      <c r="F357" s="32" t="s">
        <v>18</v>
      </c>
      <c r="G357" s="32" t="s">
        <v>2648</v>
      </c>
      <c r="H357" s="32" t="s">
        <v>2649</v>
      </c>
      <c r="I357" s="32" t="s">
        <v>34</v>
      </c>
      <c r="J357" s="32">
        <v>6199</v>
      </c>
      <c r="K357" s="32">
        <f>1346+6278+4484+6995+2332+2332+2332+3000+3000+3500+2332+2332+2332+4484+3228+4484+4484+2332+4484+6995+6995+6995+2332</f>
        <v>89408</v>
      </c>
      <c r="L357" s="32">
        <v>0</v>
      </c>
      <c r="M357" s="32">
        <v>0</v>
      </c>
      <c r="N357" s="32">
        <f>1178+3179+1793+1681</f>
        <v>7831</v>
      </c>
      <c r="O357" s="32">
        <v>0</v>
      </c>
      <c r="P357" s="32">
        <f>720+660+720+288+312+56</f>
        <v>2756</v>
      </c>
      <c r="Q357" s="37">
        <f t="shared" si="10"/>
        <v>106194</v>
      </c>
      <c r="R357" s="69">
        <f t="shared" si="11"/>
        <v>90264.9</v>
      </c>
      <c r="S357" s="30"/>
      <c r="T357" s="30"/>
    </row>
    <row r="358" spans="1:20" ht="45" customHeight="1" x14ac:dyDescent="0.3">
      <c r="A358" s="31">
        <v>346</v>
      </c>
      <c r="B358" s="32" t="s">
        <v>1085</v>
      </c>
      <c r="C358" s="32" t="s">
        <v>7212</v>
      </c>
      <c r="D358" s="32" t="s">
        <v>2647</v>
      </c>
      <c r="E358" s="32">
        <v>1979</v>
      </c>
      <c r="F358" s="32" t="s">
        <v>18</v>
      </c>
      <c r="G358" s="32" t="s">
        <v>2648</v>
      </c>
      <c r="H358" s="32" t="s">
        <v>2649</v>
      </c>
      <c r="I358" s="32" t="s">
        <v>34</v>
      </c>
      <c r="J358" s="32">
        <v>0</v>
      </c>
      <c r="K358" s="32">
        <v>0</v>
      </c>
      <c r="L358" s="32">
        <v>0</v>
      </c>
      <c r="M358" s="32">
        <v>17688</v>
      </c>
      <c r="N358" s="32">
        <v>0</v>
      </c>
      <c r="O358" s="32">
        <v>0</v>
      </c>
      <c r="P358" s="32">
        <f>312+56+144+720+720</f>
        <v>1952</v>
      </c>
      <c r="Q358" s="37">
        <f t="shared" si="10"/>
        <v>19640</v>
      </c>
      <c r="R358" s="69">
        <f t="shared" si="11"/>
        <v>16694</v>
      </c>
      <c r="S358" s="30"/>
      <c r="T358" s="30"/>
    </row>
    <row r="359" spans="1:20" ht="45" customHeight="1" x14ac:dyDescent="0.3">
      <c r="A359" s="36">
        <v>347</v>
      </c>
      <c r="B359" s="32" t="s">
        <v>1085</v>
      </c>
      <c r="C359" s="32" t="s">
        <v>7361</v>
      </c>
      <c r="D359" s="34" t="s">
        <v>2651</v>
      </c>
      <c r="E359" s="32">
        <v>2012</v>
      </c>
      <c r="F359" s="32" t="s">
        <v>19</v>
      </c>
      <c r="G359" s="32" t="s">
        <v>2652</v>
      </c>
      <c r="H359" s="32" t="s">
        <v>2653</v>
      </c>
      <c r="I359" s="32" t="s">
        <v>299</v>
      </c>
      <c r="J359" s="32">
        <v>0</v>
      </c>
      <c r="K359" s="32">
        <v>0</v>
      </c>
      <c r="L359" s="32">
        <v>0</v>
      </c>
      <c r="M359" s="32">
        <v>17688</v>
      </c>
      <c r="N359" s="32">
        <v>0</v>
      </c>
      <c r="O359" s="32">
        <v>0</v>
      </c>
      <c r="P359" s="32">
        <f>1440+1320</f>
        <v>2760</v>
      </c>
      <c r="Q359" s="37">
        <f t="shared" si="10"/>
        <v>20448</v>
      </c>
      <c r="R359" s="69">
        <f t="shared" si="11"/>
        <v>17380.8</v>
      </c>
      <c r="S359" s="30"/>
      <c r="T359" s="30"/>
    </row>
    <row r="360" spans="1:20" ht="45" customHeight="1" x14ac:dyDescent="0.3">
      <c r="A360" s="31">
        <v>348</v>
      </c>
      <c r="B360" s="32" t="s">
        <v>1085</v>
      </c>
      <c r="C360" s="32" t="s">
        <v>7362</v>
      </c>
      <c r="D360" s="34" t="s">
        <v>404</v>
      </c>
      <c r="E360" s="32">
        <v>2022</v>
      </c>
      <c r="F360" s="32" t="s">
        <v>18</v>
      </c>
      <c r="G360" s="32" t="s">
        <v>481</v>
      </c>
      <c r="H360" s="32" t="s">
        <v>523</v>
      </c>
      <c r="I360" s="32" t="s">
        <v>268</v>
      </c>
      <c r="J360" s="32">
        <v>2900</v>
      </c>
      <c r="K360" s="32">
        <v>0</v>
      </c>
      <c r="L360" s="32">
        <v>0</v>
      </c>
      <c r="M360" s="32">
        <v>17688</v>
      </c>
      <c r="N360" s="32">
        <v>2088</v>
      </c>
      <c r="O360" s="32">
        <v>0</v>
      </c>
      <c r="P360" s="32">
        <f>1080+168</f>
        <v>1248</v>
      </c>
      <c r="Q360" s="37">
        <f t="shared" si="10"/>
        <v>23924</v>
      </c>
      <c r="R360" s="69">
        <f t="shared" si="11"/>
        <v>20335.400000000001</v>
      </c>
      <c r="S360" s="30"/>
      <c r="T360" s="30"/>
    </row>
    <row r="361" spans="1:20" ht="45" customHeight="1" x14ac:dyDescent="0.3">
      <c r="A361" s="31">
        <v>349</v>
      </c>
      <c r="B361" s="32" t="s">
        <v>1085</v>
      </c>
      <c r="C361" s="32" t="s">
        <v>7363</v>
      </c>
      <c r="D361" s="34" t="s">
        <v>2641</v>
      </c>
      <c r="E361" s="32">
        <v>2023</v>
      </c>
      <c r="F361" s="32" t="s">
        <v>19</v>
      </c>
      <c r="G361" s="32" t="s">
        <v>2642</v>
      </c>
      <c r="H361" s="32" t="s">
        <v>2643</v>
      </c>
      <c r="I361" s="32" t="s">
        <v>1460</v>
      </c>
      <c r="J361" s="32">
        <v>2900</v>
      </c>
      <c r="K361" s="32">
        <v>0</v>
      </c>
      <c r="L361" s="32">
        <v>0</v>
      </c>
      <c r="M361" s="32">
        <v>17688</v>
      </c>
      <c r="N361" s="32">
        <v>2088</v>
      </c>
      <c r="O361" s="32">
        <v>0</v>
      </c>
      <c r="P361" s="32">
        <f>1440+224+720+1080+374</f>
        <v>3838</v>
      </c>
      <c r="Q361" s="37">
        <f t="shared" si="10"/>
        <v>26514</v>
      </c>
      <c r="R361" s="69">
        <f t="shared" si="11"/>
        <v>22536.9</v>
      </c>
      <c r="S361" s="30"/>
      <c r="T361" s="30"/>
    </row>
    <row r="362" spans="1:20" ht="45" customHeight="1" x14ac:dyDescent="0.3">
      <c r="A362" s="36">
        <v>350</v>
      </c>
      <c r="B362" s="32" t="s">
        <v>1286</v>
      </c>
      <c r="C362" s="32" t="s">
        <v>1287</v>
      </c>
      <c r="D362" s="32" t="s">
        <v>1288</v>
      </c>
      <c r="E362" s="32">
        <v>2011</v>
      </c>
      <c r="F362" s="32" t="s">
        <v>19</v>
      </c>
      <c r="G362" s="32" t="s">
        <v>1383</v>
      </c>
      <c r="H362" s="32" t="s">
        <v>1433</v>
      </c>
      <c r="I362" s="32" t="s">
        <v>1460</v>
      </c>
      <c r="J362" s="32">
        <v>6199</v>
      </c>
      <c r="K362" s="32">
        <f>2801+1166</f>
        <v>3967</v>
      </c>
      <c r="L362" s="32">
        <v>0</v>
      </c>
      <c r="M362" s="32">
        <v>0</v>
      </c>
      <c r="N362" s="32">
        <v>0</v>
      </c>
      <c r="O362" s="32">
        <v>0</v>
      </c>
      <c r="P362" s="32">
        <v>0</v>
      </c>
      <c r="Q362" s="37">
        <f t="shared" si="10"/>
        <v>10166</v>
      </c>
      <c r="R362" s="69">
        <f t="shared" si="11"/>
        <v>8641.1</v>
      </c>
      <c r="S362" s="30"/>
      <c r="T362" s="30"/>
    </row>
    <row r="363" spans="1:20" ht="45" customHeight="1" x14ac:dyDescent="0.3">
      <c r="A363" s="31">
        <v>351</v>
      </c>
      <c r="B363" s="32" t="s">
        <v>1286</v>
      </c>
      <c r="C363" s="32" t="s">
        <v>1289</v>
      </c>
      <c r="D363" s="32" t="s">
        <v>1290</v>
      </c>
      <c r="E363" s="32">
        <v>2009</v>
      </c>
      <c r="F363" s="32" t="s">
        <v>19</v>
      </c>
      <c r="G363" s="32" t="s">
        <v>1384</v>
      </c>
      <c r="H363" s="32" t="s">
        <v>1434</v>
      </c>
      <c r="I363" s="32" t="s">
        <v>1268</v>
      </c>
      <c r="J363" s="32">
        <v>6199</v>
      </c>
      <c r="K363" s="32">
        <f>1166+2801</f>
        <v>3967</v>
      </c>
      <c r="L363" s="32">
        <v>0</v>
      </c>
      <c r="M363" s="32">
        <v>0</v>
      </c>
      <c r="N363" s="32">
        <v>0</v>
      </c>
      <c r="O363" s="32">
        <v>0</v>
      </c>
      <c r="P363" s="32">
        <v>0</v>
      </c>
      <c r="Q363" s="37">
        <f t="shared" si="10"/>
        <v>10166</v>
      </c>
      <c r="R363" s="69">
        <f t="shared" si="11"/>
        <v>8641.1</v>
      </c>
      <c r="S363" s="30"/>
      <c r="T363" s="30"/>
    </row>
    <row r="364" spans="1:20" ht="45" customHeight="1" x14ac:dyDescent="0.3">
      <c r="A364" s="31">
        <v>352</v>
      </c>
      <c r="B364" s="32" t="s">
        <v>1286</v>
      </c>
      <c r="C364" s="32" t="s">
        <v>1291</v>
      </c>
      <c r="D364" s="32" t="s">
        <v>1292</v>
      </c>
      <c r="E364" s="32">
        <v>1986</v>
      </c>
      <c r="F364" s="32" t="s">
        <v>19</v>
      </c>
      <c r="G364" s="32" t="s">
        <v>1385</v>
      </c>
      <c r="H364" s="32" t="s">
        <v>1385</v>
      </c>
      <c r="I364" s="32" t="s">
        <v>1268</v>
      </c>
      <c r="J364" s="32">
        <v>3582</v>
      </c>
      <c r="K364" s="32">
        <v>0</v>
      </c>
      <c r="L364" s="32">
        <v>0</v>
      </c>
      <c r="M364" s="32">
        <v>0</v>
      </c>
      <c r="N364" s="32">
        <f>34016+27380</f>
        <v>61396</v>
      </c>
      <c r="O364" s="32">
        <v>0</v>
      </c>
      <c r="P364" s="32">
        <v>0</v>
      </c>
      <c r="Q364" s="43">
        <f t="shared" si="10"/>
        <v>64978</v>
      </c>
      <c r="R364" s="69">
        <f t="shared" si="11"/>
        <v>55231.3</v>
      </c>
      <c r="S364" s="30"/>
      <c r="T364" s="30"/>
    </row>
    <row r="365" spans="1:20" ht="45" customHeight="1" x14ac:dyDescent="0.3">
      <c r="A365" s="36">
        <v>353</v>
      </c>
      <c r="B365" s="32" t="s">
        <v>1286</v>
      </c>
      <c r="C365" s="32" t="s">
        <v>1293</v>
      </c>
      <c r="D365" s="32" t="s">
        <v>1294</v>
      </c>
      <c r="E365" s="32">
        <v>2022</v>
      </c>
      <c r="F365" s="32" t="s">
        <v>19</v>
      </c>
      <c r="G365" s="32" t="s">
        <v>1386</v>
      </c>
      <c r="H365" s="32" t="s">
        <v>1435</v>
      </c>
      <c r="I365" s="32" t="s">
        <v>1461</v>
      </c>
      <c r="J365" s="32">
        <v>6199</v>
      </c>
      <c r="K365" s="32">
        <f>1346+6278+4484+4484+2332+2332+2332+2332+2332+2332+6995+6995+2332+6995</f>
        <v>53901</v>
      </c>
      <c r="L365" s="32">
        <v>0</v>
      </c>
      <c r="M365" s="32">
        <v>0</v>
      </c>
      <c r="N365" s="32">
        <v>3148</v>
      </c>
      <c r="O365" s="32">
        <v>0</v>
      </c>
      <c r="P365" s="32">
        <v>0</v>
      </c>
      <c r="Q365" s="43">
        <f t="shared" si="10"/>
        <v>63248</v>
      </c>
      <c r="R365" s="69">
        <f t="shared" si="11"/>
        <v>53760.800000000003</v>
      </c>
      <c r="S365" s="30"/>
      <c r="T365" s="30"/>
    </row>
    <row r="366" spans="1:20" ht="45" customHeight="1" x14ac:dyDescent="0.3">
      <c r="A366" s="31">
        <v>354</v>
      </c>
      <c r="B366" s="32" t="s">
        <v>1286</v>
      </c>
      <c r="C366" s="32" t="s">
        <v>1295</v>
      </c>
      <c r="D366" s="32" t="s">
        <v>1296</v>
      </c>
      <c r="E366" s="32">
        <v>1997</v>
      </c>
      <c r="F366" s="32" t="s">
        <v>19</v>
      </c>
      <c r="G366" s="32" t="s">
        <v>1387</v>
      </c>
      <c r="H366" s="32" t="s">
        <v>1387</v>
      </c>
      <c r="I366" s="32" t="s">
        <v>1462</v>
      </c>
      <c r="J366" s="32">
        <v>6199</v>
      </c>
      <c r="K366" s="32">
        <f>2332+2332+2243</f>
        <v>6907</v>
      </c>
      <c r="L366" s="32">
        <v>0</v>
      </c>
      <c r="M366" s="32">
        <v>0</v>
      </c>
      <c r="N366" s="32">
        <v>0</v>
      </c>
      <c r="O366" s="32">
        <v>0</v>
      </c>
      <c r="P366" s="32">
        <v>0</v>
      </c>
      <c r="Q366" s="43">
        <f t="shared" si="10"/>
        <v>13106</v>
      </c>
      <c r="R366" s="69">
        <f t="shared" si="11"/>
        <v>11140.1</v>
      </c>
      <c r="S366" s="30"/>
      <c r="T366" s="30"/>
    </row>
    <row r="367" spans="1:20" ht="45" customHeight="1" x14ac:dyDescent="0.3">
      <c r="A367" s="31">
        <v>355</v>
      </c>
      <c r="B367" s="32" t="s">
        <v>1286</v>
      </c>
      <c r="C367" s="32" t="s">
        <v>1297</v>
      </c>
      <c r="D367" s="32" t="s">
        <v>1298</v>
      </c>
      <c r="E367" s="32">
        <v>2022</v>
      </c>
      <c r="F367" s="32" t="s">
        <v>19</v>
      </c>
      <c r="G367" s="32" t="s">
        <v>1388</v>
      </c>
      <c r="H367" s="32" t="s">
        <v>1387</v>
      </c>
      <c r="I367" s="32" t="s">
        <v>1462</v>
      </c>
      <c r="J367" s="32">
        <v>6199</v>
      </c>
      <c r="K367" s="32">
        <f>1346+6278+4484+4484+2332+2332+2332+2332+2332+2332+6995+6995+2332+6995</f>
        <v>53901</v>
      </c>
      <c r="L367" s="32">
        <v>0</v>
      </c>
      <c r="M367" s="32">
        <v>0</v>
      </c>
      <c r="N367" s="32">
        <v>3148</v>
      </c>
      <c r="O367" s="32">
        <v>0</v>
      </c>
      <c r="P367" s="32">
        <v>0</v>
      </c>
      <c r="Q367" s="43">
        <f t="shared" si="10"/>
        <v>63248</v>
      </c>
      <c r="R367" s="69">
        <f t="shared" si="11"/>
        <v>53760.800000000003</v>
      </c>
      <c r="S367" s="30"/>
      <c r="T367" s="30"/>
    </row>
    <row r="368" spans="1:20" ht="45" customHeight="1" x14ac:dyDescent="0.3">
      <c r="A368" s="36">
        <v>356</v>
      </c>
      <c r="B368" s="32" t="s">
        <v>1286</v>
      </c>
      <c r="C368" s="32" t="s">
        <v>1299</v>
      </c>
      <c r="D368" s="32" t="s">
        <v>1300</v>
      </c>
      <c r="E368" s="32">
        <v>1984</v>
      </c>
      <c r="F368" s="32" t="s">
        <v>18</v>
      </c>
      <c r="G368" s="32" t="s">
        <v>1389</v>
      </c>
      <c r="H368" s="32" t="s">
        <v>1389</v>
      </c>
      <c r="I368" s="32" t="s">
        <v>1463</v>
      </c>
      <c r="J368" s="32">
        <v>6199</v>
      </c>
      <c r="K368" s="32">
        <f>6278+4484+2332+1346+2332+2332+2332+2332+6995+6995+2332+6995+6995+2332+4484+2332+2332+3000+3000+3228+1166+2801</f>
        <v>78755</v>
      </c>
      <c r="L368" s="32">
        <v>0</v>
      </c>
      <c r="M368" s="32">
        <v>0</v>
      </c>
      <c r="N368" s="32">
        <v>1793</v>
      </c>
      <c r="O368" s="32">
        <v>0</v>
      </c>
      <c r="P368" s="32">
        <v>0</v>
      </c>
      <c r="Q368" s="43">
        <f t="shared" si="10"/>
        <v>86747</v>
      </c>
      <c r="R368" s="69">
        <f t="shared" si="11"/>
        <v>73734.95</v>
      </c>
      <c r="S368" s="30"/>
      <c r="T368" s="30"/>
    </row>
    <row r="369" spans="1:20" ht="45" customHeight="1" x14ac:dyDescent="0.3">
      <c r="A369" s="31">
        <v>357</v>
      </c>
      <c r="B369" s="32" t="s">
        <v>1286</v>
      </c>
      <c r="C369" s="32" t="s">
        <v>1301</v>
      </c>
      <c r="D369" s="32" t="s">
        <v>1302</v>
      </c>
      <c r="E369" s="32">
        <v>2017</v>
      </c>
      <c r="F369" s="32" t="s">
        <v>19</v>
      </c>
      <c r="G369" s="32" t="s">
        <v>1390</v>
      </c>
      <c r="H369" s="32" t="s">
        <v>1436</v>
      </c>
      <c r="I369" s="32" t="s">
        <v>1464</v>
      </c>
      <c r="J369" s="32">
        <v>6199</v>
      </c>
      <c r="K369" s="32">
        <f>6278+4484+2332+1346+2332+2332+2332+2332+6995+6995+2332+6995+2332+4484+1166+2801</f>
        <v>57868</v>
      </c>
      <c r="L369" s="32">
        <v>0</v>
      </c>
      <c r="M369" s="32">
        <v>0</v>
      </c>
      <c r="N369" s="32">
        <v>3148</v>
      </c>
      <c r="O369" s="32">
        <v>0</v>
      </c>
      <c r="P369" s="32">
        <v>0</v>
      </c>
      <c r="Q369" s="43">
        <f t="shared" si="10"/>
        <v>67215</v>
      </c>
      <c r="R369" s="69">
        <f t="shared" si="11"/>
        <v>57132.75</v>
      </c>
      <c r="S369" s="30"/>
      <c r="T369" s="30"/>
    </row>
    <row r="370" spans="1:20" ht="45" customHeight="1" x14ac:dyDescent="0.3">
      <c r="A370" s="31">
        <v>358</v>
      </c>
      <c r="B370" s="32" t="s">
        <v>1286</v>
      </c>
      <c r="C370" s="32" t="s">
        <v>1303</v>
      </c>
      <c r="D370" s="32" t="s">
        <v>1296</v>
      </c>
      <c r="E370" s="32">
        <v>1997</v>
      </c>
      <c r="F370" s="32" t="s">
        <v>19</v>
      </c>
      <c r="G370" s="32" t="s">
        <v>1387</v>
      </c>
      <c r="H370" s="32" t="s">
        <v>1387</v>
      </c>
      <c r="I370" s="32" t="s">
        <v>1462</v>
      </c>
      <c r="J370" s="32">
        <v>3582</v>
      </c>
      <c r="K370" s="32">
        <v>0</v>
      </c>
      <c r="L370" s="32">
        <v>0</v>
      </c>
      <c r="M370" s="32">
        <v>0</v>
      </c>
      <c r="N370" s="32">
        <f>34016+38478</f>
        <v>72494</v>
      </c>
      <c r="O370" s="32">
        <v>0</v>
      </c>
      <c r="P370" s="32">
        <v>0</v>
      </c>
      <c r="Q370" s="43">
        <f t="shared" si="10"/>
        <v>76076</v>
      </c>
      <c r="R370" s="69">
        <f t="shared" si="11"/>
        <v>64664.6</v>
      </c>
      <c r="S370" s="30"/>
      <c r="T370" s="30"/>
    </row>
    <row r="371" spans="1:20" ht="45" customHeight="1" x14ac:dyDescent="0.3">
      <c r="A371" s="36">
        <v>359</v>
      </c>
      <c r="B371" s="32" t="s">
        <v>1286</v>
      </c>
      <c r="C371" s="32" t="s">
        <v>1304</v>
      </c>
      <c r="D371" s="32" t="s">
        <v>1305</v>
      </c>
      <c r="E371" s="32">
        <v>2024</v>
      </c>
      <c r="F371" s="32" t="s">
        <v>18</v>
      </c>
      <c r="G371" s="32" t="s">
        <v>1391</v>
      </c>
      <c r="H371" s="32" t="s">
        <v>1437</v>
      </c>
      <c r="I371" s="32" t="s">
        <v>835</v>
      </c>
      <c r="J371" s="32">
        <v>6199</v>
      </c>
      <c r="K371" s="32">
        <f>1346+6278+4484+4484+2332+2332+2332+2332+2332+2332+6995+6995+2332+6995</f>
        <v>53901</v>
      </c>
      <c r="L371" s="32">
        <v>0</v>
      </c>
      <c r="M371" s="32">
        <v>0</v>
      </c>
      <c r="N371" s="32">
        <v>3148</v>
      </c>
      <c r="O371" s="32">
        <v>0</v>
      </c>
      <c r="P371" s="32">
        <v>0</v>
      </c>
      <c r="Q371" s="43">
        <f t="shared" si="10"/>
        <v>63248</v>
      </c>
      <c r="R371" s="69">
        <f t="shared" si="11"/>
        <v>53760.800000000003</v>
      </c>
      <c r="S371" s="30"/>
      <c r="T371" s="30"/>
    </row>
    <row r="372" spans="1:20" ht="45" customHeight="1" x14ac:dyDescent="0.3">
      <c r="A372" s="31">
        <v>360</v>
      </c>
      <c r="B372" s="32" t="s">
        <v>1286</v>
      </c>
      <c r="C372" s="32" t="s">
        <v>1304</v>
      </c>
      <c r="D372" s="32" t="s">
        <v>1305</v>
      </c>
      <c r="E372" s="32">
        <v>2024</v>
      </c>
      <c r="F372" s="32" t="s">
        <v>18</v>
      </c>
      <c r="G372" s="32" t="s">
        <v>1391</v>
      </c>
      <c r="H372" s="32" t="s">
        <v>1437</v>
      </c>
      <c r="I372" s="32" t="s">
        <v>835</v>
      </c>
      <c r="J372" s="32">
        <v>0</v>
      </c>
      <c r="K372" s="32">
        <v>0</v>
      </c>
      <c r="L372" s="32">
        <v>0</v>
      </c>
      <c r="M372" s="32">
        <v>0</v>
      </c>
      <c r="N372" s="32">
        <f>4053+1178+1681</f>
        <v>6912</v>
      </c>
      <c r="O372" s="32">
        <v>0</v>
      </c>
      <c r="P372" s="32">
        <f>720+2332+360+1080</f>
        <v>4492</v>
      </c>
      <c r="Q372" s="43">
        <f t="shared" si="10"/>
        <v>11404</v>
      </c>
      <c r="R372" s="69">
        <f t="shared" si="11"/>
        <v>9693.4</v>
      </c>
      <c r="S372" s="30"/>
      <c r="T372" s="30"/>
    </row>
    <row r="373" spans="1:20" ht="45" customHeight="1" x14ac:dyDescent="0.3">
      <c r="A373" s="31">
        <v>361</v>
      </c>
      <c r="B373" s="32" t="s">
        <v>1286</v>
      </c>
      <c r="C373" s="32" t="s">
        <v>1304</v>
      </c>
      <c r="D373" s="32" t="s">
        <v>1305</v>
      </c>
      <c r="E373" s="32">
        <v>2024</v>
      </c>
      <c r="F373" s="32" t="s">
        <v>18</v>
      </c>
      <c r="G373" s="32" t="s">
        <v>1391</v>
      </c>
      <c r="H373" s="32" t="s">
        <v>1437</v>
      </c>
      <c r="I373" s="32" t="s">
        <v>835</v>
      </c>
      <c r="J373" s="32">
        <v>0</v>
      </c>
      <c r="K373" s="32">
        <v>0</v>
      </c>
      <c r="L373" s="32">
        <v>0</v>
      </c>
      <c r="M373" s="32">
        <v>17688</v>
      </c>
      <c r="N373" s="32">
        <v>0</v>
      </c>
      <c r="O373" s="32">
        <v>0</v>
      </c>
      <c r="P373" s="32">
        <f>60+360+56</f>
        <v>476</v>
      </c>
      <c r="Q373" s="43">
        <f t="shared" si="10"/>
        <v>18164</v>
      </c>
      <c r="R373" s="69">
        <f t="shared" si="11"/>
        <v>15439.4</v>
      </c>
      <c r="S373" s="30"/>
      <c r="T373" s="30"/>
    </row>
    <row r="374" spans="1:20" ht="45" customHeight="1" x14ac:dyDescent="0.3">
      <c r="A374" s="36">
        <v>362</v>
      </c>
      <c r="B374" s="32" t="s">
        <v>1286</v>
      </c>
      <c r="C374" s="32" t="s">
        <v>1306</v>
      </c>
      <c r="D374" s="32" t="s">
        <v>1307</v>
      </c>
      <c r="E374" s="32">
        <v>2019</v>
      </c>
      <c r="F374" s="32" t="s">
        <v>19</v>
      </c>
      <c r="G374" s="32" t="s">
        <v>1392</v>
      </c>
      <c r="H374" s="32" t="s">
        <v>1438</v>
      </c>
      <c r="I374" s="32" t="s">
        <v>1465</v>
      </c>
      <c r="J374" s="32">
        <v>6199</v>
      </c>
      <c r="K374" s="32">
        <v>0</v>
      </c>
      <c r="L374" s="32">
        <v>0</v>
      </c>
      <c r="M374" s="32">
        <v>0</v>
      </c>
      <c r="N374" s="32">
        <v>0</v>
      </c>
      <c r="O374" s="32">
        <v>0</v>
      </c>
      <c r="P374" s="32">
        <v>0</v>
      </c>
      <c r="Q374" s="43">
        <f t="shared" si="10"/>
        <v>6199</v>
      </c>
      <c r="R374" s="69">
        <f t="shared" si="11"/>
        <v>5269.15</v>
      </c>
      <c r="S374" s="30"/>
      <c r="T374" s="30"/>
    </row>
    <row r="375" spans="1:20" ht="45" customHeight="1" x14ac:dyDescent="0.3">
      <c r="A375" s="31">
        <v>363</v>
      </c>
      <c r="B375" s="32" t="s">
        <v>1286</v>
      </c>
      <c r="C375" s="32" t="s">
        <v>1308</v>
      </c>
      <c r="D375" s="32" t="s">
        <v>1309</v>
      </c>
      <c r="E375" s="32">
        <v>1991</v>
      </c>
      <c r="F375" s="32" t="s">
        <v>19</v>
      </c>
      <c r="G375" s="32" t="s">
        <v>1393</v>
      </c>
      <c r="H375" s="32" t="s">
        <v>1393</v>
      </c>
      <c r="I375" s="32" t="s">
        <v>1466</v>
      </c>
      <c r="J375" s="32">
        <v>6199</v>
      </c>
      <c r="K375" s="32">
        <f>6278+2332</f>
        <v>8610</v>
      </c>
      <c r="L375" s="32">
        <v>18406</v>
      </c>
      <c r="M375" s="32">
        <v>0</v>
      </c>
      <c r="N375" s="32">
        <v>1793</v>
      </c>
      <c r="O375" s="32">
        <v>0</v>
      </c>
      <c r="P375" s="32">
        <v>0</v>
      </c>
      <c r="Q375" s="43">
        <f t="shared" si="10"/>
        <v>35008</v>
      </c>
      <c r="R375" s="69">
        <f t="shared" si="11"/>
        <v>29756.799999999999</v>
      </c>
      <c r="S375" s="30"/>
      <c r="T375" s="30"/>
    </row>
    <row r="376" spans="1:20" ht="45" customHeight="1" x14ac:dyDescent="0.3">
      <c r="A376" s="31">
        <v>364</v>
      </c>
      <c r="B376" s="32" t="s">
        <v>1286</v>
      </c>
      <c r="C376" s="32" t="s">
        <v>1310</v>
      </c>
      <c r="D376" s="32" t="s">
        <v>1311</v>
      </c>
      <c r="E376" s="32">
        <v>1995</v>
      </c>
      <c r="F376" s="32" t="s">
        <v>19</v>
      </c>
      <c r="G376" s="32" t="s">
        <v>1394</v>
      </c>
      <c r="H376" s="32" t="s">
        <v>1394</v>
      </c>
      <c r="I376" s="32" t="s">
        <v>1467</v>
      </c>
      <c r="J376" s="32">
        <v>6199</v>
      </c>
      <c r="K376" s="32">
        <f>6278+2332</f>
        <v>8610</v>
      </c>
      <c r="L376" s="32">
        <v>18406</v>
      </c>
      <c r="M376" s="32">
        <v>0</v>
      </c>
      <c r="N376" s="32">
        <v>1793</v>
      </c>
      <c r="O376" s="32">
        <v>0</v>
      </c>
      <c r="P376" s="32">
        <v>0</v>
      </c>
      <c r="Q376" s="43">
        <f t="shared" si="10"/>
        <v>35008</v>
      </c>
      <c r="R376" s="69">
        <f t="shared" si="11"/>
        <v>29756.799999999999</v>
      </c>
      <c r="S376" s="30"/>
      <c r="T376" s="30"/>
    </row>
    <row r="377" spans="1:20" ht="45" customHeight="1" x14ac:dyDescent="0.3">
      <c r="A377" s="36">
        <v>365</v>
      </c>
      <c r="B377" s="32" t="s">
        <v>1286</v>
      </c>
      <c r="C377" s="32" t="s">
        <v>1312</v>
      </c>
      <c r="D377" s="32" t="s">
        <v>1313</v>
      </c>
      <c r="E377" s="32">
        <v>2022</v>
      </c>
      <c r="F377" s="32" t="s">
        <v>18</v>
      </c>
      <c r="G377" s="32" t="s">
        <v>1395</v>
      </c>
      <c r="H377" s="32" t="s">
        <v>1439</v>
      </c>
      <c r="I377" s="32" t="s">
        <v>292</v>
      </c>
      <c r="J377" s="32">
        <v>6199</v>
      </c>
      <c r="K377" s="32">
        <v>0</v>
      </c>
      <c r="L377" s="32">
        <v>0</v>
      </c>
      <c r="M377" s="32">
        <v>0</v>
      </c>
      <c r="N377" s="32">
        <v>0</v>
      </c>
      <c r="O377" s="32">
        <v>0</v>
      </c>
      <c r="P377" s="32">
        <v>0</v>
      </c>
      <c r="Q377" s="43">
        <f t="shared" si="10"/>
        <v>6199</v>
      </c>
      <c r="R377" s="69">
        <f t="shared" si="11"/>
        <v>5269.15</v>
      </c>
      <c r="S377" s="30"/>
      <c r="T377" s="30"/>
    </row>
    <row r="378" spans="1:20" ht="45" customHeight="1" x14ac:dyDescent="0.3">
      <c r="A378" s="31">
        <v>366</v>
      </c>
      <c r="B378" s="32" t="s">
        <v>1286</v>
      </c>
      <c r="C378" s="32" t="s">
        <v>1314</v>
      </c>
      <c r="D378" s="32" t="s">
        <v>1315</v>
      </c>
      <c r="E378" s="32">
        <v>2012</v>
      </c>
      <c r="F378" s="32" t="s">
        <v>18</v>
      </c>
      <c r="G378" s="32" t="s">
        <v>1396</v>
      </c>
      <c r="H378" s="32" t="s">
        <v>1440</v>
      </c>
      <c r="I378" s="32" t="s">
        <v>1468</v>
      </c>
      <c r="J378" s="32">
        <v>6199</v>
      </c>
      <c r="K378" s="32">
        <v>0</v>
      </c>
      <c r="L378" s="32">
        <v>0</v>
      </c>
      <c r="M378" s="32">
        <v>0</v>
      </c>
      <c r="N378" s="32">
        <f>34016+27380</f>
        <v>61396</v>
      </c>
      <c r="O378" s="32">
        <v>0</v>
      </c>
      <c r="P378" s="32">
        <v>0</v>
      </c>
      <c r="Q378" s="43">
        <f t="shared" si="10"/>
        <v>67595</v>
      </c>
      <c r="R378" s="69">
        <f t="shared" si="11"/>
        <v>57455.75</v>
      </c>
      <c r="S378" s="30"/>
      <c r="T378" s="30"/>
    </row>
    <row r="379" spans="1:20" ht="45" customHeight="1" x14ac:dyDescent="0.3">
      <c r="A379" s="31">
        <v>367</v>
      </c>
      <c r="B379" s="32" t="s">
        <v>1286</v>
      </c>
      <c r="C379" s="32" t="s">
        <v>1316</v>
      </c>
      <c r="D379" s="34">
        <v>10106381</v>
      </c>
      <c r="E379" s="32">
        <v>1968</v>
      </c>
      <c r="F379" s="32" t="s">
        <v>18</v>
      </c>
      <c r="G379" s="32" t="s">
        <v>1397</v>
      </c>
      <c r="H379" s="32" t="s">
        <v>1397</v>
      </c>
      <c r="I379" s="32" t="s">
        <v>1469</v>
      </c>
      <c r="J379" s="32">
        <v>6199</v>
      </c>
      <c r="K379" s="32">
        <f>2332+6278+2332+2332+2332+2332+1346+4484+6995+4484+4484+4484+2332+4484+2332+4484+6995+1346+2332+2332</f>
        <v>70852</v>
      </c>
      <c r="L379" s="32">
        <v>0</v>
      </c>
      <c r="M379" s="32">
        <v>0</v>
      </c>
      <c r="N379" s="32">
        <v>1793</v>
      </c>
      <c r="O379" s="32">
        <v>0</v>
      </c>
      <c r="P379" s="32">
        <v>0</v>
      </c>
      <c r="Q379" s="43">
        <f t="shared" si="10"/>
        <v>78844</v>
      </c>
      <c r="R379" s="69">
        <f t="shared" si="11"/>
        <v>67017.399999999994</v>
      </c>
      <c r="S379" s="30"/>
      <c r="T379" s="30"/>
    </row>
    <row r="380" spans="1:20" ht="45" customHeight="1" x14ac:dyDescent="0.3">
      <c r="A380" s="36">
        <v>368</v>
      </c>
      <c r="B380" s="32" t="s">
        <v>1286</v>
      </c>
      <c r="C380" s="32" t="s">
        <v>1317</v>
      </c>
      <c r="D380" s="32" t="s">
        <v>1089</v>
      </c>
      <c r="E380" s="32">
        <v>1994</v>
      </c>
      <c r="F380" s="32" t="s">
        <v>19</v>
      </c>
      <c r="G380" s="32" t="s">
        <v>1171</v>
      </c>
      <c r="H380" s="32" t="s">
        <v>1171</v>
      </c>
      <c r="I380" s="32" t="s">
        <v>1255</v>
      </c>
      <c r="J380" s="32">
        <v>0</v>
      </c>
      <c r="K380" s="32">
        <v>0</v>
      </c>
      <c r="L380" s="32">
        <v>17279</v>
      </c>
      <c r="M380" s="32">
        <v>0</v>
      </c>
      <c r="N380" s="32">
        <v>0</v>
      </c>
      <c r="O380" s="32">
        <v>0</v>
      </c>
      <c r="P380" s="32">
        <v>0</v>
      </c>
      <c r="Q380" s="43">
        <f t="shared" si="10"/>
        <v>17279</v>
      </c>
      <c r="R380" s="69">
        <f t="shared" si="11"/>
        <v>14687.15</v>
      </c>
      <c r="S380" s="30"/>
      <c r="T380" s="30"/>
    </row>
    <row r="381" spans="1:20" ht="45" customHeight="1" x14ac:dyDescent="0.3">
      <c r="A381" s="31">
        <v>369</v>
      </c>
      <c r="B381" s="32" t="s">
        <v>1286</v>
      </c>
      <c r="C381" s="32" t="s">
        <v>1318</v>
      </c>
      <c r="D381" s="32" t="s">
        <v>1319</v>
      </c>
      <c r="E381" s="32">
        <v>2018</v>
      </c>
      <c r="F381" s="32" t="s">
        <v>18</v>
      </c>
      <c r="G381" s="32" t="s">
        <v>1398</v>
      </c>
      <c r="H381" s="32" t="s">
        <v>1441</v>
      </c>
      <c r="I381" s="32" t="s">
        <v>1470</v>
      </c>
      <c r="J381" s="32">
        <v>6199</v>
      </c>
      <c r="K381" s="32">
        <v>0</v>
      </c>
      <c r="L381" s="32">
        <v>0</v>
      </c>
      <c r="M381" s="32">
        <v>0</v>
      </c>
      <c r="N381" s="32">
        <v>0</v>
      </c>
      <c r="O381" s="32">
        <v>0</v>
      </c>
      <c r="P381" s="32">
        <v>0</v>
      </c>
      <c r="Q381" s="43">
        <f t="shared" si="10"/>
        <v>6199</v>
      </c>
      <c r="R381" s="69">
        <f t="shared" si="11"/>
        <v>5269.15</v>
      </c>
      <c r="S381" s="30"/>
      <c r="T381" s="30"/>
    </row>
    <row r="382" spans="1:20" ht="45" customHeight="1" x14ac:dyDescent="0.3">
      <c r="A382" s="31">
        <v>370</v>
      </c>
      <c r="B382" s="32" t="s">
        <v>1286</v>
      </c>
      <c r="C382" s="32" t="s">
        <v>1320</v>
      </c>
      <c r="D382" s="32" t="s">
        <v>1321</v>
      </c>
      <c r="E382" s="32">
        <v>1992</v>
      </c>
      <c r="F382" s="32" t="s">
        <v>18</v>
      </c>
      <c r="G382" s="32" t="s">
        <v>1399</v>
      </c>
      <c r="H382" s="32" t="s">
        <v>1399</v>
      </c>
      <c r="I382" s="32" t="s">
        <v>1471</v>
      </c>
      <c r="J382" s="32">
        <v>6199</v>
      </c>
      <c r="K382" s="32">
        <f>2801+1166</f>
        <v>3967</v>
      </c>
      <c r="L382" s="32">
        <v>0</v>
      </c>
      <c r="M382" s="32">
        <v>0</v>
      </c>
      <c r="N382" s="32">
        <v>0</v>
      </c>
      <c r="O382" s="32">
        <v>0</v>
      </c>
      <c r="P382" s="32">
        <v>0</v>
      </c>
      <c r="Q382" s="43">
        <f t="shared" si="10"/>
        <v>10166</v>
      </c>
      <c r="R382" s="69">
        <f t="shared" si="11"/>
        <v>8641.1</v>
      </c>
      <c r="S382" s="30"/>
      <c r="T382" s="30"/>
    </row>
    <row r="383" spans="1:20" ht="45" customHeight="1" x14ac:dyDescent="0.3">
      <c r="A383" s="36">
        <v>371</v>
      </c>
      <c r="B383" s="32" t="s">
        <v>1286</v>
      </c>
      <c r="C383" s="32" t="s">
        <v>1322</v>
      </c>
      <c r="D383" s="32" t="s">
        <v>1323</v>
      </c>
      <c r="E383" s="32">
        <v>1981</v>
      </c>
      <c r="F383" s="32" t="s">
        <v>19</v>
      </c>
      <c r="G383" s="32" t="s">
        <v>1400</v>
      </c>
      <c r="H383" s="32" t="s">
        <v>1442</v>
      </c>
      <c r="I383" s="32" t="s">
        <v>292</v>
      </c>
      <c r="J383" s="32">
        <v>6199</v>
      </c>
      <c r="K383" s="32">
        <f>6278+4484+2332+1166</f>
        <v>14260</v>
      </c>
      <c r="L383" s="32">
        <v>13298</v>
      </c>
      <c r="M383" s="32">
        <v>0</v>
      </c>
      <c r="N383" s="32">
        <v>1793</v>
      </c>
      <c r="O383" s="32">
        <v>0</v>
      </c>
      <c r="P383" s="32">
        <v>0</v>
      </c>
      <c r="Q383" s="43">
        <f t="shared" si="10"/>
        <v>35550</v>
      </c>
      <c r="R383" s="69">
        <f t="shared" si="11"/>
        <v>30217.5</v>
      </c>
      <c r="S383" s="30"/>
      <c r="T383" s="30"/>
    </row>
    <row r="384" spans="1:20" ht="45" customHeight="1" x14ac:dyDescent="0.3">
      <c r="A384" s="31">
        <v>372</v>
      </c>
      <c r="B384" s="32" t="s">
        <v>1286</v>
      </c>
      <c r="C384" s="32" t="s">
        <v>1324</v>
      </c>
      <c r="D384" s="32" t="s">
        <v>1325</v>
      </c>
      <c r="E384" s="32">
        <v>2022</v>
      </c>
      <c r="F384" s="32" t="s">
        <v>19</v>
      </c>
      <c r="G384" s="32" t="s">
        <v>1401</v>
      </c>
      <c r="H384" s="32" t="s">
        <v>1443</v>
      </c>
      <c r="I384" s="32" t="s">
        <v>1472</v>
      </c>
      <c r="J384" s="32">
        <v>6199</v>
      </c>
      <c r="K384" s="32">
        <v>0</v>
      </c>
      <c r="L384" s="32">
        <v>0</v>
      </c>
      <c r="M384" s="32">
        <v>0</v>
      </c>
      <c r="N384" s="32">
        <v>0</v>
      </c>
      <c r="O384" s="32">
        <v>0</v>
      </c>
      <c r="P384" s="32">
        <v>0</v>
      </c>
      <c r="Q384" s="43">
        <f t="shared" si="10"/>
        <v>6199</v>
      </c>
      <c r="R384" s="69">
        <f t="shared" si="11"/>
        <v>5269.15</v>
      </c>
      <c r="S384" s="30"/>
      <c r="T384" s="30"/>
    </row>
    <row r="385" spans="1:20" ht="45" customHeight="1" x14ac:dyDescent="0.3">
      <c r="A385" s="31">
        <v>373</v>
      </c>
      <c r="B385" s="32" t="s">
        <v>1286</v>
      </c>
      <c r="C385" s="32" t="s">
        <v>1326</v>
      </c>
      <c r="D385" s="32" t="s">
        <v>1327</v>
      </c>
      <c r="E385" s="32">
        <v>1959</v>
      </c>
      <c r="F385" s="32" t="s">
        <v>18</v>
      </c>
      <c r="G385" s="32" t="s">
        <v>1402</v>
      </c>
      <c r="H385" s="32" t="s">
        <v>1402</v>
      </c>
      <c r="I385" s="32" t="s">
        <v>253</v>
      </c>
      <c r="J385" s="32">
        <v>6199</v>
      </c>
      <c r="K385" s="32">
        <v>0</v>
      </c>
      <c r="L385" s="32">
        <v>0</v>
      </c>
      <c r="M385" s="32">
        <v>0</v>
      </c>
      <c r="N385" s="32">
        <v>0</v>
      </c>
      <c r="O385" s="32">
        <v>0</v>
      </c>
      <c r="P385" s="32">
        <v>0</v>
      </c>
      <c r="Q385" s="43">
        <f t="shared" si="10"/>
        <v>6199</v>
      </c>
      <c r="R385" s="69">
        <f t="shared" si="11"/>
        <v>5269.15</v>
      </c>
      <c r="S385" s="30"/>
      <c r="T385" s="30"/>
    </row>
    <row r="386" spans="1:20" s="41" customFormat="1" ht="45" customHeight="1" x14ac:dyDescent="0.3">
      <c r="A386" s="36">
        <v>374</v>
      </c>
      <c r="B386" s="38" t="s">
        <v>1286</v>
      </c>
      <c r="C386" s="38" t="s">
        <v>1328</v>
      </c>
      <c r="D386" s="38" t="s">
        <v>1329</v>
      </c>
      <c r="E386" s="38">
        <v>1970</v>
      </c>
      <c r="F386" s="38" t="s">
        <v>19</v>
      </c>
      <c r="G386" s="38" t="s">
        <v>1403</v>
      </c>
      <c r="H386" s="38" t="s">
        <v>1403</v>
      </c>
      <c r="I386" s="38" t="s">
        <v>1257</v>
      </c>
      <c r="J386" s="38">
        <v>6199</v>
      </c>
      <c r="K386" s="38">
        <f>6278+2332+1346+4484+2332+2332+2243</f>
        <v>21347</v>
      </c>
      <c r="L386" s="38">
        <v>18406</v>
      </c>
      <c r="M386" s="38">
        <v>0</v>
      </c>
      <c r="N386" s="38">
        <v>1793</v>
      </c>
      <c r="O386" s="38">
        <v>0</v>
      </c>
      <c r="P386" s="38">
        <v>0</v>
      </c>
      <c r="Q386" s="43">
        <f t="shared" si="10"/>
        <v>47745</v>
      </c>
      <c r="R386" s="69">
        <f t="shared" si="11"/>
        <v>40583.25</v>
      </c>
      <c r="S386" s="40"/>
      <c r="T386" s="40"/>
    </row>
    <row r="387" spans="1:20" ht="45" customHeight="1" x14ac:dyDescent="0.3">
      <c r="A387" s="31">
        <v>375</v>
      </c>
      <c r="B387" s="32" t="s">
        <v>1286</v>
      </c>
      <c r="C387" s="32" t="s">
        <v>1330</v>
      </c>
      <c r="D387" s="32" t="s">
        <v>1331</v>
      </c>
      <c r="E387" s="32">
        <v>1974</v>
      </c>
      <c r="F387" s="32" t="s">
        <v>19</v>
      </c>
      <c r="G387" s="32" t="s">
        <v>1404</v>
      </c>
      <c r="H387" s="32" t="s">
        <v>1404</v>
      </c>
      <c r="I387" s="32" t="s">
        <v>1473</v>
      </c>
      <c r="J387" s="32">
        <v>6199</v>
      </c>
      <c r="K387" s="32">
        <f>2332+2332+2243+3228</f>
        <v>10135</v>
      </c>
      <c r="L387" s="32">
        <v>0</v>
      </c>
      <c r="M387" s="32">
        <v>0</v>
      </c>
      <c r="N387" s="32">
        <v>1793</v>
      </c>
      <c r="O387" s="32">
        <v>0</v>
      </c>
      <c r="P387" s="32">
        <v>0</v>
      </c>
      <c r="Q387" s="43">
        <f t="shared" si="10"/>
        <v>18127</v>
      </c>
      <c r="R387" s="69">
        <f t="shared" si="11"/>
        <v>15407.95</v>
      </c>
      <c r="S387" s="30"/>
      <c r="T387" s="30"/>
    </row>
    <row r="388" spans="1:20" ht="45" customHeight="1" x14ac:dyDescent="0.3">
      <c r="A388" s="31">
        <v>376</v>
      </c>
      <c r="B388" s="32" t="s">
        <v>1286</v>
      </c>
      <c r="C388" s="32" t="s">
        <v>1332</v>
      </c>
      <c r="D388" s="32" t="s">
        <v>1333</v>
      </c>
      <c r="E388" s="32">
        <v>1993</v>
      </c>
      <c r="F388" s="32" t="s">
        <v>19</v>
      </c>
      <c r="G388" s="32" t="s">
        <v>1405</v>
      </c>
      <c r="H388" s="32" t="s">
        <v>1405</v>
      </c>
      <c r="I388" s="32" t="s">
        <v>1474</v>
      </c>
      <c r="J388" s="32">
        <v>3793</v>
      </c>
      <c r="K388" s="32">
        <v>0</v>
      </c>
      <c r="L388" s="32">
        <v>0</v>
      </c>
      <c r="M388" s="32">
        <v>0</v>
      </c>
      <c r="N388" s="32">
        <v>0</v>
      </c>
      <c r="O388" s="32">
        <v>0</v>
      </c>
      <c r="P388" s="32">
        <v>0</v>
      </c>
      <c r="Q388" s="43">
        <f t="shared" si="10"/>
        <v>3793</v>
      </c>
      <c r="R388" s="69">
        <f t="shared" si="11"/>
        <v>3224.05</v>
      </c>
      <c r="S388" s="30"/>
      <c r="T388" s="30"/>
    </row>
    <row r="389" spans="1:20" ht="45" customHeight="1" x14ac:dyDescent="0.3">
      <c r="A389" s="36">
        <v>377</v>
      </c>
      <c r="B389" s="32" t="s">
        <v>1286</v>
      </c>
      <c r="C389" s="32" t="s">
        <v>1334</v>
      </c>
      <c r="D389" s="32" t="s">
        <v>1315</v>
      </c>
      <c r="E389" s="32">
        <v>2012</v>
      </c>
      <c r="F389" s="32" t="s">
        <v>18</v>
      </c>
      <c r="G389" s="32" t="s">
        <v>1396</v>
      </c>
      <c r="H389" s="32" t="s">
        <v>1440</v>
      </c>
      <c r="I389" s="32" t="s">
        <v>1468</v>
      </c>
      <c r="J389" s="32">
        <v>6199</v>
      </c>
      <c r="K389" s="32">
        <v>0</v>
      </c>
      <c r="L389" s="32">
        <v>0</v>
      </c>
      <c r="M389" s="32">
        <v>0</v>
      </c>
      <c r="N389" s="32">
        <v>0</v>
      </c>
      <c r="O389" s="32">
        <v>0</v>
      </c>
      <c r="P389" s="32">
        <v>0</v>
      </c>
      <c r="Q389" s="43">
        <f t="shared" si="10"/>
        <v>6199</v>
      </c>
      <c r="R389" s="69">
        <f t="shared" si="11"/>
        <v>5269.15</v>
      </c>
      <c r="S389" s="30"/>
      <c r="T389" s="30"/>
    </row>
    <row r="390" spans="1:20" ht="45" customHeight="1" x14ac:dyDescent="0.3">
      <c r="A390" s="31">
        <v>378</v>
      </c>
      <c r="B390" s="32" t="s">
        <v>1286</v>
      </c>
      <c r="C390" s="32" t="s">
        <v>1335</v>
      </c>
      <c r="D390" s="32" t="s">
        <v>1336</v>
      </c>
      <c r="E390" s="32">
        <v>1960</v>
      </c>
      <c r="F390" s="32" t="s">
        <v>18</v>
      </c>
      <c r="G390" s="32" t="s">
        <v>1406</v>
      </c>
      <c r="H390" s="32" t="s">
        <v>1444</v>
      </c>
      <c r="I390" s="32" t="s">
        <v>573</v>
      </c>
      <c r="J390" s="32">
        <v>6199</v>
      </c>
      <c r="K390" s="32">
        <v>0</v>
      </c>
      <c r="L390" s="32">
        <v>0</v>
      </c>
      <c r="M390" s="32">
        <v>0</v>
      </c>
      <c r="N390" s="32">
        <v>0</v>
      </c>
      <c r="O390" s="32">
        <v>0</v>
      </c>
      <c r="P390" s="32">
        <v>0</v>
      </c>
      <c r="Q390" s="43">
        <f t="shared" si="10"/>
        <v>6199</v>
      </c>
      <c r="R390" s="69">
        <f t="shared" si="11"/>
        <v>5269.15</v>
      </c>
      <c r="S390" s="30"/>
      <c r="T390" s="30"/>
    </row>
    <row r="391" spans="1:20" ht="45" customHeight="1" x14ac:dyDescent="0.3">
      <c r="A391" s="31">
        <v>379</v>
      </c>
      <c r="B391" s="32" t="s">
        <v>1286</v>
      </c>
      <c r="C391" s="32" t="s">
        <v>1337</v>
      </c>
      <c r="D391" s="32" t="s">
        <v>1338</v>
      </c>
      <c r="E391" s="32">
        <v>2024</v>
      </c>
      <c r="F391" s="32" t="s">
        <v>18</v>
      </c>
      <c r="G391" s="32" t="s">
        <v>1407</v>
      </c>
      <c r="H391" s="32" t="s">
        <v>1445</v>
      </c>
      <c r="I391" s="32" t="s">
        <v>274</v>
      </c>
      <c r="J391" s="32">
        <v>6199</v>
      </c>
      <c r="K391" s="32">
        <v>0</v>
      </c>
      <c r="L391" s="32">
        <v>0</v>
      </c>
      <c r="M391" s="32">
        <v>0</v>
      </c>
      <c r="N391" s="32">
        <v>0</v>
      </c>
      <c r="O391" s="32">
        <v>0</v>
      </c>
      <c r="P391" s="32">
        <v>0</v>
      </c>
      <c r="Q391" s="43">
        <f t="shared" si="10"/>
        <v>6199</v>
      </c>
      <c r="R391" s="69">
        <f t="shared" si="11"/>
        <v>5269.15</v>
      </c>
      <c r="S391" s="30"/>
      <c r="T391" s="30"/>
    </row>
    <row r="392" spans="1:20" ht="45" customHeight="1" x14ac:dyDescent="0.3">
      <c r="A392" s="36">
        <v>380</v>
      </c>
      <c r="B392" s="32" t="s">
        <v>1286</v>
      </c>
      <c r="C392" s="32" t="s">
        <v>1339</v>
      </c>
      <c r="D392" s="32" t="s">
        <v>1340</v>
      </c>
      <c r="E392" s="32">
        <v>2020</v>
      </c>
      <c r="F392" s="32" t="s">
        <v>18</v>
      </c>
      <c r="G392" s="32" t="s">
        <v>1408</v>
      </c>
      <c r="H392" s="32" t="s">
        <v>1446</v>
      </c>
      <c r="I392" s="32" t="s">
        <v>274</v>
      </c>
      <c r="J392" s="32">
        <v>6199</v>
      </c>
      <c r="K392" s="32">
        <v>0</v>
      </c>
      <c r="L392" s="32">
        <v>0</v>
      </c>
      <c r="M392" s="32">
        <v>0</v>
      </c>
      <c r="N392" s="32">
        <v>0</v>
      </c>
      <c r="O392" s="32">
        <v>0</v>
      </c>
      <c r="P392" s="32">
        <v>0</v>
      </c>
      <c r="Q392" s="43">
        <f t="shared" si="10"/>
        <v>6199</v>
      </c>
      <c r="R392" s="69">
        <f t="shared" si="11"/>
        <v>5269.15</v>
      </c>
      <c r="S392" s="30"/>
      <c r="T392" s="30"/>
    </row>
    <row r="393" spans="1:20" ht="45" customHeight="1" x14ac:dyDescent="0.3">
      <c r="A393" s="31">
        <v>381</v>
      </c>
      <c r="B393" s="32" t="s">
        <v>1286</v>
      </c>
      <c r="C393" s="32" t="s">
        <v>1341</v>
      </c>
      <c r="D393" s="32" t="s">
        <v>1342</v>
      </c>
      <c r="E393" s="32">
        <v>1989</v>
      </c>
      <c r="F393" s="32" t="s">
        <v>19</v>
      </c>
      <c r="G393" s="32" t="s">
        <v>1409</v>
      </c>
      <c r="H393" s="32" t="s">
        <v>1409</v>
      </c>
      <c r="I393" s="32" t="s">
        <v>1475</v>
      </c>
      <c r="J393" s="32">
        <v>6199</v>
      </c>
      <c r="K393" s="32">
        <v>0</v>
      </c>
      <c r="L393" s="32">
        <v>18406</v>
      </c>
      <c r="M393" s="32">
        <v>0</v>
      </c>
      <c r="N393" s="32">
        <v>0</v>
      </c>
      <c r="O393" s="32">
        <v>0</v>
      </c>
      <c r="P393" s="32">
        <v>0</v>
      </c>
      <c r="Q393" s="43">
        <f t="shared" si="10"/>
        <v>24605</v>
      </c>
      <c r="R393" s="69">
        <f t="shared" si="11"/>
        <v>20914.25</v>
      </c>
      <c r="S393" s="30"/>
      <c r="T393" s="30"/>
    </row>
    <row r="394" spans="1:20" ht="45" customHeight="1" x14ac:dyDescent="0.3">
      <c r="A394" s="31">
        <v>382</v>
      </c>
      <c r="B394" s="32" t="s">
        <v>1286</v>
      </c>
      <c r="C394" s="32" t="s">
        <v>1343</v>
      </c>
      <c r="D394" s="32" t="s">
        <v>1344</v>
      </c>
      <c r="E394" s="32">
        <v>1979</v>
      </c>
      <c r="F394" s="32" t="s">
        <v>19</v>
      </c>
      <c r="G394" s="32" t="s">
        <v>1410</v>
      </c>
      <c r="H394" s="32" t="s">
        <v>1447</v>
      </c>
      <c r="I394" s="32" t="s">
        <v>1460</v>
      </c>
      <c r="J394" s="32">
        <v>6199</v>
      </c>
      <c r="K394" s="32">
        <f>2332+2332+2243+6278+4484</f>
        <v>17669</v>
      </c>
      <c r="L394" s="32">
        <v>0</v>
      </c>
      <c r="M394" s="32">
        <v>0</v>
      </c>
      <c r="N394" s="32">
        <v>1793</v>
      </c>
      <c r="O394" s="32">
        <v>0</v>
      </c>
      <c r="P394" s="32">
        <v>0</v>
      </c>
      <c r="Q394" s="43">
        <f t="shared" si="10"/>
        <v>25661</v>
      </c>
      <c r="R394" s="69">
        <f t="shared" si="11"/>
        <v>21811.85</v>
      </c>
      <c r="S394" s="30"/>
      <c r="T394" s="30"/>
    </row>
    <row r="395" spans="1:20" ht="45" customHeight="1" x14ac:dyDescent="0.3">
      <c r="A395" s="36">
        <v>383</v>
      </c>
      <c r="B395" s="32" t="s">
        <v>1286</v>
      </c>
      <c r="C395" s="32" t="s">
        <v>1345</v>
      </c>
      <c r="D395" s="32" t="s">
        <v>1346</v>
      </c>
      <c r="E395" s="32">
        <v>1976</v>
      </c>
      <c r="F395" s="32" t="s">
        <v>18</v>
      </c>
      <c r="G395" s="32" t="s">
        <v>1411</v>
      </c>
      <c r="H395" s="32" t="s">
        <v>1448</v>
      </c>
      <c r="I395" s="32" t="s">
        <v>541</v>
      </c>
      <c r="J395" s="32">
        <v>6199</v>
      </c>
      <c r="K395" s="32">
        <v>0</v>
      </c>
      <c r="L395" s="32">
        <v>13298</v>
      </c>
      <c r="M395" s="32">
        <v>0</v>
      </c>
      <c r="N395" s="32">
        <v>33882</v>
      </c>
      <c r="O395" s="32">
        <v>0</v>
      </c>
      <c r="P395" s="32">
        <v>0</v>
      </c>
      <c r="Q395" s="43">
        <f t="shared" si="10"/>
        <v>53379</v>
      </c>
      <c r="R395" s="69">
        <f t="shared" si="11"/>
        <v>45372.15</v>
      </c>
      <c r="S395" s="30"/>
      <c r="T395" s="30"/>
    </row>
    <row r="396" spans="1:20" ht="45" customHeight="1" x14ac:dyDescent="0.3">
      <c r="A396" s="31">
        <v>384</v>
      </c>
      <c r="B396" s="32" t="s">
        <v>1286</v>
      </c>
      <c r="C396" s="32" t="s">
        <v>1347</v>
      </c>
      <c r="D396" s="32" t="s">
        <v>1348</v>
      </c>
      <c r="E396" s="32">
        <v>2001</v>
      </c>
      <c r="F396" s="32" t="s">
        <v>19</v>
      </c>
      <c r="G396" s="32" t="s">
        <v>1412</v>
      </c>
      <c r="H396" s="32" t="s">
        <v>1412</v>
      </c>
      <c r="I396" s="32" t="s">
        <v>300</v>
      </c>
      <c r="J396" s="32">
        <v>6199</v>
      </c>
      <c r="K396" s="32">
        <v>0</v>
      </c>
      <c r="L396" s="32">
        <v>18406</v>
      </c>
      <c r="M396" s="32">
        <v>0</v>
      </c>
      <c r="N396" s="32">
        <v>0</v>
      </c>
      <c r="O396" s="32">
        <v>0</v>
      </c>
      <c r="P396" s="32">
        <v>0</v>
      </c>
      <c r="Q396" s="43">
        <f t="shared" si="10"/>
        <v>24605</v>
      </c>
      <c r="R396" s="69">
        <f t="shared" si="11"/>
        <v>20914.25</v>
      </c>
      <c r="S396" s="30"/>
      <c r="T396" s="30"/>
    </row>
    <row r="397" spans="1:20" ht="45" customHeight="1" x14ac:dyDescent="0.3">
      <c r="A397" s="31">
        <v>385</v>
      </c>
      <c r="B397" s="32" t="s">
        <v>1286</v>
      </c>
      <c r="C397" s="32" t="s">
        <v>1349</v>
      </c>
      <c r="D397" s="32" t="s">
        <v>1350</v>
      </c>
      <c r="E397" s="32">
        <v>1976</v>
      </c>
      <c r="F397" s="32" t="s">
        <v>19</v>
      </c>
      <c r="G397" s="32" t="s">
        <v>1413</v>
      </c>
      <c r="H397" s="32" t="s">
        <v>1413</v>
      </c>
      <c r="I397" s="32" t="s">
        <v>1476</v>
      </c>
      <c r="J397" s="32">
        <v>0</v>
      </c>
      <c r="K397" s="32">
        <v>0</v>
      </c>
      <c r="L397" s="32">
        <v>0</v>
      </c>
      <c r="M397" s="32">
        <v>0</v>
      </c>
      <c r="N397" s="32">
        <v>33601</v>
      </c>
      <c r="O397" s="32">
        <v>0</v>
      </c>
      <c r="P397" s="32">
        <v>0</v>
      </c>
      <c r="Q397" s="43">
        <f t="shared" ref="Q397:Q460" si="12">SUM(J397:P397)</f>
        <v>33601</v>
      </c>
      <c r="R397" s="69">
        <f t="shared" si="11"/>
        <v>28560.85</v>
      </c>
      <c r="S397" s="30"/>
      <c r="T397" s="30"/>
    </row>
    <row r="398" spans="1:20" ht="45" customHeight="1" x14ac:dyDescent="0.3">
      <c r="A398" s="36">
        <v>386</v>
      </c>
      <c r="B398" s="32" t="s">
        <v>1286</v>
      </c>
      <c r="C398" s="32" t="s">
        <v>1351</v>
      </c>
      <c r="D398" s="32" t="s">
        <v>1352</v>
      </c>
      <c r="E398" s="32">
        <v>2023</v>
      </c>
      <c r="F398" s="32" t="s">
        <v>19</v>
      </c>
      <c r="G398" s="32" t="s">
        <v>1414</v>
      </c>
      <c r="H398" s="32" t="s">
        <v>1449</v>
      </c>
      <c r="I398" s="32" t="s">
        <v>1477</v>
      </c>
      <c r="J398" s="32">
        <v>6199</v>
      </c>
      <c r="K398" s="32">
        <v>0</v>
      </c>
      <c r="L398" s="32">
        <v>0</v>
      </c>
      <c r="M398" s="32">
        <v>0</v>
      </c>
      <c r="N398" s="32">
        <v>0</v>
      </c>
      <c r="O398" s="32">
        <v>0</v>
      </c>
      <c r="P398" s="32">
        <v>0</v>
      </c>
      <c r="Q398" s="43">
        <f t="shared" si="12"/>
        <v>6199</v>
      </c>
      <c r="R398" s="69">
        <f t="shared" ref="R398:R461" si="13">Q398*85/100</f>
        <v>5269.15</v>
      </c>
      <c r="S398" s="30"/>
      <c r="T398" s="30"/>
    </row>
    <row r="399" spans="1:20" ht="45" customHeight="1" x14ac:dyDescent="0.3">
      <c r="A399" s="31">
        <v>387</v>
      </c>
      <c r="B399" s="32" t="s">
        <v>1286</v>
      </c>
      <c r="C399" s="32" t="s">
        <v>1353</v>
      </c>
      <c r="D399" s="32" t="s">
        <v>1354</v>
      </c>
      <c r="E399" s="32">
        <v>2023</v>
      </c>
      <c r="F399" s="32" t="s">
        <v>19</v>
      </c>
      <c r="G399" s="32" t="s">
        <v>1415</v>
      </c>
      <c r="H399" s="32" t="s">
        <v>1450</v>
      </c>
      <c r="I399" s="32" t="s">
        <v>1478</v>
      </c>
      <c r="J399" s="32">
        <v>6199</v>
      </c>
      <c r="K399" s="32">
        <v>0</v>
      </c>
      <c r="L399" s="32">
        <v>0</v>
      </c>
      <c r="M399" s="32">
        <v>0</v>
      </c>
      <c r="N399" s="32">
        <v>0</v>
      </c>
      <c r="O399" s="32">
        <v>0</v>
      </c>
      <c r="P399" s="32">
        <v>0</v>
      </c>
      <c r="Q399" s="43">
        <f t="shared" si="12"/>
        <v>6199</v>
      </c>
      <c r="R399" s="69">
        <f t="shared" si="13"/>
        <v>5269.15</v>
      </c>
      <c r="S399" s="30"/>
      <c r="T399" s="30"/>
    </row>
    <row r="400" spans="1:20" ht="45" customHeight="1" x14ac:dyDescent="0.3">
      <c r="A400" s="31">
        <v>388</v>
      </c>
      <c r="B400" s="32" t="s">
        <v>1286</v>
      </c>
      <c r="C400" s="32" t="s">
        <v>1355</v>
      </c>
      <c r="D400" s="32" t="s">
        <v>1356</v>
      </c>
      <c r="E400" s="32">
        <v>2025</v>
      </c>
      <c r="F400" s="32" t="s">
        <v>19</v>
      </c>
      <c r="G400" s="32" t="s">
        <v>1416</v>
      </c>
      <c r="H400" s="32" t="s">
        <v>1451</v>
      </c>
      <c r="I400" s="32" t="s">
        <v>1479</v>
      </c>
      <c r="J400" s="32">
        <v>6199</v>
      </c>
      <c r="K400" s="32">
        <v>0</v>
      </c>
      <c r="L400" s="32">
        <v>0</v>
      </c>
      <c r="M400" s="32">
        <v>0</v>
      </c>
      <c r="N400" s="32">
        <v>0</v>
      </c>
      <c r="O400" s="32">
        <v>0</v>
      </c>
      <c r="P400" s="32">
        <v>0</v>
      </c>
      <c r="Q400" s="43">
        <f t="shared" si="12"/>
        <v>6199</v>
      </c>
      <c r="R400" s="69">
        <f t="shared" si="13"/>
        <v>5269.15</v>
      </c>
      <c r="S400" s="30"/>
      <c r="T400" s="30"/>
    </row>
    <row r="401" spans="1:20" ht="45" customHeight="1" x14ac:dyDescent="0.3">
      <c r="A401" s="36">
        <v>389</v>
      </c>
      <c r="B401" s="32" t="s">
        <v>1286</v>
      </c>
      <c r="C401" s="32" t="s">
        <v>1357</v>
      </c>
      <c r="D401" s="32" t="s">
        <v>1358</v>
      </c>
      <c r="E401" s="32">
        <v>1992</v>
      </c>
      <c r="F401" s="32" t="s">
        <v>19</v>
      </c>
      <c r="G401" s="32" t="s">
        <v>1417</v>
      </c>
      <c r="H401" s="32" t="s">
        <v>1452</v>
      </c>
      <c r="I401" s="32" t="s">
        <v>282</v>
      </c>
      <c r="J401" s="32">
        <v>6199</v>
      </c>
      <c r="K401" s="32">
        <f>2332+2332+2243</f>
        <v>6907</v>
      </c>
      <c r="L401" s="32">
        <v>0</v>
      </c>
      <c r="M401" s="32">
        <v>0</v>
      </c>
      <c r="N401" s="32">
        <v>0</v>
      </c>
      <c r="O401" s="32">
        <v>0</v>
      </c>
      <c r="P401" s="32">
        <v>0</v>
      </c>
      <c r="Q401" s="43">
        <f t="shared" si="12"/>
        <v>13106</v>
      </c>
      <c r="R401" s="69">
        <f t="shared" si="13"/>
        <v>11140.1</v>
      </c>
      <c r="S401" s="30"/>
      <c r="T401" s="30"/>
    </row>
    <row r="402" spans="1:20" ht="45" customHeight="1" x14ac:dyDescent="0.3">
      <c r="A402" s="31">
        <v>390</v>
      </c>
      <c r="B402" s="32" t="s">
        <v>1286</v>
      </c>
      <c r="C402" s="32" t="s">
        <v>1359</v>
      </c>
      <c r="D402" s="32" t="s">
        <v>1360</v>
      </c>
      <c r="E402" s="32">
        <v>1995</v>
      </c>
      <c r="F402" s="32" t="s">
        <v>19</v>
      </c>
      <c r="G402" s="32" t="s">
        <v>1418</v>
      </c>
      <c r="H402" s="32" t="s">
        <v>1418</v>
      </c>
      <c r="I402" s="32" t="s">
        <v>1480</v>
      </c>
      <c r="J402" s="32">
        <v>3582</v>
      </c>
      <c r="K402" s="32">
        <v>0</v>
      </c>
      <c r="L402" s="32">
        <v>0</v>
      </c>
      <c r="M402" s="32">
        <v>0</v>
      </c>
      <c r="N402" s="32">
        <v>0</v>
      </c>
      <c r="O402" s="32">
        <v>0</v>
      </c>
      <c r="P402" s="32">
        <v>0</v>
      </c>
      <c r="Q402" s="43">
        <f t="shared" si="12"/>
        <v>3582</v>
      </c>
      <c r="R402" s="69">
        <f t="shared" si="13"/>
        <v>3044.7</v>
      </c>
      <c r="S402" s="30"/>
      <c r="T402" s="30"/>
    </row>
    <row r="403" spans="1:20" ht="45" customHeight="1" x14ac:dyDescent="0.3">
      <c r="A403" s="31">
        <v>391</v>
      </c>
      <c r="B403" s="32" t="s">
        <v>1286</v>
      </c>
      <c r="C403" s="32" t="s">
        <v>1361</v>
      </c>
      <c r="D403" s="32" t="s">
        <v>1362</v>
      </c>
      <c r="E403" s="32">
        <v>1991</v>
      </c>
      <c r="F403" s="32" t="s">
        <v>19</v>
      </c>
      <c r="G403" s="32" t="s">
        <v>1419</v>
      </c>
      <c r="H403" s="32" t="s">
        <v>1419</v>
      </c>
      <c r="I403" s="32" t="s">
        <v>290</v>
      </c>
      <c r="J403" s="32">
        <v>6199</v>
      </c>
      <c r="K403" s="32">
        <v>0</v>
      </c>
      <c r="L403" s="32">
        <v>0</v>
      </c>
      <c r="M403" s="32">
        <v>0</v>
      </c>
      <c r="N403" s="32">
        <v>0</v>
      </c>
      <c r="O403" s="32">
        <v>0</v>
      </c>
      <c r="P403" s="32">
        <v>0</v>
      </c>
      <c r="Q403" s="43">
        <f t="shared" si="12"/>
        <v>6199</v>
      </c>
      <c r="R403" s="69">
        <f t="shared" si="13"/>
        <v>5269.15</v>
      </c>
      <c r="S403" s="30"/>
      <c r="T403" s="30"/>
    </row>
    <row r="404" spans="1:20" ht="45" customHeight="1" x14ac:dyDescent="0.3">
      <c r="A404" s="36">
        <v>392</v>
      </c>
      <c r="B404" s="32" t="s">
        <v>1286</v>
      </c>
      <c r="C404" s="32" t="s">
        <v>1363</v>
      </c>
      <c r="D404" s="32" t="s">
        <v>1364</v>
      </c>
      <c r="E404" s="32">
        <v>1977</v>
      </c>
      <c r="F404" s="32" t="s">
        <v>18</v>
      </c>
      <c r="G404" s="32" t="s">
        <v>1420</v>
      </c>
      <c r="H404" s="32" t="s">
        <v>1453</v>
      </c>
      <c r="I404" s="32" t="s">
        <v>1481</v>
      </c>
      <c r="J404" s="32">
        <v>3793</v>
      </c>
      <c r="K404" s="32">
        <v>0</v>
      </c>
      <c r="L404" s="32">
        <v>0</v>
      </c>
      <c r="M404" s="32">
        <v>0</v>
      </c>
      <c r="N404" s="32">
        <v>1681</v>
      </c>
      <c r="O404" s="32">
        <v>0</v>
      </c>
      <c r="P404" s="32">
        <f>240+56</f>
        <v>296</v>
      </c>
      <c r="Q404" s="43">
        <f t="shared" si="12"/>
        <v>5770</v>
      </c>
      <c r="R404" s="69">
        <f t="shared" si="13"/>
        <v>4904.5</v>
      </c>
      <c r="S404" s="30"/>
      <c r="T404" s="30"/>
    </row>
    <row r="405" spans="1:20" ht="45" customHeight="1" x14ac:dyDescent="0.3">
      <c r="A405" s="31">
        <v>393</v>
      </c>
      <c r="B405" s="32" t="s">
        <v>1286</v>
      </c>
      <c r="C405" s="32" t="s">
        <v>1365</v>
      </c>
      <c r="D405" s="32" t="s">
        <v>1366</v>
      </c>
      <c r="E405" s="32">
        <v>2016</v>
      </c>
      <c r="F405" s="32" t="s">
        <v>19</v>
      </c>
      <c r="G405" s="32" t="s">
        <v>1421</v>
      </c>
      <c r="H405" s="32" t="s">
        <v>1454</v>
      </c>
      <c r="I405" s="32" t="s">
        <v>296</v>
      </c>
      <c r="J405" s="32">
        <v>6199</v>
      </c>
      <c r="K405" s="32">
        <f>1346+6278+4484</f>
        <v>12108</v>
      </c>
      <c r="L405" s="32">
        <v>0</v>
      </c>
      <c r="M405" s="32">
        <v>0</v>
      </c>
      <c r="N405" s="32">
        <v>3148</v>
      </c>
      <c r="O405" s="32">
        <v>0</v>
      </c>
      <c r="P405" s="32">
        <v>0</v>
      </c>
      <c r="Q405" s="43">
        <f t="shared" si="12"/>
        <v>21455</v>
      </c>
      <c r="R405" s="69">
        <f t="shared" si="13"/>
        <v>18236.75</v>
      </c>
      <c r="S405" s="30"/>
      <c r="T405" s="30"/>
    </row>
    <row r="406" spans="1:20" ht="45" customHeight="1" x14ac:dyDescent="0.3">
      <c r="A406" s="31">
        <v>394</v>
      </c>
      <c r="B406" s="32" t="s">
        <v>1286</v>
      </c>
      <c r="C406" s="32" t="s">
        <v>1367</v>
      </c>
      <c r="D406" s="32" t="s">
        <v>1368</v>
      </c>
      <c r="E406" s="32">
        <v>1995</v>
      </c>
      <c r="F406" s="32" t="s">
        <v>19</v>
      </c>
      <c r="G406" s="32" t="s">
        <v>1422</v>
      </c>
      <c r="H406" s="32" t="s">
        <v>1422</v>
      </c>
      <c r="I406" s="32" t="s">
        <v>1482</v>
      </c>
      <c r="J406" s="32">
        <v>6199</v>
      </c>
      <c r="K406" s="32">
        <f>1346+6278+4484+2332+2332+2332+6995+2332+2332+2332+2332+2332</f>
        <v>37759</v>
      </c>
      <c r="L406" s="32">
        <v>0</v>
      </c>
      <c r="M406" s="32">
        <v>0</v>
      </c>
      <c r="N406" s="32">
        <v>1793</v>
      </c>
      <c r="O406" s="32">
        <v>0</v>
      </c>
      <c r="P406" s="32">
        <v>0</v>
      </c>
      <c r="Q406" s="43">
        <f t="shared" si="12"/>
        <v>45751</v>
      </c>
      <c r="R406" s="69">
        <f t="shared" si="13"/>
        <v>38888.35</v>
      </c>
      <c r="S406" s="30"/>
      <c r="T406" s="30"/>
    </row>
    <row r="407" spans="1:20" ht="45" customHeight="1" x14ac:dyDescent="0.3">
      <c r="A407" s="36">
        <v>395</v>
      </c>
      <c r="B407" s="32" t="s">
        <v>1286</v>
      </c>
      <c r="C407" s="32" t="s">
        <v>1369</v>
      </c>
      <c r="D407" s="32" t="s">
        <v>1370</v>
      </c>
      <c r="E407" s="32">
        <v>2023</v>
      </c>
      <c r="F407" s="32" t="s">
        <v>18</v>
      </c>
      <c r="G407" s="32" t="s">
        <v>1423</v>
      </c>
      <c r="H407" s="32" t="s">
        <v>1455</v>
      </c>
      <c r="I407" s="32" t="s">
        <v>838</v>
      </c>
      <c r="J407" s="32">
        <v>6199</v>
      </c>
      <c r="K407" s="32">
        <f>1346+6278+4484+4484+2332+2332+2332+2332+2332+2332+6995+6995+2332+6995</f>
        <v>53901</v>
      </c>
      <c r="L407" s="32">
        <v>0</v>
      </c>
      <c r="M407" s="32">
        <v>0</v>
      </c>
      <c r="N407" s="32">
        <v>3148</v>
      </c>
      <c r="O407" s="32">
        <v>0</v>
      </c>
      <c r="P407" s="32">
        <v>0</v>
      </c>
      <c r="Q407" s="43">
        <f t="shared" si="12"/>
        <v>63248</v>
      </c>
      <c r="R407" s="69">
        <f t="shared" si="13"/>
        <v>53760.800000000003</v>
      </c>
      <c r="S407" s="30"/>
      <c r="T407" s="30"/>
    </row>
    <row r="408" spans="1:20" ht="45" customHeight="1" x14ac:dyDescent="0.3">
      <c r="A408" s="31">
        <v>396</v>
      </c>
      <c r="B408" s="32" t="s">
        <v>1286</v>
      </c>
      <c r="C408" s="32" t="s">
        <v>1371</v>
      </c>
      <c r="D408" s="32" t="s">
        <v>1372</v>
      </c>
      <c r="E408" s="32">
        <v>1991</v>
      </c>
      <c r="F408" s="32" t="s">
        <v>18</v>
      </c>
      <c r="G408" s="32" t="s">
        <v>1424</v>
      </c>
      <c r="H408" s="32" t="s">
        <v>1424</v>
      </c>
      <c r="I408" s="32" t="s">
        <v>1483</v>
      </c>
      <c r="J408" s="32">
        <v>6199</v>
      </c>
      <c r="K408" s="32">
        <f>6278+4484+2332+2332+2332+2332+2332+2332+1346+1346+2332+2332+3228+4484+3000+3000+1166</f>
        <v>46988</v>
      </c>
      <c r="L408" s="32">
        <v>0</v>
      </c>
      <c r="M408" s="32">
        <v>0</v>
      </c>
      <c r="N408" s="32">
        <f>1793+1681+3179</f>
        <v>6653</v>
      </c>
      <c r="O408" s="32">
        <v>0</v>
      </c>
      <c r="P408" s="32">
        <f>624+112</f>
        <v>736</v>
      </c>
      <c r="Q408" s="43">
        <f t="shared" si="12"/>
        <v>60576</v>
      </c>
      <c r="R408" s="69">
        <f t="shared" si="13"/>
        <v>51489.599999999999</v>
      </c>
      <c r="S408" s="30"/>
      <c r="T408" s="30"/>
    </row>
    <row r="409" spans="1:20" ht="45" customHeight="1" x14ac:dyDescent="0.3">
      <c r="A409" s="31">
        <v>397</v>
      </c>
      <c r="B409" s="32" t="s">
        <v>1286</v>
      </c>
      <c r="C409" s="32" t="s">
        <v>1373</v>
      </c>
      <c r="D409" s="32" t="s">
        <v>1374</v>
      </c>
      <c r="E409" s="32">
        <v>1987</v>
      </c>
      <c r="F409" s="32" t="s">
        <v>19</v>
      </c>
      <c r="G409" s="32" t="s">
        <v>1425</v>
      </c>
      <c r="H409" s="32" t="s">
        <v>1425</v>
      </c>
      <c r="I409" s="32" t="s">
        <v>1484</v>
      </c>
      <c r="J409" s="32">
        <v>6199</v>
      </c>
      <c r="K409" s="32">
        <v>0</v>
      </c>
      <c r="L409" s="32">
        <v>0</v>
      </c>
      <c r="M409" s="32">
        <v>0</v>
      </c>
      <c r="N409" s="32">
        <v>0</v>
      </c>
      <c r="O409" s="32">
        <v>0</v>
      </c>
      <c r="P409" s="32">
        <v>0</v>
      </c>
      <c r="Q409" s="43">
        <f t="shared" si="12"/>
        <v>6199</v>
      </c>
      <c r="R409" s="69">
        <f t="shared" si="13"/>
        <v>5269.15</v>
      </c>
      <c r="S409" s="30"/>
      <c r="T409" s="30"/>
    </row>
    <row r="410" spans="1:20" ht="45" customHeight="1" x14ac:dyDescent="0.3">
      <c r="A410" s="36">
        <v>398</v>
      </c>
      <c r="B410" s="32" t="s">
        <v>1286</v>
      </c>
      <c r="C410" s="32" t="s">
        <v>1375</v>
      </c>
      <c r="D410" s="32" t="s">
        <v>1376</v>
      </c>
      <c r="E410" s="32">
        <v>2013</v>
      </c>
      <c r="F410" s="32" t="s">
        <v>18</v>
      </c>
      <c r="G410" s="32" t="s">
        <v>1426</v>
      </c>
      <c r="H410" s="32" t="s">
        <v>1456</v>
      </c>
      <c r="I410" s="32" t="s">
        <v>1069</v>
      </c>
      <c r="J410" s="32">
        <v>6199</v>
      </c>
      <c r="K410" s="32">
        <f>1346+6278+4484+6995+1166+2801+2332+2332+2332+6995+6995+2332+6995+2332+2332+2332</f>
        <v>60379</v>
      </c>
      <c r="L410" s="32">
        <v>0</v>
      </c>
      <c r="M410" s="32">
        <v>0</v>
      </c>
      <c r="N410" s="32">
        <v>1793</v>
      </c>
      <c r="O410" s="32">
        <v>0</v>
      </c>
      <c r="P410" s="32">
        <v>0</v>
      </c>
      <c r="Q410" s="43">
        <f t="shared" si="12"/>
        <v>68371</v>
      </c>
      <c r="R410" s="69">
        <f t="shared" si="13"/>
        <v>58115.35</v>
      </c>
      <c r="S410" s="30"/>
      <c r="T410" s="30"/>
    </row>
    <row r="411" spans="1:20" ht="45" customHeight="1" x14ac:dyDescent="0.3">
      <c r="A411" s="31">
        <v>399</v>
      </c>
      <c r="B411" s="32" t="s">
        <v>1286</v>
      </c>
      <c r="C411" s="32" t="s">
        <v>7213</v>
      </c>
      <c r="D411" s="32" t="s">
        <v>1377</v>
      </c>
      <c r="E411" s="32">
        <v>1995</v>
      </c>
      <c r="F411" s="32" t="s">
        <v>19</v>
      </c>
      <c r="G411" s="32" t="s">
        <v>1427</v>
      </c>
      <c r="H411" s="32" t="s">
        <v>1427</v>
      </c>
      <c r="I411" s="32" t="s">
        <v>1485</v>
      </c>
      <c r="J411" s="32">
        <v>6199</v>
      </c>
      <c r="K411" s="32">
        <f>2332+2332+2243</f>
        <v>6907</v>
      </c>
      <c r="L411" s="32">
        <v>0</v>
      </c>
      <c r="M411" s="32">
        <v>0</v>
      </c>
      <c r="N411" s="32">
        <v>0</v>
      </c>
      <c r="O411" s="32">
        <v>0</v>
      </c>
      <c r="P411" s="32">
        <v>0</v>
      </c>
      <c r="Q411" s="43">
        <f t="shared" si="12"/>
        <v>13106</v>
      </c>
      <c r="R411" s="69">
        <f t="shared" si="13"/>
        <v>11140.1</v>
      </c>
      <c r="S411" s="30"/>
      <c r="T411" s="30"/>
    </row>
    <row r="412" spans="1:20" ht="45" customHeight="1" x14ac:dyDescent="0.3">
      <c r="A412" s="31">
        <v>400</v>
      </c>
      <c r="B412" s="32" t="s">
        <v>1286</v>
      </c>
      <c r="C412" s="32" t="s">
        <v>7214</v>
      </c>
      <c r="D412" s="32" t="s">
        <v>1378</v>
      </c>
      <c r="E412" s="32">
        <v>2017</v>
      </c>
      <c r="F412" s="32" t="s">
        <v>19</v>
      </c>
      <c r="G412" s="32" t="s">
        <v>1428</v>
      </c>
      <c r="H412" s="32" t="s">
        <v>1427</v>
      </c>
      <c r="I412" s="32" t="s">
        <v>1485</v>
      </c>
      <c r="J412" s="32">
        <v>6199</v>
      </c>
      <c r="K412" s="32">
        <v>1166</v>
      </c>
      <c r="L412" s="32">
        <v>0</v>
      </c>
      <c r="M412" s="32">
        <v>0</v>
      </c>
      <c r="N412" s="32">
        <v>0</v>
      </c>
      <c r="O412" s="32">
        <v>0</v>
      </c>
      <c r="P412" s="32">
        <v>0</v>
      </c>
      <c r="Q412" s="43">
        <f t="shared" si="12"/>
        <v>7365</v>
      </c>
      <c r="R412" s="69">
        <f t="shared" si="13"/>
        <v>6260.25</v>
      </c>
      <c r="S412" s="30"/>
      <c r="T412" s="30"/>
    </row>
    <row r="413" spans="1:20" ht="45" customHeight="1" x14ac:dyDescent="0.3">
      <c r="A413" s="36">
        <v>401</v>
      </c>
      <c r="B413" s="32" t="s">
        <v>1286</v>
      </c>
      <c r="C413" s="32" t="s">
        <v>7215</v>
      </c>
      <c r="D413" s="32" t="s">
        <v>1379</v>
      </c>
      <c r="E413" s="32">
        <v>2021</v>
      </c>
      <c r="F413" s="32" t="s">
        <v>18</v>
      </c>
      <c r="G413" s="32" t="s">
        <v>1429</v>
      </c>
      <c r="H413" s="32" t="s">
        <v>1427</v>
      </c>
      <c r="I413" s="32" t="s">
        <v>1485</v>
      </c>
      <c r="J413" s="32">
        <v>6199</v>
      </c>
      <c r="K413" s="32">
        <f>1346+6278+4484</f>
        <v>12108</v>
      </c>
      <c r="L413" s="32">
        <v>0</v>
      </c>
      <c r="M413" s="32">
        <v>0</v>
      </c>
      <c r="N413" s="32">
        <v>3148</v>
      </c>
      <c r="O413" s="32">
        <v>0</v>
      </c>
      <c r="P413" s="32">
        <v>0</v>
      </c>
      <c r="Q413" s="43">
        <f t="shared" si="12"/>
        <v>21455</v>
      </c>
      <c r="R413" s="69">
        <f t="shared" si="13"/>
        <v>18236.75</v>
      </c>
      <c r="S413" s="30"/>
      <c r="T413" s="30"/>
    </row>
    <row r="414" spans="1:20" ht="45" customHeight="1" x14ac:dyDescent="0.3">
      <c r="A414" s="31">
        <v>402</v>
      </c>
      <c r="B414" s="32" t="s">
        <v>1286</v>
      </c>
      <c r="C414" s="32" t="s">
        <v>7216</v>
      </c>
      <c r="D414" s="32" t="s">
        <v>1380</v>
      </c>
      <c r="E414" s="32">
        <v>1965</v>
      </c>
      <c r="F414" s="32" t="s">
        <v>19</v>
      </c>
      <c r="G414" s="32" t="s">
        <v>1430</v>
      </c>
      <c r="H414" s="32" t="s">
        <v>1457</v>
      </c>
      <c r="I414" s="32" t="s">
        <v>1486</v>
      </c>
      <c r="J414" s="32">
        <v>6199</v>
      </c>
      <c r="K414" s="32">
        <f>1346+6278+4484+6995+6995+3228+2243+2332+2332+2332+2332+2332+2332+2332+2332+3000+3000+1166+2801+6995+6995+2332+6995+4484+4484+2332+4484+4484</f>
        <v>103777</v>
      </c>
      <c r="L414" s="32">
        <v>20807</v>
      </c>
      <c r="M414" s="32">
        <v>0</v>
      </c>
      <c r="N414" s="32">
        <v>1793</v>
      </c>
      <c r="O414" s="32">
        <v>0</v>
      </c>
      <c r="P414" s="32">
        <v>0</v>
      </c>
      <c r="Q414" s="43">
        <f t="shared" si="12"/>
        <v>132576</v>
      </c>
      <c r="R414" s="69">
        <f t="shared" si="13"/>
        <v>112689.60000000001</v>
      </c>
      <c r="S414" s="30"/>
      <c r="T414" s="30"/>
    </row>
    <row r="415" spans="1:20" ht="45" customHeight="1" x14ac:dyDescent="0.3">
      <c r="A415" s="31">
        <v>403</v>
      </c>
      <c r="B415" s="32" t="s">
        <v>1286</v>
      </c>
      <c r="C415" s="32" t="s">
        <v>7217</v>
      </c>
      <c r="D415" s="32" t="s">
        <v>1381</v>
      </c>
      <c r="E415" s="32">
        <v>2021</v>
      </c>
      <c r="F415" s="32" t="s">
        <v>18</v>
      </c>
      <c r="G415" s="32" t="s">
        <v>1431</v>
      </c>
      <c r="H415" s="32" t="s">
        <v>1458</v>
      </c>
      <c r="I415" s="32" t="s">
        <v>24</v>
      </c>
      <c r="J415" s="32">
        <v>6199</v>
      </c>
      <c r="K415" s="32">
        <v>0</v>
      </c>
      <c r="L415" s="32">
        <v>0</v>
      </c>
      <c r="M415" s="32">
        <v>0</v>
      </c>
      <c r="N415" s="32">
        <v>0</v>
      </c>
      <c r="O415" s="32">
        <v>0</v>
      </c>
      <c r="P415" s="32">
        <v>0</v>
      </c>
      <c r="Q415" s="43">
        <f t="shared" si="12"/>
        <v>6199</v>
      </c>
      <c r="R415" s="69">
        <f t="shared" si="13"/>
        <v>5269.15</v>
      </c>
      <c r="S415" s="30"/>
      <c r="T415" s="30"/>
    </row>
    <row r="416" spans="1:20" ht="45" customHeight="1" x14ac:dyDescent="0.3">
      <c r="A416" s="36">
        <v>404</v>
      </c>
      <c r="B416" s="32" t="s">
        <v>1286</v>
      </c>
      <c r="C416" s="32" t="s">
        <v>7218</v>
      </c>
      <c r="D416" s="32" t="s">
        <v>1382</v>
      </c>
      <c r="E416" s="32">
        <v>2018</v>
      </c>
      <c r="F416" s="32" t="s">
        <v>18</v>
      </c>
      <c r="G416" s="32" t="s">
        <v>1432</v>
      </c>
      <c r="H416" s="32" t="s">
        <v>1459</v>
      </c>
      <c r="I416" s="32" t="s">
        <v>1487</v>
      </c>
      <c r="J416" s="32">
        <v>6199</v>
      </c>
      <c r="K416" s="32">
        <v>0</v>
      </c>
      <c r="L416" s="32">
        <v>0</v>
      </c>
      <c r="M416" s="32">
        <v>0</v>
      </c>
      <c r="N416" s="32">
        <v>0</v>
      </c>
      <c r="O416" s="32">
        <v>0</v>
      </c>
      <c r="P416" s="32">
        <v>0</v>
      </c>
      <c r="Q416" s="43">
        <f t="shared" si="12"/>
        <v>6199</v>
      </c>
      <c r="R416" s="69">
        <f t="shared" si="13"/>
        <v>5269.15</v>
      </c>
      <c r="S416" s="30"/>
      <c r="T416" s="30"/>
    </row>
    <row r="417" spans="1:20" ht="45" customHeight="1" x14ac:dyDescent="0.3">
      <c r="A417" s="31">
        <v>405</v>
      </c>
      <c r="B417" s="32" t="s">
        <v>1286</v>
      </c>
      <c r="C417" s="32" t="s">
        <v>2654</v>
      </c>
      <c r="D417" s="34" t="s">
        <v>1158</v>
      </c>
      <c r="E417" s="32">
        <v>2020</v>
      </c>
      <c r="F417" s="32" t="s">
        <v>18</v>
      </c>
      <c r="G417" s="32" t="s">
        <v>1212</v>
      </c>
      <c r="H417" s="32" t="s">
        <v>1249</v>
      </c>
      <c r="I417" s="32" t="s">
        <v>1281</v>
      </c>
      <c r="J417" s="32">
        <v>2900</v>
      </c>
      <c r="K417" s="32">
        <v>0</v>
      </c>
      <c r="L417" s="32">
        <v>0</v>
      </c>
      <c r="M417" s="32">
        <v>17688</v>
      </c>
      <c r="N417" s="32">
        <v>2088</v>
      </c>
      <c r="O417" s="32">
        <v>0</v>
      </c>
      <c r="P417" s="32">
        <f>1080+168</f>
        <v>1248</v>
      </c>
      <c r="Q417" s="43">
        <f t="shared" si="12"/>
        <v>23924</v>
      </c>
      <c r="R417" s="69">
        <f t="shared" si="13"/>
        <v>20335.400000000001</v>
      </c>
      <c r="S417" s="30"/>
      <c r="T417" s="30"/>
    </row>
    <row r="418" spans="1:20" ht="45" customHeight="1" x14ac:dyDescent="0.3">
      <c r="A418" s="31">
        <v>406</v>
      </c>
      <c r="B418" s="32" t="s">
        <v>1286</v>
      </c>
      <c r="C418" s="32" t="s">
        <v>7219</v>
      </c>
      <c r="D418" s="34" t="s">
        <v>2647</v>
      </c>
      <c r="E418" s="32">
        <v>1979</v>
      </c>
      <c r="F418" s="32" t="s">
        <v>18</v>
      </c>
      <c r="G418" s="32" t="s">
        <v>2648</v>
      </c>
      <c r="H418" s="32" t="s">
        <v>2649</v>
      </c>
      <c r="I418" s="32" t="s">
        <v>34</v>
      </c>
      <c r="J418" s="32">
        <v>2900</v>
      </c>
      <c r="K418" s="32">
        <v>0</v>
      </c>
      <c r="L418" s="32">
        <v>0</v>
      </c>
      <c r="M418" s="32">
        <v>17688</v>
      </c>
      <c r="N418" s="32">
        <f>2088+1178</f>
        <v>3266</v>
      </c>
      <c r="O418" s="32">
        <v>0</v>
      </c>
      <c r="P418" s="32">
        <f>624+112+720+144+720</f>
        <v>2320</v>
      </c>
      <c r="Q418" s="43">
        <f t="shared" si="12"/>
        <v>26174</v>
      </c>
      <c r="R418" s="69">
        <f t="shared" si="13"/>
        <v>22247.9</v>
      </c>
      <c r="S418" s="30"/>
      <c r="T418" s="30"/>
    </row>
    <row r="419" spans="1:20" ht="45" customHeight="1" x14ac:dyDescent="0.3">
      <c r="A419" s="36">
        <v>407</v>
      </c>
      <c r="B419" s="32" t="s">
        <v>1286</v>
      </c>
      <c r="C419" s="32" t="s">
        <v>7220</v>
      </c>
      <c r="D419" s="34" t="s">
        <v>1143</v>
      </c>
      <c r="E419" s="32">
        <v>2019</v>
      </c>
      <c r="F419" s="32" t="s">
        <v>18</v>
      </c>
      <c r="G419" s="32" t="s">
        <v>1198</v>
      </c>
      <c r="H419" s="32" t="s">
        <v>1238</v>
      </c>
      <c r="I419" s="32" t="s">
        <v>1460</v>
      </c>
      <c r="J419" s="32">
        <v>2900</v>
      </c>
      <c r="K419" s="32">
        <v>0</v>
      </c>
      <c r="L419" s="32">
        <v>0</v>
      </c>
      <c r="M419" s="32">
        <v>17688</v>
      </c>
      <c r="N419" s="32">
        <v>2088</v>
      </c>
      <c r="O419" s="32">
        <v>0</v>
      </c>
      <c r="P419" s="32">
        <f>1080+168</f>
        <v>1248</v>
      </c>
      <c r="Q419" s="43">
        <f t="shared" si="12"/>
        <v>23924</v>
      </c>
      <c r="R419" s="69">
        <f t="shared" si="13"/>
        <v>20335.400000000001</v>
      </c>
      <c r="S419" s="30"/>
      <c r="T419" s="30"/>
    </row>
    <row r="420" spans="1:20" ht="45" customHeight="1" x14ac:dyDescent="0.3">
      <c r="A420" s="31">
        <v>408</v>
      </c>
      <c r="B420" s="32" t="s">
        <v>1286</v>
      </c>
      <c r="C420" s="32" t="s">
        <v>7221</v>
      </c>
      <c r="D420" s="34" t="s">
        <v>404</v>
      </c>
      <c r="E420" s="32">
        <v>2022</v>
      </c>
      <c r="F420" s="32" t="s">
        <v>18</v>
      </c>
      <c r="G420" s="32" t="s">
        <v>481</v>
      </c>
      <c r="H420" s="32" t="s">
        <v>523</v>
      </c>
      <c r="I420" s="32" t="s">
        <v>268</v>
      </c>
      <c r="J420" s="32">
        <v>2900</v>
      </c>
      <c r="K420" s="32">
        <v>0</v>
      </c>
      <c r="L420" s="32">
        <v>0</v>
      </c>
      <c r="M420" s="32">
        <v>0</v>
      </c>
      <c r="N420" s="32">
        <v>2088</v>
      </c>
      <c r="O420" s="32">
        <v>0</v>
      </c>
      <c r="P420" s="32">
        <f>720+112</f>
        <v>832</v>
      </c>
      <c r="Q420" s="43">
        <f t="shared" si="12"/>
        <v>5820</v>
      </c>
      <c r="R420" s="69">
        <f t="shared" si="13"/>
        <v>4947</v>
      </c>
      <c r="S420" s="30"/>
      <c r="T420" s="30"/>
    </row>
    <row r="421" spans="1:20" ht="45" customHeight="1" x14ac:dyDescent="0.3">
      <c r="A421" s="31">
        <v>409</v>
      </c>
      <c r="B421" s="32" t="s">
        <v>1286</v>
      </c>
      <c r="C421" s="32" t="s">
        <v>7222</v>
      </c>
      <c r="D421" s="34" t="s">
        <v>2651</v>
      </c>
      <c r="E421" s="32">
        <v>2012</v>
      </c>
      <c r="F421" s="32" t="s">
        <v>19</v>
      </c>
      <c r="G421" s="32" t="s">
        <v>2652</v>
      </c>
      <c r="H421" s="32" t="s">
        <v>2653</v>
      </c>
      <c r="I421" s="32" t="s">
        <v>1885</v>
      </c>
      <c r="J421" s="32">
        <v>2900</v>
      </c>
      <c r="K421" s="32">
        <f>2332+2332+2332</f>
        <v>6996</v>
      </c>
      <c r="L421" s="32">
        <v>0</v>
      </c>
      <c r="M421" s="32">
        <v>17688</v>
      </c>
      <c r="N421" s="32">
        <f>1178+3148</f>
        <v>4326</v>
      </c>
      <c r="O421" s="32">
        <v>0</v>
      </c>
      <c r="P421" s="32">
        <f>1440+1320</f>
        <v>2760</v>
      </c>
      <c r="Q421" s="43">
        <f t="shared" si="12"/>
        <v>34670</v>
      </c>
      <c r="R421" s="69">
        <f t="shared" si="13"/>
        <v>29469.5</v>
      </c>
      <c r="S421" s="30"/>
      <c r="T421" s="30"/>
    </row>
    <row r="422" spans="1:20" ht="45" customHeight="1" x14ac:dyDescent="0.3">
      <c r="A422" s="36">
        <v>410</v>
      </c>
      <c r="B422" s="32" t="s">
        <v>1286</v>
      </c>
      <c r="C422" s="32" t="s">
        <v>7223</v>
      </c>
      <c r="D422" s="34" t="s">
        <v>2641</v>
      </c>
      <c r="E422" s="32">
        <v>2023</v>
      </c>
      <c r="F422" s="32" t="s">
        <v>19</v>
      </c>
      <c r="G422" s="32" t="s">
        <v>2642</v>
      </c>
      <c r="H422" s="32" t="s">
        <v>2643</v>
      </c>
      <c r="I422" s="32" t="s">
        <v>1460</v>
      </c>
      <c r="J422" s="32">
        <v>2900</v>
      </c>
      <c r="K422" s="32">
        <v>0</v>
      </c>
      <c r="L422" s="32">
        <v>0</v>
      </c>
      <c r="M422" s="32">
        <v>0</v>
      </c>
      <c r="N422" s="32">
        <v>2088</v>
      </c>
      <c r="O422" s="32">
        <v>0</v>
      </c>
      <c r="P422" s="32">
        <f>720+112</f>
        <v>832</v>
      </c>
      <c r="Q422" s="43">
        <f t="shared" si="12"/>
        <v>5820</v>
      </c>
      <c r="R422" s="69">
        <f t="shared" si="13"/>
        <v>4947</v>
      </c>
      <c r="S422" s="30"/>
      <c r="T422" s="30"/>
    </row>
    <row r="423" spans="1:20" s="41" customFormat="1" ht="45" customHeight="1" x14ac:dyDescent="0.3">
      <c r="A423" s="31">
        <v>411</v>
      </c>
      <c r="B423" s="38" t="s">
        <v>1286</v>
      </c>
      <c r="C423" s="38" t="s">
        <v>7224</v>
      </c>
      <c r="D423" s="38" t="s">
        <v>406</v>
      </c>
      <c r="E423" s="38">
        <v>2018</v>
      </c>
      <c r="F423" s="38" t="s">
        <v>18</v>
      </c>
      <c r="G423" s="38" t="s">
        <v>482</v>
      </c>
      <c r="H423" s="38" t="s">
        <v>523</v>
      </c>
      <c r="I423" s="38" t="s">
        <v>268</v>
      </c>
      <c r="J423" s="38">
        <v>0</v>
      </c>
      <c r="K423" s="38">
        <v>0</v>
      </c>
      <c r="L423" s="38">
        <v>0</v>
      </c>
      <c r="M423" s="38">
        <v>17688</v>
      </c>
      <c r="N423" s="38">
        <v>1681</v>
      </c>
      <c r="O423" s="38">
        <v>0</v>
      </c>
      <c r="P423" s="38">
        <f>1200+720+112</f>
        <v>2032</v>
      </c>
      <c r="Q423" s="43">
        <f t="shared" si="12"/>
        <v>21401</v>
      </c>
      <c r="R423" s="69">
        <f t="shared" si="13"/>
        <v>18190.849999999999</v>
      </c>
      <c r="S423" s="40"/>
      <c r="T423" s="40"/>
    </row>
    <row r="424" spans="1:20" ht="45" customHeight="1" x14ac:dyDescent="0.3">
      <c r="A424" s="31">
        <v>412</v>
      </c>
      <c r="B424" s="32" t="s">
        <v>1488</v>
      </c>
      <c r="C424" s="32" t="s">
        <v>1489</v>
      </c>
      <c r="D424" s="32" t="s">
        <v>1490</v>
      </c>
      <c r="E424" s="32">
        <v>1986</v>
      </c>
      <c r="F424" s="32" t="s">
        <v>19</v>
      </c>
      <c r="G424" s="32" t="s">
        <v>1601</v>
      </c>
      <c r="H424" s="32" t="s">
        <v>1601</v>
      </c>
      <c r="I424" s="32" t="s">
        <v>1684</v>
      </c>
      <c r="J424" s="32">
        <v>6199</v>
      </c>
      <c r="K424" s="32">
        <f>13452+6278+2332+4484+4484+2332+2332+2332</f>
        <v>38026</v>
      </c>
      <c r="L424" s="32">
        <v>0</v>
      </c>
      <c r="M424" s="32">
        <v>0</v>
      </c>
      <c r="N424" s="32">
        <v>1793</v>
      </c>
      <c r="O424" s="32">
        <v>0</v>
      </c>
      <c r="P424" s="32">
        <v>0</v>
      </c>
      <c r="Q424" s="43">
        <f t="shared" si="12"/>
        <v>46018</v>
      </c>
      <c r="R424" s="69">
        <f t="shared" si="13"/>
        <v>39115.300000000003</v>
      </c>
      <c r="S424" s="30"/>
      <c r="T424" s="30"/>
    </row>
    <row r="425" spans="1:20" ht="45" customHeight="1" x14ac:dyDescent="0.3">
      <c r="A425" s="36">
        <v>413</v>
      </c>
      <c r="B425" s="32" t="s">
        <v>1488</v>
      </c>
      <c r="C425" s="32" t="s">
        <v>1491</v>
      </c>
      <c r="D425" s="32" t="s">
        <v>1492</v>
      </c>
      <c r="E425" s="32">
        <v>1980</v>
      </c>
      <c r="F425" s="32" t="s">
        <v>18</v>
      </c>
      <c r="G425" s="32" t="s">
        <v>1602</v>
      </c>
      <c r="H425" s="32" t="s">
        <v>1602</v>
      </c>
      <c r="I425" s="32" t="s">
        <v>1684</v>
      </c>
      <c r="J425" s="32">
        <v>6199</v>
      </c>
      <c r="K425" s="32">
        <f>6278+13452+2332+4484+4484+2332</f>
        <v>33362</v>
      </c>
      <c r="L425" s="32">
        <v>0</v>
      </c>
      <c r="M425" s="32">
        <v>0</v>
      </c>
      <c r="N425" s="32">
        <v>1793</v>
      </c>
      <c r="O425" s="32">
        <v>0</v>
      </c>
      <c r="P425" s="32">
        <v>0</v>
      </c>
      <c r="Q425" s="43">
        <f t="shared" si="12"/>
        <v>41354</v>
      </c>
      <c r="R425" s="69">
        <f t="shared" si="13"/>
        <v>35150.9</v>
      </c>
      <c r="S425" s="30"/>
      <c r="T425" s="30"/>
    </row>
    <row r="426" spans="1:20" ht="45" customHeight="1" x14ac:dyDescent="0.3">
      <c r="A426" s="31">
        <v>414</v>
      </c>
      <c r="B426" s="32" t="s">
        <v>1488</v>
      </c>
      <c r="C426" s="32" t="s">
        <v>1493</v>
      </c>
      <c r="D426" s="32" t="s">
        <v>1494</v>
      </c>
      <c r="E426" s="32">
        <v>1970</v>
      </c>
      <c r="F426" s="32" t="s">
        <v>19</v>
      </c>
      <c r="G426" s="32" t="s">
        <v>1603</v>
      </c>
      <c r="H426" s="32" t="s">
        <v>1603</v>
      </c>
      <c r="I426" s="32" t="s">
        <v>539</v>
      </c>
      <c r="J426" s="32">
        <v>6199</v>
      </c>
      <c r="K426" s="32">
        <v>0</v>
      </c>
      <c r="L426" s="32">
        <v>0</v>
      </c>
      <c r="M426" s="32">
        <v>0</v>
      </c>
      <c r="N426" s="32">
        <v>0</v>
      </c>
      <c r="O426" s="32">
        <v>0</v>
      </c>
      <c r="P426" s="32">
        <v>0</v>
      </c>
      <c r="Q426" s="43">
        <f t="shared" si="12"/>
        <v>6199</v>
      </c>
      <c r="R426" s="69">
        <f t="shared" si="13"/>
        <v>5269.15</v>
      </c>
      <c r="S426" s="30"/>
      <c r="T426" s="30"/>
    </row>
    <row r="427" spans="1:20" s="41" customFormat="1" ht="45" customHeight="1" x14ac:dyDescent="0.3">
      <c r="A427" s="31">
        <v>415</v>
      </c>
      <c r="B427" s="38" t="s">
        <v>1488</v>
      </c>
      <c r="C427" s="38" t="s">
        <v>1495</v>
      </c>
      <c r="D427" s="38" t="s">
        <v>1496</v>
      </c>
      <c r="E427" s="38">
        <v>2020</v>
      </c>
      <c r="F427" s="38" t="s">
        <v>19</v>
      </c>
      <c r="G427" s="38" t="s">
        <v>1604</v>
      </c>
      <c r="H427" s="38" t="s">
        <v>1655</v>
      </c>
      <c r="I427" s="38" t="s">
        <v>840</v>
      </c>
      <c r="J427" s="38">
        <v>6199</v>
      </c>
      <c r="K427" s="38">
        <f>6278+4484+2332+1346+2332+2332+2332+2332+2332+4484+6995+6995+2332+6995+1166+2801+4484</f>
        <v>62352</v>
      </c>
      <c r="L427" s="38">
        <v>0</v>
      </c>
      <c r="M427" s="38">
        <v>0</v>
      </c>
      <c r="N427" s="38">
        <f>3148+1178+4053+2088</f>
        <v>10467</v>
      </c>
      <c r="O427" s="38">
        <v>0</v>
      </c>
      <c r="P427" s="38">
        <f>720+360+360+1080+1200+56+660</f>
        <v>4436</v>
      </c>
      <c r="Q427" s="43">
        <f t="shared" si="12"/>
        <v>83454</v>
      </c>
      <c r="R427" s="69">
        <f t="shared" si="13"/>
        <v>70935.899999999994</v>
      </c>
      <c r="S427" s="40"/>
      <c r="T427" s="40"/>
    </row>
    <row r="428" spans="1:20" s="41" customFormat="1" ht="45" customHeight="1" x14ac:dyDescent="0.3">
      <c r="A428" s="36">
        <v>416</v>
      </c>
      <c r="B428" s="38" t="s">
        <v>1488</v>
      </c>
      <c r="C428" s="38" t="s">
        <v>1495</v>
      </c>
      <c r="D428" s="38" t="s">
        <v>1496</v>
      </c>
      <c r="E428" s="38">
        <v>2020</v>
      </c>
      <c r="F428" s="38" t="s">
        <v>19</v>
      </c>
      <c r="G428" s="38" t="s">
        <v>1604</v>
      </c>
      <c r="H428" s="38" t="s">
        <v>1655</v>
      </c>
      <c r="I428" s="38" t="s">
        <v>840</v>
      </c>
      <c r="J428" s="38">
        <v>0</v>
      </c>
      <c r="K428" s="38">
        <v>0</v>
      </c>
      <c r="L428" s="38">
        <v>0</v>
      </c>
      <c r="M428" s="38">
        <v>17688</v>
      </c>
      <c r="N428" s="38">
        <v>2088</v>
      </c>
      <c r="O428" s="38">
        <v>0</v>
      </c>
      <c r="P428" s="38">
        <f>360+56</f>
        <v>416</v>
      </c>
      <c r="Q428" s="43">
        <f t="shared" si="12"/>
        <v>20192</v>
      </c>
      <c r="R428" s="69">
        <f t="shared" si="13"/>
        <v>17163.2</v>
      </c>
      <c r="S428" s="40"/>
      <c r="T428" s="40"/>
    </row>
    <row r="429" spans="1:20" ht="45" customHeight="1" x14ac:dyDescent="0.3">
      <c r="A429" s="31">
        <v>417</v>
      </c>
      <c r="B429" s="32" t="s">
        <v>1488</v>
      </c>
      <c r="C429" s="32" t="s">
        <v>1497</v>
      </c>
      <c r="D429" s="32" t="s">
        <v>1498</v>
      </c>
      <c r="E429" s="32">
        <v>1981</v>
      </c>
      <c r="F429" s="32" t="s">
        <v>19</v>
      </c>
      <c r="G429" s="32" t="s">
        <v>1605</v>
      </c>
      <c r="H429" s="32" t="s">
        <v>1605</v>
      </c>
      <c r="I429" s="32" t="s">
        <v>1685</v>
      </c>
      <c r="J429" s="32">
        <v>6199</v>
      </c>
      <c r="K429" s="32">
        <v>0</v>
      </c>
      <c r="L429" s="32">
        <v>13298</v>
      </c>
      <c r="M429" s="32">
        <v>0</v>
      </c>
      <c r="N429" s="32">
        <v>0</v>
      </c>
      <c r="O429" s="32">
        <v>0</v>
      </c>
      <c r="P429" s="32">
        <v>0</v>
      </c>
      <c r="Q429" s="43">
        <f t="shared" si="12"/>
        <v>19497</v>
      </c>
      <c r="R429" s="69">
        <f t="shared" si="13"/>
        <v>16572.45</v>
      </c>
      <c r="S429" s="30"/>
      <c r="T429" s="30"/>
    </row>
    <row r="430" spans="1:20" ht="45" customHeight="1" x14ac:dyDescent="0.3">
      <c r="A430" s="31">
        <v>418</v>
      </c>
      <c r="B430" s="32" t="s">
        <v>1488</v>
      </c>
      <c r="C430" s="32" t="s">
        <v>1499</v>
      </c>
      <c r="D430" s="32" t="s">
        <v>1500</v>
      </c>
      <c r="E430" s="32">
        <v>1986</v>
      </c>
      <c r="F430" s="32" t="s">
        <v>18</v>
      </c>
      <c r="G430" s="32" t="s">
        <v>1606</v>
      </c>
      <c r="H430" s="32" t="s">
        <v>1606</v>
      </c>
      <c r="I430" s="32" t="s">
        <v>1464</v>
      </c>
      <c r="J430" s="32">
        <v>6199</v>
      </c>
      <c r="K430" s="32">
        <f>6278+4484+1346+2332+4484+6995+2332+2332+2332+2332+3000+3000+3228+1166+6995+6995+2332+6995</f>
        <v>68958</v>
      </c>
      <c r="L430" s="32">
        <v>0</v>
      </c>
      <c r="M430" s="32">
        <v>0</v>
      </c>
      <c r="N430" s="32">
        <f>1793+3179</f>
        <v>4972</v>
      </c>
      <c r="O430" s="32">
        <v>0</v>
      </c>
      <c r="P430" s="32">
        <f>1440+1320+720</f>
        <v>3480</v>
      </c>
      <c r="Q430" s="43">
        <f t="shared" si="12"/>
        <v>83609</v>
      </c>
      <c r="R430" s="69">
        <f t="shared" si="13"/>
        <v>71067.649999999994</v>
      </c>
      <c r="S430" s="30"/>
      <c r="T430" s="30"/>
    </row>
    <row r="431" spans="1:20" ht="45" customHeight="1" x14ac:dyDescent="0.3">
      <c r="A431" s="36">
        <v>419</v>
      </c>
      <c r="B431" s="32" t="s">
        <v>1488</v>
      </c>
      <c r="C431" s="32" t="s">
        <v>1501</v>
      </c>
      <c r="D431" s="32" t="s">
        <v>1502</v>
      </c>
      <c r="E431" s="32">
        <v>2018</v>
      </c>
      <c r="F431" s="32" t="s">
        <v>19</v>
      </c>
      <c r="G431" s="32" t="s">
        <v>1607</v>
      </c>
      <c r="H431" s="32" t="s">
        <v>1656</v>
      </c>
      <c r="I431" s="32" t="s">
        <v>1686</v>
      </c>
      <c r="J431" s="32">
        <v>6199</v>
      </c>
      <c r="K431" s="32">
        <f>6278+4484+1346+1166+2332+4484+2332+2332+2332+2332+4484+2332+2332</f>
        <v>38566</v>
      </c>
      <c r="L431" s="32">
        <v>0</v>
      </c>
      <c r="M431" s="32">
        <v>0</v>
      </c>
      <c r="N431" s="32">
        <v>3148</v>
      </c>
      <c r="O431" s="32">
        <v>0</v>
      </c>
      <c r="P431" s="32">
        <v>0</v>
      </c>
      <c r="Q431" s="43">
        <f t="shared" si="12"/>
        <v>47913</v>
      </c>
      <c r="R431" s="69">
        <f t="shared" si="13"/>
        <v>40726.050000000003</v>
      </c>
      <c r="S431" s="30"/>
      <c r="T431" s="30"/>
    </row>
    <row r="432" spans="1:20" ht="45" customHeight="1" x14ac:dyDescent="0.3">
      <c r="A432" s="31">
        <v>420</v>
      </c>
      <c r="B432" s="32" t="s">
        <v>1488</v>
      </c>
      <c r="C432" s="32" t="s">
        <v>1503</v>
      </c>
      <c r="D432" s="32" t="s">
        <v>1504</v>
      </c>
      <c r="E432" s="32">
        <v>2007</v>
      </c>
      <c r="F432" s="32" t="s">
        <v>18</v>
      </c>
      <c r="G432" s="32" t="s">
        <v>1608</v>
      </c>
      <c r="H432" s="32" t="s">
        <v>1657</v>
      </c>
      <c r="I432" s="32" t="s">
        <v>1687</v>
      </c>
      <c r="J432" s="32">
        <v>6199</v>
      </c>
      <c r="K432" s="32">
        <v>0</v>
      </c>
      <c r="L432" s="32">
        <v>0</v>
      </c>
      <c r="M432" s="32">
        <v>0</v>
      </c>
      <c r="N432" s="32">
        <f>34016+27380</f>
        <v>61396</v>
      </c>
      <c r="O432" s="32">
        <v>0</v>
      </c>
      <c r="P432" s="32">
        <v>0</v>
      </c>
      <c r="Q432" s="43">
        <f t="shared" si="12"/>
        <v>67595</v>
      </c>
      <c r="R432" s="69">
        <f t="shared" si="13"/>
        <v>57455.75</v>
      </c>
      <c r="S432" s="30"/>
      <c r="T432" s="30"/>
    </row>
    <row r="433" spans="1:20" ht="45" customHeight="1" x14ac:dyDescent="0.3">
      <c r="A433" s="31">
        <v>421</v>
      </c>
      <c r="B433" s="32" t="s">
        <v>1488</v>
      </c>
      <c r="C433" s="32" t="s">
        <v>1505</v>
      </c>
      <c r="D433" s="32" t="s">
        <v>1506</v>
      </c>
      <c r="E433" s="32">
        <v>2020</v>
      </c>
      <c r="F433" s="32" t="s">
        <v>19</v>
      </c>
      <c r="G433" s="32" t="s">
        <v>1609</v>
      </c>
      <c r="H433" s="32" t="s">
        <v>1658</v>
      </c>
      <c r="I433" s="32" t="s">
        <v>1688</v>
      </c>
      <c r="J433" s="32">
        <v>6199</v>
      </c>
      <c r="K433" s="32">
        <f>6278+4484+1346+4484+2332+2332+2332+2332+2332</f>
        <v>28252</v>
      </c>
      <c r="L433" s="32">
        <v>0</v>
      </c>
      <c r="M433" s="32">
        <v>0</v>
      </c>
      <c r="N433" s="32">
        <v>3148</v>
      </c>
      <c r="O433" s="32">
        <v>0</v>
      </c>
      <c r="P433" s="32">
        <v>0</v>
      </c>
      <c r="Q433" s="43">
        <f t="shared" si="12"/>
        <v>37599</v>
      </c>
      <c r="R433" s="69">
        <f t="shared" si="13"/>
        <v>31959.15</v>
      </c>
      <c r="S433" s="30"/>
      <c r="T433" s="30"/>
    </row>
    <row r="434" spans="1:20" ht="45" customHeight="1" x14ac:dyDescent="0.3">
      <c r="A434" s="36">
        <v>422</v>
      </c>
      <c r="B434" s="32" t="s">
        <v>1488</v>
      </c>
      <c r="C434" s="32" t="s">
        <v>1507</v>
      </c>
      <c r="D434" s="32" t="s">
        <v>1508</v>
      </c>
      <c r="E434" s="32">
        <v>1967</v>
      </c>
      <c r="F434" s="32" t="s">
        <v>19</v>
      </c>
      <c r="G434" s="32" t="s">
        <v>1610</v>
      </c>
      <c r="H434" s="32" t="s">
        <v>1659</v>
      </c>
      <c r="I434" s="32" t="s">
        <v>1689</v>
      </c>
      <c r="J434" s="32">
        <v>6199</v>
      </c>
      <c r="K434" s="32">
        <f>2332+4484+4484+2332+2332+2332+2332+2332</f>
        <v>22960</v>
      </c>
      <c r="L434" s="32">
        <v>0</v>
      </c>
      <c r="M434" s="32">
        <v>0</v>
      </c>
      <c r="N434" s="32">
        <v>1793</v>
      </c>
      <c r="O434" s="32">
        <v>0</v>
      </c>
      <c r="P434" s="32">
        <v>0</v>
      </c>
      <c r="Q434" s="43">
        <f t="shared" si="12"/>
        <v>30952</v>
      </c>
      <c r="R434" s="69">
        <f t="shared" si="13"/>
        <v>26309.200000000001</v>
      </c>
      <c r="S434" s="30"/>
      <c r="T434" s="30"/>
    </row>
    <row r="435" spans="1:20" ht="45" customHeight="1" x14ac:dyDescent="0.3">
      <c r="A435" s="31">
        <v>423</v>
      </c>
      <c r="B435" s="32" t="s">
        <v>1488</v>
      </c>
      <c r="C435" s="32" t="s">
        <v>1509</v>
      </c>
      <c r="D435" s="32" t="s">
        <v>1510</v>
      </c>
      <c r="E435" s="32">
        <v>2023</v>
      </c>
      <c r="F435" s="32" t="s">
        <v>19</v>
      </c>
      <c r="G435" s="32" t="s">
        <v>1611</v>
      </c>
      <c r="H435" s="32" t="s">
        <v>1660</v>
      </c>
      <c r="I435" s="32" t="s">
        <v>1690</v>
      </c>
      <c r="J435" s="32">
        <v>6199</v>
      </c>
      <c r="K435" s="32">
        <f>6278+4484+2332+1346+2332+2332+2332+2332+6995+6995+2332+6995+4484+4484+2332</f>
        <v>58385</v>
      </c>
      <c r="L435" s="32">
        <v>0</v>
      </c>
      <c r="M435" s="32">
        <v>0</v>
      </c>
      <c r="N435" s="32">
        <f>3148+1178+4053+2088</f>
        <v>10467</v>
      </c>
      <c r="O435" s="32">
        <v>0</v>
      </c>
      <c r="P435" s="32">
        <f>720+1080+720+112+120</f>
        <v>2752</v>
      </c>
      <c r="Q435" s="43">
        <f t="shared" si="12"/>
        <v>77803</v>
      </c>
      <c r="R435" s="69">
        <f t="shared" si="13"/>
        <v>66132.55</v>
      </c>
      <c r="S435" s="30"/>
      <c r="T435" s="30"/>
    </row>
    <row r="436" spans="1:20" ht="45" customHeight="1" x14ac:dyDescent="0.3">
      <c r="A436" s="31">
        <v>424</v>
      </c>
      <c r="B436" s="32" t="s">
        <v>1488</v>
      </c>
      <c r="C436" s="32" t="s">
        <v>1511</v>
      </c>
      <c r="D436" s="32" t="s">
        <v>100</v>
      </c>
      <c r="E436" s="32">
        <v>2003</v>
      </c>
      <c r="F436" s="32" t="s">
        <v>19</v>
      </c>
      <c r="G436" s="32" t="s">
        <v>179</v>
      </c>
      <c r="H436" s="32" t="s">
        <v>229</v>
      </c>
      <c r="I436" s="32" t="s">
        <v>276</v>
      </c>
      <c r="J436" s="32">
        <v>0</v>
      </c>
      <c r="K436" s="32">
        <v>0</v>
      </c>
      <c r="L436" s="32">
        <v>0</v>
      </c>
      <c r="M436" s="32">
        <v>0</v>
      </c>
      <c r="N436" s="32">
        <v>38478</v>
      </c>
      <c r="O436" s="32">
        <v>0</v>
      </c>
      <c r="P436" s="32">
        <v>0</v>
      </c>
      <c r="Q436" s="43">
        <f t="shared" si="12"/>
        <v>38478</v>
      </c>
      <c r="R436" s="69">
        <f t="shared" si="13"/>
        <v>32706.3</v>
      </c>
      <c r="S436" s="30"/>
      <c r="T436" s="30"/>
    </row>
    <row r="437" spans="1:20" ht="45" customHeight="1" x14ac:dyDescent="0.3">
      <c r="A437" s="36">
        <v>425</v>
      </c>
      <c r="B437" s="32" t="s">
        <v>1488</v>
      </c>
      <c r="C437" s="32" t="s">
        <v>1512</v>
      </c>
      <c r="D437" s="32" t="s">
        <v>1513</v>
      </c>
      <c r="E437" s="32">
        <v>1979</v>
      </c>
      <c r="F437" s="32" t="s">
        <v>19</v>
      </c>
      <c r="G437" s="32" t="s">
        <v>1612</v>
      </c>
      <c r="H437" s="32" t="s">
        <v>1612</v>
      </c>
      <c r="I437" s="32" t="s">
        <v>1691</v>
      </c>
      <c r="J437" s="32">
        <v>6199</v>
      </c>
      <c r="K437" s="32">
        <v>0</v>
      </c>
      <c r="L437" s="32">
        <v>0</v>
      </c>
      <c r="M437" s="32">
        <v>0</v>
      </c>
      <c r="N437" s="32">
        <v>0</v>
      </c>
      <c r="O437" s="32">
        <v>0</v>
      </c>
      <c r="P437" s="32">
        <v>0</v>
      </c>
      <c r="Q437" s="43">
        <f t="shared" si="12"/>
        <v>6199</v>
      </c>
      <c r="R437" s="69">
        <f t="shared" si="13"/>
        <v>5269.15</v>
      </c>
      <c r="S437" s="30"/>
      <c r="T437" s="30"/>
    </row>
    <row r="438" spans="1:20" ht="45" customHeight="1" x14ac:dyDescent="0.3">
      <c r="A438" s="31">
        <v>426</v>
      </c>
      <c r="B438" s="32" t="s">
        <v>1488</v>
      </c>
      <c r="C438" s="32" t="s">
        <v>1514</v>
      </c>
      <c r="D438" s="32" t="s">
        <v>1515</v>
      </c>
      <c r="E438" s="32">
        <v>2012</v>
      </c>
      <c r="F438" s="32" t="s">
        <v>18</v>
      </c>
      <c r="G438" s="32" t="s">
        <v>1613</v>
      </c>
      <c r="H438" s="32" t="s">
        <v>1034</v>
      </c>
      <c r="I438" s="32" t="s">
        <v>1067</v>
      </c>
      <c r="J438" s="32">
        <v>6199</v>
      </c>
      <c r="K438" s="32">
        <f>1166+2801</f>
        <v>3967</v>
      </c>
      <c r="L438" s="32">
        <v>0</v>
      </c>
      <c r="M438" s="32">
        <v>0</v>
      </c>
      <c r="N438" s="32">
        <v>0</v>
      </c>
      <c r="O438" s="32">
        <v>0</v>
      </c>
      <c r="P438" s="32">
        <v>0</v>
      </c>
      <c r="Q438" s="43">
        <f t="shared" si="12"/>
        <v>10166</v>
      </c>
      <c r="R438" s="69">
        <f t="shared" si="13"/>
        <v>8641.1</v>
      </c>
      <c r="S438" s="30"/>
      <c r="T438" s="30"/>
    </row>
    <row r="439" spans="1:20" ht="45" customHeight="1" x14ac:dyDescent="0.3">
      <c r="A439" s="31">
        <v>427</v>
      </c>
      <c r="B439" s="32" t="s">
        <v>1488</v>
      </c>
      <c r="C439" s="32" t="s">
        <v>1516</v>
      </c>
      <c r="D439" s="32" t="s">
        <v>1517</v>
      </c>
      <c r="E439" s="32">
        <v>2008</v>
      </c>
      <c r="F439" s="32" t="s">
        <v>19</v>
      </c>
      <c r="G439" s="32" t="s">
        <v>1614</v>
      </c>
      <c r="H439" s="32" t="s">
        <v>1661</v>
      </c>
      <c r="I439" s="32" t="s">
        <v>1692</v>
      </c>
      <c r="J439" s="32">
        <v>6199</v>
      </c>
      <c r="K439" s="32">
        <f>1166+2801+6278+2332+1346+4484+2332+2332+2332+2332+6995+6995+6995+2332+4484+2332</f>
        <v>57868</v>
      </c>
      <c r="L439" s="32">
        <v>0</v>
      </c>
      <c r="M439" s="32">
        <v>0</v>
      </c>
      <c r="N439" s="32">
        <v>1793</v>
      </c>
      <c r="O439" s="32">
        <v>0</v>
      </c>
      <c r="P439" s="32">
        <v>0</v>
      </c>
      <c r="Q439" s="43">
        <f t="shared" si="12"/>
        <v>65860</v>
      </c>
      <c r="R439" s="69">
        <f t="shared" si="13"/>
        <v>55981</v>
      </c>
      <c r="S439" s="30"/>
      <c r="T439" s="30"/>
    </row>
    <row r="440" spans="1:20" ht="45" customHeight="1" x14ac:dyDescent="0.3">
      <c r="A440" s="36">
        <v>428</v>
      </c>
      <c r="B440" s="32" t="s">
        <v>1488</v>
      </c>
      <c r="C440" s="32" t="s">
        <v>1518</v>
      </c>
      <c r="D440" s="32" t="s">
        <v>1093</v>
      </c>
      <c r="E440" s="32">
        <v>2022</v>
      </c>
      <c r="F440" s="32" t="s">
        <v>18</v>
      </c>
      <c r="G440" s="32" t="s">
        <v>1173</v>
      </c>
      <c r="H440" s="32" t="s">
        <v>1224</v>
      </c>
      <c r="I440" s="32" t="s">
        <v>1256</v>
      </c>
      <c r="J440" s="32">
        <v>3793</v>
      </c>
      <c r="K440" s="32">
        <v>0</v>
      </c>
      <c r="L440" s="32">
        <v>20807</v>
      </c>
      <c r="M440" s="32">
        <v>0</v>
      </c>
      <c r="N440" s="32">
        <v>0</v>
      </c>
      <c r="O440" s="32">
        <v>0</v>
      </c>
      <c r="P440" s="32">
        <v>0</v>
      </c>
      <c r="Q440" s="43">
        <f t="shared" si="12"/>
        <v>24600</v>
      </c>
      <c r="R440" s="69">
        <f t="shared" si="13"/>
        <v>20910</v>
      </c>
      <c r="S440" s="30"/>
      <c r="T440" s="30"/>
    </row>
    <row r="441" spans="1:20" ht="45" customHeight="1" x14ac:dyDescent="0.3">
      <c r="A441" s="31">
        <v>429</v>
      </c>
      <c r="B441" s="32" t="s">
        <v>1488</v>
      </c>
      <c r="C441" s="32" t="s">
        <v>1519</v>
      </c>
      <c r="D441" s="32" t="s">
        <v>1520</v>
      </c>
      <c r="E441" s="32">
        <v>1983</v>
      </c>
      <c r="F441" s="32" t="s">
        <v>19</v>
      </c>
      <c r="G441" s="32" t="s">
        <v>523</v>
      </c>
      <c r="H441" s="32" t="s">
        <v>523</v>
      </c>
      <c r="I441" s="32" t="s">
        <v>1693</v>
      </c>
      <c r="J441" s="32">
        <v>6199</v>
      </c>
      <c r="K441" s="32">
        <f>13452+6278+2332+4484+4484</f>
        <v>31030</v>
      </c>
      <c r="L441" s="32">
        <v>0</v>
      </c>
      <c r="M441" s="32">
        <v>0</v>
      </c>
      <c r="N441" s="32">
        <v>1793</v>
      </c>
      <c r="O441" s="32">
        <v>0</v>
      </c>
      <c r="P441" s="32">
        <v>0</v>
      </c>
      <c r="Q441" s="43">
        <f t="shared" si="12"/>
        <v>39022</v>
      </c>
      <c r="R441" s="69">
        <f t="shared" si="13"/>
        <v>33168.699999999997</v>
      </c>
      <c r="S441" s="30"/>
      <c r="T441" s="30"/>
    </row>
    <row r="442" spans="1:20" ht="45" customHeight="1" x14ac:dyDescent="0.3">
      <c r="A442" s="31">
        <v>430</v>
      </c>
      <c r="B442" s="32" t="s">
        <v>1488</v>
      </c>
      <c r="C442" s="32" t="s">
        <v>1521</v>
      </c>
      <c r="D442" s="32" t="s">
        <v>1522</v>
      </c>
      <c r="E442" s="32">
        <v>1982</v>
      </c>
      <c r="F442" s="32" t="s">
        <v>19</v>
      </c>
      <c r="G442" s="32" t="s">
        <v>1615</v>
      </c>
      <c r="H442" s="32" t="s">
        <v>1615</v>
      </c>
      <c r="I442" s="32" t="s">
        <v>560</v>
      </c>
      <c r="J442" s="32">
        <v>6199</v>
      </c>
      <c r="K442" s="32">
        <v>0</v>
      </c>
      <c r="L442" s="32">
        <v>0</v>
      </c>
      <c r="M442" s="32">
        <v>0</v>
      </c>
      <c r="N442" s="32">
        <v>0</v>
      </c>
      <c r="O442" s="32">
        <v>0</v>
      </c>
      <c r="P442" s="32">
        <v>0</v>
      </c>
      <c r="Q442" s="43">
        <f t="shared" si="12"/>
        <v>6199</v>
      </c>
      <c r="R442" s="69">
        <f t="shared" si="13"/>
        <v>5269.15</v>
      </c>
      <c r="S442" s="30"/>
      <c r="T442" s="30"/>
    </row>
    <row r="443" spans="1:20" ht="45" customHeight="1" x14ac:dyDescent="0.3">
      <c r="A443" s="36">
        <v>431</v>
      </c>
      <c r="B443" s="32" t="s">
        <v>1488</v>
      </c>
      <c r="C443" s="32" t="s">
        <v>1523</v>
      </c>
      <c r="D443" s="32" t="s">
        <v>1524</v>
      </c>
      <c r="E443" s="32">
        <v>1987</v>
      </c>
      <c r="F443" s="32" t="s">
        <v>19</v>
      </c>
      <c r="G443" s="32" t="s">
        <v>1616</v>
      </c>
      <c r="H443" s="32" t="s">
        <v>1662</v>
      </c>
      <c r="I443" s="32" t="s">
        <v>1277</v>
      </c>
      <c r="J443" s="32">
        <v>6199</v>
      </c>
      <c r="K443" s="32">
        <v>0</v>
      </c>
      <c r="L443" s="32">
        <v>0</v>
      </c>
      <c r="M443" s="32">
        <v>0</v>
      </c>
      <c r="N443" s="32">
        <v>0</v>
      </c>
      <c r="O443" s="32">
        <v>0</v>
      </c>
      <c r="P443" s="32">
        <v>0</v>
      </c>
      <c r="Q443" s="43">
        <f t="shared" si="12"/>
        <v>6199</v>
      </c>
      <c r="R443" s="69">
        <f t="shared" si="13"/>
        <v>5269.15</v>
      </c>
      <c r="S443" s="30"/>
      <c r="T443" s="30"/>
    </row>
    <row r="444" spans="1:20" ht="45" customHeight="1" x14ac:dyDescent="0.3">
      <c r="A444" s="31">
        <v>432</v>
      </c>
      <c r="B444" s="32" t="s">
        <v>1488</v>
      </c>
      <c r="C444" s="32" t="s">
        <v>1525</v>
      </c>
      <c r="D444" s="32" t="s">
        <v>1526</v>
      </c>
      <c r="E444" s="32">
        <v>2022</v>
      </c>
      <c r="F444" s="32" t="s">
        <v>19</v>
      </c>
      <c r="G444" s="32" t="s">
        <v>1617</v>
      </c>
      <c r="H444" s="32" t="s">
        <v>1663</v>
      </c>
      <c r="I444" s="32" t="s">
        <v>1694</v>
      </c>
      <c r="J444" s="32">
        <v>6199</v>
      </c>
      <c r="K444" s="32">
        <v>0</v>
      </c>
      <c r="L444" s="32">
        <v>0</v>
      </c>
      <c r="M444" s="32">
        <v>0</v>
      </c>
      <c r="N444" s="32">
        <v>0</v>
      </c>
      <c r="O444" s="32">
        <v>0</v>
      </c>
      <c r="P444" s="32">
        <v>0</v>
      </c>
      <c r="Q444" s="43">
        <f t="shared" si="12"/>
        <v>6199</v>
      </c>
      <c r="R444" s="69">
        <f t="shared" si="13"/>
        <v>5269.15</v>
      </c>
      <c r="S444" s="30"/>
      <c r="T444" s="30"/>
    </row>
    <row r="445" spans="1:20" ht="45" customHeight="1" x14ac:dyDescent="0.3">
      <c r="A445" s="31">
        <v>433</v>
      </c>
      <c r="B445" s="32" t="s">
        <v>1488</v>
      </c>
      <c r="C445" s="32" t="s">
        <v>1527</v>
      </c>
      <c r="D445" s="32" t="s">
        <v>1528</v>
      </c>
      <c r="E445" s="32">
        <v>1987</v>
      </c>
      <c r="F445" s="32" t="s">
        <v>18</v>
      </c>
      <c r="G445" s="32" t="s">
        <v>1618</v>
      </c>
      <c r="H445" s="32" t="s">
        <v>1664</v>
      </c>
      <c r="I445" s="32" t="s">
        <v>1695</v>
      </c>
      <c r="J445" s="32">
        <v>3582</v>
      </c>
      <c r="K445" s="32">
        <v>0</v>
      </c>
      <c r="L445" s="32">
        <v>0</v>
      </c>
      <c r="M445" s="32">
        <v>0</v>
      </c>
      <c r="N445" s="32">
        <f>34016+38478</f>
        <v>72494</v>
      </c>
      <c r="O445" s="32">
        <v>0</v>
      </c>
      <c r="P445" s="32">
        <v>0</v>
      </c>
      <c r="Q445" s="43">
        <f t="shared" si="12"/>
        <v>76076</v>
      </c>
      <c r="R445" s="69">
        <f t="shared" si="13"/>
        <v>64664.6</v>
      </c>
      <c r="S445" s="30"/>
      <c r="T445" s="30"/>
    </row>
    <row r="446" spans="1:20" ht="45" customHeight="1" x14ac:dyDescent="0.3">
      <c r="A446" s="36">
        <v>434</v>
      </c>
      <c r="B446" s="32" t="s">
        <v>1488</v>
      </c>
      <c r="C446" s="32" t="s">
        <v>1529</v>
      </c>
      <c r="D446" s="32" t="s">
        <v>1530</v>
      </c>
      <c r="E446" s="32">
        <v>1987</v>
      </c>
      <c r="F446" s="32" t="s">
        <v>18</v>
      </c>
      <c r="G446" s="32" t="s">
        <v>1619</v>
      </c>
      <c r="H446" s="32" t="s">
        <v>1619</v>
      </c>
      <c r="I446" s="32" t="s">
        <v>1696</v>
      </c>
      <c r="J446" s="32">
        <v>6199</v>
      </c>
      <c r="K446" s="32">
        <v>1166</v>
      </c>
      <c r="L446" s="32">
        <v>0</v>
      </c>
      <c r="M446" s="32">
        <v>0</v>
      </c>
      <c r="N446" s="32">
        <v>0</v>
      </c>
      <c r="O446" s="32">
        <v>0</v>
      </c>
      <c r="P446" s="32">
        <v>0</v>
      </c>
      <c r="Q446" s="43">
        <f t="shared" si="12"/>
        <v>7365</v>
      </c>
      <c r="R446" s="69">
        <f t="shared" si="13"/>
        <v>6260.25</v>
      </c>
      <c r="S446" s="30"/>
      <c r="T446" s="30"/>
    </row>
    <row r="447" spans="1:20" ht="45" customHeight="1" x14ac:dyDescent="0.3">
      <c r="A447" s="31">
        <v>435</v>
      </c>
      <c r="B447" s="32" t="s">
        <v>1488</v>
      </c>
      <c r="C447" s="32" t="s">
        <v>1531</v>
      </c>
      <c r="D447" s="32" t="s">
        <v>1532</v>
      </c>
      <c r="E447" s="32">
        <v>1984</v>
      </c>
      <c r="F447" s="32" t="s">
        <v>19</v>
      </c>
      <c r="G447" s="32" t="s">
        <v>1620</v>
      </c>
      <c r="H447" s="32" t="s">
        <v>1620</v>
      </c>
      <c r="I447" s="32" t="s">
        <v>268</v>
      </c>
      <c r="J447" s="32">
        <v>6199</v>
      </c>
      <c r="K447" s="32">
        <v>0</v>
      </c>
      <c r="L447" s="32">
        <v>0</v>
      </c>
      <c r="M447" s="32">
        <v>0</v>
      </c>
      <c r="N447" s="32">
        <v>0</v>
      </c>
      <c r="O447" s="32">
        <v>0</v>
      </c>
      <c r="P447" s="32">
        <v>0</v>
      </c>
      <c r="Q447" s="43">
        <f t="shared" si="12"/>
        <v>6199</v>
      </c>
      <c r="R447" s="69">
        <f t="shared" si="13"/>
        <v>5269.15</v>
      </c>
      <c r="S447" s="30"/>
      <c r="T447" s="30"/>
    </row>
    <row r="448" spans="1:20" ht="45" customHeight="1" x14ac:dyDescent="0.3">
      <c r="A448" s="31">
        <v>436</v>
      </c>
      <c r="B448" s="32" t="s">
        <v>1488</v>
      </c>
      <c r="C448" s="32" t="s">
        <v>1533</v>
      </c>
      <c r="D448" s="32" t="s">
        <v>1534</v>
      </c>
      <c r="E448" s="32">
        <v>2019</v>
      </c>
      <c r="F448" s="32" t="s">
        <v>18</v>
      </c>
      <c r="G448" s="32" t="s">
        <v>1621</v>
      </c>
      <c r="H448" s="32" t="s">
        <v>1665</v>
      </c>
      <c r="I448" s="32" t="s">
        <v>1697</v>
      </c>
      <c r="J448" s="32">
        <v>6199</v>
      </c>
      <c r="K448" s="32">
        <v>0</v>
      </c>
      <c r="L448" s="32">
        <v>20807</v>
      </c>
      <c r="M448" s="32">
        <v>0</v>
      </c>
      <c r="N448" s="32">
        <v>0</v>
      </c>
      <c r="O448" s="32">
        <v>0</v>
      </c>
      <c r="P448" s="32">
        <v>0</v>
      </c>
      <c r="Q448" s="43">
        <f t="shared" si="12"/>
        <v>27006</v>
      </c>
      <c r="R448" s="69">
        <f t="shared" si="13"/>
        <v>22955.1</v>
      </c>
      <c r="S448" s="30"/>
      <c r="T448" s="30"/>
    </row>
    <row r="449" spans="1:20" ht="45" customHeight="1" x14ac:dyDescent="0.3">
      <c r="A449" s="36">
        <v>437</v>
      </c>
      <c r="B449" s="32" t="s">
        <v>1488</v>
      </c>
      <c r="C449" s="32" t="s">
        <v>1535</v>
      </c>
      <c r="D449" s="32" t="s">
        <v>1536</v>
      </c>
      <c r="E449" s="32">
        <v>1988</v>
      </c>
      <c r="F449" s="32" t="s">
        <v>19</v>
      </c>
      <c r="G449" s="32" t="s">
        <v>1622</v>
      </c>
      <c r="H449" s="32" t="s">
        <v>1666</v>
      </c>
      <c r="I449" s="32" t="s">
        <v>1064</v>
      </c>
      <c r="J449" s="32">
        <v>6199</v>
      </c>
      <c r="K449" s="32">
        <f>2332+2332+2243+6278+4484+1346+2332+2332+2332+2332</f>
        <v>28343</v>
      </c>
      <c r="L449" s="32">
        <v>17279</v>
      </c>
      <c r="M449" s="32">
        <v>0</v>
      </c>
      <c r="N449" s="32">
        <v>1793</v>
      </c>
      <c r="O449" s="32">
        <v>0</v>
      </c>
      <c r="P449" s="32">
        <v>0</v>
      </c>
      <c r="Q449" s="43">
        <f t="shared" si="12"/>
        <v>53614</v>
      </c>
      <c r="R449" s="69">
        <f t="shared" si="13"/>
        <v>45571.9</v>
      </c>
      <c r="S449" s="30"/>
      <c r="T449" s="30"/>
    </row>
    <row r="450" spans="1:20" ht="45" customHeight="1" x14ac:dyDescent="0.3">
      <c r="A450" s="31">
        <v>438</v>
      </c>
      <c r="B450" s="32" t="s">
        <v>1488</v>
      </c>
      <c r="C450" s="32" t="s">
        <v>1537</v>
      </c>
      <c r="D450" s="32" t="s">
        <v>1538</v>
      </c>
      <c r="E450" s="32">
        <v>1997</v>
      </c>
      <c r="F450" s="32" t="s">
        <v>18</v>
      </c>
      <c r="G450" s="32" t="s">
        <v>1623</v>
      </c>
      <c r="H450" s="32" t="s">
        <v>1623</v>
      </c>
      <c r="I450" s="32" t="s">
        <v>1698</v>
      </c>
      <c r="J450" s="32">
        <v>6199</v>
      </c>
      <c r="K450" s="32">
        <f>6278+4484+1346+4484+2332+1166+2332+2332+2332+2332+6995+3000+3000</f>
        <v>42413</v>
      </c>
      <c r="L450" s="32">
        <v>0</v>
      </c>
      <c r="M450" s="32">
        <v>0</v>
      </c>
      <c r="N450" s="32">
        <v>1793</v>
      </c>
      <c r="O450" s="32">
        <v>0</v>
      </c>
      <c r="P450" s="32">
        <v>0</v>
      </c>
      <c r="Q450" s="43">
        <f t="shared" si="12"/>
        <v>50405</v>
      </c>
      <c r="R450" s="69">
        <f t="shared" si="13"/>
        <v>42844.25</v>
      </c>
      <c r="S450" s="30"/>
      <c r="T450" s="30"/>
    </row>
    <row r="451" spans="1:20" ht="45" customHeight="1" x14ac:dyDescent="0.3">
      <c r="A451" s="31">
        <v>439</v>
      </c>
      <c r="B451" s="32" t="s">
        <v>1488</v>
      </c>
      <c r="C451" s="32" t="s">
        <v>1539</v>
      </c>
      <c r="D451" s="32" t="s">
        <v>1540</v>
      </c>
      <c r="E451" s="32">
        <v>2014</v>
      </c>
      <c r="F451" s="32" t="s">
        <v>18</v>
      </c>
      <c r="G451" s="32" t="s">
        <v>1624</v>
      </c>
      <c r="H451" s="32" t="s">
        <v>1667</v>
      </c>
      <c r="I451" s="32" t="s">
        <v>1699</v>
      </c>
      <c r="J451" s="32">
        <v>6199</v>
      </c>
      <c r="K451" s="32">
        <v>0</v>
      </c>
      <c r="L451" s="32">
        <v>0</v>
      </c>
      <c r="M451" s="32">
        <v>0</v>
      </c>
      <c r="N451" s="32">
        <v>0</v>
      </c>
      <c r="O451" s="32">
        <v>0</v>
      </c>
      <c r="P451" s="32">
        <v>0</v>
      </c>
      <c r="Q451" s="43">
        <f t="shared" si="12"/>
        <v>6199</v>
      </c>
      <c r="R451" s="69">
        <f t="shared" si="13"/>
        <v>5269.15</v>
      </c>
      <c r="S451" s="30"/>
      <c r="T451" s="30"/>
    </row>
    <row r="452" spans="1:20" ht="45" customHeight="1" x14ac:dyDescent="0.3">
      <c r="A452" s="36">
        <v>440</v>
      </c>
      <c r="B452" s="32" t="s">
        <v>1488</v>
      </c>
      <c r="C452" s="32" t="s">
        <v>1541</v>
      </c>
      <c r="D452" s="32" t="s">
        <v>1542</v>
      </c>
      <c r="E452" s="32">
        <v>1997</v>
      </c>
      <c r="F452" s="32" t="s">
        <v>19</v>
      </c>
      <c r="G452" s="32" t="s">
        <v>1625</v>
      </c>
      <c r="H452" s="32" t="s">
        <v>1625</v>
      </c>
      <c r="I452" s="32" t="s">
        <v>1700</v>
      </c>
      <c r="J452" s="32">
        <v>6199</v>
      </c>
      <c r="K452" s="32">
        <v>0</v>
      </c>
      <c r="L452" s="32">
        <v>17279</v>
      </c>
      <c r="M452" s="32">
        <v>0</v>
      </c>
      <c r="N452" s="32">
        <v>0</v>
      </c>
      <c r="O452" s="32">
        <v>0</v>
      </c>
      <c r="P452" s="32">
        <v>0</v>
      </c>
      <c r="Q452" s="43">
        <f t="shared" si="12"/>
        <v>23478</v>
      </c>
      <c r="R452" s="69">
        <f t="shared" si="13"/>
        <v>19956.3</v>
      </c>
      <c r="S452" s="30"/>
      <c r="T452" s="30"/>
    </row>
    <row r="453" spans="1:20" ht="45" customHeight="1" x14ac:dyDescent="0.3">
      <c r="A453" s="31">
        <v>441</v>
      </c>
      <c r="B453" s="32" t="s">
        <v>1488</v>
      </c>
      <c r="C453" s="32" t="s">
        <v>1543</v>
      </c>
      <c r="D453" s="32" t="s">
        <v>1544</v>
      </c>
      <c r="E453" s="32">
        <v>2000</v>
      </c>
      <c r="F453" s="32" t="s">
        <v>18</v>
      </c>
      <c r="G453" s="32" t="s">
        <v>1626</v>
      </c>
      <c r="H453" s="32" t="s">
        <v>1626</v>
      </c>
      <c r="I453" s="32" t="s">
        <v>1701</v>
      </c>
      <c r="J453" s="32">
        <v>3582</v>
      </c>
      <c r="K453" s="32">
        <v>0</v>
      </c>
      <c r="L453" s="32">
        <v>0</v>
      </c>
      <c r="M453" s="32">
        <v>0</v>
      </c>
      <c r="N453" s="32">
        <v>34016</v>
      </c>
      <c r="O453" s="32">
        <v>0</v>
      </c>
      <c r="P453" s="32">
        <v>0</v>
      </c>
      <c r="Q453" s="43">
        <f t="shared" si="12"/>
        <v>37598</v>
      </c>
      <c r="R453" s="69">
        <f t="shared" si="13"/>
        <v>31958.3</v>
      </c>
      <c r="S453" s="30"/>
      <c r="T453" s="30"/>
    </row>
    <row r="454" spans="1:20" ht="45" customHeight="1" x14ac:dyDescent="0.3">
      <c r="A454" s="31">
        <v>442</v>
      </c>
      <c r="B454" s="32" t="s">
        <v>1488</v>
      </c>
      <c r="C454" s="32" t="s">
        <v>1545</v>
      </c>
      <c r="D454" s="32" t="s">
        <v>1546</v>
      </c>
      <c r="E454" s="32">
        <v>2001</v>
      </c>
      <c r="F454" s="32" t="s">
        <v>19</v>
      </c>
      <c r="G454" s="32" t="s">
        <v>1627</v>
      </c>
      <c r="H454" s="32" t="s">
        <v>1627</v>
      </c>
      <c r="I454" s="32" t="s">
        <v>840</v>
      </c>
      <c r="J454" s="32">
        <v>6199</v>
      </c>
      <c r="K454" s="32">
        <v>0</v>
      </c>
      <c r="L454" s="32">
        <v>0</v>
      </c>
      <c r="M454" s="32">
        <v>0</v>
      </c>
      <c r="N454" s="32">
        <f>15443+20859</f>
        <v>36302</v>
      </c>
      <c r="O454" s="32">
        <v>0</v>
      </c>
      <c r="P454" s="32">
        <v>0</v>
      </c>
      <c r="Q454" s="43">
        <f t="shared" si="12"/>
        <v>42501</v>
      </c>
      <c r="R454" s="69">
        <f t="shared" si="13"/>
        <v>36125.85</v>
      </c>
      <c r="S454" s="30"/>
      <c r="T454" s="30"/>
    </row>
    <row r="455" spans="1:20" ht="45" customHeight="1" x14ac:dyDescent="0.3">
      <c r="A455" s="36">
        <v>443</v>
      </c>
      <c r="B455" s="32" t="s">
        <v>1488</v>
      </c>
      <c r="C455" s="32" t="s">
        <v>1547</v>
      </c>
      <c r="D455" s="32" t="s">
        <v>1548</v>
      </c>
      <c r="E455" s="32">
        <v>2005</v>
      </c>
      <c r="F455" s="32" t="s">
        <v>19</v>
      </c>
      <c r="G455" s="32" t="s">
        <v>1628</v>
      </c>
      <c r="H455" s="32" t="s">
        <v>1668</v>
      </c>
      <c r="I455" s="32" t="s">
        <v>1702</v>
      </c>
      <c r="J455" s="32">
        <v>6199</v>
      </c>
      <c r="K455" s="32">
        <f>6278+4484+1346+2332+2332+4484+2332+2332+2332+2332+3000+3000</f>
        <v>36584</v>
      </c>
      <c r="L455" s="32">
        <v>0</v>
      </c>
      <c r="M455" s="32">
        <v>0</v>
      </c>
      <c r="N455" s="32">
        <v>1793</v>
      </c>
      <c r="O455" s="32">
        <v>0</v>
      </c>
      <c r="P455" s="32">
        <v>0</v>
      </c>
      <c r="Q455" s="43">
        <f t="shared" si="12"/>
        <v>44576</v>
      </c>
      <c r="R455" s="69">
        <f t="shared" si="13"/>
        <v>37889.599999999999</v>
      </c>
      <c r="S455" s="30"/>
      <c r="T455" s="30"/>
    </row>
    <row r="456" spans="1:20" ht="45" customHeight="1" x14ac:dyDescent="0.3">
      <c r="A456" s="31">
        <v>444</v>
      </c>
      <c r="B456" s="32" t="s">
        <v>1488</v>
      </c>
      <c r="C456" s="32" t="s">
        <v>1549</v>
      </c>
      <c r="D456" s="32" t="s">
        <v>1145</v>
      </c>
      <c r="E456" s="32">
        <v>2020</v>
      </c>
      <c r="F456" s="32" t="s">
        <v>19</v>
      </c>
      <c r="G456" s="32" t="s">
        <v>1199</v>
      </c>
      <c r="H456" s="32" t="s">
        <v>1239</v>
      </c>
      <c r="I456" s="32" t="s">
        <v>1273</v>
      </c>
      <c r="J456" s="32">
        <v>3793</v>
      </c>
      <c r="K456" s="32">
        <f>6278+4484+2332+1346+2332+2332+2332+2332+6995+6995+2332+6995+2332+4484+1166+2801</f>
        <v>57868</v>
      </c>
      <c r="L456" s="32">
        <v>0</v>
      </c>
      <c r="M456" s="32">
        <v>0</v>
      </c>
      <c r="N456" s="32">
        <v>3148</v>
      </c>
      <c r="O456" s="32">
        <v>0</v>
      </c>
      <c r="P456" s="32">
        <v>0</v>
      </c>
      <c r="Q456" s="43">
        <f t="shared" si="12"/>
        <v>64809</v>
      </c>
      <c r="R456" s="69">
        <f t="shared" si="13"/>
        <v>55087.65</v>
      </c>
      <c r="S456" s="30"/>
      <c r="T456" s="30"/>
    </row>
    <row r="457" spans="1:20" s="41" customFormat="1" ht="45" customHeight="1" x14ac:dyDescent="0.3">
      <c r="A457" s="31">
        <v>445</v>
      </c>
      <c r="B457" s="38" t="s">
        <v>1488</v>
      </c>
      <c r="C457" s="38" t="s">
        <v>1550</v>
      </c>
      <c r="D457" s="38" t="s">
        <v>1551</v>
      </c>
      <c r="E457" s="38">
        <v>1978</v>
      </c>
      <c r="F457" s="38" t="s">
        <v>19</v>
      </c>
      <c r="G457" s="38" t="s">
        <v>1629</v>
      </c>
      <c r="H457" s="38" t="s">
        <v>1669</v>
      </c>
      <c r="I457" s="38" t="s">
        <v>1703</v>
      </c>
      <c r="J457" s="38">
        <v>6199</v>
      </c>
      <c r="K457" s="38">
        <v>0</v>
      </c>
      <c r="L457" s="38">
        <v>0</v>
      </c>
      <c r="M457" s="38">
        <v>0</v>
      </c>
      <c r="N457" s="38">
        <v>0</v>
      </c>
      <c r="O457" s="38">
        <v>0</v>
      </c>
      <c r="P457" s="38">
        <v>0</v>
      </c>
      <c r="Q457" s="43">
        <f t="shared" si="12"/>
        <v>6199</v>
      </c>
      <c r="R457" s="69">
        <f t="shared" si="13"/>
        <v>5269.15</v>
      </c>
      <c r="S457" s="40"/>
      <c r="T457" s="40"/>
    </row>
    <row r="458" spans="1:20" ht="45" customHeight="1" x14ac:dyDescent="0.3">
      <c r="A458" s="36">
        <v>446</v>
      </c>
      <c r="B458" s="32" t="s">
        <v>1488</v>
      </c>
      <c r="C458" s="32" t="s">
        <v>1552</v>
      </c>
      <c r="D458" s="32" t="s">
        <v>1553</v>
      </c>
      <c r="E458" s="32">
        <v>1970</v>
      </c>
      <c r="F458" s="32" t="s">
        <v>19</v>
      </c>
      <c r="G458" s="32" t="s">
        <v>1630</v>
      </c>
      <c r="H458" s="32" t="s">
        <v>1630</v>
      </c>
      <c r="I458" s="32" t="s">
        <v>262</v>
      </c>
      <c r="J458" s="32">
        <v>6199</v>
      </c>
      <c r="K458" s="32">
        <v>0</v>
      </c>
      <c r="L458" s="32">
        <v>0</v>
      </c>
      <c r="M458" s="32">
        <v>0</v>
      </c>
      <c r="N458" s="32">
        <v>0</v>
      </c>
      <c r="O458" s="32">
        <v>0</v>
      </c>
      <c r="P458" s="32">
        <v>0</v>
      </c>
      <c r="Q458" s="43">
        <f t="shared" si="12"/>
        <v>6199</v>
      </c>
      <c r="R458" s="69">
        <f t="shared" si="13"/>
        <v>5269.15</v>
      </c>
      <c r="S458" s="30"/>
      <c r="T458" s="30"/>
    </row>
    <row r="459" spans="1:20" ht="45" customHeight="1" x14ac:dyDescent="0.3">
      <c r="A459" s="31">
        <v>447</v>
      </c>
      <c r="B459" s="32" t="s">
        <v>1488</v>
      </c>
      <c r="C459" s="32" t="s">
        <v>1554</v>
      </c>
      <c r="D459" s="32" t="s">
        <v>1555</v>
      </c>
      <c r="E459" s="32">
        <v>1977</v>
      </c>
      <c r="F459" s="32" t="s">
        <v>18</v>
      </c>
      <c r="G459" s="32" t="s">
        <v>1631</v>
      </c>
      <c r="H459" s="32" t="s">
        <v>1631</v>
      </c>
      <c r="I459" s="32" t="s">
        <v>278</v>
      </c>
      <c r="J459" s="32">
        <v>6199</v>
      </c>
      <c r="K459" s="32">
        <v>0</v>
      </c>
      <c r="L459" s="32">
        <v>0</v>
      </c>
      <c r="M459" s="32">
        <v>0</v>
      </c>
      <c r="N459" s="32">
        <v>0</v>
      </c>
      <c r="O459" s="32">
        <v>0</v>
      </c>
      <c r="P459" s="32">
        <v>0</v>
      </c>
      <c r="Q459" s="43">
        <f t="shared" si="12"/>
        <v>6199</v>
      </c>
      <c r="R459" s="69">
        <f t="shared" si="13"/>
        <v>5269.15</v>
      </c>
      <c r="S459" s="30"/>
      <c r="T459" s="30"/>
    </row>
    <row r="460" spans="1:20" ht="45" customHeight="1" x14ac:dyDescent="0.3">
      <c r="A460" s="31">
        <v>448</v>
      </c>
      <c r="B460" s="32" t="s">
        <v>1488</v>
      </c>
      <c r="C460" s="32" t="s">
        <v>1556</v>
      </c>
      <c r="D460" s="34">
        <v>10225682</v>
      </c>
      <c r="E460" s="32">
        <v>1972</v>
      </c>
      <c r="F460" s="32" t="s">
        <v>19</v>
      </c>
      <c r="G460" s="32" t="s">
        <v>1632</v>
      </c>
      <c r="H460" s="32" t="s">
        <v>1632</v>
      </c>
      <c r="I460" s="32" t="s">
        <v>1047</v>
      </c>
      <c r="J460" s="32">
        <v>6199</v>
      </c>
      <c r="K460" s="32">
        <f>13452+1166+2801+6278+6995+2332+2332+3000+3000+4484+4484+2332+2332+2332</f>
        <v>57320</v>
      </c>
      <c r="L460" s="32">
        <v>0</v>
      </c>
      <c r="M460" s="32">
        <v>0</v>
      </c>
      <c r="N460" s="32">
        <v>1793</v>
      </c>
      <c r="O460" s="32">
        <v>0</v>
      </c>
      <c r="P460" s="32">
        <v>0</v>
      </c>
      <c r="Q460" s="43">
        <f t="shared" si="12"/>
        <v>65312</v>
      </c>
      <c r="R460" s="69">
        <f t="shared" si="13"/>
        <v>55515.199999999997</v>
      </c>
      <c r="S460" s="30"/>
      <c r="T460" s="30"/>
    </row>
    <row r="461" spans="1:20" s="41" customFormat="1" ht="45" customHeight="1" x14ac:dyDescent="0.3">
      <c r="A461" s="36">
        <v>449</v>
      </c>
      <c r="B461" s="38" t="s">
        <v>1488</v>
      </c>
      <c r="C461" s="38" t="s">
        <v>1557</v>
      </c>
      <c r="D461" s="38" t="s">
        <v>1558</v>
      </c>
      <c r="E461" s="38">
        <v>1968</v>
      </c>
      <c r="F461" s="38" t="s">
        <v>19</v>
      </c>
      <c r="G461" s="38" t="s">
        <v>1633</v>
      </c>
      <c r="H461" s="38" t="s">
        <v>1670</v>
      </c>
      <c r="I461" s="38" t="s">
        <v>276</v>
      </c>
      <c r="J461" s="38">
        <v>6199</v>
      </c>
      <c r="K461" s="38">
        <v>0</v>
      </c>
      <c r="L461" s="38">
        <v>0</v>
      </c>
      <c r="M461" s="38">
        <v>0</v>
      </c>
      <c r="N461" s="38">
        <v>0</v>
      </c>
      <c r="O461" s="38">
        <v>0</v>
      </c>
      <c r="P461" s="38">
        <v>0</v>
      </c>
      <c r="Q461" s="43">
        <f t="shared" ref="Q461:Q524" si="14">SUM(J461:P461)</f>
        <v>6199</v>
      </c>
      <c r="R461" s="69">
        <f t="shared" si="13"/>
        <v>5269.15</v>
      </c>
      <c r="S461" s="40"/>
      <c r="T461" s="40"/>
    </row>
    <row r="462" spans="1:20" s="41" customFormat="1" ht="45" customHeight="1" x14ac:dyDescent="0.3">
      <c r="A462" s="31">
        <v>450</v>
      </c>
      <c r="B462" s="38" t="s">
        <v>1488</v>
      </c>
      <c r="C462" s="38" t="s">
        <v>1559</v>
      </c>
      <c r="D462" s="38" t="s">
        <v>1560</v>
      </c>
      <c r="E462" s="38">
        <v>1981</v>
      </c>
      <c r="F462" s="38" t="s">
        <v>19</v>
      </c>
      <c r="G462" s="38" t="s">
        <v>1634</v>
      </c>
      <c r="H462" s="38" t="s">
        <v>1634</v>
      </c>
      <c r="I462" s="38" t="s">
        <v>1480</v>
      </c>
      <c r="J462" s="38">
        <v>6199</v>
      </c>
      <c r="K462" s="38">
        <v>0</v>
      </c>
      <c r="L462" s="38">
        <v>0</v>
      </c>
      <c r="M462" s="38">
        <v>0</v>
      </c>
      <c r="N462" s="38">
        <v>0</v>
      </c>
      <c r="O462" s="38">
        <v>0</v>
      </c>
      <c r="P462" s="38">
        <v>0</v>
      </c>
      <c r="Q462" s="43">
        <f t="shared" si="14"/>
        <v>6199</v>
      </c>
      <c r="R462" s="69">
        <f t="shared" ref="R462:R525" si="15">Q462*85/100</f>
        <v>5269.15</v>
      </c>
      <c r="S462" s="40"/>
      <c r="T462" s="40"/>
    </row>
    <row r="463" spans="1:20" ht="45" customHeight="1" x14ac:dyDescent="0.3">
      <c r="A463" s="31">
        <v>451</v>
      </c>
      <c r="B463" s="32" t="s">
        <v>1488</v>
      </c>
      <c r="C463" s="32" t="s">
        <v>1561</v>
      </c>
      <c r="D463" s="32" t="s">
        <v>1562</v>
      </c>
      <c r="E463" s="32">
        <v>1997</v>
      </c>
      <c r="F463" s="32" t="s">
        <v>19</v>
      </c>
      <c r="G463" s="32" t="s">
        <v>1635</v>
      </c>
      <c r="H463" s="32" t="s">
        <v>1635</v>
      </c>
      <c r="I463" s="32" t="s">
        <v>289</v>
      </c>
      <c r="J463" s="32">
        <v>3582</v>
      </c>
      <c r="K463" s="32">
        <v>0</v>
      </c>
      <c r="L463" s="32">
        <v>0</v>
      </c>
      <c r="M463" s="32">
        <v>0</v>
      </c>
      <c r="N463" s="32">
        <f>34016+27380</f>
        <v>61396</v>
      </c>
      <c r="O463" s="32">
        <v>0</v>
      </c>
      <c r="P463" s="32">
        <v>0</v>
      </c>
      <c r="Q463" s="43">
        <f t="shared" si="14"/>
        <v>64978</v>
      </c>
      <c r="R463" s="69">
        <f t="shared" si="15"/>
        <v>55231.3</v>
      </c>
      <c r="S463" s="30"/>
      <c r="T463" s="30"/>
    </row>
    <row r="464" spans="1:20" s="41" customFormat="1" ht="45" customHeight="1" x14ac:dyDescent="0.3">
      <c r="A464" s="36">
        <v>452</v>
      </c>
      <c r="B464" s="38" t="s">
        <v>1488</v>
      </c>
      <c r="C464" s="38" t="s">
        <v>1563</v>
      </c>
      <c r="D464" s="38" t="s">
        <v>1564</v>
      </c>
      <c r="E464" s="38">
        <v>2018</v>
      </c>
      <c r="F464" s="38" t="s">
        <v>19</v>
      </c>
      <c r="G464" s="38" t="s">
        <v>1636</v>
      </c>
      <c r="H464" s="38" t="s">
        <v>1671</v>
      </c>
      <c r="I464" s="38" t="s">
        <v>1460</v>
      </c>
      <c r="J464" s="38">
        <v>6199</v>
      </c>
      <c r="K464" s="38">
        <f>6278+4484+2332+1346+4484+4484+2332+6995+6995+2332+6995+2332+2332+2332+2332</f>
        <v>58385</v>
      </c>
      <c r="L464" s="38">
        <v>0</v>
      </c>
      <c r="M464" s="38">
        <v>0</v>
      </c>
      <c r="N464" s="38">
        <v>3148</v>
      </c>
      <c r="O464" s="38">
        <v>0</v>
      </c>
      <c r="P464" s="38">
        <v>0</v>
      </c>
      <c r="Q464" s="43">
        <f t="shared" si="14"/>
        <v>67732</v>
      </c>
      <c r="R464" s="69">
        <f t="shared" si="15"/>
        <v>57572.2</v>
      </c>
      <c r="S464" s="40"/>
      <c r="T464" s="40"/>
    </row>
    <row r="465" spans="1:20" ht="45" customHeight="1" x14ac:dyDescent="0.3">
      <c r="A465" s="31">
        <v>453</v>
      </c>
      <c r="B465" s="32" t="s">
        <v>1488</v>
      </c>
      <c r="C465" s="32" t="s">
        <v>1565</v>
      </c>
      <c r="D465" s="32" t="s">
        <v>1566</v>
      </c>
      <c r="E465" s="32">
        <v>2023</v>
      </c>
      <c r="F465" s="32" t="s">
        <v>19</v>
      </c>
      <c r="G465" s="32" t="s">
        <v>1637</v>
      </c>
      <c r="H465" s="32" t="s">
        <v>1672</v>
      </c>
      <c r="I465" s="32" t="s">
        <v>32</v>
      </c>
      <c r="J465" s="32">
        <v>3793</v>
      </c>
      <c r="K465" s="32">
        <f>6278+4484+1346</f>
        <v>12108</v>
      </c>
      <c r="L465" s="32">
        <v>0</v>
      </c>
      <c r="M465" s="32">
        <v>0</v>
      </c>
      <c r="N465" s="32">
        <f>3148+1178+4053+2088</f>
        <v>10467</v>
      </c>
      <c r="O465" s="32">
        <v>0</v>
      </c>
      <c r="P465" s="32">
        <f>720+1080+1200+360+56+396</f>
        <v>3812</v>
      </c>
      <c r="Q465" s="43">
        <f t="shared" si="14"/>
        <v>30180</v>
      </c>
      <c r="R465" s="69">
        <f t="shared" si="15"/>
        <v>25653</v>
      </c>
      <c r="S465" s="30"/>
      <c r="T465" s="30"/>
    </row>
    <row r="466" spans="1:20" s="41" customFormat="1" ht="45" customHeight="1" x14ac:dyDescent="0.3">
      <c r="A466" s="31">
        <v>454</v>
      </c>
      <c r="B466" s="38" t="s">
        <v>1488</v>
      </c>
      <c r="C466" s="38" t="s">
        <v>1567</v>
      </c>
      <c r="D466" s="38" t="s">
        <v>1568</v>
      </c>
      <c r="E466" s="38">
        <v>2025</v>
      </c>
      <c r="F466" s="38" t="s">
        <v>19</v>
      </c>
      <c r="G466" s="38" t="s">
        <v>1638</v>
      </c>
      <c r="H466" s="38" t="s">
        <v>1673</v>
      </c>
      <c r="I466" s="38" t="s">
        <v>1704</v>
      </c>
      <c r="J466" s="38">
        <v>6199</v>
      </c>
      <c r="K466" s="38">
        <v>0</v>
      </c>
      <c r="L466" s="38">
        <v>0</v>
      </c>
      <c r="M466" s="38">
        <v>0</v>
      </c>
      <c r="N466" s="38">
        <v>0</v>
      </c>
      <c r="O466" s="38">
        <v>0</v>
      </c>
      <c r="P466" s="38">
        <v>0</v>
      </c>
      <c r="Q466" s="43">
        <f t="shared" si="14"/>
        <v>6199</v>
      </c>
      <c r="R466" s="69">
        <f t="shared" si="15"/>
        <v>5269.15</v>
      </c>
      <c r="S466" s="40"/>
      <c r="T466" s="40"/>
    </row>
    <row r="467" spans="1:20" ht="45" customHeight="1" x14ac:dyDescent="0.3">
      <c r="A467" s="36">
        <v>455</v>
      </c>
      <c r="B467" s="32" t="s">
        <v>1488</v>
      </c>
      <c r="C467" s="32" t="s">
        <v>1569</v>
      </c>
      <c r="D467" s="32" t="s">
        <v>1570</v>
      </c>
      <c r="E467" s="32">
        <v>2017</v>
      </c>
      <c r="F467" s="32" t="s">
        <v>18</v>
      </c>
      <c r="G467" s="32" t="s">
        <v>1639</v>
      </c>
      <c r="H467" s="32" t="s">
        <v>1674</v>
      </c>
      <c r="I467" s="32" t="s">
        <v>1470</v>
      </c>
      <c r="J467" s="32">
        <v>6199</v>
      </c>
      <c r="K467" s="32">
        <v>0</v>
      </c>
      <c r="L467" s="32">
        <v>0</v>
      </c>
      <c r="M467" s="32">
        <v>0</v>
      </c>
      <c r="N467" s="32">
        <v>0</v>
      </c>
      <c r="O467" s="32">
        <v>0</v>
      </c>
      <c r="P467" s="32">
        <v>0</v>
      </c>
      <c r="Q467" s="43">
        <f t="shared" si="14"/>
        <v>6199</v>
      </c>
      <c r="R467" s="69">
        <f t="shared" si="15"/>
        <v>5269.15</v>
      </c>
      <c r="S467" s="30"/>
      <c r="T467" s="30"/>
    </row>
    <row r="468" spans="1:20" ht="45" customHeight="1" x14ac:dyDescent="0.3">
      <c r="A468" s="31">
        <v>456</v>
      </c>
      <c r="B468" s="32" t="s">
        <v>1488</v>
      </c>
      <c r="C468" s="32" t="s">
        <v>1571</v>
      </c>
      <c r="D468" s="32" t="s">
        <v>1572</v>
      </c>
      <c r="E468" s="32">
        <v>1998</v>
      </c>
      <c r="F468" s="32" t="s">
        <v>19</v>
      </c>
      <c r="G468" s="32" t="s">
        <v>1640</v>
      </c>
      <c r="H468" s="32" t="s">
        <v>1640</v>
      </c>
      <c r="I468" s="32" t="s">
        <v>1705</v>
      </c>
      <c r="J468" s="32">
        <v>6199</v>
      </c>
      <c r="K468" s="32">
        <f>2332+2332+2243</f>
        <v>6907</v>
      </c>
      <c r="L468" s="32">
        <v>0</v>
      </c>
      <c r="M468" s="32">
        <v>0</v>
      </c>
      <c r="N468" s="32">
        <v>0</v>
      </c>
      <c r="O468" s="32">
        <v>0</v>
      </c>
      <c r="P468" s="32">
        <v>0</v>
      </c>
      <c r="Q468" s="43">
        <f t="shared" si="14"/>
        <v>13106</v>
      </c>
      <c r="R468" s="69">
        <f t="shared" si="15"/>
        <v>11140.1</v>
      </c>
      <c r="S468" s="30"/>
      <c r="T468" s="30"/>
    </row>
    <row r="469" spans="1:20" ht="45" customHeight="1" x14ac:dyDescent="0.3">
      <c r="A469" s="31">
        <v>457</v>
      </c>
      <c r="B469" s="32" t="s">
        <v>1488</v>
      </c>
      <c r="C469" s="32" t="s">
        <v>1573</v>
      </c>
      <c r="D469" s="32" t="s">
        <v>1574</v>
      </c>
      <c r="E469" s="32">
        <v>2024</v>
      </c>
      <c r="F469" s="32" t="s">
        <v>19</v>
      </c>
      <c r="G469" s="32" t="s">
        <v>1641</v>
      </c>
      <c r="H469" s="32" t="s">
        <v>1640</v>
      </c>
      <c r="I469" s="32" t="s">
        <v>1698</v>
      </c>
      <c r="J469" s="32">
        <v>6199</v>
      </c>
      <c r="K469" s="32">
        <f>6278+4484+1346+4484+2332+2332+2332+2332+2332+2332+2332+1346</f>
        <v>34262</v>
      </c>
      <c r="L469" s="32">
        <v>0</v>
      </c>
      <c r="M469" s="32">
        <v>0</v>
      </c>
      <c r="N469" s="32">
        <v>3148</v>
      </c>
      <c r="O469" s="32">
        <v>0</v>
      </c>
      <c r="P469" s="32">
        <v>0</v>
      </c>
      <c r="Q469" s="43">
        <f t="shared" si="14"/>
        <v>43609</v>
      </c>
      <c r="R469" s="69">
        <f t="shared" si="15"/>
        <v>37067.65</v>
      </c>
      <c r="S469" s="30"/>
      <c r="T469" s="30"/>
    </row>
    <row r="470" spans="1:20" ht="45" customHeight="1" x14ac:dyDescent="0.3">
      <c r="A470" s="36">
        <v>458</v>
      </c>
      <c r="B470" s="32" t="s">
        <v>1488</v>
      </c>
      <c r="C470" s="32" t="s">
        <v>1575</v>
      </c>
      <c r="D470" s="32" t="s">
        <v>1576</v>
      </c>
      <c r="E470" s="32">
        <v>1959</v>
      </c>
      <c r="F470" s="32" t="s">
        <v>19</v>
      </c>
      <c r="G470" s="32" t="s">
        <v>1642</v>
      </c>
      <c r="H470" s="32" t="s">
        <v>1642</v>
      </c>
      <c r="I470" s="32" t="s">
        <v>824</v>
      </c>
      <c r="J470" s="32">
        <v>6199</v>
      </c>
      <c r="K470" s="32">
        <v>0</v>
      </c>
      <c r="L470" s="32">
        <v>0</v>
      </c>
      <c r="M470" s="32">
        <v>0</v>
      </c>
      <c r="N470" s="32">
        <v>0</v>
      </c>
      <c r="O470" s="32">
        <v>0</v>
      </c>
      <c r="P470" s="32">
        <v>0</v>
      </c>
      <c r="Q470" s="43">
        <f t="shared" si="14"/>
        <v>6199</v>
      </c>
      <c r="R470" s="69">
        <f t="shared" si="15"/>
        <v>5269.15</v>
      </c>
      <c r="S470" s="30"/>
      <c r="T470" s="30"/>
    </row>
    <row r="471" spans="1:20" ht="45" customHeight="1" x14ac:dyDescent="0.3">
      <c r="A471" s="31">
        <v>459</v>
      </c>
      <c r="B471" s="32" t="s">
        <v>1488</v>
      </c>
      <c r="C471" s="32" t="s">
        <v>1577</v>
      </c>
      <c r="D471" s="32" t="s">
        <v>1578</v>
      </c>
      <c r="E471" s="32">
        <v>2022</v>
      </c>
      <c r="F471" s="32" t="s">
        <v>19</v>
      </c>
      <c r="G471" s="32" t="s">
        <v>1643</v>
      </c>
      <c r="H471" s="32" t="s">
        <v>1675</v>
      </c>
      <c r="I471" s="32" t="s">
        <v>829</v>
      </c>
      <c r="J471" s="32">
        <v>6199</v>
      </c>
      <c r="K471" s="32">
        <f>6278+4484+1346+4484+2332+2332+1166+2332+2332+2332+2332+6995+6995+2332+6995</f>
        <v>55067</v>
      </c>
      <c r="L471" s="32">
        <v>0</v>
      </c>
      <c r="M471" s="32">
        <v>0</v>
      </c>
      <c r="N471" s="32">
        <v>3148</v>
      </c>
      <c r="O471" s="32">
        <v>0</v>
      </c>
      <c r="P471" s="32">
        <v>0</v>
      </c>
      <c r="Q471" s="43">
        <f t="shared" si="14"/>
        <v>64414</v>
      </c>
      <c r="R471" s="69">
        <f t="shared" si="15"/>
        <v>54751.9</v>
      </c>
      <c r="S471" s="30"/>
      <c r="T471" s="30"/>
    </row>
    <row r="472" spans="1:20" ht="45" customHeight="1" x14ac:dyDescent="0.3">
      <c r="A472" s="31">
        <v>460</v>
      </c>
      <c r="B472" s="32" t="s">
        <v>1488</v>
      </c>
      <c r="C472" s="32" t="s">
        <v>1579</v>
      </c>
      <c r="D472" s="32" t="s">
        <v>1580</v>
      </c>
      <c r="E472" s="32">
        <v>1989</v>
      </c>
      <c r="F472" s="32" t="s">
        <v>18</v>
      </c>
      <c r="G472" s="32" t="s">
        <v>1644</v>
      </c>
      <c r="H472" s="32" t="s">
        <v>1676</v>
      </c>
      <c r="I472" s="32" t="s">
        <v>1706</v>
      </c>
      <c r="J472" s="32">
        <v>6199</v>
      </c>
      <c r="K472" s="32">
        <v>0</v>
      </c>
      <c r="L472" s="32">
        <v>0</v>
      </c>
      <c r="M472" s="32">
        <v>0</v>
      </c>
      <c r="N472" s="32">
        <f>15443+21194+19239</f>
        <v>55876</v>
      </c>
      <c r="O472" s="32">
        <v>0</v>
      </c>
      <c r="P472" s="32">
        <v>0</v>
      </c>
      <c r="Q472" s="43">
        <f t="shared" si="14"/>
        <v>62075</v>
      </c>
      <c r="R472" s="69">
        <f t="shared" si="15"/>
        <v>52763.75</v>
      </c>
      <c r="S472" s="30"/>
      <c r="T472" s="30"/>
    </row>
    <row r="473" spans="1:20" ht="45" customHeight="1" x14ac:dyDescent="0.3">
      <c r="A473" s="36">
        <v>461</v>
      </c>
      <c r="B473" s="32" t="s">
        <v>1488</v>
      </c>
      <c r="C473" s="32" t="s">
        <v>1581</v>
      </c>
      <c r="D473" s="32" t="s">
        <v>1582</v>
      </c>
      <c r="E473" s="32">
        <v>1998</v>
      </c>
      <c r="F473" s="32" t="s">
        <v>19</v>
      </c>
      <c r="G473" s="32" t="s">
        <v>1645</v>
      </c>
      <c r="H473" s="32" t="s">
        <v>1645</v>
      </c>
      <c r="I473" s="32" t="s">
        <v>1707</v>
      </c>
      <c r="J473" s="32">
        <v>6199</v>
      </c>
      <c r="K473" s="32">
        <v>0</v>
      </c>
      <c r="L473" s="32">
        <v>18406</v>
      </c>
      <c r="M473" s="32">
        <v>0</v>
      </c>
      <c r="N473" s="32">
        <v>0</v>
      </c>
      <c r="O473" s="32">
        <v>0</v>
      </c>
      <c r="P473" s="32">
        <v>0</v>
      </c>
      <c r="Q473" s="43">
        <f t="shared" si="14"/>
        <v>24605</v>
      </c>
      <c r="R473" s="69">
        <f t="shared" si="15"/>
        <v>20914.25</v>
      </c>
      <c r="S473" s="30"/>
      <c r="T473" s="30"/>
    </row>
    <row r="474" spans="1:20" ht="45" customHeight="1" x14ac:dyDescent="0.3">
      <c r="A474" s="31">
        <v>462</v>
      </c>
      <c r="B474" s="32" t="s">
        <v>1488</v>
      </c>
      <c r="C474" s="32" t="s">
        <v>1583</v>
      </c>
      <c r="D474" s="32" t="s">
        <v>1584</v>
      </c>
      <c r="E474" s="32">
        <v>1988</v>
      </c>
      <c r="F474" s="32" t="s">
        <v>18</v>
      </c>
      <c r="G474" s="32" t="s">
        <v>1646</v>
      </c>
      <c r="H474" s="32" t="s">
        <v>1677</v>
      </c>
      <c r="I474" s="32" t="s">
        <v>1708</v>
      </c>
      <c r="J474" s="32">
        <v>6199</v>
      </c>
      <c r="K474" s="32">
        <v>0</v>
      </c>
      <c r="L474" s="32">
        <v>0</v>
      </c>
      <c r="M474" s="32">
        <v>0</v>
      </c>
      <c r="N474" s="32">
        <v>0</v>
      </c>
      <c r="O474" s="32">
        <v>0</v>
      </c>
      <c r="P474" s="32">
        <v>0</v>
      </c>
      <c r="Q474" s="43">
        <f t="shared" si="14"/>
        <v>6199</v>
      </c>
      <c r="R474" s="69">
        <f t="shared" si="15"/>
        <v>5269.15</v>
      </c>
      <c r="S474" s="30"/>
      <c r="T474" s="30"/>
    </row>
    <row r="475" spans="1:20" ht="45" customHeight="1" x14ac:dyDescent="0.3">
      <c r="A475" s="31">
        <v>463</v>
      </c>
      <c r="B475" s="32" t="s">
        <v>1488</v>
      </c>
      <c r="C475" s="32" t="s">
        <v>1585</v>
      </c>
      <c r="D475" s="32" t="s">
        <v>1586</v>
      </c>
      <c r="E475" s="32">
        <v>1999</v>
      </c>
      <c r="F475" s="32" t="s">
        <v>18</v>
      </c>
      <c r="G475" s="32" t="s">
        <v>1647</v>
      </c>
      <c r="H475" s="32" t="s">
        <v>1647</v>
      </c>
      <c r="I475" s="32" t="s">
        <v>1709</v>
      </c>
      <c r="J475" s="32">
        <v>6199</v>
      </c>
      <c r="K475" s="32">
        <v>0</v>
      </c>
      <c r="L475" s="32">
        <v>0</v>
      </c>
      <c r="M475" s="32">
        <v>0</v>
      </c>
      <c r="N475" s="32">
        <v>0</v>
      </c>
      <c r="O475" s="32">
        <v>0</v>
      </c>
      <c r="P475" s="32">
        <v>0</v>
      </c>
      <c r="Q475" s="43">
        <f t="shared" si="14"/>
        <v>6199</v>
      </c>
      <c r="R475" s="69">
        <f t="shared" si="15"/>
        <v>5269.15</v>
      </c>
      <c r="S475" s="30"/>
      <c r="T475" s="30"/>
    </row>
    <row r="476" spans="1:20" ht="45" customHeight="1" x14ac:dyDescent="0.3">
      <c r="A476" s="36">
        <v>464</v>
      </c>
      <c r="B476" s="32" t="s">
        <v>1488</v>
      </c>
      <c r="C476" s="32" t="s">
        <v>1587</v>
      </c>
      <c r="D476" s="32" t="s">
        <v>1588</v>
      </c>
      <c r="E476" s="32">
        <v>1986</v>
      </c>
      <c r="F476" s="32" t="s">
        <v>18</v>
      </c>
      <c r="G476" s="32" t="s">
        <v>1648</v>
      </c>
      <c r="H476" s="32" t="s">
        <v>1678</v>
      </c>
      <c r="I476" s="32" t="s">
        <v>1710</v>
      </c>
      <c r="J476" s="32">
        <v>6199</v>
      </c>
      <c r="K476" s="32">
        <v>0</v>
      </c>
      <c r="L476" s="32">
        <v>0</v>
      </c>
      <c r="M476" s="32">
        <v>0</v>
      </c>
      <c r="N476" s="32">
        <f>34016+27380</f>
        <v>61396</v>
      </c>
      <c r="O476" s="32">
        <v>0</v>
      </c>
      <c r="P476" s="32">
        <v>0</v>
      </c>
      <c r="Q476" s="43">
        <f t="shared" si="14"/>
        <v>67595</v>
      </c>
      <c r="R476" s="69">
        <f t="shared" si="15"/>
        <v>57455.75</v>
      </c>
      <c r="S476" s="30"/>
      <c r="T476" s="30"/>
    </row>
    <row r="477" spans="1:20" ht="45" customHeight="1" x14ac:dyDescent="0.3">
      <c r="A477" s="31">
        <v>465</v>
      </c>
      <c r="B477" s="32" t="s">
        <v>1488</v>
      </c>
      <c r="C477" s="32" t="s">
        <v>1589</v>
      </c>
      <c r="D477" s="32" t="s">
        <v>1590</v>
      </c>
      <c r="E477" s="32">
        <v>1985</v>
      </c>
      <c r="F477" s="32" t="s">
        <v>18</v>
      </c>
      <c r="G477" s="32" t="s">
        <v>1649</v>
      </c>
      <c r="H477" s="32" t="s">
        <v>1649</v>
      </c>
      <c r="I477" s="32" t="s">
        <v>278</v>
      </c>
      <c r="J477" s="32">
        <v>6199</v>
      </c>
      <c r="K477" s="32">
        <v>0</v>
      </c>
      <c r="L477" s="32">
        <v>0</v>
      </c>
      <c r="M477" s="32">
        <v>0</v>
      </c>
      <c r="N477" s="32">
        <v>0</v>
      </c>
      <c r="O477" s="32">
        <v>0</v>
      </c>
      <c r="P477" s="32">
        <v>0</v>
      </c>
      <c r="Q477" s="43">
        <f t="shared" si="14"/>
        <v>6199</v>
      </c>
      <c r="R477" s="69">
        <f t="shared" si="15"/>
        <v>5269.15</v>
      </c>
      <c r="S477" s="30"/>
      <c r="T477" s="30"/>
    </row>
    <row r="478" spans="1:20" ht="45" customHeight="1" x14ac:dyDescent="0.3">
      <c r="A478" s="31">
        <v>466</v>
      </c>
      <c r="B478" s="32" t="s">
        <v>1488</v>
      </c>
      <c r="C478" s="32" t="s">
        <v>1591</v>
      </c>
      <c r="D478" s="32" t="s">
        <v>1592</v>
      </c>
      <c r="E478" s="32">
        <v>2022</v>
      </c>
      <c r="F478" s="32" t="s">
        <v>19</v>
      </c>
      <c r="G478" s="32" t="s">
        <v>1650</v>
      </c>
      <c r="H478" s="32" t="s">
        <v>1679</v>
      </c>
      <c r="I478" s="32" t="s">
        <v>1060</v>
      </c>
      <c r="J478" s="32">
        <v>6199</v>
      </c>
      <c r="K478" s="32">
        <v>0</v>
      </c>
      <c r="L478" s="32">
        <v>0</v>
      </c>
      <c r="M478" s="32">
        <v>0</v>
      </c>
      <c r="N478" s="32">
        <v>0</v>
      </c>
      <c r="O478" s="32">
        <v>0</v>
      </c>
      <c r="P478" s="32">
        <v>0</v>
      </c>
      <c r="Q478" s="43">
        <f t="shared" si="14"/>
        <v>6199</v>
      </c>
      <c r="R478" s="69">
        <f t="shared" si="15"/>
        <v>5269.15</v>
      </c>
      <c r="S478" s="30"/>
      <c r="T478" s="30"/>
    </row>
    <row r="479" spans="1:20" ht="45" customHeight="1" x14ac:dyDescent="0.3">
      <c r="A479" s="36">
        <v>467</v>
      </c>
      <c r="B479" s="32" t="s">
        <v>1488</v>
      </c>
      <c r="C479" s="32" t="s">
        <v>1593</v>
      </c>
      <c r="D479" s="32" t="s">
        <v>1594</v>
      </c>
      <c r="E479" s="32">
        <v>2021</v>
      </c>
      <c r="F479" s="32" t="s">
        <v>18</v>
      </c>
      <c r="G479" s="32" t="s">
        <v>1651</v>
      </c>
      <c r="H479" s="32" t="s">
        <v>1680</v>
      </c>
      <c r="I479" s="32" t="s">
        <v>1711</v>
      </c>
      <c r="J479" s="32">
        <v>6199</v>
      </c>
      <c r="K479" s="32">
        <f>6278+4484+1346+1166</f>
        <v>13274</v>
      </c>
      <c r="L479" s="32">
        <v>0</v>
      </c>
      <c r="M479" s="32">
        <v>0</v>
      </c>
      <c r="N479" s="32">
        <v>3148</v>
      </c>
      <c r="O479" s="32">
        <v>0</v>
      </c>
      <c r="P479" s="32">
        <v>0</v>
      </c>
      <c r="Q479" s="43">
        <f t="shared" si="14"/>
        <v>22621</v>
      </c>
      <c r="R479" s="69">
        <f t="shared" si="15"/>
        <v>19227.849999999999</v>
      </c>
      <c r="S479" s="30"/>
      <c r="T479" s="30"/>
    </row>
    <row r="480" spans="1:20" ht="45" customHeight="1" x14ac:dyDescent="0.3">
      <c r="A480" s="31">
        <v>468</v>
      </c>
      <c r="B480" s="32" t="s">
        <v>1488</v>
      </c>
      <c r="C480" s="32" t="s">
        <v>1595</v>
      </c>
      <c r="D480" s="32" t="s">
        <v>1596</v>
      </c>
      <c r="E480" s="32">
        <v>2020</v>
      </c>
      <c r="F480" s="32" t="s">
        <v>19</v>
      </c>
      <c r="G480" s="32" t="s">
        <v>1652</v>
      </c>
      <c r="H480" s="32" t="s">
        <v>1681</v>
      </c>
      <c r="I480" s="32" t="s">
        <v>1069</v>
      </c>
      <c r="J480" s="32">
        <v>6199</v>
      </c>
      <c r="K480" s="32">
        <v>0</v>
      </c>
      <c r="L480" s="32">
        <v>0</v>
      </c>
      <c r="M480" s="32">
        <v>0</v>
      </c>
      <c r="N480" s="32">
        <v>0</v>
      </c>
      <c r="O480" s="32">
        <v>0</v>
      </c>
      <c r="P480" s="32">
        <v>0</v>
      </c>
      <c r="Q480" s="43">
        <f t="shared" si="14"/>
        <v>6199</v>
      </c>
      <c r="R480" s="69">
        <f t="shared" si="15"/>
        <v>5269.15</v>
      </c>
      <c r="S480" s="30"/>
      <c r="T480" s="30"/>
    </row>
    <row r="481" spans="1:20" ht="45" customHeight="1" x14ac:dyDescent="0.3">
      <c r="A481" s="31">
        <v>469</v>
      </c>
      <c r="B481" s="32" t="s">
        <v>1488</v>
      </c>
      <c r="C481" s="32" t="s">
        <v>1597</v>
      </c>
      <c r="D481" s="32" t="s">
        <v>1598</v>
      </c>
      <c r="E481" s="32">
        <v>2023</v>
      </c>
      <c r="F481" s="32" t="s">
        <v>19</v>
      </c>
      <c r="G481" s="32" t="s">
        <v>1653</v>
      </c>
      <c r="H481" s="32" t="s">
        <v>1682</v>
      </c>
      <c r="I481" s="32" t="s">
        <v>1050</v>
      </c>
      <c r="J481" s="32">
        <v>6199</v>
      </c>
      <c r="K481" s="32">
        <v>0</v>
      </c>
      <c r="L481" s="32">
        <v>0</v>
      </c>
      <c r="M481" s="32">
        <v>0</v>
      </c>
      <c r="N481" s="32">
        <v>0</v>
      </c>
      <c r="O481" s="32">
        <v>0</v>
      </c>
      <c r="P481" s="32">
        <v>0</v>
      </c>
      <c r="Q481" s="43">
        <f t="shared" si="14"/>
        <v>6199</v>
      </c>
      <c r="R481" s="69">
        <f t="shared" si="15"/>
        <v>5269.15</v>
      </c>
      <c r="S481" s="30"/>
      <c r="T481" s="30"/>
    </row>
    <row r="482" spans="1:20" ht="45" customHeight="1" x14ac:dyDescent="0.3">
      <c r="A482" s="36">
        <v>470</v>
      </c>
      <c r="B482" s="32" t="s">
        <v>1488</v>
      </c>
      <c r="C482" s="32" t="s">
        <v>1599</v>
      </c>
      <c r="D482" s="32" t="s">
        <v>1600</v>
      </c>
      <c r="E482" s="32">
        <v>1994</v>
      </c>
      <c r="F482" s="32" t="s">
        <v>19</v>
      </c>
      <c r="G482" s="32" t="s">
        <v>1654</v>
      </c>
      <c r="H482" s="32" t="s">
        <v>1683</v>
      </c>
      <c r="I482" s="32" t="s">
        <v>1050</v>
      </c>
      <c r="J482" s="32">
        <v>6199</v>
      </c>
      <c r="K482" s="32">
        <v>0</v>
      </c>
      <c r="L482" s="32">
        <v>0</v>
      </c>
      <c r="M482" s="32">
        <v>0</v>
      </c>
      <c r="N482" s="32">
        <v>0</v>
      </c>
      <c r="O482" s="32">
        <v>0</v>
      </c>
      <c r="P482" s="32">
        <v>0</v>
      </c>
      <c r="Q482" s="43">
        <f t="shared" si="14"/>
        <v>6199</v>
      </c>
      <c r="R482" s="69">
        <f t="shared" si="15"/>
        <v>5269.15</v>
      </c>
      <c r="S482" s="30"/>
      <c r="T482" s="30"/>
    </row>
    <row r="483" spans="1:20" ht="45" customHeight="1" x14ac:dyDescent="0.3">
      <c r="A483" s="31">
        <v>471</v>
      </c>
      <c r="B483" s="32" t="s">
        <v>1488</v>
      </c>
      <c r="C483" s="32" t="s">
        <v>7225</v>
      </c>
      <c r="D483" s="34" t="s">
        <v>2647</v>
      </c>
      <c r="E483" s="32">
        <v>1979</v>
      </c>
      <c r="F483" s="32" t="s">
        <v>18</v>
      </c>
      <c r="G483" s="32" t="s">
        <v>2648</v>
      </c>
      <c r="H483" s="32" t="s">
        <v>2649</v>
      </c>
      <c r="I483" s="32" t="s">
        <v>34</v>
      </c>
      <c r="J483" s="32">
        <v>2900</v>
      </c>
      <c r="K483" s="32">
        <v>0</v>
      </c>
      <c r="L483" s="32">
        <v>0</v>
      </c>
      <c r="M483" s="32">
        <v>17688</v>
      </c>
      <c r="N483" s="32">
        <f>1681+1178</f>
        <v>2859</v>
      </c>
      <c r="O483" s="32">
        <v>0</v>
      </c>
      <c r="P483" s="32">
        <f>624+112+660+144+720+60</f>
        <v>2320</v>
      </c>
      <c r="Q483" s="43">
        <f t="shared" si="14"/>
        <v>25767</v>
      </c>
      <c r="R483" s="69">
        <f t="shared" si="15"/>
        <v>21901.95</v>
      </c>
      <c r="S483" s="30"/>
      <c r="T483" s="30"/>
    </row>
    <row r="484" spans="1:20" ht="45" customHeight="1" x14ac:dyDescent="0.3">
      <c r="A484" s="31">
        <v>472</v>
      </c>
      <c r="B484" s="32" t="s">
        <v>1488</v>
      </c>
      <c r="C484" s="32" t="s">
        <v>7226</v>
      </c>
      <c r="D484" s="34" t="s">
        <v>406</v>
      </c>
      <c r="E484" s="32">
        <v>2018</v>
      </c>
      <c r="F484" s="32" t="s">
        <v>18</v>
      </c>
      <c r="G484" s="32" t="s">
        <v>482</v>
      </c>
      <c r="H484" s="32" t="s">
        <v>523</v>
      </c>
      <c r="I484" s="32" t="s">
        <v>268</v>
      </c>
      <c r="J484" s="32">
        <v>2900</v>
      </c>
      <c r="K484" s="32">
        <v>0</v>
      </c>
      <c r="L484" s="32">
        <v>0</v>
      </c>
      <c r="M484" s="32">
        <v>0</v>
      </c>
      <c r="N484" s="32">
        <v>2088</v>
      </c>
      <c r="O484" s="32">
        <v>0</v>
      </c>
      <c r="P484" s="32">
        <f>360+56</f>
        <v>416</v>
      </c>
      <c r="Q484" s="43">
        <f t="shared" si="14"/>
        <v>5404</v>
      </c>
      <c r="R484" s="69">
        <f t="shared" si="15"/>
        <v>4593.3999999999996</v>
      </c>
      <c r="S484" s="30"/>
      <c r="T484" s="30"/>
    </row>
    <row r="485" spans="1:20" ht="45" customHeight="1" x14ac:dyDescent="0.3">
      <c r="A485" s="36">
        <v>473</v>
      </c>
      <c r="B485" s="32" t="s">
        <v>1488</v>
      </c>
      <c r="C485" s="32" t="s">
        <v>7227</v>
      </c>
      <c r="D485" s="34" t="s">
        <v>1305</v>
      </c>
      <c r="E485" s="32">
        <v>2024</v>
      </c>
      <c r="F485" s="32" t="s">
        <v>18</v>
      </c>
      <c r="G485" s="32" t="s">
        <v>1391</v>
      </c>
      <c r="H485" s="32" t="s">
        <v>1437</v>
      </c>
      <c r="I485" s="32" t="s">
        <v>835</v>
      </c>
      <c r="J485" s="32">
        <v>2900</v>
      </c>
      <c r="K485" s="32">
        <v>0</v>
      </c>
      <c r="L485" s="32">
        <v>0</v>
      </c>
      <c r="M485" s="32">
        <v>17688</v>
      </c>
      <c r="N485" s="32">
        <v>2088</v>
      </c>
      <c r="O485" s="32">
        <v>0</v>
      </c>
      <c r="P485" s="32">
        <f>1080+168</f>
        <v>1248</v>
      </c>
      <c r="Q485" s="43">
        <f t="shared" si="14"/>
        <v>23924</v>
      </c>
      <c r="R485" s="69">
        <f t="shared" si="15"/>
        <v>20335.400000000001</v>
      </c>
      <c r="S485" s="30"/>
      <c r="T485" s="30"/>
    </row>
    <row r="486" spans="1:20" ht="45" customHeight="1" x14ac:dyDescent="0.3">
      <c r="A486" s="31">
        <v>474</v>
      </c>
      <c r="B486" s="32" t="s">
        <v>1488</v>
      </c>
      <c r="C486" s="32" t="s">
        <v>7228</v>
      </c>
      <c r="D486" s="34" t="s">
        <v>2651</v>
      </c>
      <c r="E486" s="32">
        <v>2012</v>
      </c>
      <c r="F486" s="32" t="s">
        <v>19</v>
      </c>
      <c r="G486" s="32" t="s">
        <v>2652</v>
      </c>
      <c r="H486" s="32" t="s">
        <v>2653</v>
      </c>
      <c r="I486" s="32" t="s">
        <v>1885</v>
      </c>
      <c r="J486" s="32">
        <v>2900</v>
      </c>
      <c r="K486" s="32">
        <v>0</v>
      </c>
      <c r="L486" s="32">
        <v>0</v>
      </c>
      <c r="M486" s="32">
        <v>0</v>
      </c>
      <c r="N486" s="32">
        <v>1178</v>
      </c>
      <c r="O486" s="32">
        <v>0</v>
      </c>
      <c r="P486" s="32">
        <v>1980</v>
      </c>
      <c r="Q486" s="43">
        <f t="shared" si="14"/>
        <v>6058</v>
      </c>
      <c r="R486" s="69">
        <f t="shared" si="15"/>
        <v>5149.3</v>
      </c>
      <c r="S486" s="30"/>
      <c r="T486" s="30"/>
    </row>
    <row r="487" spans="1:20" ht="45" customHeight="1" x14ac:dyDescent="0.3">
      <c r="A487" s="31">
        <v>475</v>
      </c>
      <c r="B487" s="32" t="s">
        <v>1488</v>
      </c>
      <c r="C487" s="32" t="s">
        <v>7229</v>
      </c>
      <c r="D487" s="34" t="s">
        <v>1143</v>
      </c>
      <c r="E487" s="32">
        <v>2019</v>
      </c>
      <c r="F487" s="32" t="s">
        <v>18</v>
      </c>
      <c r="G487" s="32" t="s">
        <v>1198</v>
      </c>
      <c r="H487" s="32" t="s">
        <v>1238</v>
      </c>
      <c r="I487" s="32" t="s">
        <v>1460</v>
      </c>
      <c r="J487" s="32">
        <v>2900</v>
      </c>
      <c r="K487" s="32">
        <v>0</v>
      </c>
      <c r="L487" s="32">
        <v>0</v>
      </c>
      <c r="M487" s="32">
        <v>0</v>
      </c>
      <c r="N487" s="32">
        <v>2088</v>
      </c>
      <c r="O487" s="32">
        <v>0</v>
      </c>
      <c r="P487" s="32">
        <f>360+56</f>
        <v>416</v>
      </c>
      <c r="Q487" s="43">
        <f t="shared" si="14"/>
        <v>5404</v>
      </c>
      <c r="R487" s="69">
        <f t="shared" si="15"/>
        <v>4593.3999999999996</v>
      </c>
      <c r="S487" s="30"/>
      <c r="T487" s="30"/>
    </row>
    <row r="488" spans="1:20" ht="45" customHeight="1" x14ac:dyDescent="0.3">
      <c r="A488" s="36">
        <v>476</v>
      </c>
      <c r="B488" s="32" t="s">
        <v>1488</v>
      </c>
      <c r="C488" s="32" t="s">
        <v>7230</v>
      </c>
      <c r="D488" s="34" t="s">
        <v>1158</v>
      </c>
      <c r="E488" s="32">
        <v>2020</v>
      </c>
      <c r="F488" s="32" t="s">
        <v>18</v>
      </c>
      <c r="G488" s="32" t="s">
        <v>1212</v>
      </c>
      <c r="H488" s="32" t="s">
        <v>1249</v>
      </c>
      <c r="I488" s="32" t="s">
        <v>1281</v>
      </c>
      <c r="J488" s="32">
        <v>2900</v>
      </c>
      <c r="K488" s="32">
        <v>0</v>
      </c>
      <c r="L488" s="32">
        <v>0</v>
      </c>
      <c r="M488" s="32">
        <v>0</v>
      </c>
      <c r="N488" s="32">
        <v>2088</v>
      </c>
      <c r="O488" s="32">
        <v>0</v>
      </c>
      <c r="P488" s="32">
        <f>360+56</f>
        <v>416</v>
      </c>
      <c r="Q488" s="43">
        <f t="shared" si="14"/>
        <v>5404</v>
      </c>
      <c r="R488" s="69">
        <f t="shared" si="15"/>
        <v>4593.3999999999996</v>
      </c>
      <c r="S488" s="30"/>
      <c r="T488" s="30"/>
    </row>
    <row r="489" spans="1:20" ht="45" customHeight="1" x14ac:dyDescent="0.3">
      <c r="A489" s="31">
        <v>477</v>
      </c>
      <c r="B489" s="32" t="s">
        <v>1712</v>
      </c>
      <c r="C489" s="32" t="s">
        <v>1713</v>
      </c>
      <c r="D489" s="32" t="s">
        <v>136</v>
      </c>
      <c r="E489" s="32">
        <v>2023</v>
      </c>
      <c r="F489" s="32" t="s">
        <v>19</v>
      </c>
      <c r="G489" s="32" t="s">
        <v>197</v>
      </c>
      <c r="H489" s="32" t="s">
        <v>240</v>
      </c>
      <c r="I489" s="32" t="s">
        <v>291</v>
      </c>
      <c r="J489" s="32">
        <v>6199</v>
      </c>
      <c r="K489" s="32">
        <f>6278+4484+2332+1346+2332+2332+2332+2332+4484+2332+6995+6995+2332+6995+4484</f>
        <v>58385</v>
      </c>
      <c r="L489" s="32">
        <v>0</v>
      </c>
      <c r="M489" s="32">
        <v>0</v>
      </c>
      <c r="N489" s="32">
        <v>3148</v>
      </c>
      <c r="O489" s="32">
        <v>0</v>
      </c>
      <c r="P489" s="32">
        <v>0</v>
      </c>
      <c r="Q489" s="43">
        <f t="shared" si="14"/>
        <v>67732</v>
      </c>
      <c r="R489" s="69">
        <f t="shared" si="15"/>
        <v>57572.2</v>
      </c>
      <c r="S489" s="30"/>
      <c r="T489" s="30"/>
    </row>
    <row r="490" spans="1:20" ht="45" customHeight="1" x14ac:dyDescent="0.3">
      <c r="A490" s="31">
        <v>478</v>
      </c>
      <c r="B490" s="32" t="s">
        <v>1712</v>
      </c>
      <c r="C490" s="32" t="s">
        <v>1714</v>
      </c>
      <c r="D490" s="32" t="s">
        <v>41</v>
      </c>
      <c r="E490" s="32">
        <v>1982</v>
      </c>
      <c r="F490" s="32" t="s">
        <v>18</v>
      </c>
      <c r="G490" s="32" t="s">
        <v>149</v>
      </c>
      <c r="H490" s="32" t="s">
        <v>210</v>
      </c>
      <c r="I490" s="32" t="s">
        <v>249</v>
      </c>
      <c r="J490" s="32">
        <v>3793</v>
      </c>
      <c r="K490" s="32">
        <v>0</v>
      </c>
      <c r="L490" s="32">
        <v>0</v>
      </c>
      <c r="M490" s="32">
        <v>0</v>
      </c>
      <c r="N490" s="32">
        <v>1681</v>
      </c>
      <c r="O490" s="32">
        <v>0</v>
      </c>
      <c r="P490" s="32">
        <f>240+56</f>
        <v>296</v>
      </c>
      <c r="Q490" s="43">
        <f t="shared" si="14"/>
        <v>5770</v>
      </c>
      <c r="R490" s="69">
        <f t="shared" si="15"/>
        <v>4904.5</v>
      </c>
      <c r="S490" s="30"/>
      <c r="T490" s="30"/>
    </row>
    <row r="491" spans="1:20" ht="45" customHeight="1" x14ac:dyDescent="0.3">
      <c r="A491" s="36">
        <v>479</v>
      </c>
      <c r="B491" s="32" t="s">
        <v>1712</v>
      </c>
      <c r="C491" s="32" t="s">
        <v>1715</v>
      </c>
      <c r="D491" s="32" t="s">
        <v>1716</v>
      </c>
      <c r="E491" s="32">
        <v>2020</v>
      </c>
      <c r="F491" s="32" t="s">
        <v>18</v>
      </c>
      <c r="G491" s="32" t="s">
        <v>1805</v>
      </c>
      <c r="H491" s="32" t="s">
        <v>1850</v>
      </c>
      <c r="I491" s="32" t="s">
        <v>540</v>
      </c>
      <c r="J491" s="32">
        <v>6199</v>
      </c>
      <c r="K491" s="32">
        <v>0</v>
      </c>
      <c r="L491" s="32">
        <v>0</v>
      </c>
      <c r="M491" s="32">
        <v>0</v>
      </c>
      <c r="N491" s="32">
        <v>0</v>
      </c>
      <c r="O491" s="32">
        <v>0</v>
      </c>
      <c r="P491" s="32">
        <v>0</v>
      </c>
      <c r="Q491" s="43">
        <f t="shared" si="14"/>
        <v>6199</v>
      </c>
      <c r="R491" s="69">
        <f t="shared" si="15"/>
        <v>5269.15</v>
      </c>
      <c r="S491" s="30"/>
      <c r="T491" s="30"/>
    </row>
    <row r="492" spans="1:20" ht="45" customHeight="1" x14ac:dyDescent="0.3">
      <c r="A492" s="31">
        <v>480</v>
      </c>
      <c r="B492" s="32" t="s">
        <v>1712</v>
      </c>
      <c r="C492" s="32" t="s">
        <v>1717</v>
      </c>
      <c r="D492" s="32" t="s">
        <v>1718</v>
      </c>
      <c r="E492" s="32">
        <v>1974</v>
      </c>
      <c r="F492" s="32" t="s">
        <v>18</v>
      </c>
      <c r="G492" s="32" t="s">
        <v>1806</v>
      </c>
      <c r="H492" s="32" t="s">
        <v>1851</v>
      </c>
      <c r="I492" s="32" t="s">
        <v>249</v>
      </c>
      <c r="J492" s="32">
        <v>6199</v>
      </c>
      <c r="K492" s="32">
        <v>0</v>
      </c>
      <c r="L492" s="32">
        <v>0</v>
      </c>
      <c r="M492" s="32">
        <v>0</v>
      </c>
      <c r="N492" s="32">
        <f>34016+27380</f>
        <v>61396</v>
      </c>
      <c r="O492" s="32">
        <v>0</v>
      </c>
      <c r="P492" s="32">
        <v>0</v>
      </c>
      <c r="Q492" s="43">
        <f t="shared" si="14"/>
        <v>67595</v>
      </c>
      <c r="R492" s="69">
        <f t="shared" si="15"/>
        <v>57455.75</v>
      </c>
      <c r="S492" s="30"/>
      <c r="T492" s="30"/>
    </row>
    <row r="493" spans="1:20" ht="45" customHeight="1" x14ac:dyDescent="0.3">
      <c r="A493" s="31">
        <v>481</v>
      </c>
      <c r="B493" s="32" t="s">
        <v>1712</v>
      </c>
      <c r="C493" s="32" t="s">
        <v>1719</v>
      </c>
      <c r="D493" s="32" t="s">
        <v>1720</v>
      </c>
      <c r="E493" s="32">
        <v>2022</v>
      </c>
      <c r="F493" s="32" t="s">
        <v>19</v>
      </c>
      <c r="G493" s="32" t="s">
        <v>1807</v>
      </c>
      <c r="H493" s="32" t="s">
        <v>1852</v>
      </c>
      <c r="I493" s="32" t="s">
        <v>299</v>
      </c>
      <c r="J493" s="32">
        <v>6199</v>
      </c>
      <c r="K493" s="32">
        <f>6278+4484+1346+4484+2332+2332+2332+2332+2332</f>
        <v>28252</v>
      </c>
      <c r="L493" s="32">
        <v>0</v>
      </c>
      <c r="M493" s="32">
        <v>0</v>
      </c>
      <c r="N493" s="32">
        <v>3148</v>
      </c>
      <c r="O493" s="32">
        <v>0</v>
      </c>
      <c r="P493" s="32">
        <v>0</v>
      </c>
      <c r="Q493" s="43">
        <f t="shared" si="14"/>
        <v>37599</v>
      </c>
      <c r="R493" s="69">
        <f t="shared" si="15"/>
        <v>31959.15</v>
      </c>
      <c r="S493" s="30"/>
      <c r="T493" s="30"/>
    </row>
    <row r="494" spans="1:20" ht="45" customHeight="1" x14ac:dyDescent="0.3">
      <c r="A494" s="36">
        <v>482</v>
      </c>
      <c r="B494" s="32" t="s">
        <v>1712</v>
      </c>
      <c r="C494" s="32" t="s">
        <v>1721</v>
      </c>
      <c r="D494" s="32" t="s">
        <v>1722</v>
      </c>
      <c r="E494" s="32">
        <v>2018</v>
      </c>
      <c r="F494" s="32" t="s">
        <v>19</v>
      </c>
      <c r="G494" s="32" t="s">
        <v>1808</v>
      </c>
      <c r="H494" s="32" t="s">
        <v>1853</v>
      </c>
      <c r="I494" s="32" t="s">
        <v>1884</v>
      </c>
      <c r="J494" s="32">
        <v>6199</v>
      </c>
      <c r="K494" s="32">
        <v>0</v>
      </c>
      <c r="L494" s="32">
        <v>0</v>
      </c>
      <c r="M494" s="32">
        <v>0</v>
      </c>
      <c r="N494" s="32">
        <f>15443+17918</f>
        <v>33361</v>
      </c>
      <c r="O494" s="32">
        <v>0</v>
      </c>
      <c r="P494" s="32">
        <v>0</v>
      </c>
      <c r="Q494" s="43">
        <f t="shared" si="14"/>
        <v>39560</v>
      </c>
      <c r="R494" s="69">
        <f t="shared" si="15"/>
        <v>33626</v>
      </c>
      <c r="S494" s="30"/>
      <c r="T494" s="30"/>
    </row>
    <row r="495" spans="1:20" ht="45" customHeight="1" x14ac:dyDescent="0.3">
      <c r="A495" s="31">
        <v>483</v>
      </c>
      <c r="B495" s="32" t="s">
        <v>1712</v>
      </c>
      <c r="C495" s="32" t="s">
        <v>1723</v>
      </c>
      <c r="D495" s="32" t="s">
        <v>1724</v>
      </c>
      <c r="E495" s="32">
        <v>2020</v>
      </c>
      <c r="F495" s="32" t="s">
        <v>19</v>
      </c>
      <c r="G495" s="32" t="s">
        <v>1809</v>
      </c>
      <c r="H495" s="32" t="s">
        <v>1854</v>
      </c>
      <c r="I495" s="32" t="s">
        <v>1885</v>
      </c>
      <c r="J495" s="32">
        <v>6199</v>
      </c>
      <c r="K495" s="32">
        <v>0</v>
      </c>
      <c r="L495" s="32">
        <v>0</v>
      </c>
      <c r="M495" s="32">
        <v>0</v>
      </c>
      <c r="N495" s="32">
        <f>15443+121574+27126</f>
        <v>164143</v>
      </c>
      <c r="O495" s="32">
        <v>0</v>
      </c>
      <c r="P495" s="32">
        <v>0</v>
      </c>
      <c r="Q495" s="43">
        <f t="shared" si="14"/>
        <v>170342</v>
      </c>
      <c r="R495" s="69">
        <f t="shared" si="15"/>
        <v>144790.70000000001</v>
      </c>
      <c r="S495" s="30"/>
      <c r="T495" s="30"/>
    </row>
    <row r="496" spans="1:20" ht="45" customHeight="1" x14ac:dyDescent="0.3">
      <c r="A496" s="31">
        <v>484</v>
      </c>
      <c r="B496" s="32" t="s">
        <v>1712</v>
      </c>
      <c r="C496" s="32" t="s">
        <v>1725</v>
      </c>
      <c r="D496" s="32" t="s">
        <v>60</v>
      </c>
      <c r="E496" s="32">
        <v>2020</v>
      </c>
      <c r="F496" s="32" t="s">
        <v>18</v>
      </c>
      <c r="G496" s="32" t="s">
        <v>159</v>
      </c>
      <c r="H496" s="32" t="s">
        <v>217</v>
      </c>
      <c r="I496" s="32" t="s">
        <v>258</v>
      </c>
      <c r="J496" s="32">
        <v>3793</v>
      </c>
      <c r="K496" s="32">
        <v>0</v>
      </c>
      <c r="L496" s="32">
        <v>0</v>
      </c>
      <c r="M496" s="32">
        <v>0</v>
      </c>
      <c r="N496" s="32">
        <v>27380</v>
      </c>
      <c r="O496" s="32">
        <v>0</v>
      </c>
      <c r="P496" s="32">
        <v>0</v>
      </c>
      <c r="Q496" s="43">
        <f t="shared" si="14"/>
        <v>31173</v>
      </c>
      <c r="R496" s="69">
        <f t="shared" si="15"/>
        <v>26497.05</v>
      </c>
      <c r="S496" s="30"/>
      <c r="T496" s="30"/>
    </row>
    <row r="497" spans="1:20" s="41" customFormat="1" ht="45" customHeight="1" x14ac:dyDescent="0.3">
      <c r="A497" s="36">
        <v>485</v>
      </c>
      <c r="B497" s="38" t="s">
        <v>1712</v>
      </c>
      <c r="C497" s="38" t="s">
        <v>1726</v>
      </c>
      <c r="D497" s="38" t="s">
        <v>1727</v>
      </c>
      <c r="E497" s="38">
        <v>2024</v>
      </c>
      <c r="F497" s="38" t="s">
        <v>19</v>
      </c>
      <c r="G497" s="38" t="s">
        <v>1810</v>
      </c>
      <c r="H497" s="38" t="s">
        <v>1855</v>
      </c>
      <c r="I497" s="38" t="s">
        <v>1886</v>
      </c>
      <c r="J497" s="38">
        <v>6199</v>
      </c>
      <c r="K497" s="38">
        <v>0</v>
      </c>
      <c r="L497" s="38">
        <v>0</v>
      </c>
      <c r="M497" s="38">
        <v>0</v>
      </c>
      <c r="N497" s="38">
        <v>0</v>
      </c>
      <c r="O497" s="38">
        <v>0</v>
      </c>
      <c r="P497" s="38">
        <v>0</v>
      </c>
      <c r="Q497" s="43">
        <f t="shared" si="14"/>
        <v>6199</v>
      </c>
      <c r="R497" s="69">
        <f t="shared" si="15"/>
        <v>5269.15</v>
      </c>
      <c r="S497" s="40"/>
      <c r="T497" s="40"/>
    </row>
    <row r="498" spans="1:20" ht="45" customHeight="1" x14ac:dyDescent="0.3">
      <c r="A498" s="31">
        <v>486</v>
      </c>
      <c r="B498" s="32" t="s">
        <v>1712</v>
      </c>
      <c r="C498" s="32" t="s">
        <v>1728</v>
      </c>
      <c r="D498" s="32" t="s">
        <v>1729</v>
      </c>
      <c r="E498" s="32">
        <v>2022</v>
      </c>
      <c r="F498" s="32" t="s">
        <v>19</v>
      </c>
      <c r="G498" s="32" t="s">
        <v>1811</v>
      </c>
      <c r="H498" s="32" t="s">
        <v>1856</v>
      </c>
      <c r="I498" s="32" t="s">
        <v>539</v>
      </c>
      <c r="J498" s="32">
        <v>6199</v>
      </c>
      <c r="K498" s="32">
        <f>6278+4484+1346+2332+2332+2332+2332+2332+4484+1166+6995+6995+2332+6995+2332+2332</f>
        <v>57399</v>
      </c>
      <c r="L498" s="32">
        <v>0</v>
      </c>
      <c r="M498" s="32">
        <v>0</v>
      </c>
      <c r="N498" s="32">
        <v>3148</v>
      </c>
      <c r="O498" s="32">
        <v>0</v>
      </c>
      <c r="P498" s="32">
        <v>0</v>
      </c>
      <c r="Q498" s="43">
        <f t="shared" si="14"/>
        <v>66746</v>
      </c>
      <c r="R498" s="69">
        <f t="shared" si="15"/>
        <v>56734.1</v>
      </c>
      <c r="S498" s="30"/>
      <c r="T498" s="30"/>
    </row>
    <row r="499" spans="1:20" ht="45" customHeight="1" x14ac:dyDescent="0.3">
      <c r="A499" s="31">
        <v>487</v>
      </c>
      <c r="B499" s="32" t="s">
        <v>1712</v>
      </c>
      <c r="C499" s="32" t="s">
        <v>1730</v>
      </c>
      <c r="D499" s="32" t="s">
        <v>1731</v>
      </c>
      <c r="E499" s="32">
        <v>1982</v>
      </c>
      <c r="F499" s="32" t="s">
        <v>18</v>
      </c>
      <c r="G499" s="32" t="s">
        <v>1812</v>
      </c>
      <c r="H499" s="32" t="s">
        <v>1812</v>
      </c>
      <c r="I499" s="32" t="s">
        <v>1050</v>
      </c>
      <c r="J499" s="32">
        <v>6199</v>
      </c>
      <c r="K499" s="32">
        <v>2332</v>
      </c>
      <c r="L499" s="32">
        <v>0</v>
      </c>
      <c r="M499" s="32">
        <v>0</v>
      </c>
      <c r="N499" s="32">
        <v>1793</v>
      </c>
      <c r="O499" s="32">
        <v>0</v>
      </c>
      <c r="P499" s="32">
        <v>0</v>
      </c>
      <c r="Q499" s="43">
        <f t="shared" si="14"/>
        <v>10324</v>
      </c>
      <c r="R499" s="69">
        <f t="shared" si="15"/>
        <v>8775.4</v>
      </c>
      <c r="S499" s="30"/>
      <c r="T499" s="30"/>
    </row>
    <row r="500" spans="1:20" ht="45" customHeight="1" x14ac:dyDescent="0.3">
      <c r="A500" s="36">
        <v>488</v>
      </c>
      <c r="B500" s="32" t="s">
        <v>1712</v>
      </c>
      <c r="C500" s="32" t="s">
        <v>1732</v>
      </c>
      <c r="D500" s="32" t="s">
        <v>1733</v>
      </c>
      <c r="E500" s="32">
        <v>2008</v>
      </c>
      <c r="F500" s="32" t="s">
        <v>19</v>
      </c>
      <c r="G500" s="32" t="s">
        <v>1813</v>
      </c>
      <c r="H500" s="32" t="s">
        <v>1857</v>
      </c>
      <c r="I500" s="32" t="s">
        <v>1887</v>
      </c>
      <c r="J500" s="32">
        <v>6199</v>
      </c>
      <c r="K500" s="32">
        <v>0</v>
      </c>
      <c r="L500" s="32">
        <v>0</v>
      </c>
      <c r="M500" s="32">
        <v>0</v>
      </c>
      <c r="N500" s="32">
        <v>0</v>
      </c>
      <c r="O500" s="32">
        <v>0</v>
      </c>
      <c r="P500" s="32">
        <v>0</v>
      </c>
      <c r="Q500" s="43">
        <f t="shared" si="14"/>
        <v>6199</v>
      </c>
      <c r="R500" s="69">
        <f t="shared" si="15"/>
        <v>5269.15</v>
      </c>
      <c r="S500" s="30"/>
      <c r="T500" s="30"/>
    </row>
    <row r="501" spans="1:20" ht="45" customHeight="1" x14ac:dyDescent="0.3">
      <c r="A501" s="31">
        <v>489</v>
      </c>
      <c r="B501" s="32" t="s">
        <v>1712</v>
      </c>
      <c r="C501" s="32" t="s">
        <v>1734</v>
      </c>
      <c r="D501" s="32" t="s">
        <v>1735</v>
      </c>
      <c r="E501" s="32">
        <v>2013</v>
      </c>
      <c r="F501" s="32" t="s">
        <v>19</v>
      </c>
      <c r="G501" s="32" t="s">
        <v>1814</v>
      </c>
      <c r="H501" s="32" t="s">
        <v>1858</v>
      </c>
      <c r="I501" s="32" t="s">
        <v>1046</v>
      </c>
      <c r="J501" s="32">
        <v>6199</v>
      </c>
      <c r="K501" s="32">
        <v>0</v>
      </c>
      <c r="L501" s="32">
        <v>0</v>
      </c>
      <c r="M501" s="32">
        <v>0</v>
      </c>
      <c r="N501" s="32">
        <v>0</v>
      </c>
      <c r="O501" s="32">
        <v>0</v>
      </c>
      <c r="P501" s="32">
        <v>0</v>
      </c>
      <c r="Q501" s="43">
        <f t="shared" si="14"/>
        <v>6199</v>
      </c>
      <c r="R501" s="69">
        <f t="shared" si="15"/>
        <v>5269.15</v>
      </c>
      <c r="S501" s="30"/>
      <c r="T501" s="30"/>
    </row>
    <row r="502" spans="1:20" ht="45" customHeight="1" x14ac:dyDescent="0.3">
      <c r="A502" s="31">
        <v>490</v>
      </c>
      <c r="B502" s="32" t="s">
        <v>1712</v>
      </c>
      <c r="C502" s="32" t="s">
        <v>1736</v>
      </c>
      <c r="D502" s="32" t="s">
        <v>1737</v>
      </c>
      <c r="E502" s="32">
        <v>2020</v>
      </c>
      <c r="F502" s="32" t="s">
        <v>19</v>
      </c>
      <c r="G502" s="32" t="s">
        <v>1815</v>
      </c>
      <c r="H502" s="32" t="s">
        <v>1859</v>
      </c>
      <c r="I502" s="32" t="s">
        <v>1084</v>
      </c>
      <c r="J502" s="32">
        <v>6199</v>
      </c>
      <c r="K502" s="32">
        <v>0</v>
      </c>
      <c r="L502" s="32">
        <v>0</v>
      </c>
      <c r="M502" s="32">
        <v>0</v>
      </c>
      <c r="N502" s="32">
        <v>0</v>
      </c>
      <c r="O502" s="32">
        <v>0</v>
      </c>
      <c r="P502" s="32">
        <v>0</v>
      </c>
      <c r="Q502" s="43">
        <f t="shared" si="14"/>
        <v>6199</v>
      </c>
      <c r="R502" s="69">
        <f t="shared" si="15"/>
        <v>5269.15</v>
      </c>
      <c r="S502" s="30"/>
      <c r="T502" s="30"/>
    </row>
    <row r="503" spans="1:20" ht="45" customHeight="1" x14ac:dyDescent="0.3">
      <c r="A503" s="36">
        <v>491</v>
      </c>
      <c r="B503" s="32" t="s">
        <v>1712</v>
      </c>
      <c r="C503" s="32" t="s">
        <v>1738</v>
      </c>
      <c r="D503" s="32" t="s">
        <v>1739</v>
      </c>
      <c r="E503" s="32">
        <v>2025</v>
      </c>
      <c r="F503" s="32" t="s">
        <v>18</v>
      </c>
      <c r="G503" s="32" t="s">
        <v>1816</v>
      </c>
      <c r="H503" s="32" t="s">
        <v>1860</v>
      </c>
      <c r="I503" s="32" t="s">
        <v>1888</v>
      </c>
      <c r="J503" s="32">
        <v>6199</v>
      </c>
      <c r="K503" s="32">
        <v>0</v>
      </c>
      <c r="L503" s="32">
        <v>0</v>
      </c>
      <c r="M503" s="32">
        <v>0</v>
      </c>
      <c r="N503" s="32">
        <v>0</v>
      </c>
      <c r="O503" s="32">
        <v>0</v>
      </c>
      <c r="P503" s="32">
        <v>0</v>
      </c>
      <c r="Q503" s="43">
        <f t="shared" si="14"/>
        <v>6199</v>
      </c>
      <c r="R503" s="69">
        <f t="shared" si="15"/>
        <v>5269.15</v>
      </c>
      <c r="S503" s="30"/>
      <c r="T503" s="30"/>
    </row>
    <row r="504" spans="1:20" s="41" customFormat="1" ht="45" customHeight="1" x14ac:dyDescent="0.3">
      <c r="A504" s="31">
        <v>492</v>
      </c>
      <c r="B504" s="38" t="s">
        <v>1712</v>
      </c>
      <c r="C504" s="38" t="s">
        <v>1740</v>
      </c>
      <c r="D504" s="38" t="s">
        <v>1741</v>
      </c>
      <c r="E504" s="38">
        <v>2012</v>
      </c>
      <c r="F504" s="38" t="s">
        <v>19</v>
      </c>
      <c r="G504" s="38" t="s">
        <v>1817</v>
      </c>
      <c r="H504" s="38" t="s">
        <v>1861</v>
      </c>
      <c r="I504" s="38" t="s">
        <v>1889</v>
      </c>
      <c r="J504" s="38">
        <v>3793</v>
      </c>
      <c r="K504" s="38">
        <v>0</v>
      </c>
      <c r="L504" s="38">
        <v>0</v>
      </c>
      <c r="M504" s="38">
        <v>0</v>
      </c>
      <c r="N504" s="38">
        <v>59994</v>
      </c>
      <c r="O504" s="38">
        <v>0</v>
      </c>
      <c r="P504" s="38">
        <v>0</v>
      </c>
      <c r="Q504" s="43">
        <f t="shared" si="14"/>
        <v>63787</v>
      </c>
      <c r="R504" s="69">
        <f t="shared" si="15"/>
        <v>54218.95</v>
      </c>
      <c r="S504" s="40"/>
      <c r="T504" s="40"/>
    </row>
    <row r="505" spans="1:20" ht="45" customHeight="1" x14ac:dyDescent="0.3">
      <c r="A505" s="31">
        <v>493</v>
      </c>
      <c r="B505" s="32" t="s">
        <v>1712</v>
      </c>
      <c r="C505" s="32" t="s">
        <v>1742</v>
      </c>
      <c r="D505" s="32" t="s">
        <v>1743</v>
      </c>
      <c r="E505" s="32">
        <v>2025</v>
      </c>
      <c r="F505" s="32" t="s">
        <v>18</v>
      </c>
      <c r="G505" s="32" t="s">
        <v>1818</v>
      </c>
      <c r="H505" s="32" t="s">
        <v>1862</v>
      </c>
      <c r="I505" s="32" t="s">
        <v>1890</v>
      </c>
      <c r="J505" s="32">
        <v>6199</v>
      </c>
      <c r="K505" s="32">
        <v>0</v>
      </c>
      <c r="L505" s="32">
        <v>0</v>
      </c>
      <c r="M505" s="32">
        <v>0</v>
      </c>
      <c r="N505" s="32">
        <v>0</v>
      </c>
      <c r="O505" s="32">
        <v>0</v>
      </c>
      <c r="P505" s="32">
        <v>0</v>
      </c>
      <c r="Q505" s="43">
        <f t="shared" si="14"/>
        <v>6199</v>
      </c>
      <c r="R505" s="69">
        <f t="shared" si="15"/>
        <v>5269.15</v>
      </c>
      <c r="S505" s="30"/>
      <c r="T505" s="30"/>
    </row>
    <row r="506" spans="1:20" s="41" customFormat="1" ht="45" customHeight="1" x14ac:dyDescent="0.3">
      <c r="A506" s="36">
        <v>494</v>
      </c>
      <c r="B506" s="38" t="s">
        <v>1712</v>
      </c>
      <c r="C506" s="38" t="s">
        <v>1744</v>
      </c>
      <c r="D506" s="38" t="s">
        <v>1745</v>
      </c>
      <c r="E506" s="38">
        <v>2017</v>
      </c>
      <c r="F506" s="38" t="s">
        <v>18</v>
      </c>
      <c r="G506" s="38" t="s">
        <v>1819</v>
      </c>
      <c r="H506" s="38" t="s">
        <v>1863</v>
      </c>
      <c r="I506" s="38" t="s">
        <v>1891</v>
      </c>
      <c r="J506" s="38">
        <v>6199</v>
      </c>
      <c r="K506" s="38">
        <v>0</v>
      </c>
      <c r="L506" s="38">
        <v>0</v>
      </c>
      <c r="M506" s="38">
        <v>0</v>
      </c>
      <c r="N506" s="38">
        <v>0</v>
      </c>
      <c r="O506" s="38">
        <v>0</v>
      </c>
      <c r="P506" s="38">
        <v>0</v>
      </c>
      <c r="Q506" s="43">
        <f t="shared" si="14"/>
        <v>6199</v>
      </c>
      <c r="R506" s="69">
        <f t="shared" si="15"/>
        <v>5269.15</v>
      </c>
      <c r="S506" s="40"/>
      <c r="T506" s="40"/>
    </row>
    <row r="507" spans="1:20" ht="45" customHeight="1" x14ac:dyDescent="0.3">
      <c r="A507" s="31">
        <v>495</v>
      </c>
      <c r="B507" s="32" t="s">
        <v>1712</v>
      </c>
      <c r="C507" s="32" t="s">
        <v>1746</v>
      </c>
      <c r="D507" s="32" t="s">
        <v>1747</v>
      </c>
      <c r="E507" s="32">
        <v>2023</v>
      </c>
      <c r="F507" s="32" t="s">
        <v>19</v>
      </c>
      <c r="G507" s="32" t="s">
        <v>1820</v>
      </c>
      <c r="H507" s="32" t="s">
        <v>1864</v>
      </c>
      <c r="I507" s="32" t="s">
        <v>1892</v>
      </c>
      <c r="J507" s="32">
        <v>6199</v>
      </c>
      <c r="K507" s="32">
        <f>6278+4484+1346+4484+2332+2332+2332+2332+2332</f>
        <v>28252</v>
      </c>
      <c r="L507" s="32">
        <v>0</v>
      </c>
      <c r="M507" s="32">
        <v>0</v>
      </c>
      <c r="N507" s="32">
        <v>3148</v>
      </c>
      <c r="O507" s="32">
        <v>0</v>
      </c>
      <c r="P507" s="32">
        <v>0</v>
      </c>
      <c r="Q507" s="43">
        <f t="shared" si="14"/>
        <v>37599</v>
      </c>
      <c r="R507" s="69">
        <f t="shared" si="15"/>
        <v>31959.15</v>
      </c>
      <c r="S507" s="30"/>
      <c r="T507" s="30"/>
    </row>
    <row r="508" spans="1:20" ht="45" customHeight="1" x14ac:dyDescent="0.3">
      <c r="A508" s="31">
        <v>496</v>
      </c>
      <c r="B508" s="32" t="s">
        <v>1712</v>
      </c>
      <c r="C508" s="32" t="s">
        <v>1748</v>
      </c>
      <c r="D508" s="32" t="s">
        <v>1749</v>
      </c>
      <c r="E508" s="32">
        <v>2013</v>
      </c>
      <c r="F508" s="32" t="s">
        <v>18</v>
      </c>
      <c r="G508" s="32" t="s">
        <v>1821</v>
      </c>
      <c r="H508" s="32" t="s">
        <v>1865</v>
      </c>
      <c r="I508" s="32" t="s">
        <v>1893</v>
      </c>
      <c r="J508" s="32">
        <v>6199</v>
      </c>
      <c r="K508" s="32">
        <f>1346+6278+2332+1166+2801</f>
        <v>13923</v>
      </c>
      <c r="L508" s="32">
        <v>0</v>
      </c>
      <c r="M508" s="32">
        <v>0</v>
      </c>
      <c r="N508" s="32">
        <v>3148</v>
      </c>
      <c r="O508" s="32">
        <v>0</v>
      </c>
      <c r="P508" s="32">
        <v>0</v>
      </c>
      <c r="Q508" s="43">
        <f t="shared" si="14"/>
        <v>23270</v>
      </c>
      <c r="R508" s="69">
        <f t="shared" si="15"/>
        <v>19779.5</v>
      </c>
      <c r="S508" s="30"/>
      <c r="T508" s="30"/>
    </row>
    <row r="509" spans="1:20" ht="45" customHeight="1" x14ac:dyDescent="0.3">
      <c r="A509" s="36">
        <v>497</v>
      </c>
      <c r="B509" s="32" t="s">
        <v>1712</v>
      </c>
      <c r="C509" s="32" t="s">
        <v>1750</v>
      </c>
      <c r="D509" s="32" t="s">
        <v>1751</v>
      </c>
      <c r="E509" s="32">
        <v>2018</v>
      </c>
      <c r="F509" s="32" t="s">
        <v>18</v>
      </c>
      <c r="G509" s="32" t="s">
        <v>1822</v>
      </c>
      <c r="H509" s="32" t="s">
        <v>496</v>
      </c>
      <c r="I509" s="32" t="s">
        <v>580</v>
      </c>
      <c r="J509" s="32">
        <v>6199</v>
      </c>
      <c r="K509" s="32">
        <v>0</v>
      </c>
      <c r="L509" s="32">
        <v>0</v>
      </c>
      <c r="M509" s="32">
        <v>0</v>
      </c>
      <c r="N509" s="32">
        <f>15443+35836</f>
        <v>51279</v>
      </c>
      <c r="O509" s="32">
        <v>0</v>
      </c>
      <c r="P509" s="32">
        <v>0</v>
      </c>
      <c r="Q509" s="43">
        <f t="shared" si="14"/>
        <v>57478</v>
      </c>
      <c r="R509" s="69">
        <f t="shared" si="15"/>
        <v>48856.3</v>
      </c>
      <c r="S509" s="30"/>
      <c r="T509" s="30"/>
    </row>
    <row r="510" spans="1:20" ht="45" customHeight="1" x14ac:dyDescent="0.3">
      <c r="A510" s="31">
        <v>498</v>
      </c>
      <c r="B510" s="32" t="s">
        <v>1712</v>
      </c>
      <c r="C510" s="32" t="s">
        <v>1752</v>
      </c>
      <c r="D510" s="32" t="s">
        <v>1753</v>
      </c>
      <c r="E510" s="32">
        <v>1978</v>
      </c>
      <c r="F510" s="32" t="s">
        <v>19</v>
      </c>
      <c r="G510" s="32" t="s">
        <v>1823</v>
      </c>
      <c r="H510" s="32" t="s">
        <v>1823</v>
      </c>
      <c r="I510" s="32" t="s">
        <v>1894</v>
      </c>
      <c r="J510" s="32">
        <v>6199</v>
      </c>
      <c r="K510" s="32">
        <f>2332+2332+2243</f>
        <v>6907</v>
      </c>
      <c r="L510" s="32">
        <v>0</v>
      </c>
      <c r="M510" s="32">
        <v>0</v>
      </c>
      <c r="N510" s="32">
        <v>0</v>
      </c>
      <c r="O510" s="32">
        <v>0</v>
      </c>
      <c r="P510" s="32">
        <v>0</v>
      </c>
      <c r="Q510" s="43">
        <f t="shared" si="14"/>
        <v>13106</v>
      </c>
      <c r="R510" s="69">
        <f t="shared" si="15"/>
        <v>11140.1</v>
      </c>
      <c r="S510" s="30"/>
      <c r="T510" s="30"/>
    </row>
    <row r="511" spans="1:20" ht="45" customHeight="1" x14ac:dyDescent="0.3">
      <c r="A511" s="31">
        <v>499</v>
      </c>
      <c r="B511" s="32" t="s">
        <v>1712</v>
      </c>
      <c r="C511" s="32" t="s">
        <v>1754</v>
      </c>
      <c r="D511" s="32" t="s">
        <v>1755</v>
      </c>
      <c r="E511" s="32">
        <v>1984</v>
      </c>
      <c r="F511" s="32" t="s">
        <v>19</v>
      </c>
      <c r="G511" s="32" t="s">
        <v>1824</v>
      </c>
      <c r="H511" s="32" t="s">
        <v>1866</v>
      </c>
      <c r="I511" s="32" t="s">
        <v>1046</v>
      </c>
      <c r="J511" s="32">
        <v>6199</v>
      </c>
      <c r="K511" s="32">
        <v>0</v>
      </c>
      <c r="L511" s="32">
        <v>0</v>
      </c>
      <c r="M511" s="32">
        <v>0</v>
      </c>
      <c r="N511" s="32">
        <v>0</v>
      </c>
      <c r="O511" s="32">
        <v>0</v>
      </c>
      <c r="P511" s="32">
        <v>0</v>
      </c>
      <c r="Q511" s="43">
        <f t="shared" si="14"/>
        <v>6199</v>
      </c>
      <c r="R511" s="69">
        <f t="shared" si="15"/>
        <v>5269.15</v>
      </c>
      <c r="S511" s="30"/>
      <c r="T511" s="30"/>
    </row>
    <row r="512" spans="1:20" ht="45" customHeight="1" x14ac:dyDescent="0.3">
      <c r="A512" s="36">
        <v>500</v>
      </c>
      <c r="B512" s="32" t="s">
        <v>1712</v>
      </c>
      <c r="C512" s="32" t="s">
        <v>1756</v>
      </c>
      <c r="D512" s="32" t="s">
        <v>1757</v>
      </c>
      <c r="E512" s="32">
        <v>1996</v>
      </c>
      <c r="F512" s="32" t="s">
        <v>19</v>
      </c>
      <c r="G512" s="32" t="s">
        <v>1825</v>
      </c>
      <c r="H512" s="32" t="s">
        <v>1867</v>
      </c>
      <c r="I512" s="32" t="s">
        <v>1257</v>
      </c>
      <c r="J512" s="32">
        <v>6199</v>
      </c>
      <c r="K512" s="32">
        <v>0</v>
      </c>
      <c r="L512" s="32">
        <v>0</v>
      </c>
      <c r="M512" s="32">
        <v>0</v>
      </c>
      <c r="N512" s="32">
        <v>9871</v>
      </c>
      <c r="O512" s="32">
        <v>0</v>
      </c>
      <c r="P512" s="32">
        <v>0</v>
      </c>
      <c r="Q512" s="43">
        <f t="shared" si="14"/>
        <v>16070</v>
      </c>
      <c r="R512" s="69">
        <f t="shared" si="15"/>
        <v>13659.5</v>
      </c>
      <c r="S512" s="30"/>
      <c r="T512" s="30"/>
    </row>
    <row r="513" spans="1:20" ht="45" customHeight="1" x14ac:dyDescent="0.3">
      <c r="A513" s="31">
        <v>501</v>
      </c>
      <c r="B513" s="32" t="s">
        <v>1712</v>
      </c>
      <c r="C513" s="32" t="s">
        <v>1758</v>
      </c>
      <c r="D513" s="32" t="s">
        <v>1759</v>
      </c>
      <c r="E513" s="32">
        <v>1959</v>
      </c>
      <c r="F513" s="32" t="s">
        <v>19</v>
      </c>
      <c r="G513" s="32" t="s">
        <v>1826</v>
      </c>
      <c r="H513" s="32" t="s">
        <v>1868</v>
      </c>
      <c r="I513" s="32" t="s">
        <v>276</v>
      </c>
      <c r="J513" s="32">
        <v>6199</v>
      </c>
      <c r="K513" s="32">
        <f>6278+4484+1346+2332+2332+2332+2332+2332+4484+4484+4484+2332+3000+3000+4484+4484</f>
        <v>54520</v>
      </c>
      <c r="L513" s="32">
        <v>0</v>
      </c>
      <c r="M513" s="32">
        <v>0</v>
      </c>
      <c r="N513" s="32">
        <v>1793</v>
      </c>
      <c r="O513" s="32">
        <v>0</v>
      </c>
      <c r="P513" s="32">
        <v>0</v>
      </c>
      <c r="Q513" s="43">
        <f t="shared" si="14"/>
        <v>62512</v>
      </c>
      <c r="R513" s="69">
        <f t="shared" si="15"/>
        <v>53135.199999999997</v>
      </c>
      <c r="S513" s="30"/>
      <c r="T513" s="30"/>
    </row>
    <row r="514" spans="1:20" ht="45" customHeight="1" x14ac:dyDescent="0.3">
      <c r="A514" s="31">
        <v>502</v>
      </c>
      <c r="B514" s="32" t="s">
        <v>1712</v>
      </c>
      <c r="C514" s="32" t="s">
        <v>1760</v>
      </c>
      <c r="D514" s="32" t="s">
        <v>1761</v>
      </c>
      <c r="E514" s="32">
        <v>1968</v>
      </c>
      <c r="F514" s="32" t="s">
        <v>19</v>
      </c>
      <c r="G514" s="32" t="s">
        <v>1827</v>
      </c>
      <c r="H514" s="32" t="s">
        <v>1869</v>
      </c>
      <c r="I514" s="32" t="s">
        <v>276</v>
      </c>
      <c r="J514" s="32">
        <v>6199</v>
      </c>
      <c r="K514" s="32">
        <v>0</v>
      </c>
      <c r="L514" s="32">
        <v>0</v>
      </c>
      <c r="M514" s="32">
        <v>0</v>
      </c>
      <c r="N514" s="32">
        <v>0</v>
      </c>
      <c r="O514" s="32">
        <v>0</v>
      </c>
      <c r="P514" s="32">
        <v>0</v>
      </c>
      <c r="Q514" s="43">
        <f t="shared" si="14"/>
        <v>6199</v>
      </c>
      <c r="R514" s="69">
        <f t="shared" si="15"/>
        <v>5269.15</v>
      </c>
      <c r="S514" s="30"/>
      <c r="T514" s="30"/>
    </row>
    <row r="515" spans="1:20" ht="45" customHeight="1" x14ac:dyDescent="0.3">
      <c r="A515" s="36">
        <v>503</v>
      </c>
      <c r="B515" s="32" t="s">
        <v>1712</v>
      </c>
      <c r="C515" s="32" t="s">
        <v>1762</v>
      </c>
      <c r="D515" s="32" t="s">
        <v>1763</v>
      </c>
      <c r="E515" s="32">
        <v>1989</v>
      </c>
      <c r="F515" s="32" t="s">
        <v>19</v>
      </c>
      <c r="G515" s="32" t="s">
        <v>1828</v>
      </c>
      <c r="H515" s="32" t="s">
        <v>1828</v>
      </c>
      <c r="I515" s="32" t="s">
        <v>1895</v>
      </c>
      <c r="J515" s="32">
        <v>6199</v>
      </c>
      <c r="K515" s="32">
        <v>0</v>
      </c>
      <c r="L515" s="32">
        <v>0</v>
      </c>
      <c r="M515" s="32">
        <v>0</v>
      </c>
      <c r="N515" s="32">
        <v>0</v>
      </c>
      <c r="O515" s="32">
        <v>0</v>
      </c>
      <c r="P515" s="32">
        <v>0</v>
      </c>
      <c r="Q515" s="43">
        <f t="shared" si="14"/>
        <v>6199</v>
      </c>
      <c r="R515" s="69">
        <f t="shared" si="15"/>
        <v>5269.15</v>
      </c>
      <c r="S515" s="30"/>
      <c r="T515" s="30"/>
    </row>
    <row r="516" spans="1:20" ht="45" customHeight="1" x14ac:dyDescent="0.3">
      <c r="A516" s="31">
        <v>504</v>
      </c>
      <c r="B516" s="32" t="s">
        <v>1712</v>
      </c>
      <c r="C516" s="32" t="s">
        <v>1764</v>
      </c>
      <c r="D516" s="32" t="s">
        <v>1765</v>
      </c>
      <c r="E516" s="32">
        <v>2021</v>
      </c>
      <c r="F516" s="32" t="s">
        <v>19</v>
      </c>
      <c r="G516" s="32" t="s">
        <v>1829</v>
      </c>
      <c r="H516" s="32" t="s">
        <v>1870</v>
      </c>
      <c r="I516" s="32" t="s">
        <v>1050</v>
      </c>
      <c r="J516" s="32">
        <v>6199</v>
      </c>
      <c r="K516" s="32">
        <v>0</v>
      </c>
      <c r="L516" s="32">
        <v>0</v>
      </c>
      <c r="M516" s="32">
        <v>0</v>
      </c>
      <c r="N516" s="32">
        <f>15443+35836</f>
        <v>51279</v>
      </c>
      <c r="O516" s="32">
        <v>0</v>
      </c>
      <c r="P516" s="32">
        <v>0</v>
      </c>
      <c r="Q516" s="43">
        <f t="shared" si="14"/>
        <v>57478</v>
      </c>
      <c r="R516" s="69">
        <f t="shared" si="15"/>
        <v>48856.3</v>
      </c>
      <c r="S516" s="30"/>
      <c r="T516" s="30"/>
    </row>
    <row r="517" spans="1:20" ht="45" customHeight="1" x14ac:dyDescent="0.3">
      <c r="A517" s="31">
        <v>505</v>
      </c>
      <c r="B517" s="32" t="s">
        <v>1712</v>
      </c>
      <c r="C517" s="32" t="s">
        <v>1766</v>
      </c>
      <c r="D517" s="32" t="s">
        <v>1767</v>
      </c>
      <c r="E517" s="32">
        <v>2010</v>
      </c>
      <c r="F517" s="32" t="s">
        <v>18</v>
      </c>
      <c r="G517" s="32" t="s">
        <v>1830</v>
      </c>
      <c r="H517" s="32" t="s">
        <v>1871</v>
      </c>
      <c r="I517" s="32" t="s">
        <v>1896</v>
      </c>
      <c r="J517" s="32">
        <v>3793</v>
      </c>
      <c r="K517" s="32">
        <v>0</v>
      </c>
      <c r="L517" s="32">
        <v>0</v>
      </c>
      <c r="M517" s="32">
        <v>0</v>
      </c>
      <c r="N517" s="32">
        <v>0</v>
      </c>
      <c r="O517" s="32">
        <v>0</v>
      </c>
      <c r="P517" s="32">
        <v>0</v>
      </c>
      <c r="Q517" s="43">
        <f t="shared" si="14"/>
        <v>3793</v>
      </c>
      <c r="R517" s="69">
        <f t="shared" si="15"/>
        <v>3224.05</v>
      </c>
      <c r="S517" s="30"/>
      <c r="T517" s="30"/>
    </row>
    <row r="518" spans="1:20" s="41" customFormat="1" ht="45" customHeight="1" x14ac:dyDescent="0.3">
      <c r="A518" s="36">
        <v>506</v>
      </c>
      <c r="B518" s="38" t="s">
        <v>1712</v>
      </c>
      <c r="C518" s="38" t="s">
        <v>1768</v>
      </c>
      <c r="D518" s="38" t="s">
        <v>1769</v>
      </c>
      <c r="E518" s="38">
        <v>1993</v>
      </c>
      <c r="F518" s="38" t="s">
        <v>19</v>
      </c>
      <c r="G518" s="38" t="s">
        <v>1831</v>
      </c>
      <c r="H518" s="38" t="s">
        <v>1831</v>
      </c>
      <c r="I518" s="38" t="s">
        <v>1897</v>
      </c>
      <c r="J518" s="38">
        <v>6199</v>
      </c>
      <c r="K518" s="38">
        <f>2332+2332+2243+1346</f>
        <v>8253</v>
      </c>
      <c r="L518" s="38">
        <v>0</v>
      </c>
      <c r="M518" s="38">
        <v>0</v>
      </c>
      <c r="N518" s="38">
        <f>1681+3179</f>
        <v>4860</v>
      </c>
      <c r="O518" s="38">
        <v>0</v>
      </c>
      <c r="P518" s="38">
        <f>624+112</f>
        <v>736</v>
      </c>
      <c r="Q518" s="43">
        <f t="shared" si="14"/>
        <v>20048</v>
      </c>
      <c r="R518" s="69">
        <f t="shared" si="15"/>
        <v>17040.8</v>
      </c>
      <c r="S518" s="40"/>
      <c r="T518" s="40"/>
    </row>
    <row r="519" spans="1:20" ht="45" customHeight="1" x14ac:dyDescent="0.3">
      <c r="A519" s="31">
        <v>507</v>
      </c>
      <c r="B519" s="32" t="s">
        <v>1712</v>
      </c>
      <c r="C519" s="32" t="s">
        <v>1770</v>
      </c>
      <c r="D519" s="32" t="s">
        <v>1771</v>
      </c>
      <c r="E519" s="32">
        <v>2022</v>
      </c>
      <c r="F519" s="32" t="s">
        <v>18</v>
      </c>
      <c r="G519" s="32" t="s">
        <v>1832</v>
      </c>
      <c r="H519" s="32" t="s">
        <v>1872</v>
      </c>
      <c r="I519" s="32" t="s">
        <v>1698</v>
      </c>
      <c r="J519" s="32">
        <v>6199</v>
      </c>
      <c r="K519" s="32">
        <f>6278+4484+2332+1346+2332+2332+2332+2332+6995+6995+2332+6995+2332+4484+4484</f>
        <v>58385</v>
      </c>
      <c r="L519" s="32">
        <v>0</v>
      </c>
      <c r="M519" s="32">
        <v>0</v>
      </c>
      <c r="N519" s="32">
        <v>3148</v>
      </c>
      <c r="O519" s="32">
        <v>0</v>
      </c>
      <c r="P519" s="32">
        <v>0</v>
      </c>
      <c r="Q519" s="43">
        <f t="shared" si="14"/>
        <v>67732</v>
      </c>
      <c r="R519" s="69">
        <f t="shared" si="15"/>
        <v>57572.2</v>
      </c>
      <c r="S519" s="30"/>
      <c r="T519" s="30"/>
    </row>
    <row r="520" spans="1:20" ht="45" customHeight="1" x14ac:dyDescent="0.3">
      <c r="A520" s="31">
        <v>508</v>
      </c>
      <c r="B520" s="32" t="s">
        <v>1712</v>
      </c>
      <c r="C520" s="32" t="s">
        <v>1772</v>
      </c>
      <c r="D520" s="32" t="s">
        <v>1773</v>
      </c>
      <c r="E520" s="32">
        <v>2018</v>
      </c>
      <c r="F520" s="32" t="s">
        <v>18</v>
      </c>
      <c r="G520" s="32" t="s">
        <v>1833</v>
      </c>
      <c r="H520" s="32" t="s">
        <v>1873</v>
      </c>
      <c r="I520" s="32" t="s">
        <v>1898</v>
      </c>
      <c r="J520" s="32">
        <v>6199</v>
      </c>
      <c r="K520" s="32">
        <v>0</v>
      </c>
      <c r="L520" s="32">
        <v>0</v>
      </c>
      <c r="M520" s="32">
        <v>0</v>
      </c>
      <c r="N520" s="32">
        <v>0</v>
      </c>
      <c r="O520" s="32">
        <v>0</v>
      </c>
      <c r="P520" s="32">
        <v>0</v>
      </c>
      <c r="Q520" s="43">
        <f t="shared" si="14"/>
        <v>6199</v>
      </c>
      <c r="R520" s="69">
        <f t="shared" si="15"/>
        <v>5269.15</v>
      </c>
      <c r="S520" s="30"/>
      <c r="T520" s="30"/>
    </row>
    <row r="521" spans="1:20" s="41" customFormat="1" ht="45" customHeight="1" x14ac:dyDescent="0.3">
      <c r="A521" s="36">
        <v>509</v>
      </c>
      <c r="B521" s="38" t="s">
        <v>1712</v>
      </c>
      <c r="C521" s="38" t="s">
        <v>1774</v>
      </c>
      <c r="D521" s="38" t="s">
        <v>1775</v>
      </c>
      <c r="E521" s="38">
        <v>2013</v>
      </c>
      <c r="F521" s="38" t="s">
        <v>18</v>
      </c>
      <c r="G521" s="38" t="s">
        <v>1834</v>
      </c>
      <c r="H521" s="38" t="s">
        <v>1874</v>
      </c>
      <c r="I521" s="38" t="s">
        <v>1899</v>
      </c>
      <c r="J521" s="38">
        <v>6199</v>
      </c>
      <c r="K521" s="38">
        <f>6278+4484+2332+1346+2332+2332+2332+2332+6995+2332+6995+6995+2332+6995+4484</f>
        <v>60896</v>
      </c>
      <c r="L521" s="38">
        <v>0</v>
      </c>
      <c r="M521" s="38">
        <v>0</v>
      </c>
      <c r="N521" s="38">
        <v>3148</v>
      </c>
      <c r="O521" s="38">
        <v>0</v>
      </c>
      <c r="P521" s="38">
        <v>0</v>
      </c>
      <c r="Q521" s="43">
        <f t="shared" si="14"/>
        <v>70243</v>
      </c>
      <c r="R521" s="69">
        <f t="shared" si="15"/>
        <v>59706.55</v>
      </c>
      <c r="S521" s="40"/>
      <c r="T521" s="40"/>
    </row>
    <row r="522" spans="1:20" ht="45" customHeight="1" x14ac:dyDescent="0.3">
      <c r="A522" s="31">
        <v>510</v>
      </c>
      <c r="B522" s="32" t="s">
        <v>1712</v>
      </c>
      <c r="C522" s="32" t="s">
        <v>1776</v>
      </c>
      <c r="D522" s="32" t="s">
        <v>1777</v>
      </c>
      <c r="E522" s="32">
        <v>2021</v>
      </c>
      <c r="F522" s="32" t="s">
        <v>19</v>
      </c>
      <c r="G522" s="32" t="s">
        <v>1835</v>
      </c>
      <c r="H522" s="32" t="s">
        <v>1875</v>
      </c>
      <c r="I522" s="32" t="s">
        <v>1267</v>
      </c>
      <c r="J522" s="32">
        <v>6199</v>
      </c>
      <c r="K522" s="32">
        <f>6278+4484+2332+1346+2332+2332+2332+2332+6995+6995+2332+6995+2332+4484+4484</f>
        <v>58385</v>
      </c>
      <c r="L522" s="32">
        <v>0</v>
      </c>
      <c r="M522" s="32">
        <v>0</v>
      </c>
      <c r="N522" s="32">
        <v>3148</v>
      </c>
      <c r="O522" s="32">
        <v>0</v>
      </c>
      <c r="P522" s="32">
        <v>0</v>
      </c>
      <c r="Q522" s="43">
        <f t="shared" si="14"/>
        <v>67732</v>
      </c>
      <c r="R522" s="69">
        <f t="shared" si="15"/>
        <v>57572.2</v>
      </c>
      <c r="S522" s="30"/>
      <c r="T522" s="30"/>
    </row>
    <row r="523" spans="1:20" ht="45" customHeight="1" x14ac:dyDescent="0.3">
      <c r="A523" s="31">
        <v>511</v>
      </c>
      <c r="B523" s="32" t="s">
        <v>1712</v>
      </c>
      <c r="C523" s="32" t="s">
        <v>1778</v>
      </c>
      <c r="D523" s="32" t="s">
        <v>1779</v>
      </c>
      <c r="E523" s="32">
        <v>1991</v>
      </c>
      <c r="F523" s="32" t="s">
        <v>18</v>
      </c>
      <c r="G523" s="32" t="s">
        <v>1836</v>
      </c>
      <c r="H523" s="32" t="s">
        <v>1836</v>
      </c>
      <c r="I523" s="32" t="s">
        <v>1267</v>
      </c>
      <c r="J523" s="32">
        <v>6199</v>
      </c>
      <c r="K523" s="32">
        <v>0</v>
      </c>
      <c r="L523" s="32">
        <v>0</v>
      </c>
      <c r="M523" s="32">
        <v>0</v>
      </c>
      <c r="N523" s="32">
        <v>0</v>
      </c>
      <c r="O523" s="32">
        <v>0</v>
      </c>
      <c r="P523" s="32">
        <v>0</v>
      </c>
      <c r="Q523" s="43">
        <f t="shared" si="14"/>
        <v>6199</v>
      </c>
      <c r="R523" s="69">
        <f t="shared" si="15"/>
        <v>5269.15</v>
      </c>
      <c r="S523" s="30"/>
      <c r="T523" s="30"/>
    </row>
    <row r="524" spans="1:20" ht="45" customHeight="1" x14ac:dyDescent="0.3">
      <c r="A524" s="36">
        <v>512</v>
      </c>
      <c r="B524" s="32" t="s">
        <v>1712</v>
      </c>
      <c r="C524" s="32" t="s">
        <v>1780</v>
      </c>
      <c r="D524" s="32" t="s">
        <v>1781</v>
      </c>
      <c r="E524" s="32">
        <v>2020</v>
      </c>
      <c r="F524" s="32" t="s">
        <v>19</v>
      </c>
      <c r="G524" s="32" t="s">
        <v>1837</v>
      </c>
      <c r="H524" s="32" t="s">
        <v>1876</v>
      </c>
      <c r="I524" s="32" t="s">
        <v>35</v>
      </c>
      <c r="J524" s="32">
        <v>6199</v>
      </c>
      <c r="K524" s="32">
        <v>0</v>
      </c>
      <c r="L524" s="32">
        <v>0</v>
      </c>
      <c r="M524" s="32">
        <v>0</v>
      </c>
      <c r="N524" s="32">
        <v>0</v>
      </c>
      <c r="O524" s="32">
        <v>0</v>
      </c>
      <c r="P524" s="32">
        <v>0</v>
      </c>
      <c r="Q524" s="43">
        <f t="shared" si="14"/>
        <v>6199</v>
      </c>
      <c r="R524" s="69">
        <f t="shared" si="15"/>
        <v>5269.15</v>
      </c>
      <c r="S524" s="30"/>
      <c r="T524" s="30"/>
    </row>
    <row r="525" spans="1:20" ht="45" customHeight="1" x14ac:dyDescent="0.3">
      <c r="A525" s="31">
        <v>513</v>
      </c>
      <c r="B525" s="32" t="s">
        <v>1712</v>
      </c>
      <c r="C525" s="32" t="s">
        <v>1782</v>
      </c>
      <c r="D525" s="32" t="s">
        <v>1783</v>
      </c>
      <c r="E525" s="32">
        <v>1993</v>
      </c>
      <c r="F525" s="32" t="s">
        <v>19</v>
      </c>
      <c r="G525" s="32" t="s">
        <v>1838</v>
      </c>
      <c r="H525" s="32" t="s">
        <v>1877</v>
      </c>
      <c r="I525" s="32" t="s">
        <v>1900</v>
      </c>
      <c r="J525" s="32">
        <v>6199</v>
      </c>
      <c r="K525" s="32">
        <v>0</v>
      </c>
      <c r="L525" s="32">
        <v>0</v>
      </c>
      <c r="M525" s="32">
        <v>0</v>
      </c>
      <c r="N525" s="32">
        <v>0</v>
      </c>
      <c r="O525" s="32">
        <v>0</v>
      </c>
      <c r="P525" s="32">
        <v>0</v>
      </c>
      <c r="Q525" s="43">
        <f t="shared" ref="Q525:Q588" si="16">SUM(J525:P525)</f>
        <v>6199</v>
      </c>
      <c r="R525" s="69">
        <f t="shared" si="15"/>
        <v>5269.15</v>
      </c>
      <c r="S525" s="30"/>
      <c r="T525" s="30"/>
    </row>
    <row r="526" spans="1:20" ht="45" customHeight="1" x14ac:dyDescent="0.3">
      <c r="A526" s="31">
        <v>514</v>
      </c>
      <c r="B526" s="32" t="s">
        <v>1712</v>
      </c>
      <c r="C526" s="32" t="s">
        <v>1784</v>
      </c>
      <c r="D526" s="32" t="s">
        <v>1139</v>
      </c>
      <c r="E526" s="32">
        <v>1989</v>
      </c>
      <c r="F526" s="32" t="s">
        <v>19</v>
      </c>
      <c r="G526" s="32" t="s">
        <v>1196</v>
      </c>
      <c r="H526" s="32" t="s">
        <v>817</v>
      </c>
      <c r="I526" s="32" t="s">
        <v>1272</v>
      </c>
      <c r="J526" s="32">
        <v>3793</v>
      </c>
      <c r="K526" s="32">
        <v>0</v>
      </c>
      <c r="L526" s="32">
        <v>0</v>
      </c>
      <c r="M526" s="32">
        <v>0</v>
      </c>
      <c r="N526" s="32">
        <v>0</v>
      </c>
      <c r="O526" s="32">
        <v>0</v>
      </c>
      <c r="P526" s="32">
        <v>0</v>
      </c>
      <c r="Q526" s="43">
        <f t="shared" si="16"/>
        <v>3793</v>
      </c>
      <c r="R526" s="69">
        <f t="shared" ref="R526:R589" si="17">Q526*85/100</f>
        <v>3224.05</v>
      </c>
      <c r="S526" s="30"/>
      <c r="T526" s="30"/>
    </row>
    <row r="527" spans="1:20" ht="45" customHeight="1" x14ac:dyDescent="0.3">
      <c r="A527" s="36">
        <v>515</v>
      </c>
      <c r="B527" s="32" t="s">
        <v>1712</v>
      </c>
      <c r="C527" s="32" t="s">
        <v>1785</v>
      </c>
      <c r="D527" s="32" t="s">
        <v>1786</v>
      </c>
      <c r="E527" s="32">
        <v>2019</v>
      </c>
      <c r="F527" s="32" t="s">
        <v>19</v>
      </c>
      <c r="G527" s="32" t="s">
        <v>1839</v>
      </c>
      <c r="H527" s="32" t="s">
        <v>817</v>
      </c>
      <c r="I527" s="32" t="s">
        <v>1272</v>
      </c>
      <c r="J527" s="32">
        <v>6199</v>
      </c>
      <c r="K527" s="32">
        <v>0</v>
      </c>
      <c r="L527" s="32">
        <v>0</v>
      </c>
      <c r="M527" s="32">
        <v>0</v>
      </c>
      <c r="N527" s="32">
        <v>0</v>
      </c>
      <c r="O527" s="32">
        <v>0</v>
      </c>
      <c r="P527" s="32">
        <v>0</v>
      </c>
      <c r="Q527" s="43">
        <f t="shared" si="16"/>
        <v>6199</v>
      </c>
      <c r="R527" s="69">
        <f t="shared" si="17"/>
        <v>5269.15</v>
      </c>
      <c r="S527" s="30"/>
      <c r="T527" s="30"/>
    </row>
    <row r="528" spans="1:20" s="41" customFormat="1" ht="45" customHeight="1" x14ac:dyDescent="0.3">
      <c r="A528" s="31">
        <v>516</v>
      </c>
      <c r="B528" s="38" t="s">
        <v>1712</v>
      </c>
      <c r="C528" s="38" t="s">
        <v>1787</v>
      </c>
      <c r="D528" s="38" t="s">
        <v>1788</v>
      </c>
      <c r="E528" s="38">
        <v>2025</v>
      </c>
      <c r="F528" s="38" t="s">
        <v>19</v>
      </c>
      <c r="G528" s="38" t="s">
        <v>1840</v>
      </c>
      <c r="H528" s="38" t="s">
        <v>1878</v>
      </c>
      <c r="I528" s="38" t="s">
        <v>1901</v>
      </c>
      <c r="J528" s="38">
        <v>6199</v>
      </c>
      <c r="K528" s="38">
        <f>6278+2332+2332+2332+2332+2332</f>
        <v>17938</v>
      </c>
      <c r="L528" s="38">
        <v>0</v>
      </c>
      <c r="M528" s="38">
        <v>0</v>
      </c>
      <c r="N528" s="38">
        <v>3148</v>
      </c>
      <c r="O528" s="38">
        <v>0</v>
      </c>
      <c r="P528" s="38">
        <v>0</v>
      </c>
      <c r="Q528" s="43">
        <f t="shared" si="16"/>
        <v>27285</v>
      </c>
      <c r="R528" s="69">
        <f t="shared" si="17"/>
        <v>23192.25</v>
      </c>
      <c r="S528" s="40"/>
      <c r="T528" s="40"/>
    </row>
    <row r="529" spans="1:20" s="41" customFormat="1" ht="45" customHeight="1" x14ac:dyDescent="0.3">
      <c r="A529" s="31">
        <v>517</v>
      </c>
      <c r="B529" s="38" t="s">
        <v>1712</v>
      </c>
      <c r="C529" s="38" t="s">
        <v>1787</v>
      </c>
      <c r="D529" s="38" t="s">
        <v>1788</v>
      </c>
      <c r="E529" s="38">
        <v>2025</v>
      </c>
      <c r="F529" s="38" t="s">
        <v>19</v>
      </c>
      <c r="G529" s="38" t="s">
        <v>1840</v>
      </c>
      <c r="H529" s="38" t="s">
        <v>1878</v>
      </c>
      <c r="I529" s="38" t="s">
        <v>1901</v>
      </c>
      <c r="J529" s="38">
        <v>0</v>
      </c>
      <c r="K529" s="38">
        <v>0</v>
      </c>
      <c r="L529" s="38">
        <v>0</v>
      </c>
      <c r="M529" s="38">
        <v>17688</v>
      </c>
      <c r="N529" s="38">
        <f>1178+4176</f>
        <v>5354</v>
      </c>
      <c r="O529" s="38">
        <v>0</v>
      </c>
      <c r="P529" s="38">
        <f>1080+360+56+720</f>
        <v>2216</v>
      </c>
      <c r="Q529" s="43">
        <f t="shared" si="16"/>
        <v>25258</v>
      </c>
      <c r="R529" s="69">
        <f t="shared" si="17"/>
        <v>21469.3</v>
      </c>
      <c r="S529" s="40"/>
      <c r="T529" s="40"/>
    </row>
    <row r="530" spans="1:20" ht="45" customHeight="1" x14ac:dyDescent="0.3">
      <c r="A530" s="36">
        <v>518</v>
      </c>
      <c r="B530" s="32" t="s">
        <v>1712</v>
      </c>
      <c r="C530" s="32" t="s">
        <v>1789</v>
      </c>
      <c r="D530" s="32" t="s">
        <v>1790</v>
      </c>
      <c r="E530" s="32">
        <v>1994</v>
      </c>
      <c r="F530" s="32" t="s">
        <v>19</v>
      </c>
      <c r="G530" s="32" t="s">
        <v>238</v>
      </c>
      <c r="H530" s="32" t="s">
        <v>238</v>
      </c>
      <c r="I530" s="32" t="s">
        <v>289</v>
      </c>
      <c r="J530" s="32">
        <v>6199</v>
      </c>
      <c r="K530" s="32">
        <v>0</v>
      </c>
      <c r="L530" s="32">
        <v>0</v>
      </c>
      <c r="M530" s="32">
        <v>0</v>
      </c>
      <c r="N530" s="32">
        <v>11020</v>
      </c>
      <c r="O530" s="32">
        <v>0</v>
      </c>
      <c r="P530" s="32">
        <v>0</v>
      </c>
      <c r="Q530" s="43">
        <f t="shared" si="16"/>
        <v>17219</v>
      </c>
      <c r="R530" s="69">
        <f t="shared" si="17"/>
        <v>14636.15</v>
      </c>
      <c r="S530" s="30"/>
      <c r="T530" s="30"/>
    </row>
    <row r="531" spans="1:20" ht="45" customHeight="1" x14ac:dyDescent="0.3">
      <c r="A531" s="31">
        <v>519</v>
      </c>
      <c r="B531" s="32" t="s">
        <v>1712</v>
      </c>
      <c r="C531" s="32" t="s">
        <v>1791</v>
      </c>
      <c r="D531" s="32" t="s">
        <v>1792</v>
      </c>
      <c r="E531" s="32">
        <v>2019</v>
      </c>
      <c r="F531" s="32" t="s">
        <v>18</v>
      </c>
      <c r="G531" s="32" t="s">
        <v>1841</v>
      </c>
      <c r="H531" s="32" t="s">
        <v>1879</v>
      </c>
      <c r="I531" s="32" t="s">
        <v>1902</v>
      </c>
      <c r="J531" s="32">
        <v>6199</v>
      </c>
      <c r="K531" s="32">
        <v>0</v>
      </c>
      <c r="L531" s="32">
        <v>0</v>
      </c>
      <c r="M531" s="32">
        <v>0</v>
      </c>
      <c r="N531" s="32">
        <v>0</v>
      </c>
      <c r="O531" s="32">
        <v>0</v>
      </c>
      <c r="P531" s="32">
        <v>0</v>
      </c>
      <c r="Q531" s="43">
        <f t="shared" si="16"/>
        <v>6199</v>
      </c>
      <c r="R531" s="69">
        <f t="shared" si="17"/>
        <v>5269.15</v>
      </c>
      <c r="S531" s="30"/>
      <c r="T531" s="30"/>
    </row>
    <row r="532" spans="1:20" ht="45" customHeight="1" x14ac:dyDescent="0.3">
      <c r="A532" s="31">
        <v>520</v>
      </c>
      <c r="B532" s="32" t="s">
        <v>1712</v>
      </c>
      <c r="C532" s="32" t="s">
        <v>1793</v>
      </c>
      <c r="D532" s="32" t="s">
        <v>1794</v>
      </c>
      <c r="E532" s="32">
        <v>1990</v>
      </c>
      <c r="F532" s="32" t="s">
        <v>18</v>
      </c>
      <c r="G532" s="32" t="s">
        <v>1842</v>
      </c>
      <c r="H532" s="32" t="s">
        <v>1842</v>
      </c>
      <c r="I532" s="32" t="s">
        <v>1903</v>
      </c>
      <c r="J532" s="32">
        <v>6199</v>
      </c>
      <c r="K532" s="32">
        <v>0</v>
      </c>
      <c r="L532" s="32">
        <v>0</v>
      </c>
      <c r="M532" s="32">
        <v>0</v>
      </c>
      <c r="N532" s="32">
        <v>0</v>
      </c>
      <c r="O532" s="32">
        <v>0</v>
      </c>
      <c r="P532" s="32">
        <v>0</v>
      </c>
      <c r="Q532" s="43">
        <f t="shared" si="16"/>
        <v>6199</v>
      </c>
      <c r="R532" s="69">
        <f t="shared" si="17"/>
        <v>5269.15</v>
      </c>
      <c r="S532" s="30"/>
      <c r="T532" s="30"/>
    </row>
    <row r="533" spans="1:20" ht="45" customHeight="1" x14ac:dyDescent="0.3">
      <c r="A533" s="36">
        <v>521</v>
      </c>
      <c r="B533" s="32" t="s">
        <v>1712</v>
      </c>
      <c r="C533" s="32" t="s">
        <v>1795</v>
      </c>
      <c r="D533" s="32" t="s">
        <v>1796</v>
      </c>
      <c r="E533" s="32">
        <v>2024</v>
      </c>
      <c r="F533" s="32" t="s">
        <v>18</v>
      </c>
      <c r="G533" s="32" t="s">
        <v>1843</v>
      </c>
      <c r="H533" s="32" t="s">
        <v>1880</v>
      </c>
      <c r="I533" s="32" t="s">
        <v>1904</v>
      </c>
      <c r="J533" s="32">
        <v>6199</v>
      </c>
      <c r="K533" s="32">
        <f>6278+4484+2332+1346+2332+2332+2332+2332+6995+6995+6995+2332+4484+2332+4484</f>
        <v>58385</v>
      </c>
      <c r="L533" s="32">
        <v>0</v>
      </c>
      <c r="M533" s="32">
        <v>0</v>
      </c>
      <c r="N533" s="32">
        <v>3148</v>
      </c>
      <c r="O533" s="32">
        <v>0</v>
      </c>
      <c r="P533" s="32">
        <v>0</v>
      </c>
      <c r="Q533" s="43">
        <f t="shared" si="16"/>
        <v>67732</v>
      </c>
      <c r="R533" s="69">
        <f t="shared" si="17"/>
        <v>57572.2</v>
      </c>
      <c r="S533" s="30"/>
      <c r="T533" s="30"/>
    </row>
    <row r="534" spans="1:20" ht="45" customHeight="1" x14ac:dyDescent="0.3">
      <c r="A534" s="31">
        <v>522</v>
      </c>
      <c r="B534" s="32" t="s">
        <v>1712</v>
      </c>
      <c r="C534" s="32" t="s">
        <v>1797</v>
      </c>
      <c r="D534" s="32" t="s">
        <v>1798</v>
      </c>
      <c r="E534" s="32">
        <v>1980</v>
      </c>
      <c r="F534" s="32" t="s">
        <v>19</v>
      </c>
      <c r="G534" s="32" t="s">
        <v>1844</v>
      </c>
      <c r="H534" s="32" t="s">
        <v>1881</v>
      </c>
      <c r="I534" s="32" t="s">
        <v>1905</v>
      </c>
      <c r="J534" s="32">
        <v>6199</v>
      </c>
      <c r="K534" s="32">
        <v>0</v>
      </c>
      <c r="L534" s="32">
        <v>0</v>
      </c>
      <c r="M534" s="32">
        <v>0</v>
      </c>
      <c r="N534" s="32">
        <v>0</v>
      </c>
      <c r="O534" s="32">
        <v>0</v>
      </c>
      <c r="P534" s="32">
        <v>0</v>
      </c>
      <c r="Q534" s="43">
        <f t="shared" si="16"/>
        <v>6199</v>
      </c>
      <c r="R534" s="69">
        <f t="shared" si="17"/>
        <v>5269.15</v>
      </c>
      <c r="S534" s="30"/>
      <c r="T534" s="30"/>
    </row>
    <row r="535" spans="1:20" ht="45" customHeight="1" x14ac:dyDescent="0.3">
      <c r="A535" s="31">
        <v>523</v>
      </c>
      <c r="B535" s="32" t="s">
        <v>1712</v>
      </c>
      <c r="C535" s="32" t="s">
        <v>1799</v>
      </c>
      <c r="D535" s="32" t="s">
        <v>1800</v>
      </c>
      <c r="E535" s="32">
        <v>1991</v>
      </c>
      <c r="F535" s="32" t="s">
        <v>19</v>
      </c>
      <c r="G535" s="32" t="s">
        <v>1845</v>
      </c>
      <c r="H535" s="32" t="s">
        <v>1845</v>
      </c>
      <c r="I535" s="32" t="s">
        <v>1906</v>
      </c>
      <c r="J535" s="32">
        <v>6199</v>
      </c>
      <c r="K535" s="32">
        <f>2332+3587+2332</f>
        <v>8251</v>
      </c>
      <c r="L535" s="32">
        <v>0</v>
      </c>
      <c r="M535" s="32">
        <v>0</v>
      </c>
      <c r="N535" s="32">
        <v>0</v>
      </c>
      <c r="O535" s="32">
        <v>0</v>
      </c>
      <c r="P535" s="32">
        <v>0</v>
      </c>
      <c r="Q535" s="43">
        <f t="shared" si="16"/>
        <v>14450</v>
      </c>
      <c r="R535" s="69">
        <f t="shared" si="17"/>
        <v>12282.5</v>
      </c>
      <c r="S535" s="30"/>
      <c r="T535" s="30"/>
    </row>
    <row r="536" spans="1:20" ht="45" customHeight="1" x14ac:dyDescent="0.3">
      <c r="A536" s="36">
        <v>524</v>
      </c>
      <c r="B536" s="32" t="s">
        <v>1712</v>
      </c>
      <c r="C536" s="32" t="s">
        <v>1801</v>
      </c>
      <c r="D536" s="32" t="s">
        <v>1802</v>
      </c>
      <c r="E536" s="32">
        <v>1987</v>
      </c>
      <c r="F536" s="32" t="s">
        <v>18</v>
      </c>
      <c r="G536" s="32" t="s">
        <v>1045</v>
      </c>
      <c r="H536" s="32" t="s">
        <v>1045</v>
      </c>
      <c r="I536" s="32" t="s">
        <v>1907</v>
      </c>
      <c r="J536" s="32">
        <v>6199</v>
      </c>
      <c r="K536" s="32">
        <v>0</v>
      </c>
      <c r="L536" s="32">
        <v>0</v>
      </c>
      <c r="M536" s="32">
        <v>0</v>
      </c>
      <c r="N536" s="32">
        <v>0</v>
      </c>
      <c r="O536" s="32">
        <v>0</v>
      </c>
      <c r="P536" s="32">
        <v>0</v>
      </c>
      <c r="Q536" s="43">
        <f t="shared" si="16"/>
        <v>6199</v>
      </c>
      <c r="R536" s="69">
        <f t="shared" si="17"/>
        <v>5269.15</v>
      </c>
      <c r="S536" s="30"/>
      <c r="T536" s="30"/>
    </row>
    <row r="537" spans="1:20" ht="45" customHeight="1" x14ac:dyDescent="0.3">
      <c r="A537" s="31">
        <v>525</v>
      </c>
      <c r="B537" s="32" t="s">
        <v>1712</v>
      </c>
      <c r="C537" s="32" t="s">
        <v>1803</v>
      </c>
      <c r="D537" s="32" t="s">
        <v>1804</v>
      </c>
      <c r="E537" s="32">
        <v>2011</v>
      </c>
      <c r="F537" s="32" t="s">
        <v>18</v>
      </c>
      <c r="G537" s="32" t="s">
        <v>1846</v>
      </c>
      <c r="H537" s="32" t="s">
        <v>1882</v>
      </c>
      <c r="I537" s="32" t="s">
        <v>1081</v>
      </c>
      <c r="J537" s="32">
        <v>6199</v>
      </c>
      <c r="K537" s="32">
        <v>0</v>
      </c>
      <c r="L537" s="32">
        <v>0</v>
      </c>
      <c r="M537" s="32">
        <v>0</v>
      </c>
      <c r="N537" s="32">
        <v>0</v>
      </c>
      <c r="O537" s="32">
        <v>0</v>
      </c>
      <c r="P537" s="32">
        <v>0</v>
      </c>
      <c r="Q537" s="43">
        <f t="shared" si="16"/>
        <v>6199</v>
      </c>
      <c r="R537" s="69">
        <f t="shared" si="17"/>
        <v>5269.15</v>
      </c>
      <c r="S537" s="30"/>
      <c r="T537" s="30"/>
    </row>
    <row r="538" spans="1:20" s="41" customFormat="1" ht="45" customHeight="1" x14ac:dyDescent="0.3">
      <c r="A538" s="31">
        <v>526</v>
      </c>
      <c r="B538" s="38" t="s">
        <v>1712</v>
      </c>
      <c r="C538" s="38" t="s">
        <v>1848</v>
      </c>
      <c r="D538" s="38" t="s">
        <v>1849</v>
      </c>
      <c r="E538" s="38">
        <v>1987</v>
      </c>
      <c r="F538" s="38" t="s">
        <v>18</v>
      </c>
      <c r="G538" s="38" t="s">
        <v>1847</v>
      </c>
      <c r="H538" s="38" t="s">
        <v>1883</v>
      </c>
      <c r="I538" s="38" t="s">
        <v>546</v>
      </c>
      <c r="J538" s="38">
        <v>6199</v>
      </c>
      <c r="K538" s="38">
        <v>0</v>
      </c>
      <c r="L538" s="38">
        <v>0</v>
      </c>
      <c r="M538" s="38">
        <v>0</v>
      </c>
      <c r="N538" s="38">
        <v>0</v>
      </c>
      <c r="O538" s="38">
        <v>0</v>
      </c>
      <c r="P538" s="38">
        <v>0</v>
      </c>
      <c r="Q538" s="43">
        <f t="shared" si="16"/>
        <v>6199</v>
      </c>
      <c r="R538" s="69">
        <f t="shared" si="17"/>
        <v>5269.15</v>
      </c>
      <c r="S538" s="40"/>
      <c r="T538" s="40"/>
    </row>
    <row r="539" spans="1:20" s="41" customFormat="1" ht="45" customHeight="1" x14ac:dyDescent="0.3">
      <c r="A539" s="36">
        <v>527</v>
      </c>
      <c r="B539" s="38" t="s">
        <v>1712</v>
      </c>
      <c r="C539" s="38" t="s">
        <v>7231</v>
      </c>
      <c r="D539" s="39" t="s">
        <v>2647</v>
      </c>
      <c r="E539" s="38">
        <v>1979</v>
      </c>
      <c r="F539" s="38" t="s">
        <v>18</v>
      </c>
      <c r="G539" s="38" t="s">
        <v>2648</v>
      </c>
      <c r="H539" s="38" t="s">
        <v>2649</v>
      </c>
      <c r="I539" s="38" t="s">
        <v>34</v>
      </c>
      <c r="J539" s="38">
        <v>2900</v>
      </c>
      <c r="K539" s="38">
        <v>0</v>
      </c>
      <c r="L539" s="38">
        <v>0</v>
      </c>
      <c r="M539" s="38">
        <v>0</v>
      </c>
      <c r="N539" s="38">
        <f>1681+5321</f>
        <v>7002</v>
      </c>
      <c r="O539" s="38">
        <v>0</v>
      </c>
      <c r="P539" s="38">
        <f>312+56</f>
        <v>368</v>
      </c>
      <c r="Q539" s="43">
        <f t="shared" si="16"/>
        <v>10270</v>
      </c>
      <c r="R539" s="69">
        <f t="shared" si="17"/>
        <v>8729.5</v>
      </c>
      <c r="S539" s="40"/>
      <c r="T539" s="40"/>
    </row>
    <row r="540" spans="1:20" s="41" customFormat="1" ht="45" customHeight="1" x14ac:dyDescent="0.3">
      <c r="A540" s="31">
        <v>528</v>
      </c>
      <c r="B540" s="38" t="s">
        <v>1712</v>
      </c>
      <c r="C540" s="38" t="s">
        <v>7232</v>
      </c>
      <c r="D540" s="39" t="s">
        <v>1496</v>
      </c>
      <c r="E540" s="38">
        <v>2020</v>
      </c>
      <c r="F540" s="38" t="s">
        <v>19</v>
      </c>
      <c r="G540" s="38" t="s">
        <v>1604</v>
      </c>
      <c r="H540" s="38" t="s">
        <v>1655</v>
      </c>
      <c r="I540" s="38" t="s">
        <v>840</v>
      </c>
      <c r="J540" s="38">
        <v>2900</v>
      </c>
      <c r="K540" s="38">
        <v>0</v>
      </c>
      <c r="L540" s="38">
        <v>0</v>
      </c>
      <c r="M540" s="38">
        <v>17688</v>
      </c>
      <c r="N540" s="38">
        <v>2088</v>
      </c>
      <c r="O540" s="38">
        <v>0</v>
      </c>
      <c r="P540" s="38">
        <f>1080+168+60</f>
        <v>1308</v>
      </c>
      <c r="Q540" s="43">
        <f t="shared" si="16"/>
        <v>23984</v>
      </c>
      <c r="R540" s="69">
        <f t="shared" si="17"/>
        <v>20386.400000000001</v>
      </c>
      <c r="S540" s="40"/>
      <c r="T540" s="40"/>
    </row>
    <row r="541" spans="1:20" s="41" customFormat="1" ht="45" customHeight="1" x14ac:dyDescent="0.3">
      <c r="A541" s="31">
        <v>529</v>
      </c>
      <c r="B541" s="38" t="s">
        <v>1712</v>
      </c>
      <c r="C541" s="38" t="s">
        <v>7233</v>
      </c>
      <c r="D541" s="39" t="s">
        <v>1305</v>
      </c>
      <c r="E541" s="38">
        <v>2024</v>
      </c>
      <c r="F541" s="38" t="s">
        <v>18</v>
      </c>
      <c r="G541" s="38" t="s">
        <v>1391</v>
      </c>
      <c r="H541" s="38" t="s">
        <v>1437</v>
      </c>
      <c r="I541" s="38" t="s">
        <v>835</v>
      </c>
      <c r="J541" s="38">
        <v>2900</v>
      </c>
      <c r="K541" s="38">
        <v>0</v>
      </c>
      <c r="L541" s="38">
        <v>0</v>
      </c>
      <c r="M541" s="38">
        <v>0</v>
      </c>
      <c r="N541" s="38">
        <v>2088</v>
      </c>
      <c r="O541" s="38">
        <v>0</v>
      </c>
      <c r="P541" s="38">
        <f>360+56</f>
        <v>416</v>
      </c>
      <c r="Q541" s="43">
        <f t="shared" si="16"/>
        <v>5404</v>
      </c>
      <c r="R541" s="69">
        <f t="shared" si="17"/>
        <v>4593.3999999999996</v>
      </c>
      <c r="S541" s="40"/>
      <c r="T541" s="40"/>
    </row>
    <row r="542" spans="1:20" ht="45" customHeight="1" x14ac:dyDescent="0.3">
      <c r="A542" s="36">
        <v>530</v>
      </c>
      <c r="B542" s="32" t="s">
        <v>1908</v>
      </c>
      <c r="C542" s="32" t="s">
        <v>1909</v>
      </c>
      <c r="D542" s="32" t="s">
        <v>1910</v>
      </c>
      <c r="E542" s="32">
        <v>1987</v>
      </c>
      <c r="F542" s="32" t="s">
        <v>18</v>
      </c>
      <c r="G542" s="32" t="s">
        <v>2026</v>
      </c>
      <c r="H542" s="32" t="s">
        <v>2026</v>
      </c>
      <c r="I542" s="32" t="s">
        <v>2116</v>
      </c>
      <c r="J542" s="32">
        <v>6199</v>
      </c>
      <c r="K542" s="32">
        <f>6995+2332+6278</f>
        <v>15605</v>
      </c>
      <c r="L542" s="32">
        <v>0</v>
      </c>
      <c r="M542" s="32">
        <v>0</v>
      </c>
      <c r="N542" s="32">
        <v>1793</v>
      </c>
      <c r="O542" s="32">
        <v>0</v>
      </c>
      <c r="P542" s="32">
        <v>0</v>
      </c>
      <c r="Q542" s="43">
        <f t="shared" si="16"/>
        <v>23597</v>
      </c>
      <c r="R542" s="69">
        <f t="shared" si="17"/>
        <v>20057.45</v>
      </c>
      <c r="S542" s="30"/>
      <c r="T542" s="30"/>
    </row>
    <row r="543" spans="1:20" ht="45" customHeight="1" x14ac:dyDescent="0.3">
      <c r="A543" s="31">
        <v>531</v>
      </c>
      <c r="B543" s="32" t="s">
        <v>1908</v>
      </c>
      <c r="C543" s="32" t="s">
        <v>1911</v>
      </c>
      <c r="D543" s="32" t="s">
        <v>1912</v>
      </c>
      <c r="E543" s="32">
        <v>1988</v>
      </c>
      <c r="F543" s="32" t="s">
        <v>19</v>
      </c>
      <c r="G543" s="32" t="s">
        <v>2027</v>
      </c>
      <c r="H543" s="32" t="s">
        <v>2083</v>
      </c>
      <c r="I543" s="32" t="s">
        <v>2116</v>
      </c>
      <c r="J543" s="32">
        <v>6199</v>
      </c>
      <c r="K543" s="32">
        <v>0</v>
      </c>
      <c r="L543" s="32">
        <v>17279</v>
      </c>
      <c r="M543" s="32">
        <v>0</v>
      </c>
      <c r="N543" s="32">
        <v>0</v>
      </c>
      <c r="O543" s="32">
        <v>0</v>
      </c>
      <c r="P543" s="32">
        <v>0</v>
      </c>
      <c r="Q543" s="43">
        <f t="shared" si="16"/>
        <v>23478</v>
      </c>
      <c r="R543" s="69">
        <f t="shared" si="17"/>
        <v>19956.3</v>
      </c>
      <c r="S543" s="30"/>
      <c r="T543" s="30"/>
    </row>
    <row r="544" spans="1:20" ht="45" customHeight="1" x14ac:dyDescent="0.3">
      <c r="A544" s="31">
        <v>532</v>
      </c>
      <c r="B544" s="32" t="s">
        <v>1908</v>
      </c>
      <c r="C544" s="32" t="s">
        <v>1913</v>
      </c>
      <c r="D544" s="32" t="s">
        <v>1914</v>
      </c>
      <c r="E544" s="32">
        <v>2016</v>
      </c>
      <c r="F544" s="32" t="s">
        <v>19</v>
      </c>
      <c r="G544" s="32" t="s">
        <v>2028</v>
      </c>
      <c r="H544" s="32" t="s">
        <v>2084</v>
      </c>
      <c r="I544" s="32" t="s">
        <v>2117</v>
      </c>
      <c r="J544" s="32">
        <v>6199</v>
      </c>
      <c r="K544" s="32">
        <f>6278+4484+1346+2332+4484+2332+4484+1166+2332+2332+2332+2332+6995+6995+2332+6995+3000+3000</f>
        <v>65551</v>
      </c>
      <c r="L544" s="32">
        <v>0</v>
      </c>
      <c r="M544" s="32">
        <v>0</v>
      </c>
      <c r="N544" s="32">
        <v>3148</v>
      </c>
      <c r="O544" s="32">
        <v>0</v>
      </c>
      <c r="P544" s="32">
        <v>0</v>
      </c>
      <c r="Q544" s="43">
        <f t="shared" si="16"/>
        <v>74898</v>
      </c>
      <c r="R544" s="69">
        <f t="shared" si="17"/>
        <v>63663.3</v>
      </c>
      <c r="S544" s="30"/>
      <c r="T544" s="30"/>
    </row>
    <row r="545" spans="1:20" ht="45" customHeight="1" x14ac:dyDescent="0.3">
      <c r="A545" s="36">
        <v>533</v>
      </c>
      <c r="B545" s="32" t="s">
        <v>1908</v>
      </c>
      <c r="C545" s="32" t="s">
        <v>1915</v>
      </c>
      <c r="D545" s="32" t="s">
        <v>1916</v>
      </c>
      <c r="E545" s="32">
        <v>2017</v>
      </c>
      <c r="F545" s="32" t="s">
        <v>18</v>
      </c>
      <c r="G545" s="32" t="s">
        <v>2029</v>
      </c>
      <c r="H545" s="32" t="s">
        <v>2085</v>
      </c>
      <c r="I545" s="32" t="s">
        <v>540</v>
      </c>
      <c r="J545" s="32">
        <v>0</v>
      </c>
      <c r="K545" s="32">
        <v>0</v>
      </c>
      <c r="L545" s="32">
        <v>0</v>
      </c>
      <c r="M545" s="32">
        <v>0</v>
      </c>
      <c r="N545" s="32">
        <f>42388+27126</f>
        <v>69514</v>
      </c>
      <c r="O545" s="32">
        <v>0</v>
      </c>
      <c r="P545" s="32">
        <v>0</v>
      </c>
      <c r="Q545" s="43">
        <f t="shared" si="16"/>
        <v>69514</v>
      </c>
      <c r="R545" s="69">
        <f t="shared" si="17"/>
        <v>59086.9</v>
      </c>
      <c r="S545" s="30"/>
      <c r="T545" s="30"/>
    </row>
    <row r="546" spans="1:20" ht="45" customHeight="1" x14ac:dyDescent="0.3">
      <c r="A546" s="31">
        <v>534</v>
      </c>
      <c r="B546" s="32" t="s">
        <v>1908</v>
      </c>
      <c r="C546" s="32" t="s">
        <v>1917</v>
      </c>
      <c r="D546" s="32" t="s">
        <v>1918</v>
      </c>
      <c r="E546" s="32">
        <v>2017</v>
      </c>
      <c r="F546" s="32" t="s">
        <v>19</v>
      </c>
      <c r="G546" s="32" t="s">
        <v>2030</v>
      </c>
      <c r="H546" s="32" t="s">
        <v>2086</v>
      </c>
      <c r="I546" s="32" t="s">
        <v>540</v>
      </c>
      <c r="J546" s="32">
        <v>3582</v>
      </c>
      <c r="K546" s="32">
        <v>0</v>
      </c>
      <c r="L546" s="32">
        <v>0</v>
      </c>
      <c r="M546" s="32">
        <v>0</v>
      </c>
      <c r="N546" s="32">
        <f>21194+13563</f>
        <v>34757</v>
      </c>
      <c r="O546" s="32">
        <v>0</v>
      </c>
      <c r="P546" s="32">
        <v>0</v>
      </c>
      <c r="Q546" s="44">
        <f t="shared" si="16"/>
        <v>38339</v>
      </c>
      <c r="R546" s="69">
        <f t="shared" si="17"/>
        <v>32588.15</v>
      </c>
      <c r="S546" s="30"/>
      <c r="T546" s="30"/>
    </row>
    <row r="547" spans="1:20" ht="45" customHeight="1" x14ac:dyDescent="0.3">
      <c r="A547" s="31">
        <v>535</v>
      </c>
      <c r="B547" s="32" t="s">
        <v>1908</v>
      </c>
      <c r="C547" s="32" t="s">
        <v>1919</v>
      </c>
      <c r="D547" s="32" t="s">
        <v>1920</v>
      </c>
      <c r="E547" s="32">
        <v>1981</v>
      </c>
      <c r="F547" s="32" t="s">
        <v>19</v>
      </c>
      <c r="G547" s="32" t="s">
        <v>2031</v>
      </c>
      <c r="H547" s="32" t="s">
        <v>2087</v>
      </c>
      <c r="I547" s="32" t="s">
        <v>27</v>
      </c>
      <c r="J547" s="32">
        <v>6199</v>
      </c>
      <c r="K547" s="32">
        <v>0</v>
      </c>
      <c r="L547" s="32">
        <v>17279</v>
      </c>
      <c r="M547" s="32">
        <v>0</v>
      </c>
      <c r="N547" s="32">
        <v>0</v>
      </c>
      <c r="O547" s="32">
        <v>0</v>
      </c>
      <c r="P547" s="32">
        <v>0</v>
      </c>
      <c r="Q547" s="43">
        <f t="shared" si="16"/>
        <v>23478</v>
      </c>
      <c r="R547" s="69">
        <f t="shared" si="17"/>
        <v>19956.3</v>
      </c>
      <c r="S547" s="30"/>
      <c r="T547" s="30"/>
    </row>
    <row r="548" spans="1:20" ht="45" customHeight="1" x14ac:dyDescent="0.3">
      <c r="A548" s="36">
        <v>536</v>
      </c>
      <c r="B548" s="32" t="s">
        <v>1908</v>
      </c>
      <c r="C548" s="32" t="s">
        <v>1921</v>
      </c>
      <c r="D548" s="32" t="s">
        <v>1922</v>
      </c>
      <c r="E548" s="32">
        <v>2021</v>
      </c>
      <c r="F548" s="32" t="s">
        <v>18</v>
      </c>
      <c r="G548" s="32" t="s">
        <v>2032</v>
      </c>
      <c r="H548" s="32" t="s">
        <v>2088</v>
      </c>
      <c r="I548" s="32" t="s">
        <v>2118</v>
      </c>
      <c r="J548" s="32">
        <v>6199</v>
      </c>
      <c r="K548" s="32">
        <f>6278+4484+1346+2332+2332+2332+2332+2332+4484</f>
        <v>28252</v>
      </c>
      <c r="L548" s="32">
        <v>0</v>
      </c>
      <c r="M548" s="32">
        <v>0</v>
      </c>
      <c r="N548" s="32">
        <v>3148</v>
      </c>
      <c r="O548" s="32">
        <v>0</v>
      </c>
      <c r="P548" s="32">
        <v>0</v>
      </c>
      <c r="Q548" s="43">
        <f t="shared" si="16"/>
        <v>37599</v>
      </c>
      <c r="R548" s="69">
        <f t="shared" si="17"/>
        <v>31959.15</v>
      </c>
      <c r="S548" s="30"/>
      <c r="T548" s="30"/>
    </row>
    <row r="549" spans="1:20" ht="45" customHeight="1" x14ac:dyDescent="0.3">
      <c r="A549" s="31">
        <v>537</v>
      </c>
      <c r="B549" s="32" t="s">
        <v>1908</v>
      </c>
      <c r="C549" s="32" t="s">
        <v>1923</v>
      </c>
      <c r="D549" s="32" t="s">
        <v>1924</v>
      </c>
      <c r="E549" s="32">
        <v>1969</v>
      </c>
      <c r="F549" s="32" t="s">
        <v>19</v>
      </c>
      <c r="G549" s="32" t="s">
        <v>2033</v>
      </c>
      <c r="H549" s="32" t="s">
        <v>2033</v>
      </c>
      <c r="I549" s="32" t="s">
        <v>1084</v>
      </c>
      <c r="J549" s="32">
        <v>6199</v>
      </c>
      <c r="K549" s="32">
        <v>0</v>
      </c>
      <c r="L549" s="32">
        <v>0</v>
      </c>
      <c r="M549" s="32">
        <v>0</v>
      </c>
      <c r="N549" s="32">
        <v>0</v>
      </c>
      <c r="O549" s="32">
        <v>0</v>
      </c>
      <c r="P549" s="32">
        <v>0</v>
      </c>
      <c r="Q549" s="43">
        <f t="shared" si="16"/>
        <v>6199</v>
      </c>
      <c r="R549" s="69">
        <f t="shared" si="17"/>
        <v>5269.15</v>
      </c>
      <c r="S549" s="30"/>
      <c r="T549" s="30"/>
    </row>
    <row r="550" spans="1:20" ht="45" customHeight="1" x14ac:dyDescent="0.3">
      <c r="A550" s="31">
        <v>538</v>
      </c>
      <c r="B550" s="32" t="s">
        <v>1908</v>
      </c>
      <c r="C550" s="32" t="s">
        <v>1925</v>
      </c>
      <c r="D550" s="32" t="s">
        <v>1926</v>
      </c>
      <c r="E550" s="32">
        <v>1994</v>
      </c>
      <c r="F550" s="32" t="s">
        <v>19</v>
      </c>
      <c r="G550" s="32" t="s">
        <v>2034</v>
      </c>
      <c r="H550" s="32" t="s">
        <v>2089</v>
      </c>
      <c r="I550" s="32" t="s">
        <v>570</v>
      </c>
      <c r="J550" s="32">
        <v>6199</v>
      </c>
      <c r="K550" s="32">
        <f>6278+4484+2332+1346+2332+2332+2243+3587</f>
        <v>24934</v>
      </c>
      <c r="L550" s="32">
        <v>0</v>
      </c>
      <c r="M550" s="32">
        <v>0</v>
      </c>
      <c r="N550" s="32">
        <v>1793</v>
      </c>
      <c r="O550" s="32">
        <v>0</v>
      </c>
      <c r="P550" s="32">
        <v>0</v>
      </c>
      <c r="Q550" s="43">
        <f t="shared" si="16"/>
        <v>32926</v>
      </c>
      <c r="R550" s="69">
        <f t="shared" si="17"/>
        <v>27987.1</v>
      </c>
      <c r="S550" s="30"/>
      <c r="T550" s="30"/>
    </row>
    <row r="551" spans="1:20" ht="45" customHeight="1" x14ac:dyDescent="0.3">
      <c r="A551" s="36">
        <v>539</v>
      </c>
      <c r="B551" s="32" t="s">
        <v>1908</v>
      </c>
      <c r="C551" s="32" t="s">
        <v>1927</v>
      </c>
      <c r="D551" s="32" t="s">
        <v>1928</v>
      </c>
      <c r="E551" s="32">
        <v>1985</v>
      </c>
      <c r="F551" s="32" t="s">
        <v>19</v>
      </c>
      <c r="G551" s="32" t="s">
        <v>2035</v>
      </c>
      <c r="H551" s="32" t="s">
        <v>2035</v>
      </c>
      <c r="I551" s="32" t="s">
        <v>2119</v>
      </c>
      <c r="J551" s="32">
        <v>6199</v>
      </c>
      <c r="K551" s="32">
        <v>0</v>
      </c>
      <c r="L551" s="32">
        <v>0</v>
      </c>
      <c r="M551" s="32">
        <v>0</v>
      </c>
      <c r="N551" s="32">
        <v>0</v>
      </c>
      <c r="O551" s="32">
        <v>0</v>
      </c>
      <c r="P551" s="32">
        <v>0</v>
      </c>
      <c r="Q551" s="43">
        <f t="shared" si="16"/>
        <v>6199</v>
      </c>
      <c r="R551" s="69">
        <f t="shared" si="17"/>
        <v>5269.15</v>
      </c>
      <c r="S551" s="30"/>
      <c r="T551" s="30"/>
    </row>
    <row r="552" spans="1:20" ht="45" customHeight="1" x14ac:dyDescent="0.3">
      <c r="A552" s="31">
        <v>540</v>
      </c>
      <c r="B552" s="32" t="s">
        <v>1908</v>
      </c>
      <c r="C552" s="32" t="s">
        <v>1929</v>
      </c>
      <c r="D552" s="32" t="s">
        <v>1930</v>
      </c>
      <c r="E552" s="32">
        <v>2020</v>
      </c>
      <c r="F552" s="32" t="s">
        <v>19</v>
      </c>
      <c r="G552" s="32" t="s">
        <v>2036</v>
      </c>
      <c r="H552" s="32" t="s">
        <v>2035</v>
      </c>
      <c r="I552" s="32" t="s">
        <v>2120</v>
      </c>
      <c r="J552" s="32">
        <v>6199</v>
      </c>
      <c r="K552" s="32">
        <v>0</v>
      </c>
      <c r="L552" s="32">
        <v>0</v>
      </c>
      <c r="M552" s="32">
        <v>0</v>
      </c>
      <c r="N552" s="32">
        <v>0</v>
      </c>
      <c r="O552" s="32">
        <v>0</v>
      </c>
      <c r="P552" s="32">
        <v>0</v>
      </c>
      <c r="Q552" s="44">
        <f t="shared" si="16"/>
        <v>6199</v>
      </c>
      <c r="R552" s="69">
        <f t="shared" si="17"/>
        <v>5269.15</v>
      </c>
      <c r="S552" s="30"/>
      <c r="T552" s="30"/>
    </row>
    <row r="553" spans="1:20" ht="45" customHeight="1" x14ac:dyDescent="0.3">
      <c r="A553" s="31">
        <v>541</v>
      </c>
      <c r="B553" s="32" t="s">
        <v>1908</v>
      </c>
      <c r="C553" s="32" t="s">
        <v>1931</v>
      </c>
      <c r="D553" s="32" t="s">
        <v>1932</v>
      </c>
      <c r="E553" s="32">
        <v>1994</v>
      </c>
      <c r="F553" s="32" t="s">
        <v>19</v>
      </c>
      <c r="G553" s="32" t="s">
        <v>2037</v>
      </c>
      <c r="H553" s="32" t="s">
        <v>2037</v>
      </c>
      <c r="I553" s="32" t="s">
        <v>32</v>
      </c>
      <c r="J553" s="32">
        <v>6199</v>
      </c>
      <c r="K553" s="32">
        <v>0</v>
      </c>
      <c r="L553" s="32">
        <v>17279</v>
      </c>
      <c r="M553" s="32">
        <v>0</v>
      </c>
      <c r="N553" s="32">
        <v>0</v>
      </c>
      <c r="O553" s="32">
        <v>0</v>
      </c>
      <c r="P553" s="32">
        <v>0</v>
      </c>
      <c r="Q553" s="43">
        <f t="shared" si="16"/>
        <v>23478</v>
      </c>
      <c r="R553" s="69">
        <f t="shared" si="17"/>
        <v>19956.3</v>
      </c>
      <c r="S553" s="30"/>
      <c r="T553" s="30"/>
    </row>
    <row r="554" spans="1:20" ht="45" customHeight="1" x14ac:dyDescent="0.3">
      <c r="A554" s="36">
        <v>542</v>
      </c>
      <c r="B554" s="32" t="s">
        <v>1908</v>
      </c>
      <c r="C554" s="32" t="s">
        <v>1933</v>
      </c>
      <c r="D554" s="32" t="s">
        <v>1934</v>
      </c>
      <c r="E554" s="32">
        <v>1995</v>
      </c>
      <c r="F554" s="32" t="s">
        <v>19</v>
      </c>
      <c r="G554" s="32" t="s">
        <v>2038</v>
      </c>
      <c r="H554" s="32" t="s">
        <v>2090</v>
      </c>
      <c r="I554" s="32" t="s">
        <v>2121</v>
      </c>
      <c r="J554" s="32">
        <v>6199</v>
      </c>
      <c r="K554" s="32">
        <v>0</v>
      </c>
      <c r="L554" s="32">
        <v>18406</v>
      </c>
      <c r="M554" s="32">
        <v>0</v>
      </c>
      <c r="N554" s="32">
        <v>0</v>
      </c>
      <c r="O554" s="32">
        <v>0</v>
      </c>
      <c r="P554" s="32">
        <v>0</v>
      </c>
      <c r="Q554" s="43">
        <f t="shared" si="16"/>
        <v>24605</v>
      </c>
      <c r="R554" s="69">
        <f t="shared" si="17"/>
        <v>20914.25</v>
      </c>
      <c r="S554" s="30"/>
      <c r="T554" s="30"/>
    </row>
    <row r="555" spans="1:20" ht="45" customHeight="1" x14ac:dyDescent="0.3">
      <c r="A555" s="31">
        <v>543</v>
      </c>
      <c r="B555" s="32" t="s">
        <v>1908</v>
      </c>
      <c r="C555" s="32" t="s">
        <v>1935</v>
      </c>
      <c r="D555" s="32" t="s">
        <v>1936</v>
      </c>
      <c r="E555" s="32">
        <v>1988</v>
      </c>
      <c r="F555" s="32" t="s">
        <v>18</v>
      </c>
      <c r="G555" s="32" t="s">
        <v>2039</v>
      </c>
      <c r="H555" s="32" t="s">
        <v>2091</v>
      </c>
      <c r="I555" s="32" t="s">
        <v>2122</v>
      </c>
      <c r="J555" s="32">
        <v>6199</v>
      </c>
      <c r="K555" s="32">
        <v>0</v>
      </c>
      <c r="L555" s="32">
        <v>0</v>
      </c>
      <c r="M555" s="32">
        <v>0</v>
      </c>
      <c r="N555" s="32">
        <v>0</v>
      </c>
      <c r="O555" s="32">
        <v>0</v>
      </c>
      <c r="P555" s="32">
        <v>0</v>
      </c>
      <c r="Q555" s="43">
        <f t="shared" si="16"/>
        <v>6199</v>
      </c>
      <c r="R555" s="69">
        <f t="shared" si="17"/>
        <v>5269.15</v>
      </c>
      <c r="S555" s="30"/>
      <c r="T555" s="30"/>
    </row>
    <row r="556" spans="1:20" ht="45" customHeight="1" x14ac:dyDescent="0.3">
      <c r="A556" s="31">
        <v>544</v>
      </c>
      <c r="B556" s="32" t="s">
        <v>1908</v>
      </c>
      <c r="C556" s="32" t="s">
        <v>1937</v>
      </c>
      <c r="D556" s="32" t="s">
        <v>1938</v>
      </c>
      <c r="E556" s="32">
        <v>1989</v>
      </c>
      <c r="F556" s="32" t="s">
        <v>19</v>
      </c>
      <c r="G556" s="32" t="s">
        <v>2040</v>
      </c>
      <c r="H556" s="32" t="s">
        <v>2040</v>
      </c>
      <c r="I556" s="32" t="s">
        <v>2123</v>
      </c>
      <c r="J556" s="32">
        <v>6199</v>
      </c>
      <c r="K556" s="32">
        <v>0</v>
      </c>
      <c r="L556" s="32">
        <v>18406</v>
      </c>
      <c r="M556" s="32">
        <v>0</v>
      </c>
      <c r="N556" s="32">
        <v>0</v>
      </c>
      <c r="O556" s="32">
        <v>0</v>
      </c>
      <c r="P556" s="32">
        <v>0</v>
      </c>
      <c r="Q556" s="43">
        <f t="shared" si="16"/>
        <v>24605</v>
      </c>
      <c r="R556" s="69">
        <f t="shared" si="17"/>
        <v>20914.25</v>
      </c>
      <c r="S556" s="30"/>
      <c r="T556" s="30"/>
    </row>
    <row r="557" spans="1:20" ht="45" customHeight="1" x14ac:dyDescent="0.3">
      <c r="A557" s="36">
        <v>545</v>
      </c>
      <c r="B557" s="32" t="s">
        <v>1908</v>
      </c>
      <c r="C557" s="32" t="s">
        <v>1939</v>
      </c>
      <c r="D557" s="32" t="s">
        <v>1940</v>
      </c>
      <c r="E557" s="32">
        <v>2018</v>
      </c>
      <c r="F557" s="32" t="s">
        <v>19</v>
      </c>
      <c r="G557" s="32" t="s">
        <v>2041</v>
      </c>
      <c r="H557" s="32" t="s">
        <v>2092</v>
      </c>
      <c r="I557" s="32" t="s">
        <v>2124</v>
      </c>
      <c r="J557" s="32">
        <v>6199</v>
      </c>
      <c r="K557" s="32">
        <f>6278+4484+2332+1346+2332+2332+2332+2332+6995+6995+2332+6995+1166+2801+2332+4484+4484</f>
        <v>62352</v>
      </c>
      <c r="L557" s="32">
        <v>0</v>
      </c>
      <c r="M557" s="32">
        <v>0</v>
      </c>
      <c r="N557" s="32">
        <v>3148</v>
      </c>
      <c r="O557" s="32">
        <v>0</v>
      </c>
      <c r="P557" s="32">
        <v>0</v>
      </c>
      <c r="Q557" s="43">
        <f t="shared" si="16"/>
        <v>71699</v>
      </c>
      <c r="R557" s="69">
        <f t="shared" si="17"/>
        <v>60944.15</v>
      </c>
      <c r="S557" s="30"/>
      <c r="T557" s="30"/>
    </row>
    <row r="558" spans="1:20" ht="45" customHeight="1" x14ac:dyDescent="0.3">
      <c r="A558" s="31">
        <v>546</v>
      </c>
      <c r="B558" s="32" t="s">
        <v>1908</v>
      </c>
      <c r="C558" s="32" t="s">
        <v>1941</v>
      </c>
      <c r="D558" s="32" t="s">
        <v>1942</v>
      </c>
      <c r="E558" s="32">
        <v>1990</v>
      </c>
      <c r="F558" s="32" t="s">
        <v>19</v>
      </c>
      <c r="G558" s="32" t="s">
        <v>2042</v>
      </c>
      <c r="H558" s="32" t="s">
        <v>2093</v>
      </c>
      <c r="I558" s="32" t="s">
        <v>2125</v>
      </c>
      <c r="J558" s="32">
        <v>6199</v>
      </c>
      <c r="K558" s="32">
        <f>2332+2332+2243</f>
        <v>6907</v>
      </c>
      <c r="L558" s="32">
        <v>0</v>
      </c>
      <c r="M558" s="32">
        <v>0</v>
      </c>
      <c r="N558" s="32">
        <v>0</v>
      </c>
      <c r="O558" s="32">
        <v>0</v>
      </c>
      <c r="P558" s="32">
        <v>0</v>
      </c>
      <c r="Q558" s="43">
        <f t="shared" si="16"/>
        <v>13106</v>
      </c>
      <c r="R558" s="69">
        <f t="shared" si="17"/>
        <v>11140.1</v>
      </c>
      <c r="S558" s="30"/>
      <c r="T558" s="30"/>
    </row>
    <row r="559" spans="1:20" ht="45" customHeight="1" x14ac:dyDescent="0.3">
      <c r="A559" s="31">
        <v>547</v>
      </c>
      <c r="B559" s="32" t="s">
        <v>1908</v>
      </c>
      <c r="C559" s="32" t="s">
        <v>1943</v>
      </c>
      <c r="D559" s="32" t="s">
        <v>1944</v>
      </c>
      <c r="E559" s="32">
        <v>2022</v>
      </c>
      <c r="F559" s="32" t="s">
        <v>19</v>
      </c>
      <c r="G559" s="32" t="s">
        <v>2043</v>
      </c>
      <c r="H559" s="32" t="s">
        <v>1452</v>
      </c>
      <c r="I559" s="32" t="s">
        <v>282</v>
      </c>
      <c r="J559" s="32">
        <v>6199</v>
      </c>
      <c r="K559" s="32">
        <f>6278+4484+1346+2332+2332+2332+2332+2332+6995+2332+6995+6995</f>
        <v>47085</v>
      </c>
      <c r="L559" s="32">
        <v>0</v>
      </c>
      <c r="M559" s="32">
        <v>0</v>
      </c>
      <c r="N559" s="32">
        <f>3148+4053+1178</f>
        <v>8379</v>
      </c>
      <c r="O559" s="32">
        <v>0</v>
      </c>
      <c r="P559" s="32">
        <f>1080+120+720</f>
        <v>1920</v>
      </c>
      <c r="Q559" s="43">
        <f t="shared" si="16"/>
        <v>63583</v>
      </c>
      <c r="R559" s="69">
        <f t="shared" si="17"/>
        <v>54045.55</v>
      </c>
      <c r="S559" s="30"/>
      <c r="T559" s="30"/>
    </row>
    <row r="560" spans="1:20" ht="45" customHeight="1" x14ac:dyDescent="0.3">
      <c r="A560" s="36">
        <v>548</v>
      </c>
      <c r="B560" s="32" t="s">
        <v>1908</v>
      </c>
      <c r="C560" s="32" t="s">
        <v>1945</v>
      </c>
      <c r="D560" s="32" t="s">
        <v>1946</v>
      </c>
      <c r="E560" s="32">
        <v>2010</v>
      </c>
      <c r="F560" s="32" t="s">
        <v>19</v>
      </c>
      <c r="G560" s="32" t="s">
        <v>2044</v>
      </c>
      <c r="H560" s="32" t="s">
        <v>2094</v>
      </c>
      <c r="I560" s="32" t="s">
        <v>2126</v>
      </c>
      <c r="J560" s="32">
        <v>3793</v>
      </c>
      <c r="K560" s="32">
        <v>0</v>
      </c>
      <c r="L560" s="32">
        <v>0</v>
      </c>
      <c r="M560" s="32">
        <v>0</v>
      </c>
      <c r="N560" s="32">
        <f>13690+27916</f>
        <v>41606</v>
      </c>
      <c r="O560" s="32">
        <v>0</v>
      </c>
      <c r="P560" s="32">
        <v>0</v>
      </c>
      <c r="Q560" s="43">
        <f t="shared" si="16"/>
        <v>45399</v>
      </c>
      <c r="R560" s="69">
        <f t="shared" si="17"/>
        <v>38589.15</v>
      </c>
      <c r="S560" s="30"/>
      <c r="T560" s="30"/>
    </row>
    <row r="561" spans="1:20" ht="45" customHeight="1" x14ac:dyDescent="0.3">
      <c r="A561" s="31">
        <v>549</v>
      </c>
      <c r="B561" s="32" t="s">
        <v>1908</v>
      </c>
      <c r="C561" s="32" t="s">
        <v>1947</v>
      </c>
      <c r="D561" s="32" t="s">
        <v>1948</v>
      </c>
      <c r="E561" s="32">
        <v>1999</v>
      </c>
      <c r="F561" s="32" t="s">
        <v>19</v>
      </c>
      <c r="G561" s="32" t="s">
        <v>2045</v>
      </c>
      <c r="H561" s="32" t="s">
        <v>2095</v>
      </c>
      <c r="I561" s="32" t="s">
        <v>283</v>
      </c>
      <c r="J561" s="32">
        <v>6199</v>
      </c>
      <c r="K561" s="32">
        <v>0</v>
      </c>
      <c r="L561" s="32">
        <v>18406</v>
      </c>
      <c r="M561" s="32">
        <v>0</v>
      </c>
      <c r="N561" s="32">
        <v>0</v>
      </c>
      <c r="O561" s="32">
        <v>0</v>
      </c>
      <c r="P561" s="32">
        <v>0</v>
      </c>
      <c r="Q561" s="43">
        <f t="shared" si="16"/>
        <v>24605</v>
      </c>
      <c r="R561" s="69">
        <f t="shared" si="17"/>
        <v>20914.25</v>
      </c>
      <c r="S561" s="30"/>
      <c r="T561" s="30"/>
    </row>
    <row r="562" spans="1:20" ht="45" customHeight="1" x14ac:dyDescent="0.3">
      <c r="A562" s="31">
        <v>550</v>
      </c>
      <c r="B562" s="32" t="s">
        <v>1908</v>
      </c>
      <c r="C562" s="32" t="s">
        <v>1949</v>
      </c>
      <c r="D562" s="32" t="s">
        <v>346</v>
      </c>
      <c r="E562" s="32">
        <v>2017</v>
      </c>
      <c r="F562" s="32" t="s">
        <v>19</v>
      </c>
      <c r="G562" s="32" t="s">
        <v>454</v>
      </c>
      <c r="H562" s="32" t="s">
        <v>509</v>
      </c>
      <c r="I562" s="32" t="s">
        <v>550</v>
      </c>
      <c r="J562" s="32">
        <v>3582</v>
      </c>
      <c r="K562" s="32">
        <v>0</v>
      </c>
      <c r="L562" s="32">
        <v>0</v>
      </c>
      <c r="M562" s="32">
        <v>0</v>
      </c>
      <c r="N562" s="32">
        <v>38478</v>
      </c>
      <c r="O562" s="32">
        <v>0</v>
      </c>
      <c r="P562" s="32">
        <v>0</v>
      </c>
      <c r="Q562" s="43">
        <f t="shared" si="16"/>
        <v>42060</v>
      </c>
      <c r="R562" s="69">
        <f t="shared" si="17"/>
        <v>35751</v>
      </c>
      <c r="S562" s="30"/>
      <c r="T562" s="30"/>
    </row>
    <row r="563" spans="1:20" ht="45" customHeight="1" x14ac:dyDescent="0.3">
      <c r="A563" s="36">
        <v>551</v>
      </c>
      <c r="B563" s="32" t="s">
        <v>1908</v>
      </c>
      <c r="C563" s="32" t="s">
        <v>1950</v>
      </c>
      <c r="D563" s="32" t="s">
        <v>1951</v>
      </c>
      <c r="E563" s="32">
        <v>2022</v>
      </c>
      <c r="F563" s="32" t="s">
        <v>19</v>
      </c>
      <c r="G563" s="32" t="s">
        <v>2046</v>
      </c>
      <c r="H563" s="32" t="s">
        <v>2096</v>
      </c>
      <c r="I563" s="32" t="s">
        <v>1046</v>
      </c>
      <c r="J563" s="32">
        <v>6199</v>
      </c>
      <c r="K563" s="32">
        <v>0</v>
      </c>
      <c r="L563" s="32">
        <v>0</v>
      </c>
      <c r="M563" s="32">
        <v>0</v>
      </c>
      <c r="N563" s="32">
        <v>5321</v>
      </c>
      <c r="O563" s="32">
        <v>0</v>
      </c>
      <c r="P563" s="32">
        <v>0</v>
      </c>
      <c r="Q563" s="43">
        <f t="shared" si="16"/>
        <v>11520</v>
      </c>
      <c r="R563" s="69">
        <f t="shared" si="17"/>
        <v>9792</v>
      </c>
      <c r="S563" s="30"/>
      <c r="T563" s="30"/>
    </row>
    <row r="564" spans="1:20" ht="45" customHeight="1" x14ac:dyDescent="0.3">
      <c r="A564" s="31">
        <v>552</v>
      </c>
      <c r="B564" s="32" t="s">
        <v>1908</v>
      </c>
      <c r="C564" s="32" t="s">
        <v>1952</v>
      </c>
      <c r="D564" s="32" t="s">
        <v>1953</v>
      </c>
      <c r="E564" s="32">
        <v>2023</v>
      </c>
      <c r="F564" s="32" t="s">
        <v>19</v>
      </c>
      <c r="G564" s="32" t="s">
        <v>2047</v>
      </c>
      <c r="H564" s="32" t="s">
        <v>2097</v>
      </c>
      <c r="I564" s="32" t="s">
        <v>2127</v>
      </c>
      <c r="J564" s="32">
        <v>6199</v>
      </c>
      <c r="K564" s="32">
        <v>0</v>
      </c>
      <c r="L564" s="32">
        <v>0</v>
      </c>
      <c r="M564" s="32">
        <v>0</v>
      </c>
      <c r="N564" s="32">
        <v>0</v>
      </c>
      <c r="O564" s="32">
        <v>0</v>
      </c>
      <c r="P564" s="32">
        <v>0</v>
      </c>
      <c r="Q564" s="43">
        <f t="shared" si="16"/>
        <v>6199</v>
      </c>
      <c r="R564" s="69">
        <f t="shared" si="17"/>
        <v>5269.15</v>
      </c>
      <c r="S564" s="30"/>
      <c r="T564" s="30"/>
    </row>
    <row r="565" spans="1:20" ht="45" customHeight="1" x14ac:dyDescent="0.3">
      <c r="A565" s="31">
        <v>553</v>
      </c>
      <c r="B565" s="32" t="s">
        <v>1908</v>
      </c>
      <c r="C565" s="32" t="s">
        <v>1954</v>
      </c>
      <c r="D565" s="32" t="s">
        <v>1955</v>
      </c>
      <c r="E565" s="32">
        <v>1985</v>
      </c>
      <c r="F565" s="32" t="s">
        <v>19</v>
      </c>
      <c r="G565" s="32" t="s">
        <v>2048</v>
      </c>
      <c r="H565" s="32" t="s">
        <v>2048</v>
      </c>
      <c r="I565" s="32" t="s">
        <v>1257</v>
      </c>
      <c r="J565" s="32">
        <v>6199</v>
      </c>
      <c r="K565" s="32">
        <v>0</v>
      </c>
      <c r="L565" s="32">
        <v>0</v>
      </c>
      <c r="M565" s="32">
        <v>0</v>
      </c>
      <c r="N565" s="32">
        <v>0</v>
      </c>
      <c r="O565" s="32">
        <v>0</v>
      </c>
      <c r="P565" s="32">
        <v>0</v>
      </c>
      <c r="Q565" s="43">
        <f t="shared" si="16"/>
        <v>6199</v>
      </c>
      <c r="R565" s="69">
        <f t="shared" si="17"/>
        <v>5269.15</v>
      </c>
      <c r="S565" s="30"/>
      <c r="T565" s="30"/>
    </row>
    <row r="566" spans="1:20" ht="45" customHeight="1" x14ac:dyDescent="0.3">
      <c r="A566" s="36">
        <v>554</v>
      </c>
      <c r="B566" s="32" t="s">
        <v>1908</v>
      </c>
      <c r="C566" s="32" t="s">
        <v>1956</v>
      </c>
      <c r="D566" s="32" t="s">
        <v>1957</v>
      </c>
      <c r="E566" s="32">
        <v>2019</v>
      </c>
      <c r="F566" s="32" t="s">
        <v>18</v>
      </c>
      <c r="G566" s="32" t="s">
        <v>2049</v>
      </c>
      <c r="H566" s="32" t="s">
        <v>2048</v>
      </c>
      <c r="I566" s="32" t="s">
        <v>1257</v>
      </c>
      <c r="J566" s="32">
        <v>6199</v>
      </c>
      <c r="K566" s="32">
        <v>0</v>
      </c>
      <c r="L566" s="32">
        <v>0</v>
      </c>
      <c r="M566" s="32">
        <v>0</v>
      </c>
      <c r="N566" s="32">
        <v>0</v>
      </c>
      <c r="O566" s="32">
        <v>0</v>
      </c>
      <c r="P566" s="32">
        <v>0</v>
      </c>
      <c r="Q566" s="43">
        <f t="shared" si="16"/>
        <v>6199</v>
      </c>
      <c r="R566" s="69">
        <f t="shared" si="17"/>
        <v>5269.15</v>
      </c>
      <c r="S566" s="30"/>
      <c r="T566" s="30"/>
    </row>
    <row r="567" spans="1:20" ht="45" customHeight="1" x14ac:dyDescent="0.3">
      <c r="A567" s="31">
        <v>555</v>
      </c>
      <c r="B567" s="32" t="s">
        <v>1908</v>
      </c>
      <c r="C567" s="32" t="s">
        <v>1958</v>
      </c>
      <c r="D567" s="32" t="s">
        <v>1959</v>
      </c>
      <c r="E567" s="32">
        <v>1992</v>
      </c>
      <c r="F567" s="32" t="s">
        <v>19</v>
      </c>
      <c r="G567" s="32" t="s">
        <v>2050</v>
      </c>
      <c r="H567" s="32" t="s">
        <v>2050</v>
      </c>
      <c r="I567" s="32" t="s">
        <v>277</v>
      </c>
      <c r="J567" s="32">
        <v>6199</v>
      </c>
      <c r="K567" s="32">
        <v>0</v>
      </c>
      <c r="L567" s="32">
        <v>18406</v>
      </c>
      <c r="M567" s="32">
        <v>0</v>
      </c>
      <c r="N567" s="32">
        <v>0</v>
      </c>
      <c r="O567" s="32">
        <v>0</v>
      </c>
      <c r="P567" s="32">
        <v>0</v>
      </c>
      <c r="Q567" s="43">
        <f t="shared" si="16"/>
        <v>24605</v>
      </c>
      <c r="R567" s="69">
        <f t="shared" si="17"/>
        <v>20914.25</v>
      </c>
      <c r="S567" s="30"/>
      <c r="T567" s="30"/>
    </row>
    <row r="568" spans="1:20" ht="45" customHeight="1" x14ac:dyDescent="0.3">
      <c r="A568" s="31">
        <v>556</v>
      </c>
      <c r="B568" s="32" t="s">
        <v>1908</v>
      </c>
      <c r="C568" s="32" t="s">
        <v>1960</v>
      </c>
      <c r="D568" s="32" t="s">
        <v>1961</v>
      </c>
      <c r="E568" s="32">
        <v>1993</v>
      </c>
      <c r="F568" s="32" t="s">
        <v>19</v>
      </c>
      <c r="G568" s="32" t="s">
        <v>2051</v>
      </c>
      <c r="H568" s="32" t="s">
        <v>2098</v>
      </c>
      <c r="I568" s="32" t="s">
        <v>2128</v>
      </c>
      <c r="J568" s="32">
        <v>6199</v>
      </c>
      <c r="K568" s="32">
        <v>0</v>
      </c>
      <c r="L568" s="32">
        <v>18406</v>
      </c>
      <c r="M568" s="32">
        <v>0</v>
      </c>
      <c r="N568" s="32">
        <v>0</v>
      </c>
      <c r="O568" s="32">
        <v>0</v>
      </c>
      <c r="P568" s="32">
        <v>0</v>
      </c>
      <c r="Q568" s="43">
        <f t="shared" si="16"/>
        <v>24605</v>
      </c>
      <c r="R568" s="69">
        <f t="shared" si="17"/>
        <v>20914.25</v>
      </c>
      <c r="S568" s="30"/>
      <c r="T568" s="30"/>
    </row>
    <row r="569" spans="1:20" ht="45" customHeight="1" x14ac:dyDescent="0.3">
      <c r="A569" s="36">
        <v>557</v>
      </c>
      <c r="B569" s="32" t="s">
        <v>1908</v>
      </c>
      <c r="C569" s="32" t="s">
        <v>1962</v>
      </c>
      <c r="D569" s="32" t="s">
        <v>1963</v>
      </c>
      <c r="E569" s="32">
        <v>1993</v>
      </c>
      <c r="F569" s="32" t="s">
        <v>19</v>
      </c>
      <c r="G569" s="32" t="s">
        <v>2052</v>
      </c>
      <c r="H569" s="32" t="s">
        <v>2099</v>
      </c>
      <c r="I569" s="32" t="s">
        <v>32</v>
      </c>
      <c r="J569" s="32">
        <v>6199</v>
      </c>
      <c r="K569" s="32">
        <v>0</v>
      </c>
      <c r="L569" s="32">
        <v>0</v>
      </c>
      <c r="M569" s="32">
        <v>0</v>
      </c>
      <c r="N569" s="32">
        <f>15443+34016+27380</f>
        <v>76839</v>
      </c>
      <c r="O569" s="32">
        <v>0</v>
      </c>
      <c r="P569" s="32">
        <v>0</v>
      </c>
      <c r="Q569" s="43">
        <f t="shared" si="16"/>
        <v>83038</v>
      </c>
      <c r="R569" s="69">
        <f t="shared" si="17"/>
        <v>70582.3</v>
      </c>
      <c r="S569" s="30"/>
      <c r="T569" s="30"/>
    </row>
    <row r="570" spans="1:20" ht="45" customHeight="1" x14ac:dyDescent="0.3">
      <c r="A570" s="31">
        <v>558</v>
      </c>
      <c r="B570" s="32" t="s">
        <v>1908</v>
      </c>
      <c r="C570" s="32" t="s">
        <v>1964</v>
      </c>
      <c r="D570" s="32" t="s">
        <v>1965</v>
      </c>
      <c r="E570" s="32">
        <v>2003</v>
      </c>
      <c r="F570" s="32" t="s">
        <v>19</v>
      </c>
      <c r="G570" s="32" t="s">
        <v>2053</v>
      </c>
      <c r="H570" s="32" t="s">
        <v>2100</v>
      </c>
      <c r="I570" s="32" t="s">
        <v>2129</v>
      </c>
      <c r="J570" s="32">
        <v>6199</v>
      </c>
      <c r="K570" s="32">
        <v>0</v>
      </c>
      <c r="L570" s="32">
        <v>18406</v>
      </c>
      <c r="M570" s="32">
        <v>0</v>
      </c>
      <c r="N570" s="32">
        <v>0</v>
      </c>
      <c r="O570" s="32">
        <v>0</v>
      </c>
      <c r="P570" s="32">
        <v>0</v>
      </c>
      <c r="Q570" s="43">
        <f t="shared" si="16"/>
        <v>24605</v>
      </c>
      <c r="R570" s="69">
        <f t="shared" si="17"/>
        <v>20914.25</v>
      </c>
      <c r="S570" s="30"/>
      <c r="T570" s="30"/>
    </row>
    <row r="571" spans="1:20" ht="45" customHeight="1" x14ac:dyDescent="0.3">
      <c r="A571" s="31">
        <v>559</v>
      </c>
      <c r="B571" s="32" t="s">
        <v>1908</v>
      </c>
      <c r="C571" s="32" t="s">
        <v>1966</v>
      </c>
      <c r="D571" s="32" t="s">
        <v>1967</v>
      </c>
      <c r="E571" s="32">
        <v>2018</v>
      </c>
      <c r="F571" s="32" t="s">
        <v>19</v>
      </c>
      <c r="G571" s="32" t="s">
        <v>2054</v>
      </c>
      <c r="H571" s="32" t="s">
        <v>2101</v>
      </c>
      <c r="I571" s="32" t="s">
        <v>1084</v>
      </c>
      <c r="J571" s="32">
        <v>6199</v>
      </c>
      <c r="K571" s="32">
        <f>6278+4484+1346+2332+2332+2332+2332+6995+6995+2332+6995+4484+2332+2332</f>
        <v>53901</v>
      </c>
      <c r="L571" s="32">
        <v>0</v>
      </c>
      <c r="M571" s="32">
        <v>0</v>
      </c>
      <c r="N571" s="32">
        <f>3148+1178+4053</f>
        <v>8379</v>
      </c>
      <c r="O571" s="32">
        <v>0</v>
      </c>
      <c r="P571" s="32">
        <f>600+720+120</f>
        <v>1440</v>
      </c>
      <c r="Q571" s="43">
        <f t="shared" si="16"/>
        <v>69919</v>
      </c>
      <c r="R571" s="69">
        <f t="shared" si="17"/>
        <v>59431.15</v>
      </c>
      <c r="S571" s="30"/>
      <c r="T571" s="30"/>
    </row>
    <row r="572" spans="1:20" ht="45" customHeight="1" x14ac:dyDescent="0.3">
      <c r="A572" s="36">
        <v>560</v>
      </c>
      <c r="B572" s="32" t="s">
        <v>1908</v>
      </c>
      <c r="C572" s="32" t="s">
        <v>1968</v>
      </c>
      <c r="D572" s="32" t="s">
        <v>1969</v>
      </c>
      <c r="E572" s="32">
        <v>2020</v>
      </c>
      <c r="F572" s="32" t="s">
        <v>19</v>
      </c>
      <c r="G572" s="32" t="s">
        <v>2055</v>
      </c>
      <c r="H572" s="32" t="s">
        <v>2102</v>
      </c>
      <c r="I572" s="32" t="s">
        <v>1050</v>
      </c>
      <c r="J572" s="32">
        <v>3582</v>
      </c>
      <c r="K572" s="32">
        <v>0</v>
      </c>
      <c r="L572" s="32">
        <v>0</v>
      </c>
      <c r="M572" s="32">
        <v>0</v>
      </c>
      <c r="N572" s="32">
        <f>15443+19239</f>
        <v>34682</v>
      </c>
      <c r="O572" s="32">
        <v>0</v>
      </c>
      <c r="P572" s="32">
        <v>0</v>
      </c>
      <c r="Q572" s="43">
        <f t="shared" si="16"/>
        <v>38264</v>
      </c>
      <c r="R572" s="69">
        <f t="shared" si="17"/>
        <v>32524.400000000001</v>
      </c>
      <c r="S572" s="30"/>
      <c r="T572" s="30"/>
    </row>
    <row r="573" spans="1:20" ht="45" customHeight="1" x14ac:dyDescent="0.3">
      <c r="A573" s="31">
        <v>561</v>
      </c>
      <c r="B573" s="32" t="s">
        <v>1908</v>
      </c>
      <c r="C573" s="32" t="s">
        <v>1970</v>
      </c>
      <c r="D573" s="32" t="s">
        <v>1971</v>
      </c>
      <c r="E573" s="32">
        <v>2020</v>
      </c>
      <c r="F573" s="32" t="s">
        <v>19</v>
      </c>
      <c r="G573" s="32" t="s">
        <v>2056</v>
      </c>
      <c r="H573" s="32" t="s">
        <v>2103</v>
      </c>
      <c r="I573" s="32" t="s">
        <v>1064</v>
      </c>
      <c r="J573" s="32">
        <v>6199</v>
      </c>
      <c r="K573" s="32">
        <f>6278+4484+1346+4484+2332+2332+2332+2332+1166+2332+2332+6995+6995+2332+6995</f>
        <v>55067</v>
      </c>
      <c r="L573" s="32">
        <v>0</v>
      </c>
      <c r="M573" s="32">
        <v>0</v>
      </c>
      <c r="N573" s="32">
        <v>3148</v>
      </c>
      <c r="O573" s="32">
        <v>0</v>
      </c>
      <c r="P573" s="32">
        <v>0</v>
      </c>
      <c r="Q573" s="43">
        <f t="shared" si="16"/>
        <v>64414</v>
      </c>
      <c r="R573" s="69">
        <f t="shared" si="17"/>
        <v>54751.9</v>
      </c>
      <c r="S573" s="30"/>
      <c r="T573" s="30"/>
    </row>
    <row r="574" spans="1:20" ht="45" customHeight="1" x14ac:dyDescent="0.3">
      <c r="A574" s="31">
        <v>562</v>
      </c>
      <c r="B574" s="32" t="s">
        <v>1908</v>
      </c>
      <c r="C574" s="32" t="s">
        <v>1972</v>
      </c>
      <c r="D574" s="32" t="s">
        <v>1973</v>
      </c>
      <c r="E574" s="32">
        <v>1990</v>
      </c>
      <c r="F574" s="32" t="s">
        <v>19</v>
      </c>
      <c r="G574" s="32" t="s">
        <v>2057</v>
      </c>
      <c r="H574" s="32" t="s">
        <v>2057</v>
      </c>
      <c r="I574" s="32" t="s">
        <v>2130</v>
      </c>
      <c r="J574" s="32">
        <v>6199</v>
      </c>
      <c r="K574" s="32">
        <v>0</v>
      </c>
      <c r="L574" s="32">
        <v>17279</v>
      </c>
      <c r="M574" s="32">
        <v>0</v>
      </c>
      <c r="N574" s="32">
        <v>0</v>
      </c>
      <c r="O574" s="32">
        <v>0</v>
      </c>
      <c r="P574" s="32">
        <v>0</v>
      </c>
      <c r="Q574" s="43">
        <f t="shared" si="16"/>
        <v>23478</v>
      </c>
      <c r="R574" s="69">
        <f t="shared" si="17"/>
        <v>19956.3</v>
      </c>
      <c r="S574" s="30"/>
      <c r="T574" s="30"/>
    </row>
    <row r="575" spans="1:20" ht="45" customHeight="1" x14ac:dyDescent="0.3">
      <c r="A575" s="36">
        <v>563</v>
      </c>
      <c r="B575" s="32" t="s">
        <v>1908</v>
      </c>
      <c r="C575" s="32" t="s">
        <v>1974</v>
      </c>
      <c r="D575" s="32" t="s">
        <v>1975</v>
      </c>
      <c r="E575" s="32">
        <v>1990</v>
      </c>
      <c r="F575" s="32" t="s">
        <v>19</v>
      </c>
      <c r="G575" s="32" t="s">
        <v>2058</v>
      </c>
      <c r="H575" s="32" t="s">
        <v>2104</v>
      </c>
      <c r="I575" s="32" t="s">
        <v>32</v>
      </c>
      <c r="J575" s="32">
        <v>6199</v>
      </c>
      <c r="K575" s="32">
        <v>0</v>
      </c>
      <c r="L575" s="32">
        <v>0</v>
      </c>
      <c r="M575" s="32">
        <v>0</v>
      </c>
      <c r="N575" s="32">
        <v>0</v>
      </c>
      <c r="O575" s="32">
        <v>0</v>
      </c>
      <c r="P575" s="32">
        <v>0</v>
      </c>
      <c r="Q575" s="43">
        <f t="shared" si="16"/>
        <v>6199</v>
      </c>
      <c r="R575" s="69">
        <f t="shared" si="17"/>
        <v>5269.15</v>
      </c>
      <c r="S575" s="30"/>
      <c r="T575" s="30"/>
    </row>
    <row r="576" spans="1:20" ht="45" customHeight="1" x14ac:dyDescent="0.3">
      <c r="A576" s="31">
        <v>564</v>
      </c>
      <c r="B576" s="32" t="s">
        <v>1908</v>
      </c>
      <c r="C576" s="32" t="s">
        <v>1976</v>
      </c>
      <c r="D576" s="32" t="s">
        <v>1977</v>
      </c>
      <c r="E576" s="32">
        <v>2002</v>
      </c>
      <c r="F576" s="32" t="s">
        <v>19</v>
      </c>
      <c r="G576" s="32" t="s">
        <v>2059</v>
      </c>
      <c r="H576" s="32" t="s">
        <v>2059</v>
      </c>
      <c r="I576" s="32" t="s">
        <v>2131</v>
      </c>
      <c r="J576" s="32">
        <v>6199</v>
      </c>
      <c r="K576" s="32">
        <v>0</v>
      </c>
      <c r="L576" s="32">
        <v>0</v>
      </c>
      <c r="M576" s="32">
        <v>0</v>
      </c>
      <c r="N576" s="32">
        <v>0</v>
      </c>
      <c r="O576" s="32">
        <v>0</v>
      </c>
      <c r="P576" s="32">
        <v>0</v>
      </c>
      <c r="Q576" s="43">
        <f t="shared" si="16"/>
        <v>6199</v>
      </c>
      <c r="R576" s="69">
        <f t="shared" si="17"/>
        <v>5269.15</v>
      </c>
      <c r="S576" s="30"/>
      <c r="T576" s="30"/>
    </row>
    <row r="577" spans="1:20" ht="45" customHeight="1" x14ac:dyDescent="0.3">
      <c r="A577" s="31">
        <v>565</v>
      </c>
      <c r="B577" s="32" t="s">
        <v>1908</v>
      </c>
      <c r="C577" s="32" t="s">
        <v>1978</v>
      </c>
      <c r="D577" s="32" t="s">
        <v>1979</v>
      </c>
      <c r="E577" s="32">
        <v>2025</v>
      </c>
      <c r="F577" s="32" t="s">
        <v>18</v>
      </c>
      <c r="G577" s="32" t="s">
        <v>2060</v>
      </c>
      <c r="H577" s="32" t="s">
        <v>2105</v>
      </c>
      <c r="I577" s="32" t="s">
        <v>2132</v>
      </c>
      <c r="J577" s="32">
        <v>6199</v>
      </c>
      <c r="K577" s="32">
        <v>0</v>
      </c>
      <c r="L577" s="32">
        <v>0</v>
      </c>
      <c r="M577" s="32">
        <v>0</v>
      </c>
      <c r="N577" s="32">
        <v>0</v>
      </c>
      <c r="O577" s="32">
        <v>0</v>
      </c>
      <c r="P577" s="32">
        <v>0</v>
      </c>
      <c r="Q577" s="43">
        <f t="shared" si="16"/>
        <v>6199</v>
      </c>
      <c r="R577" s="69">
        <f t="shared" si="17"/>
        <v>5269.15</v>
      </c>
      <c r="S577" s="30"/>
      <c r="T577" s="30"/>
    </row>
    <row r="578" spans="1:20" ht="45" customHeight="1" x14ac:dyDescent="0.3">
      <c r="A578" s="36">
        <v>566</v>
      </c>
      <c r="B578" s="32" t="s">
        <v>1908</v>
      </c>
      <c r="C578" s="32" t="s">
        <v>1980</v>
      </c>
      <c r="D578" s="32" t="s">
        <v>1981</v>
      </c>
      <c r="E578" s="32">
        <v>1997</v>
      </c>
      <c r="F578" s="32" t="s">
        <v>19</v>
      </c>
      <c r="G578" s="32" t="s">
        <v>2061</v>
      </c>
      <c r="H578" s="32" t="s">
        <v>2061</v>
      </c>
      <c r="I578" s="32" t="s">
        <v>254</v>
      </c>
      <c r="J578" s="32">
        <v>6199</v>
      </c>
      <c r="K578" s="32">
        <f>2332+2332+2243</f>
        <v>6907</v>
      </c>
      <c r="L578" s="32">
        <v>0</v>
      </c>
      <c r="M578" s="32">
        <v>0</v>
      </c>
      <c r="N578" s="32">
        <v>0</v>
      </c>
      <c r="O578" s="32">
        <v>0</v>
      </c>
      <c r="P578" s="32">
        <v>0</v>
      </c>
      <c r="Q578" s="43">
        <f t="shared" si="16"/>
        <v>13106</v>
      </c>
      <c r="R578" s="69">
        <f t="shared" si="17"/>
        <v>11140.1</v>
      </c>
      <c r="S578" s="30"/>
      <c r="T578" s="30"/>
    </row>
    <row r="579" spans="1:20" ht="45" customHeight="1" x14ac:dyDescent="0.3">
      <c r="A579" s="31">
        <v>567</v>
      </c>
      <c r="B579" s="32" t="s">
        <v>1908</v>
      </c>
      <c r="C579" s="32" t="s">
        <v>1982</v>
      </c>
      <c r="D579" s="32" t="s">
        <v>1983</v>
      </c>
      <c r="E579" s="32">
        <v>1994</v>
      </c>
      <c r="F579" s="32" t="s">
        <v>19</v>
      </c>
      <c r="G579" s="32" t="s">
        <v>2062</v>
      </c>
      <c r="H579" s="32" t="s">
        <v>2062</v>
      </c>
      <c r="I579" s="32" t="s">
        <v>1070</v>
      </c>
      <c r="J579" s="32">
        <v>6199</v>
      </c>
      <c r="K579" s="32">
        <v>0</v>
      </c>
      <c r="L579" s="32">
        <v>0</v>
      </c>
      <c r="M579" s="32">
        <v>0</v>
      </c>
      <c r="N579" s="32">
        <v>15443</v>
      </c>
      <c r="O579" s="32">
        <v>0</v>
      </c>
      <c r="P579" s="32">
        <v>0</v>
      </c>
      <c r="Q579" s="43">
        <f t="shared" si="16"/>
        <v>21642</v>
      </c>
      <c r="R579" s="69">
        <f t="shared" si="17"/>
        <v>18395.7</v>
      </c>
      <c r="S579" s="30"/>
      <c r="T579" s="30"/>
    </row>
    <row r="580" spans="1:20" ht="45" customHeight="1" x14ac:dyDescent="0.3">
      <c r="A580" s="31">
        <v>568</v>
      </c>
      <c r="B580" s="32" t="s">
        <v>1908</v>
      </c>
      <c r="C580" s="32" t="s">
        <v>1984</v>
      </c>
      <c r="D580" s="32" t="s">
        <v>1985</v>
      </c>
      <c r="E580" s="32">
        <v>1997</v>
      </c>
      <c r="F580" s="32" t="s">
        <v>19</v>
      </c>
      <c r="G580" s="32" t="s">
        <v>2063</v>
      </c>
      <c r="H580" s="32" t="s">
        <v>2063</v>
      </c>
      <c r="I580" s="32" t="s">
        <v>2133</v>
      </c>
      <c r="J580" s="32">
        <v>6199</v>
      </c>
      <c r="K580" s="32">
        <v>0</v>
      </c>
      <c r="L580" s="32">
        <v>18406</v>
      </c>
      <c r="M580" s="32">
        <v>0</v>
      </c>
      <c r="N580" s="32">
        <v>0</v>
      </c>
      <c r="O580" s="32">
        <v>0</v>
      </c>
      <c r="P580" s="32">
        <v>0</v>
      </c>
      <c r="Q580" s="43">
        <f t="shared" si="16"/>
        <v>24605</v>
      </c>
      <c r="R580" s="69">
        <f t="shared" si="17"/>
        <v>20914.25</v>
      </c>
      <c r="S580" s="30"/>
      <c r="T580" s="30"/>
    </row>
    <row r="581" spans="1:20" ht="45" customHeight="1" x14ac:dyDescent="0.3">
      <c r="A581" s="36">
        <v>569</v>
      </c>
      <c r="B581" s="32" t="s">
        <v>1908</v>
      </c>
      <c r="C581" s="32" t="s">
        <v>1986</v>
      </c>
      <c r="D581" s="32" t="s">
        <v>1987</v>
      </c>
      <c r="E581" s="32">
        <v>1966</v>
      </c>
      <c r="F581" s="32" t="s">
        <v>19</v>
      </c>
      <c r="G581" s="32" t="s">
        <v>2064</v>
      </c>
      <c r="H581" s="32" t="s">
        <v>2064</v>
      </c>
      <c r="I581" s="32" t="s">
        <v>2134</v>
      </c>
      <c r="J581" s="32">
        <v>6199</v>
      </c>
      <c r="K581" s="32">
        <v>0</v>
      </c>
      <c r="L581" s="32">
        <v>0</v>
      </c>
      <c r="M581" s="32">
        <v>0</v>
      </c>
      <c r="N581" s="32">
        <v>0</v>
      </c>
      <c r="O581" s="32">
        <v>0</v>
      </c>
      <c r="P581" s="32">
        <v>0</v>
      </c>
      <c r="Q581" s="43">
        <f t="shared" si="16"/>
        <v>6199</v>
      </c>
      <c r="R581" s="69">
        <f t="shared" si="17"/>
        <v>5269.15</v>
      </c>
      <c r="S581" s="30"/>
      <c r="T581" s="30"/>
    </row>
    <row r="582" spans="1:20" ht="45" customHeight="1" x14ac:dyDescent="0.3">
      <c r="A582" s="31">
        <v>570</v>
      </c>
      <c r="B582" s="32" t="s">
        <v>1908</v>
      </c>
      <c r="C582" s="32" t="s">
        <v>1988</v>
      </c>
      <c r="D582" s="32" t="s">
        <v>1989</v>
      </c>
      <c r="E582" s="32">
        <v>2020</v>
      </c>
      <c r="F582" s="32" t="s">
        <v>19</v>
      </c>
      <c r="G582" s="32" t="s">
        <v>2065</v>
      </c>
      <c r="H582" s="32" t="s">
        <v>1656</v>
      </c>
      <c r="I582" s="32" t="s">
        <v>1686</v>
      </c>
      <c r="J582" s="32">
        <v>6199</v>
      </c>
      <c r="K582" s="32">
        <f>6278+4484+1346+2332+2332+2332+2332+2332+4484+2332+6995+6995+2332+6995+4484</f>
        <v>58385</v>
      </c>
      <c r="L582" s="32">
        <v>0</v>
      </c>
      <c r="M582" s="32">
        <v>0</v>
      </c>
      <c r="N582" s="32">
        <v>3148</v>
      </c>
      <c r="O582" s="32">
        <v>0</v>
      </c>
      <c r="P582" s="32">
        <v>0</v>
      </c>
      <c r="Q582" s="43">
        <f t="shared" si="16"/>
        <v>67732</v>
      </c>
      <c r="R582" s="69">
        <f t="shared" si="17"/>
        <v>57572.2</v>
      </c>
      <c r="S582" s="30"/>
      <c r="T582" s="30"/>
    </row>
    <row r="583" spans="1:20" ht="45" customHeight="1" x14ac:dyDescent="0.3">
      <c r="A583" s="31">
        <v>571</v>
      </c>
      <c r="B583" s="32" t="s">
        <v>1908</v>
      </c>
      <c r="C583" s="32" t="s">
        <v>1990</v>
      </c>
      <c r="D583" s="32" t="s">
        <v>1991</v>
      </c>
      <c r="E583" s="32">
        <v>2017</v>
      </c>
      <c r="F583" s="32" t="s">
        <v>18</v>
      </c>
      <c r="G583" s="32" t="s">
        <v>2066</v>
      </c>
      <c r="H583" s="32" t="s">
        <v>160</v>
      </c>
      <c r="I583" s="32" t="s">
        <v>26</v>
      </c>
      <c r="J583" s="32">
        <v>6199</v>
      </c>
      <c r="K583" s="32">
        <v>0</v>
      </c>
      <c r="L583" s="32">
        <v>0</v>
      </c>
      <c r="M583" s="32">
        <v>0</v>
      </c>
      <c r="N583" s="32">
        <v>0</v>
      </c>
      <c r="O583" s="32">
        <v>0</v>
      </c>
      <c r="P583" s="32">
        <v>0</v>
      </c>
      <c r="Q583" s="43">
        <f t="shared" si="16"/>
        <v>6199</v>
      </c>
      <c r="R583" s="69">
        <f t="shared" si="17"/>
        <v>5269.15</v>
      </c>
      <c r="S583" s="30"/>
      <c r="T583" s="30"/>
    </row>
    <row r="584" spans="1:20" ht="45" customHeight="1" x14ac:dyDescent="0.3">
      <c r="A584" s="36">
        <v>572</v>
      </c>
      <c r="B584" s="32" t="s">
        <v>1908</v>
      </c>
      <c r="C584" s="32" t="s">
        <v>1992</v>
      </c>
      <c r="D584" s="32" t="s">
        <v>1993</v>
      </c>
      <c r="E584" s="32">
        <v>1998</v>
      </c>
      <c r="F584" s="32" t="s">
        <v>19</v>
      </c>
      <c r="G584" s="32" t="s">
        <v>2067</v>
      </c>
      <c r="H584" s="32" t="s">
        <v>2106</v>
      </c>
      <c r="I584" s="32" t="s">
        <v>287</v>
      </c>
      <c r="J584" s="32">
        <v>6199</v>
      </c>
      <c r="K584" s="32">
        <v>0</v>
      </c>
      <c r="L584" s="32">
        <v>18406</v>
      </c>
      <c r="M584" s="32">
        <v>0</v>
      </c>
      <c r="N584" s="32">
        <v>0</v>
      </c>
      <c r="O584" s="32">
        <v>0</v>
      </c>
      <c r="P584" s="32">
        <v>0</v>
      </c>
      <c r="Q584" s="43">
        <f t="shared" si="16"/>
        <v>24605</v>
      </c>
      <c r="R584" s="69">
        <f t="shared" si="17"/>
        <v>20914.25</v>
      </c>
      <c r="S584" s="30"/>
      <c r="T584" s="30"/>
    </row>
    <row r="585" spans="1:20" ht="45" customHeight="1" x14ac:dyDescent="0.3">
      <c r="A585" s="31">
        <v>573</v>
      </c>
      <c r="B585" s="32" t="s">
        <v>1908</v>
      </c>
      <c r="C585" s="32" t="s">
        <v>1994</v>
      </c>
      <c r="D585" s="32" t="s">
        <v>1802</v>
      </c>
      <c r="E585" s="32">
        <v>1987</v>
      </c>
      <c r="F585" s="32" t="s">
        <v>18</v>
      </c>
      <c r="G585" s="32" t="s">
        <v>1045</v>
      </c>
      <c r="H585" s="32" t="s">
        <v>1045</v>
      </c>
      <c r="I585" s="32" t="s">
        <v>1907</v>
      </c>
      <c r="J585" s="32">
        <v>0</v>
      </c>
      <c r="K585" s="32">
        <v>0</v>
      </c>
      <c r="L585" s="32">
        <v>0</v>
      </c>
      <c r="M585" s="32">
        <v>0</v>
      </c>
      <c r="N585" s="32">
        <v>13298</v>
      </c>
      <c r="O585" s="32">
        <v>0</v>
      </c>
      <c r="P585" s="32">
        <v>0</v>
      </c>
      <c r="Q585" s="43">
        <f t="shared" si="16"/>
        <v>13298</v>
      </c>
      <c r="R585" s="69">
        <f t="shared" si="17"/>
        <v>11303.3</v>
      </c>
      <c r="S585" s="30"/>
      <c r="T585" s="30"/>
    </row>
    <row r="586" spans="1:20" ht="45" customHeight="1" x14ac:dyDescent="0.3">
      <c r="A586" s="31">
        <v>574</v>
      </c>
      <c r="B586" s="32" t="s">
        <v>1908</v>
      </c>
      <c r="C586" s="32" t="s">
        <v>1995</v>
      </c>
      <c r="D586" s="32" t="s">
        <v>1996</v>
      </c>
      <c r="E586" s="32">
        <v>1988</v>
      </c>
      <c r="F586" s="32" t="s">
        <v>19</v>
      </c>
      <c r="G586" s="32" t="s">
        <v>2068</v>
      </c>
      <c r="H586" s="32" t="s">
        <v>2107</v>
      </c>
      <c r="I586" s="32" t="s">
        <v>574</v>
      </c>
      <c r="J586" s="32">
        <v>6199</v>
      </c>
      <c r="K586" s="32">
        <v>0</v>
      </c>
      <c r="L586" s="32">
        <v>18406</v>
      </c>
      <c r="M586" s="32">
        <v>0</v>
      </c>
      <c r="N586" s="32">
        <v>0</v>
      </c>
      <c r="O586" s="32">
        <v>0</v>
      </c>
      <c r="P586" s="32">
        <v>0</v>
      </c>
      <c r="Q586" s="43">
        <f t="shared" si="16"/>
        <v>24605</v>
      </c>
      <c r="R586" s="69">
        <f t="shared" si="17"/>
        <v>20914.25</v>
      </c>
      <c r="S586" s="30"/>
      <c r="T586" s="30"/>
    </row>
    <row r="587" spans="1:20" ht="45" customHeight="1" x14ac:dyDescent="0.3">
      <c r="A587" s="36">
        <v>575</v>
      </c>
      <c r="B587" s="32" t="s">
        <v>1908</v>
      </c>
      <c r="C587" s="32" t="s">
        <v>1997</v>
      </c>
      <c r="D587" s="32" t="s">
        <v>1998</v>
      </c>
      <c r="E587" s="32">
        <v>1994</v>
      </c>
      <c r="F587" s="32" t="s">
        <v>19</v>
      </c>
      <c r="G587" s="32" t="s">
        <v>2069</v>
      </c>
      <c r="H587" s="32" t="s">
        <v>2108</v>
      </c>
      <c r="I587" s="32" t="s">
        <v>2135</v>
      </c>
      <c r="J587" s="32">
        <v>6199</v>
      </c>
      <c r="K587" s="32">
        <v>0</v>
      </c>
      <c r="L587" s="32">
        <v>18406</v>
      </c>
      <c r="M587" s="32">
        <v>0</v>
      </c>
      <c r="N587" s="32">
        <v>0</v>
      </c>
      <c r="O587" s="32">
        <v>0</v>
      </c>
      <c r="P587" s="32">
        <v>0</v>
      </c>
      <c r="Q587" s="43">
        <f t="shared" si="16"/>
        <v>24605</v>
      </c>
      <c r="R587" s="69">
        <f t="shared" si="17"/>
        <v>20914.25</v>
      </c>
      <c r="S587" s="30"/>
      <c r="T587" s="30"/>
    </row>
    <row r="588" spans="1:20" s="41" customFormat="1" ht="45" customHeight="1" x14ac:dyDescent="0.3">
      <c r="A588" s="31">
        <v>576</v>
      </c>
      <c r="B588" s="38" t="s">
        <v>1908</v>
      </c>
      <c r="C588" s="38" t="s">
        <v>1999</v>
      </c>
      <c r="D588" s="38" t="s">
        <v>2000</v>
      </c>
      <c r="E588" s="38">
        <v>1994</v>
      </c>
      <c r="F588" s="38" t="s">
        <v>19</v>
      </c>
      <c r="G588" s="38" t="s">
        <v>2070</v>
      </c>
      <c r="H588" s="38" t="s">
        <v>2109</v>
      </c>
      <c r="I588" s="38" t="s">
        <v>2136</v>
      </c>
      <c r="J588" s="38">
        <v>6199</v>
      </c>
      <c r="K588" s="38">
        <f>6278+2332+4484+2332+2332+2243+3228+3000+3500+3500+6995+3000</f>
        <v>43224</v>
      </c>
      <c r="L588" s="38">
        <v>18406</v>
      </c>
      <c r="M588" s="38">
        <v>0</v>
      </c>
      <c r="N588" s="38">
        <v>1793</v>
      </c>
      <c r="O588" s="38">
        <v>0</v>
      </c>
      <c r="P588" s="38">
        <v>0</v>
      </c>
      <c r="Q588" s="43">
        <f t="shared" si="16"/>
        <v>69622</v>
      </c>
      <c r="R588" s="69">
        <f t="shared" si="17"/>
        <v>59178.7</v>
      </c>
      <c r="S588" s="40"/>
      <c r="T588" s="40"/>
    </row>
    <row r="589" spans="1:20" ht="45" customHeight="1" x14ac:dyDescent="0.3">
      <c r="A589" s="31">
        <v>577</v>
      </c>
      <c r="B589" s="32" t="s">
        <v>1908</v>
      </c>
      <c r="C589" s="32" t="s">
        <v>2001</v>
      </c>
      <c r="D589" s="32" t="s">
        <v>2002</v>
      </c>
      <c r="E589" s="32">
        <v>1987</v>
      </c>
      <c r="F589" s="32" t="s">
        <v>19</v>
      </c>
      <c r="G589" s="32" t="s">
        <v>2071</v>
      </c>
      <c r="H589" s="32" t="s">
        <v>2071</v>
      </c>
      <c r="I589" s="32" t="s">
        <v>2137</v>
      </c>
      <c r="J589" s="32">
        <v>6199</v>
      </c>
      <c r="K589" s="32">
        <v>0</v>
      </c>
      <c r="L589" s="32">
        <v>17279</v>
      </c>
      <c r="M589" s="32">
        <v>0</v>
      </c>
      <c r="N589" s="32">
        <v>0</v>
      </c>
      <c r="O589" s="32">
        <v>0</v>
      </c>
      <c r="P589" s="32">
        <v>0</v>
      </c>
      <c r="Q589" s="43">
        <f t="shared" ref="Q589:Q652" si="18">SUM(J589:P589)</f>
        <v>23478</v>
      </c>
      <c r="R589" s="69">
        <f t="shared" si="17"/>
        <v>19956.3</v>
      </c>
      <c r="S589" s="30"/>
      <c r="T589" s="30"/>
    </row>
    <row r="590" spans="1:20" ht="45" customHeight="1" x14ac:dyDescent="0.3">
      <c r="A590" s="36">
        <v>578</v>
      </c>
      <c r="B590" s="32" t="s">
        <v>1908</v>
      </c>
      <c r="C590" s="32" t="s">
        <v>2003</v>
      </c>
      <c r="D590" s="32" t="s">
        <v>2004</v>
      </c>
      <c r="E590" s="32">
        <v>2022</v>
      </c>
      <c r="F590" s="32" t="s">
        <v>18</v>
      </c>
      <c r="G590" s="32" t="s">
        <v>2072</v>
      </c>
      <c r="H590" s="32" t="s">
        <v>2110</v>
      </c>
      <c r="I590" s="32" t="s">
        <v>2138</v>
      </c>
      <c r="J590" s="32">
        <v>6199</v>
      </c>
      <c r="K590" s="32">
        <v>0</v>
      </c>
      <c r="L590" s="32">
        <v>0</v>
      </c>
      <c r="M590" s="32">
        <v>0</v>
      </c>
      <c r="N590" s="32">
        <v>0</v>
      </c>
      <c r="O590" s="32">
        <v>0</v>
      </c>
      <c r="P590" s="32">
        <v>0</v>
      </c>
      <c r="Q590" s="43">
        <f t="shared" si="18"/>
        <v>6199</v>
      </c>
      <c r="R590" s="69">
        <f t="shared" ref="R590:R653" si="19">Q590*85/100</f>
        <v>5269.15</v>
      </c>
      <c r="S590" s="30"/>
      <c r="T590" s="30"/>
    </row>
    <row r="591" spans="1:20" ht="45" customHeight="1" x14ac:dyDescent="0.3">
      <c r="A591" s="31">
        <v>579</v>
      </c>
      <c r="B591" s="32" t="s">
        <v>1908</v>
      </c>
      <c r="C591" s="32" t="s">
        <v>2005</v>
      </c>
      <c r="D591" s="32" t="s">
        <v>2006</v>
      </c>
      <c r="E591" s="32">
        <v>1993</v>
      </c>
      <c r="F591" s="32" t="s">
        <v>19</v>
      </c>
      <c r="G591" s="32" t="s">
        <v>2073</v>
      </c>
      <c r="H591" s="32" t="s">
        <v>818</v>
      </c>
      <c r="I591" s="32" t="s">
        <v>300</v>
      </c>
      <c r="J591" s="32">
        <v>6199</v>
      </c>
      <c r="K591" s="32">
        <v>0</v>
      </c>
      <c r="L591" s="32">
        <v>18406</v>
      </c>
      <c r="M591" s="32">
        <v>0</v>
      </c>
      <c r="N591" s="32">
        <v>0</v>
      </c>
      <c r="O591" s="32">
        <v>0</v>
      </c>
      <c r="P591" s="32">
        <v>0</v>
      </c>
      <c r="Q591" s="43">
        <f t="shared" si="18"/>
        <v>24605</v>
      </c>
      <c r="R591" s="69">
        <f t="shared" si="19"/>
        <v>20914.25</v>
      </c>
      <c r="S591" s="30"/>
      <c r="T591" s="30"/>
    </row>
    <row r="592" spans="1:20" ht="45" customHeight="1" x14ac:dyDescent="0.3">
      <c r="A592" s="31">
        <v>580</v>
      </c>
      <c r="B592" s="32" t="s">
        <v>1908</v>
      </c>
      <c r="C592" s="32" t="s">
        <v>2007</v>
      </c>
      <c r="D592" s="32" t="s">
        <v>1993</v>
      </c>
      <c r="E592" s="32">
        <v>1998</v>
      </c>
      <c r="F592" s="32" t="s">
        <v>19</v>
      </c>
      <c r="G592" s="32" t="s">
        <v>2067</v>
      </c>
      <c r="H592" s="32" t="s">
        <v>2106</v>
      </c>
      <c r="I592" s="32" t="s">
        <v>287</v>
      </c>
      <c r="J592" s="32">
        <v>3582</v>
      </c>
      <c r="K592" s="32">
        <v>0</v>
      </c>
      <c r="L592" s="32">
        <v>0</v>
      </c>
      <c r="M592" s="32">
        <v>0</v>
      </c>
      <c r="N592" s="32">
        <v>0</v>
      </c>
      <c r="O592" s="32">
        <v>0</v>
      </c>
      <c r="P592" s="32">
        <v>0</v>
      </c>
      <c r="Q592" s="43">
        <f t="shared" si="18"/>
        <v>3582</v>
      </c>
      <c r="R592" s="69">
        <f t="shared" si="19"/>
        <v>3044.7</v>
      </c>
      <c r="S592" s="30"/>
      <c r="T592" s="30"/>
    </row>
    <row r="593" spans="1:20" s="41" customFormat="1" ht="45" customHeight="1" x14ac:dyDescent="0.3">
      <c r="A593" s="36">
        <v>581</v>
      </c>
      <c r="B593" s="38" t="s">
        <v>1908</v>
      </c>
      <c r="C593" s="38" t="s">
        <v>2008</v>
      </c>
      <c r="D593" s="38" t="s">
        <v>2009</v>
      </c>
      <c r="E593" s="38">
        <v>2021</v>
      </c>
      <c r="F593" s="38" t="s">
        <v>19</v>
      </c>
      <c r="G593" s="38" t="s">
        <v>2074</v>
      </c>
      <c r="H593" s="38" t="s">
        <v>2111</v>
      </c>
      <c r="I593" s="38" t="s">
        <v>25</v>
      </c>
      <c r="J593" s="38">
        <v>3582</v>
      </c>
      <c r="K593" s="38">
        <v>0</v>
      </c>
      <c r="L593" s="38">
        <v>0</v>
      </c>
      <c r="M593" s="38">
        <v>0</v>
      </c>
      <c r="N593" s="38">
        <v>0</v>
      </c>
      <c r="O593" s="38">
        <v>0</v>
      </c>
      <c r="P593" s="38">
        <v>0</v>
      </c>
      <c r="Q593" s="43">
        <f t="shared" si="18"/>
        <v>3582</v>
      </c>
      <c r="R593" s="69">
        <f t="shared" si="19"/>
        <v>3044.7</v>
      </c>
      <c r="S593" s="40"/>
      <c r="T593" s="40"/>
    </row>
    <row r="594" spans="1:20" ht="45" customHeight="1" x14ac:dyDescent="0.3">
      <c r="A594" s="31">
        <v>582</v>
      </c>
      <c r="B594" s="32" t="s">
        <v>1908</v>
      </c>
      <c r="C594" s="32" t="s">
        <v>2010</v>
      </c>
      <c r="D594" s="32" t="s">
        <v>2011</v>
      </c>
      <c r="E594" s="32">
        <v>1983</v>
      </c>
      <c r="F594" s="32" t="s">
        <v>18</v>
      </c>
      <c r="G594" s="32" t="s">
        <v>2075</v>
      </c>
      <c r="H594" s="32" t="s">
        <v>2075</v>
      </c>
      <c r="I594" s="32" t="s">
        <v>2122</v>
      </c>
      <c r="J594" s="32">
        <v>6199</v>
      </c>
      <c r="K594" s="32">
        <f>1166+2801</f>
        <v>3967</v>
      </c>
      <c r="L594" s="32">
        <v>0</v>
      </c>
      <c r="M594" s="32">
        <v>0</v>
      </c>
      <c r="N594" s="32">
        <v>0</v>
      </c>
      <c r="O594" s="32">
        <v>0</v>
      </c>
      <c r="P594" s="32">
        <v>0</v>
      </c>
      <c r="Q594" s="43">
        <f t="shared" si="18"/>
        <v>10166</v>
      </c>
      <c r="R594" s="69">
        <f t="shared" si="19"/>
        <v>8641.1</v>
      </c>
      <c r="S594" s="30"/>
      <c r="T594" s="30"/>
    </row>
    <row r="595" spans="1:20" ht="45" customHeight="1" x14ac:dyDescent="0.3">
      <c r="A595" s="31">
        <v>583</v>
      </c>
      <c r="B595" s="32" t="s">
        <v>1908</v>
      </c>
      <c r="C595" s="32" t="s">
        <v>2012</v>
      </c>
      <c r="D595" s="32" t="s">
        <v>2013</v>
      </c>
      <c r="E595" s="32">
        <v>1984</v>
      </c>
      <c r="F595" s="32" t="s">
        <v>19</v>
      </c>
      <c r="G595" s="32" t="s">
        <v>2076</v>
      </c>
      <c r="H595" s="32" t="s">
        <v>2076</v>
      </c>
      <c r="I595" s="32" t="s">
        <v>300</v>
      </c>
      <c r="J595" s="32">
        <v>6199</v>
      </c>
      <c r="K595" s="32">
        <v>0</v>
      </c>
      <c r="L595" s="32">
        <v>0</v>
      </c>
      <c r="M595" s="32">
        <v>0</v>
      </c>
      <c r="N595" s="32">
        <v>0</v>
      </c>
      <c r="O595" s="32">
        <v>0</v>
      </c>
      <c r="P595" s="32">
        <v>0</v>
      </c>
      <c r="Q595" s="43">
        <f t="shared" si="18"/>
        <v>6199</v>
      </c>
      <c r="R595" s="69">
        <f t="shared" si="19"/>
        <v>5269.15</v>
      </c>
      <c r="S595" s="30"/>
      <c r="T595" s="30"/>
    </row>
    <row r="596" spans="1:20" ht="45" customHeight="1" x14ac:dyDescent="0.3">
      <c r="A596" s="36">
        <v>584</v>
      </c>
      <c r="B596" s="32" t="s">
        <v>1908</v>
      </c>
      <c r="C596" s="32" t="s">
        <v>2014</v>
      </c>
      <c r="D596" s="32" t="s">
        <v>2015</v>
      </c>
      <c r="E596" s="32">
        <v>1984</v>
      </c>
      <c r="F596" s="32" t="s">
        <v>19</v>
      </c>
      <c r="G596" s="32" t="s">
        <v>2077</v>
      </c>
      <c r="H596" s="32" t="s">
        <v>2112</v>
      </c>
      <c r="I596" s="32" t="s">
        <v>2139</v>
      </c>
      <c r="J596" s="32">
        <v>6199</v>
      </c>
      <c r="K596" s="32">
        <v>0</v>
      </c>
      <c r="L596" s="32">
        <v>19396</v>
      </c>
      <c r="M596" s="32">
        <v>0</v>
      </c>
      <c r="N596" s="32">
        <v>0</v>
      </c>
      <c r="O596" s="32">
        <v>0</v>
      </c>
      <c r="P596" s="32">
        <v>0</v>
      </c>
      <c r="Q596" s="43">
        <f t="shared" si="18"/>
        <v>25595</v>
      </c>
      <c r="R596" s="69">
        <f t="shared" si="19"/>
        <v>21755.75</v>
      </c>
      <c r="S596" s="30"/>
      <c r="T596" s="30"/>
    </row>
    <row r="597" spans="1:20" ht="45" customHeight="1" x14ac:dyDescent="0.3">
      <c r="A597" s="31">
        <v>585</v>
      </c>
      <c r="B597" s="32" t="s">
        <v>1908</v>
      </c>
      <c r="C597" s="32" t="s">
        <v>2016</v>
      </c>
      <c r="D597" s="32" t="s">
        <v>2017</v>
      </c>
      <c r="E597" s="32">
        <v>2025</v>
      </c>
      <c r="F597" s="32" t="s">
        <v>18</v>
      </c>
      <c r="G597" s="32" t="s">
        <v>2078</v>
      </c>
      <c r="H597" s="32" t="s">
        <v>2113</v>
      </c>
      <c r="I597" s="32" t="s">
        <v>2140</v>
      </c>
      <c r="J597" s="32">
        <v>6199</v>
      </c>
      <c r="K597" s="32">
        <f>6278+4484+2332+1346+2332+2332+2332+2332+6995+6995+2332+6995+4484+2332</f>
        <v>53901</v>
      </c>
      <c r="L597" s="32">
        <v>0</v>
      </c>
      <c r="M597" s="32">
        <v>0</v>
      </c>
      <c r="N597" s="32">
        <v>3148</v>
      </c>
      <c r="O597" s="32">
        <v>0</v>
      </c>
      <c r="P597" s="32">
        <v>0</v>
      </c>
      <c r="Q597" s="43">
        <f t="shared" si="18"/>
        <v>63248</v>
      </c>
      <c r="R597" s="69">
        <f t="shared" si="19"/>
        <v>53760.800000000003</v>
      </c>
      <c r="S597" s="30"/>
      <c r="T597" s="30"/>
    </row>
    <row r="598" spans="1:20" ht="45" customHeight="1" x14ac:dyDescent="0.3">
      <c r="A598" s="31">
        <v>586</v>
      </c>
      <c r="B598" s="32" t="s">
        <v>1908</v>
      </c>
      <c r="C598" s="32" t="s">
        <v>2018</v>
      </c>
      <c r="D598" s="32" t="s">
        <v>2019</v>
      </c>
      <c r="E598" s="32">
        <v>1991</v>
      </c>
      <c r="F598" s="32" t="s">
        <v>19</v>
      </c>
      <c r="G598" s="32" t="s">
        <v>2079</v>
      </c>
      <c r="H598" s="32" t="s">
        <v>2079</v>
      </c>
      <c r="I598" s="32" t="s">
        <v>293</v>
      </c>
      <c r="J598" s="32">
        <v>6199</v>
      </c>
      <c r="K598" s="32">
        <f>1166+2801</f>
        <v>3967</v>
      </c>
      <c r="L598" s="32">
        <v>0</v>
      </c>
      <c r="M598" s="32">
        <v>0</v>
      </c>
      <c r="N598" s="32">
        <v>0</v>
      </c>
      <c r="O598" s="32">
        <v>0</v>
      </c>
      <c r="P598" s="32">
        <v>0</v>
      </c>
      <c r="Q598" s="43">
        <f t="shared" si="18"/>
        <v>10166</v>
      </c>
      <c r="R598" s="69">
        <f t="shared" si="19"/>
        <v>8641.1</v>
      </c>
      <c r="S598" s="30"/>
      <c r="T598" s="30"/>
    </row>
    <row r="599" spans="1:20" ht="45" customHeight="1" x14ac:dyDescent="0.3">
      <c r="A599" s="36">
        <v>587</v>
      </c>
      <c r="B599" s="32" t="s">
        <v>1908</v>
      </c>
      <c r="C599" s="32" t="s">
        <v>2020</v>
      </c>
      <c r="D599" s="32" t="s">
        <v>2021</v>
      </c>
      <c r="E599" s="32">
        <v>2025</v>
      </c>
      <c r="F599" s="32" t="s">
        <v>19</v>
      </c>
      <c r="G599" s="32" t="s">
        <v>2080</v>
      </c>
      <c r="H599" s="32" t="s">
        <v>2114</v>
      </c>
      <c r="I599" s="32" t="s">
        <v>2141</v>
      </c>
      <c r="J599" s="32">
        <v>6199</v>
      </c>
      <c r="K599" s="32">
        <f>6278+4484+2332+1346+2332+2332+2332+2332+6995+6995+2332+6995+4484+2332</f>
        <v>53901</v>
      </c>
      <c r="L599" s="32">
        <v>0</v>
      </c>
      <c r="M599" s="32">
        <v>0</v>
      </c>
      <c r="N599" s="32">
        <v>3148</v>
      </c>
      <c r="O599" s="32">
        <v>0</v>
      </c>
      <c r="P599" s="32">
        <v>0</v>
      </c>
      <c r="Q599" s="43">
        <f t="shared" si="18"/>
        <v>63248</v>
      </c>
      <c r="R599" s="69">
        <f t="shared" si="19"/>
        <v>53760.800000000003</v>
      </c>
      <c r="S599" s="30"/>
      <c r="T599" s="30"/>
    </row>
    <row r="600" spans="1:20" ht="45" customHeight="1" x14ac:dyDescent="0.3">
      <c r="A600" s="31">
        <v>588</v>
      </c>
      <c r="B600" s="32" t="s">
        <v>1908</v>
      </c>
      <c r="C600" s="32" t="s">
        <v>2022</v>
      </c>
      <c r="D600" s="32" t="s">
        <v>2023</v>
      </c>
      <c r="E600" s="32">
        <v>2020</v>
      </c>
      <c r="F600" s="32" t="s">
        <v>19</v>
      </c>
      <c r="G600" s="32" t="s">
        <v>2081</v>
      </c>
      <c r="H600" s="32" t="s">
        <v>2115</v>
      </c>
      <c r="I600" s="32" t="s">
        <v>2142</v>
      </c>
      <c r="J600" s="32">
        <v>6199</v>
      </c>
      <c r="K600" s="32">
        <v>0</v>
      </c>
      <c r="L600" s="32">
        <v>0</v>
      </c>
      <c r="M600" s="32">
        <v>0</v>
      </c>
      <c r="N600" s="32">
        <v>0</v>
      </c>
      <c r="O600" s="32">
        <v>0</v>
      </c>
      <c r="P600" s="32">
        <v>0</v>
      </c>
      <c r="Q600" s="43">
        <f t="shared" si="18"/>
        <v>6199</v>
      </c>
      <c r="R600" s="69">
        <f t="shared" si="19"/>
        <v>5269.15</v>
      </c>
      <c r="S600" s="30"/>
      <c r="T600" s="30"/>
    </row>
    <row r="601" spans="1:20" ht="45" customHeight="1" x14ac:dyDescent="0.3">
      <c r="A601" s="31">
        <v>589</v>
      </c>
      <c r="B601" s="32" t="s">
        <v>1908</v>
      </c>
      <c r="C601" s="32" t="s">
        <v>2024</v>
      </c>
      <c r="D601" s="32" t="s">
        <v>2025</v>
      </c>
      <c r="E601" s="32">
        <v>1992</v>
      </c>
      <c r="F601" s="32" t="s">
        <v>18</v>
      </c>
      <c r="G601" s="32" t="s">
        <v>2082</v>
      </c>
      <c r="H601" s="32" t="s">
        <v>2082</v>
      </c>
      <c r="I601" s="32" t="s">
        <v>1050</v>
      </c>
      <c r="J601" s="32">
        <v>6199</v>
      </c>
      <c r="K601" s="32">
        <f>2332+2332+2243</f>
        <v>6907</v>
      </c>
      <c r="L601" s="32">
        <v>0</v>
      </c>
      <c r="M601" s="32">
        <v>0</v>
      </c>
      <c r="N601" s="32">
        <f>1681+3179</f>
        <v>4860</v>
      </c>
      <c r="O601" s="32">
        <v>0</v>
      </c>
      <c r="P601" s="32">
        <f>624+112</f>
        <v>736</v>
      </c>
      <c r="Q601" s="43">
        <f t="shared" si="18"/>
        <v>18702</v>
      </c>
      <c r="R601" s="69">
        <f t="shared" si="19"/>
        <v>15896.7</v>
      </c>
      <c r="S601" s="30"/>
      <c r="T601" s="30"/>
    </row>
    <row r="602" spans="1:20" ht="45" customHeight="1" x14ac:dyDescent="0.3">
      <c r="A602" s="36">
        <v>590</v>
      </c>
      <c r="B602" s="32" t="s">
        <v>1908</v>
      </c>
      <c r="C602" s="32" t="s">
        <v>7234</v>
      </c>
      <c r="D602" s="34" t="s">
        <v>1496</v>
      </c>
      <c r="E602" s="32">
        <v>2020</v>
      </c>
      <c r="F602" s="32" t="s">
        <v>19</v>
      </c>
      <c r="G602" s="32" t="s">
        <v>1604</v>
      </c>
      <c r="H602" s="32" t="s">
        <v>1655</v>
      </c>
      <c r="I602" s="32" t="s">
        <v>840</v>
      </c>
      <c r="J602" s="32">
        <v>2900</v>
      </c>
      <c r="K602" s="32">
        <v>0</v>
      </c>
      <c r="L602" s="32">
        <v>0</v>
      </c>
      <c r="M602" s="32">
        <v>0</v>
      </c>
      <c r="N602" s="32">
        <v>1681</v>
      </c>
      <c r="O602" s="32">
        <v>0</v>
      </c>
      <c r="P602" s="32">
        <f>360+56</f>
        <v>416</v>
      </c>
      <c r="Q602" s="43">
        <f t="shared" si="18"/>
        <v>4997</v>
      </c>
      <c r="R602" s="69">
        <f t="shared" si="19"/>
        <v>4247.45</v>
      </c>
      <c r="S602" s="30"/>
      <c r="T602" s="30"/>
    </row>
    <row r="603" spans="1:20" ht="45" customHeight="1" x14ac:dyDescent="0.3">
      <c r="A603" s="31">
        <v>591</v>
      </c>
      <c r="B603" s="32" t="s">
        <v>1908</v>
      </c>
      <c r="C603" s="32" t="s">
        <v>7235</v>
      </c>
      <c r="D603" s="34" t="s">
        <v>1788</v>
      </c>
      <c r="E603" s="32">
        <v>2025</v>
      </c>
      <c r="F603" s="32" t="s">
        <v>19</v>
      </c>
      <c r="G603" s="32" t="s">
        <v>1840</v>
      </c>
      <c r="H603" s="32" t="s">
        <v>1878</v>
      </c>
      <c r="I603" s="32" t="s">
        <v>1901</v>
      </c>
      <c r="J603" s="32">
        <v>2900</v>
      </c>
      <c r="K603" s="32">
        <v>0</v>
      </c>
      <c r="L603" s="32">
        <v>0</v>
      </c>
      <c r="M603" s="32">
        <v>17688</v>
      </c>
      <c r="N603" s="32">
        <v>2088</v>
      </c>
      <c r="O603" s="32">
        <v>0</v>
      </c>
      <c r="P603" s="32">
        <f>1080+168</f>
        <v>1248</v>
      </c>
      <c r="Q603" s="43">
        <f t="shared" si="18"/>
        <v>23924</v>
      </c>
      <c r="R603" s="69">
        <f t="shared" si="19"/>
        <v>20335.400000000001</v>
      </c>
      <c r="S603" s="30"/>
      <c r="T603" s="30"/>
    </row>
    <row r="604" spans="1:20" ht="45" customHeight="1" x14ac:dyDescent="0.3">
      <c r="A604" s="31">
        <v>592</v>
      </c>
      <c r="B604" s="32" t="s">
        <v>2143</v>
      </c>
      <c r="C604" s="32" t="s">
        <v>2144</v>
      </c>
      <c r="D604" s="32" t="s">
        <v>2145</v>
      </c>
      <c r="E604" s="32">
        <v>1972</v>
      </c>
      <c r="F604" s="32" t="s">
        <v>19</v>
      </c>
      <c r="G604" s="32" t="s">
        <v>2313</v>
      </c>
      <c r="H604" s="32" t="s">
        <v>2394</v>
      </c>
      <c r="I604" s="32" t="s">
        <v>824</v>
      </c>
      <c r="J604" s="32">
        <v>6199</v>
      </c>
      <c r="K604" s="32">
        <v>0</v>
      </c>
      <c r="L604" s="32">
        <v>0</v>
      </c>
      <c r="M604" s="32">
        <v>0</v>
      </c>
      <c r="N604" s="32">
        <v>0</v>
      </c>
      <c r="O604" s="32">
        <v>0</v>
      </c>
      <c r="P604" s="32">
        <v>0</v>
      </c>
      <c r="Q604" s="43">
        <f t="shared" si="18"/>
        <v>6199</v>
      </c>
      <c r="R604" s="69">
        <f t="shared" si="19"/>
        <v>5269.15</v>
      </c>
      <c r="S604" s="30"/>
      <c r="T604" s="30"/>
    </row>
    <row r="605" spans="1:20" ht="45" customHeight="1" x14ac:dyDescent="0.3">
      <c r="A605" s="36">
        <v>593</v>
      </c>
      <c r="B605" s="32" t="s">
        <v>2143</v>
      </c>
      <c r="C605" s="32" t="s">
        <v>2146</v>
      </c>
      <c r="D605" s="32" t="s">
        <v>2147</v>
      </c>
      <c r="E605" s="32">
        <v>1964</v>
      </c>
      <c r="F605" s="32" t="s">
        <v>18</v>
      </c>
      <c r="G605" s="32" t="s">
        <v>2314</v>
      </c>
      <c r="H605" s="32" t="s">
        <v>2314</v>
      </c>
      <c r="I605" s="32" t="s">
        <v>824</v>
      </c>
      <c r="J605" s="32">
        <v>3793</v>
      </c>
      <c r="K605" s="32">
        <v>0</v>
      </c>
      <c r="L605" s="32">
        <v>0</v>
      </c>
      <c r="M605" s="32">
        <v>0</v>
      </c>
      <c r="N605" s="32">
        <v>0</v>
      </c>
      <c r="O605" s="32">
        <v>0</v>
      </c>
      <c r="P605" s="32">
        <v>0</v>
      </c>
      <c r="Q605" s="43">
        <f t="shared" si="18"/>
        <v>3793</v>
      </c>
      <c r="R605" s="69">
        <f t="shared" si="19"/>
        <v>3224.05</v>
      </c>
      <c r="S605" s="30"/>
      <c r="T605" s="30"/>
    </row>
    <row r="606" spans="1:20" ht="45" customHeight="1" x14ac:dyDescent="0.3">
      <c r="A606" s="31">
        <v>594</v>
      </c>
      <c r="B606" s="32" t="s">
        <v>2143</v>
      </c>
      <c r="C606" s="32" t="s">
        <v>2148</v>
      </c>
      <c r="D606" s="32" t="s">
        <v>2149</v>
      </c>
      <c r="E606" s="32">
        <v>2022</v>
      </c>
      <c r="F606" s="32" t="s">
        <v>19</v>
      </c>
      <c r="G606" s="32" t="s">
        <v>2315</v>
      </c>
      <c r="H606" s="32" t="s">
        <v>2395</v>
      </c>
      <c r="I606" s="32" t="s">
        <v>1279</v>
      </c>
      <c r="J606" s="32">
        <v>3582</v>
      </c>
      <c r="K606" s="32">
        <v>0</v>
      </c>
      <c r="L606" s="32">
        <v>0</v>
      </c>
      <c r="M606" s="32">
        <v>0</v>
      </c>
      <c r="N606" s="32">
        <f>21194+13563</f>
        <v>34757</v>
      </c>
      <c r="O606" s="32">
        <v>0</v>
      </c>
      <c r="P606" s="32">
        <v>0</v>
      </c>
      <c r="Q606" s="43">
        <f t="shared" si="18"/>
        <v>38339</v>
      </c>
      <c r="R606" s="69">
        <f t="shared" si="19"/>
        <v>32588.15</v>
      </c>
      <c r="S606" s="30"/>
      <c r="T606" s="30"/>
    </row>
    <row r="607" spans="1:20" ht="45" customHeight="1" x14ac:dyDescent="0.3">
      <c r="A607" s="31">
        <v>595</v>
      </c>
      <c r="B607" s="32" t="s">
        <v>2143</v>
      </c>
      <c r="C607" s="32" t="s">
        <v>2150</v>
      </c>
      <c r="D607" s="32" t="s">
        <v>2151</v>
      </c>
      <c r="E607" s="32">
        <v>1973</v>
      </c>
      <c r="F607" s="32" t="s">
        <v>18</v>
      </c>
      <c r="G607" s="32" t="s">
        <v>2316</v>
      </c>
      <c r="H607" s="32" t="s">
        <v>2316</v>
      </c>
      <c r="I607" s="32" t="s">
        <v>1277</v>
      </c>
      <c r="J607" s="32">
        <v>6199</v>
      </c>
      <c r="K607" s="32">
        <v>0</v>
      </c>
      <c r="L607" s="32">
        <v>0</v>
      </c>
      <c r="M607" s="32">
        <v>0</v>
      </c>
      <c r="N607" s="32">
        <v>0</v>
      </c>
      <c r="O607" s="32">
        <v>0</v>
      </c>
      <c r="P607" s="32">
        <v>0</v>
      </c>
      <c r="Q607" s="43">
        <f t="shared" si="18"/>
        <v>6199</v>
      </c>
      <c r="R607" s="69">
        <f t="shared" si="19"/>
        <v>5269.15</v>
      </c>
      <c r="S607" s="30"/>
      <c r="T607" s="30"/>
    </row>
    <row r="608" spans="1:20" s="41" customFormat="1" ht="45" customHeight="1" x14ac:dyDescent="0.3">
      <c r="A608" s="36">
        <v>596</v>
      </c>
      <c r="B608" s="38" t="s">
        <v>2143</v>
      </c>
      <c r="C608" s="38" t="s">
        <v>2152</v>
      </c>
      <c r="D608" s="38" t="s">
        <v>2153</v>
      </c>
      <c r="E608" s="38">
        <v>1998</v>
      </c>
      <c r="F608" s="38" t="s">
        <v>19</v>
      </c>
      <c r="G608" s="38" t="s">
        <v>2317</v>
      </c>
      <c r="H608" s="38" t="s">
        <v>2396</v>
      </c>
      <c r="I608" s="38" t="s">
        <v>539</v>
      </c>
      <c r="J608" s="38">
        <v>6199</v>
      </c>
      <c r="K608" s="38">
        <f>1346+6278+4484+6995+2332+2332+2332+2332+2332+2332+6995+6995+2332+6995+1166+2332+2332+3000+3000+3228</f>
        <v>71470</v>
      </c>
      <c r="L608" s="38">
        <v>0</v>
      </c>
      <c r="M608" s="38">
        <v>0</v>
      </c>
      <c r="N608" s="38">
        <f>1793+1681+3179</f>
        <v>6653</v>
      </c>
      <c r="O608" s="38">
        <v>0</v>
      </c>
      <c r="P608" s="38">
        <f>1440+1320+312+56+396+1200+120</f>
        <v>4844</v>
      </c>
      <c r="Q608" s="43">
        <f t="shared" si="18"/>
        <v>89166</v>
      </c>
      <c r="R608" s="69">
        <f t="shared" si="19"/>
        <v>75791.100000000006</v>
      </c>
      <c r="S608" s="40"/>
      <c r="T608" s="40"/>
    </row>
    <row r="609" spans="1:20" s="41" customFormat="1" ht="45" customHeight="1" x14ac:dyDescent="0.3">
      <c r="A609" s="31">
        <v>597</v>
      </c>
      <c r="B609" s="38" t="s">
        <v>2143</v>
      </c>
      <c r="C609" s="38" t="s">
        <v>2152</v>
      </c>
      <c r="D609" s="38" t="s">
        <v>2153</v>
      </c>
      <c r="E609" s="38">
        <v>1998</v>
      </c>
      <c r="F609" s="38" t="s">
        <v>19</v>
      </c>
      <c r="G609" s="38" t="s">
        <v>2317</v>
      </c>
      <c r="H609" s="38" t="s">
        <v>2396</v>
      </c>
      <c r="I609" s="38" t="s">
        <v>539</v>
      </c>
      <c r="J609" s="38">
        <v>0</v>
      </c>
      <c r="K609" s="38">
        <v>0</v>
      </c>
      <c r="L609" s="38">
        <v>0</v>
      </c>
      <c r="M609" s="38">
        <v>17688</v>
      </c>
      <c r="N609" s="38">
        <v>1681</v>
      </c>
      <c r="O609" s="38">
        <v>0</v>
      </c>
      <c r="P609" s="38">
        <f>396+336+56</f>
        <v>788</v>
      </c>
      <c r="Q609" s="43">
        <f t="shared" si="18"/>
        <v>20157</v>
      </c>
      <c r="R609" s="69">
        <f t="shared" si="19"/>
        <v>17133.45</v>
      </c>
      <c r="S609" s="40"/>
      <c r="T609" s="40"/>
    </row>
    <row r="610" spans="1:20" ht="45" customHeight="1" x14ac:dyDescent="0.3">
      <c r="A610" s="31">
        <v>598</v>
      </c>
      <c r="B610" s="32" t="s">
        <v>2143</v>
      </c>
      <c r="C610" s="32" t="s">
        <v>2154</v>
      </c>
      <c r="D610" s="32" t="s">
        <v>2155</v>
      </c>
      <c r="E610" s="32">
        <v>1991</v>
      </c>
      <c r="F610" s="32" t="s">
        <v>19</v>
      </c>
      <c r="G610" s="32" t="s">
        <v>2318</v>
      </c>
      <c r="H610" s="32" t="s">
        <v>2318</v>
      </c>
      <c r="I610" s="32" t="s">
        <v>2438</v>
      </c>
      <c r="J610" s="32">
        <v>6199</v>
      </c>
      <c r="K610" s="32">
        <f>6278+4484+2332+2332+2332+1346+1346+2332+2332</f>
        <v>25114</v>
      </c>
      <c r="L610" s="32">
        <v>0</v>
      </c>
      <c r="M610" s="32">
        <v>0</v>
      </c>
      <c r="N610" s="32">
        <v>1793</v>
      </c>
      <c r="O610" s="32">
        <v>0</v>
      </c>
      <c r="P610" s="32">
        <v>0</v>
      </c>
      <c r="Q610" s="43">
        <f t="shared" si="18"/>
        <v>33106</v>
      </c>
      <c r="R610" s="69">
        <f t="shared" si="19"/>
        <v>28140.1</v>
      </c>
      <c r="S610" s="30"/>
      <c r="T610" s="30"/>
    </row>
    <row r="611" spans="1:20" ht="45" customHeight="1" x14ac:dyDescent="0.3">
      <c r="A611" s="36">
        <v>599</v>
      </c>
      <c r="B611" s="32" t="s">
        <v>2143</v>
      </c>
      <c r="C611" s="32" t="s">
        <v>2156</v>
      </c>
      <c r="D611" s="32" t="s">
        <v>2157</v>
      </c>
      <c r="E611" s="32">
        <v>2009</v>
      </c>
      <c r="F611" s="32" t="s">
        <v>19</v>
      </c>
      <c r="G611" s="32" t="s">
        <v>2319</v>
      </c>
      <c r="H611" s="32" t="s">
        <v>2397</v>
      </c>
      <c r="I611" s="32" t="s">
        <v>2439</v>
      </c>
      <c r="J611" s="32">
        <v>6199</v>
      </c>
      <c r="K611" s="32">
        <f>1346+6278+4484</f>
        <v>12108</v>
      </c>
      <c r="L611" s="32">
        <v>0</v>
      </c>
      <c r="M611" s="32">
        <v>0</v>
      </c>
      <c r="N611" s="32">
        <v>1793</v>
      </c>
      <c r="O611" s="32">
        <v>0</v>
      </c>
      <c r="P611" s="32">
        <v>0</v>
      </c>
      <c r="Q611" s="43">
        <f t="shared" si="18"/>
        <v>20100</v>
      </c>
      <c r="R611" s="69">
        <f t="shared" si="19"/>
        <v>17085</v>
      </c>
      <c r="S611" s="30"/>
      <c r="T611" s="30"/>
    </row>
    <row r="612" spans="1:20" ht="45" customHeight="1" x14ac:dyDescent="0.3">
      <c r="A612" s="31">
        <v>600</v>
      </c>
      <c r="B612" s="32" t="s">
        <v>2143</v>
      </c>
      <c r="C612" s="32" t="s">
        <v>2158</v>
      </c>
      <c r="D612" s="32" t="s">
        <v>2159</v>
      </c>
      <c r="E612" s="32">
        <v>2022</v>
      </c>
      <c r="F612" s="32" t="s">
        <v>19</v>
      </c>
      <c r="G612" s="32" t="s">
        <v>2320</v>
      </c>
      <c r="H612" s="32" t="s">
        <v>2398</v>
      </c>
      <c r="I612" s="32" t="s">
        <v>34</v>
      </c>
      <c r="J612" s="32">
        <v>6199</v>
      </c>
      <c r="K612" s="32">
        <f>1346+6278+4484+4484+2332+2332+2332+2332+2332+2332+6995+6995+2332+6995</f>
        <v>53901</v>
      </c>
      <c r="L612" s="32">
        <v>0</v>
      </c>
      <c r="M612" s="32">
        <v>0</v>
      </c>
      <c r="N612" s="32">
        <v>3148</v>
      </c>
      <c r="O612" s="32">
        <v>0</v>
      </c>
      <c r="P612" s="32">
        <v>0</v>
      </c>
      <c r="Q612" s="43">
        <f t="shared" si="18"/>
        <v>63248</v>
      </c>
      <c r="R612" s="69">
        <f t="shared" si="19"/>
        <v>53760.800000000003</v>
      </c>
      <c r="S612" s="30"/>
      <c r="T612" s="30"/>
    </row>
    <row r="613" spans="1:20" ht="45" customHeight="1" x14ac:dyDescent="0.3">
      <c r="A613" s="31">
        <v>601</v>
      </c>
      <c r="B613" s="32" t="s">
        <v>2143</v>
      </c>
      <c r="C613" s="32" t="s">
        <v>2160</v>
      </c>
      <c r="D613" s="32" t="s">
        <v>2161</v>
      </c>
      <c r="E613" s="32">
        <v>2021</v>
      </c>
      <c r="F613" s="32" t="s">
        <v>19</v>
      </c>
      <c r="G613" s="32" t="s">
        <v>2321</v>
      </c>
      <c r="H613" s="32" t="s">
        <v>2399</v>
      </c>
      <c r="I613" s="32" t="s">
        <v>2440</v>
      </c>
      <c r="J613" s="32">
        <v>6199</v>
      </c>
      <c r="K613" s="32">
        <f>1346+6278+4484+4484+2332+2332+2332+2332+2332+2332+6995+6995+2332+6995</f>
        <v>53901</v>
      </c>
      <c r="L613" s="32">
        <v>0</v>
      </c>
      <c r="M613" s="32">
        <v>0</v>
      </c>
      <c r="N613" s="32">
        <v>3148</v>
      </c>
      <c r="O613" s="32">
        <v>0</v>
      </c>
      <c r="P613" s="32">
        <v>0</v>
      </c>
      <c r="Q613" s="43">
        <f t="shared" si="18"/>
        <v>63248</v>
      </c>
      <c r="R613" s="69">
        <f t="shared" si="19"/>
        <v>53760.800000000003</v>
      </c>
      <c r="S613" s="30"/>
      <c r="T613" s="30"/>
    </row>
    <row r="614" spans="1:20" ht="45" customHeight="1" x14ac:dyDescent="0.3">
      <c r="A614" s="36">
        <v>602</v>
      </c>
      <c r="B614" s="32" t="s">
        <v>2143</v>
      </c>
      <c r="C614" s="32" t="s">
        <v>2162</v>
      </c>
      <c r="D614" s="32" t="s">
        <v>433</v>
      </c>
      <c r="E614" s="32">
        <v>2021</v>
      </c>
      <c r="F614" s="32" t="s">
        <v>19</v>
      </c>
      <c r="G614" s="32" t="s">
        <v>498</v>
      </c>
      <c r="H614" s="32" t="s">
        <v>533</v>
      </c>
      <c r="I614" s="32" t="s">
        <v>27</v>
      </c>
      <c r="J614" s="32">
        <v>3793</v>
      </c>
      <c r="K614" s="32">
        <f>1346+6278+4484</f>
        <v>12108</v>
      </c>
      <c r="L614" s="32">
        <v>0</v>
      </c>
      <c r="M614" s="32">
        <v>0</v>
      </c>
      <c r="N614" s="32">
        <v>3148</v>
      </c>
      <c r="O614" s="32">
        <v>0</v>
      </c>
      <c r="P614" s="32">
        <v>0</v>
      </c>
      <c r="Q614" s="43">
        <f t="shared" si="18"/>
        <v>19049</v>
      </c>
      <c r="R614" s="69">
        <f t="shared" si="19"/>
        <v>16191.65</v>
      </c>
      <c r="S614" s="30"/>
      <c r="T614" s="30"/>
    </row>
    <row r="615" spans="1:20" ht="45" customHeight="1" x14ac:dyDescent="0.3">
      <c r="A615" s="31">
        <v>603</v>
      </c>
      <c r="B615" s="32" t="s">
        <v>2143</v>
      </c>
      <c r="C615" s="32" t="s">
        <v>2163</v>
      </c>
      <c r="D615" s="32" t="s">
        <v>2164</v>
      </c>
      <c r="E615" s="32">
        <v>1987</v>
      </c>
      <c r="F615" s="32" t="s">
        <v>18</v>
      </c>
      <c r="G615" s="32" t="s">
        <v>2322</v>
      </c>
      <c r="H615" s="32" t="s">
        <v>2322</v>
      </c>
      <c r="I615" s="32" t="s">
        <v>2441</v>
      </c>
      <c r="J615" s="32">
        <v>6199</v>
      </c>
      <c r="K615" s="32">
        <f>6278+4484+6995+3228+3000+3000+2332+2332+2243</f>
        <v>33892</v>
      </c>
      <c r="L615" s="32">
        <v>0</v>
      </c>
      <c r="M615" s="32">
        <v>0</v>
      </c>
      <c r="N615" s="32">
        <f>1793+1681+3179</f>
        <v>6653</v>
      </c>
      <c r="O615" s="32">
        <v>0</v>
      </c>
      <c r="P615" s="32">
        <f>624+112</f>
        <v>736</v>
      </c>
      <c r="Q615" s="43">
        <f t="shared" si="18"/>
        <v>47480</v>
      </c>
      <c r="R615" s="69">
        <f t="shared" si="19"/>
        <v>40358</v>
      </c>
      <c r="S615" s="30"/>
      <c r="T615" s="30"/>
    </row>
    <row r="616" spans="1:20" ht="45" customHeight="1" x14ac:dyDescent="0.3">
      <c r="A616" s="31">
        <v>604</v>
      </c>
      <c r="B616" s="32" t="s">
        <v>2143</v>
      </c>
      <c r="C616" s="32" t="s">
        <v>2165</v>
      </c>
      <c r="D616" s="32" t="s">
        <v>2166</v>
      </c>
      <c r="E616" s="32">
        <v>1985</v>
      </c>
      <c r="F616" s="32" t="s">
        <v>19</v>
      </c>
      <c r="G616" s="32" t="s">
        <v>2323</v>
      </c>
      <c r="H616" s="32" t="s">
        <v>2323</v>
      </c>
      <c r="I616" s="32" t="s">
        <v>573</v>
      </c>
      <c r="J616" s="32">
        <v>6199</v>
      </c>
      <c r="K616" s="32">
        <f>13452+6278+2332+4484+4484+2801+1166</f>
        <v>34997</v>
      </c>
      <c r="L616" s="32">
        <v>0</v>
      </c>
      <c r="M616" s="32">
        <v>0</v>
      </c>
      <c r="N616" s="32">
        <v>1793</v>
      </c>
      <c r="O616" s="32">
        <v>0</v>
      </c>
      <c r="P616" s="32">
        <v>0</v>
      </c>
      <c r="Q616" s="43">
        <f t="shared" si="18"/>
        <v>42989</v>
      </c>
      <c r="R616" s="69">
        <f t="shared" si="19"/>
        <v>36540.65</v>
      </c>
      <c r="S616" s="30"/>
      <c r="T616" s="30"/>
    </row>
    <row r="617" spans="1:20" ht="45" customHeight="1" x14ac:dyDescent="0.3">
      <c r="A617" s="36">
        <v>605</v>
      </c>
      <c r="B617" s="32" t="s">
        <v>2143</v>
      </c>
      <c r="C617" s="32" t="s">
        <v>2167</v>
      </c>
      <c r="D617" s="32" t="s">
        <v>2168</v>
      </c>
      <c r="E617" s="32">
        <v>1973</v>
      </c>
      <c r="F617" s="32" t="s">
        <v>18</v>
      </c>
      <c r="G617" s="32" t="s">
        <v>2324</v>
      </c>
      <c r="H617" s="32" t="s">
        <v>2400</v>
      </c>
      <c r="I617" s="32" t="s">
        <v>2442</v>
      </c>
      <c r="J617" s="32">
        <v>6199</v>
      </c>
      <c r="K617" s="32">
        <f>2332+2332+2332+4484+4484+2332+2332+2332+13452</f>
        <v>36412</v>
      </c>
      <c r="L617" s="32">
        <v>0</v>
      </c>
      <c r="M617" s="32">
        <v>0</v>
      </c>
      <c r="N617" s="32">
        <v>1793</v>
      </c>
      <c r="O617" s="32">
        <v>0</v>
      </c>
      <c r="P617" s="32">
        <v>0</v>
      </c>
      <c r="Q617" s="43">
        <f t="shared" si="18"/>
        <v>44404</v>
      </c>
      <c r="R617" s="69">
        <f t="shared" si="19"/>
        <v>37743.4</v>
      </c>
      <c r="S617" s="30"/>
      <c r="T617" s="30"/>
    </row>
    <row r="618" spans="1:20" ht="45" customHeight="1" x14ac:dyDescent="0.3">
      <c r="A618" s="31">
        <v>606</v>
      </c>
      <c r="B618" s="32" t="s">
        <v>2143</v>
      </c>
      <c r="C618" s="32" t="s">
        <v>2169</v>
      </c>
      <c r="D618" s="32" t="s">
        <v>2170</v>
      </c>
      <c r="E618" s="32">
        <v>1990</v>
      </c>
      <c r="F618" s="32" t="s">
        <v>19</v>
      </c>
      <c r="G618" s="32" t="s">
        <v>2325</v>
      </c>
      <c r="H618" s="32" t="s">
        <v>2325</v>
      </c>
      <c r="I618" s="32" t="s">
        <v>2443</v>
      </c>
      <c r="J618" s="32">
        <v>6199</v>
      </c>
      <c r="K618" s="32">
        <f>6278+1166+2332+2332</f>
        <v>12108</v>
      </c>
      <c r="L618" s="32">
        <v>0</v>
      </c>
      <c r="M618" s="32">
        <v>0</v>
      </c>
      <c r="N618" s="32">
        <v>1793</v>
      </c>
      <c r="O618" s="32">
        <v>0</v>
      </c>
      <c r="P618" s="32">
        <v>0</v>
      </c>
      <c r="Q618" s="43">
        <f t="shared" si="18"/>
        <v>20100</v>
      </c>
      <c r="R618" s="69">
        <f t="shared" si="19"/>
        <v>17085</v>
      </c>
      <c r="S618" s="30"/>
      <c r="T618" s="30"/>
    </row>
    <row r="619" spans="1:20" ht="45" customHeight="1" x14ac:dyDescent="0.3">
      <c r="A619" s="31">
        <v>607</v>
      </c>
      <c r="B619" s="32" t="s">
        <v>2143</v>
      </c>
      <c r="C619" s="32" t="s">
        <v>2171</v>
      </c>
      <c r="D619" s="32" t="s">
        <v>2172</v>
      </c>
      <c r="E619" s="32">
        <v>1985</v>
      </c>
      <c r="F619" s="32" t="s">
        <v>19</v>
      </c>
      <c r="G619" s="32" t="s">
        <v>2326</v>
      </c>
      <c r="H619" s="32" t="s">
        <v>2401</v>
      </c>
      <c r="I619" s="32" t="s">
        <v>2444</v>
      </c>
      <c r="J619" s="32">
        <v>6199</v>
      </c>
      <c r="K619" s="32">
        <f>6278+4484+2332+2332+2332+6995+2332+2332+2332+2332+2332+3228+6995+2243+3000+3000+4484+4484+2332+4484+4484</f>
        <v>75147</v>
      </c>
      <c r="L619" s="32">
        <v>20807</v>
      </c>
      <c r="M619" s="32">
        <v>0</v>
      </c>
      <c r="N619" s="32">
        <v>1793</v>
      </c>
      <c r="O619" s="32">
        <v>0</v>
      </c>
      <c r="P619" s="32">
        <v>0</v>
      </c>
      <c r="Q619" s="43">
        <f t="shared" si="18"/>
        <v>103946</v>
      </c>
      <c r="R619" s="69">
        <f t="shared" si="19"/>
        <v>88354.1</v>
      </c>
      <c r="S619" s="30"/>
      <c r="T619" s="30"/>
    </row>
    <row r="620" spans="1:20" ht="45" customHeight="1" x14ac:dyDescent="0.3">
      <c r="A620" s="36">
        <v>608</v>
      </c>
      <c r="B620" s="32" t="s">
        <v>2143</v>
      </c>
      <c r="C620" s="32" t="s">
        <v>2173</v>
      </c>
      <c r="D620" s="32" t="s">
        <v>2174</v>
      </c>
      <c r="E620" s="32">
        <v>1968</v>
      </c>
      <c r="F620" s="32" t="s">
        <v>18</v>
      </c>
      <c r="G620" s="32" t="s">
        <v>2327</v>
      </c>
      <c r="H620" s="32" t="s">
        <v>2327</v>
      </c>
      <c r="I620" s="32" t="s">
        <v>824</v>
      </c>
      <c r="J620" s="32">
        <v>6199</v>
      </c>
      <c r="K620" s="32">
        <f>6278+4484+2332+2801+2332+2332+2332+2332+2332</f>
        <v>27555</v>
      </c>
      <c r="L620" s="32">
        <v>0</v>
      </c>
      <c r="M620" s="32">
        <v>0</v>
      </c>
      <c r="N620" s="32">
        <v>1793</v>
      </c>
      <c r="O620" s="32">
        <v>0</v>
      </c>
      <c r="P620" s="32">
        <v>0</v>
      </c>
      <c r="Q620" s="43">
        <f t="shared" si="18"/>
        <v>35547</v>
      </c>
      <c r="R620" s="69">
        <f t="shared" si="19"/>
        <v>30214.95</v>
      </c>
      <c r="S620" s="30"/>
      <c r="T620" s="30"/>
    </row>
    <row r="621" spans="1:20" s="41" customFormat="1" ht="45" customHeight="1" x14ac:dyDescent="0.3">
      <c r="A621" s="31">
        <v>609</v>
      </c>
      <c r="B621" s="38" t="s">
        <v>2143</v>
      </c>
      <c r="C621" s="38" t="s">
        <v>2175</v>
      </c>
      <c r="D621" s="38" t="s">
        <v>2176</v>
      </c>
      <c r="E621" s="38">
        <v>2004</v>
      </c>
      <c r="F621" s="38" t="s">
        <v>19</v>
      </c>
      <c r="G621" s="38" t="s">
        <v>2328</v>
      </c>
      <c r="H621" s="38" t="s">
        <v>2402</v>
      </c>
      <c r="I621" s="38" t="s">
        <v>2445</v>
      </c>
      <c r="J621" s="38">
        <v>6199</v>
      </c>
      <c r="K621" s="38">
        <f>6278+4484+2332+2332+2332+2332+2332+2332+3587+2332</f>
        <v>30673</v>
      </c>
      <c r="L621" s="38">
        <f>20807+13298</f>
        <v>34105</v>
      </c>
      <c r="M621" s="38">
        <v>0</v>
      </c>
      <c r="N621" s="38">
        <f>1793+1681+1178+3179+13918</f>
        <v>21749</v>
      </c>
      <c r="O621" s="38">
        <v>0</v>
      </c>
      <c r="P621" s="38">
        <f>720+660+288+720+360+374+120+60</f>
        <v>3302</v>
      </c>
      <c r="Q621" s="43">
        <f t="shared" si="18"/>
        <v>96028</v>
      </c>
      <c r="R621" s="69">
        <f t="shared" si="19"/>
        <v>81623.8</v>
      </c>
      <c r="S621" s="40"/>
      <c r="T621" s="40"/>
    </row>
    <row r="622" spans="1:20" s="41" customFormat="1" ht="45" customHeight="1" x14ac:dyDescent="0.3">
      <c r="A622" s="31">
        <v>610</v>
      </c>
      <c r="B622" s="38" t="s">
        <v>2143</v>
      </c>
      <c r="C622" s="38" t="s">
        <v>2175</v>
      </c>
      <c r="D622" s="38" t="s">
        <v>2176</v>
      </c>
      <c r="E622" s="38">
        <v>2004</v>
      </c>
      <c r="F622" s="38" t="s">
        <v>19</v>
      </c>
      <c r="G622" s="38" t="s">
        <v>2328</v>
      </c>
      <c r="H622" s="38" t="s">
        <v>2402</v>
      </c>
      <c r="I622" s="38" t="s">
        <v>2445</v>
      </c>
      <c r="J622" s="38">
        <v>0</v>
      </c>
      <c r="K622" s="38">
        <v>0</v>
      </c>
      <c r="L622" s="38">
        <v>0</v>
      </c>
      <c r="M622" s="38">
        <v>17688</v>
      </c>
      <c r="N622" s="38">
        <v>0</v>
      </c>
      <c r="O622" s="38">
        <v>0</v>
      </c>
      <c r="P622" s="38">
        <v>0</v>
      </c>
      <c r="Q622" s="43">
        <f t="shared" si="18"/>
        <v>17688</v>
      </c>
      <c r="R622" s="69">
        <f t="shared" si="19"/>
        <v>15034.8</v>
      </c>
      <c r="S622" s="40"/>
      <c r="T622" s="40"/>
    </row>
    <row r="623" spans="1:20" ht="45" customHeight="1" x14ac:dyDescent="0.3">
      <c r="A623" s="36">
        <v>611</v>
      </c>
      <c r="B623" s="32" t="s">
        <v>2143</v>
      </c>
      <c r="C623" s="32" t="s">
        <v>2177</v>
      </c>
      <c r="D623" s="32" t="s">
        <v>2178</v>
      </c>
      <c r="E623" s="32">
        <v>2024</v>
      </c>
      <c r="F623" s="32" t="s">
        <v>18</v>
      </c>
      <c r="G623" s="32" t="s">
        <v>2329</v>
      </c>
      <c r="H623" s="32" t="s">
        <v>2403</v>
      </c>
      <c r="I623" s="32" t="s">
        <v>1058</v>
      </c>
      <c r="J623" s="32">
        <v>6199</v>
      </c>
      <c r="K623" s="32">
        <f>1346+6278+4484+4484+2332+2332+2332+2332+2332+2332+6995+6995+2332+6995</f>
        <v>53901</v>
      </c>
      <c r="L623" s="32">
        <v>0</v>
      </c>
      <c r="M623" s="32">
        <v>0</v>
      </c>
      <c r="N623" s="32">
        <v>3148</v>
      </c>
      <c r="O623" s="32">
        <v>0</v>
      </c>
      <c r="P623" s="32">
        <v>0</v>
      </c>
      <c r="Q623" s="43">
        <f t="shared" si="18"/>
        <v>63248</v>
      </c>
      <c r="R623" s="69">
        <f t="shared" si="19"/>
        <v>53760.800000000003</v>
      </c>
      <c r="S623" s="30"/>
      <c r="T623" s="30"/>
    </row>
    <row r="624" spans="1:20" ht="45" customHeight="1" x14ac:dyDescent="0.3">
      <c r="A624" s="31">
        <v>612</v>
      </c>
      <c r="B624" s="32" t="s">
        <v>2143</v>
      </c>
      <c r="C624" s="32" t="s">
        <v>2179</v>
      </c>
      <c r="D624" s="32" t="s">
        <v>2180</v>
      </c>
      <c r="E624" s="32">
        <v>1990</v>
      </c>
      <c r="F624" s="32" t="s">
        <v>19</v>
      </c>
      <c r="G624" s="32" t="s">
        <v>2330</v>
      </c>
      <c r="H624" s="32" t="s">
        <v>2330</v>
      </c>
      <c r="I624" s="32" t="s">
        <v>2446</v>
      </c>
      <c r="J624" s="32">
        <v>6199</v>
      </c>
      <c r="K624" s="32">
        <f>2332+2332</f>
        <v>4664</v>
      </c>
      <c r="L624" s="32">
        <v>9422</v>
      </c>
      <c r="M624" s="32">
        <v>0</v>
      </c>
      <c r="N624" s="32">
        <v>0</v>
      </c>
      <c r="O624" s="32">
        <v>0</v>
      </c>
      <c r="P624" s="32">
        <v>0</v>
      </c>
      <c r="Q624" s="43">
        <f t="shared" si="18"/>
        <v>20285</v>
      </c>
      <c r="R624" s="69">
        <f t="shared" si="19"/>
        <v>17242.25</v>
      </c>
      <c r="S624" s="30"/>
      <c r="T624" s="30"/>
    </row>
    <row r="625" spans="1:20" ht="45" customHeight="1" x14ac:dyDescent="0.3">
      <c r="A625" s="31">
        <v>613</v>
      </c>
      <c r="B625" s="32" t="s">
        <v>2143</v>
      </c>
      <c r="C625" s="32" t="s">
        <v>2181</v>
      </c>
      <c r="D625" s="32" t="s">
        <v>2182</v>
      </c>
      <c r="E625" s="32">
        <v>1994</v>
      </c>
      <c r="F625" s="32" t="s">
        <v>19</v>
      </c>
      <c r="G625" s="32" t="s">
        <v>2331</v>
      </c>
      <c r="H625" s="32" t="s">
        <v>2404</v>
      </c>
      <c r="I625" s="32" t="s">
        <v>2447</v>
      </c>
      <c r="J625" s="32">
        <v>6199</v>
      </c>
      <c r="K625" s="32">
        <f>6278+2332+2332+2332+2332+2332+4484+3000+3000+3228+2332+4484</f>
        <v>38466</v>
      </c>
      <c r="L625" s="32">
        <v>0</v>
      </c>
      <c r="M625" s="32">
        <v>0</v>
      </c>
      <c r="N625" s="32">
        <v>1793</v>
      </c>
      <c r="O625" s="32">
        <v>0</v>
      </c>
      <c r="P625" s="32">
        <v>0</v>
      </c>
      <c r="Q625" s="43">
        <f t="shared" si="18"/>
        <v>46458</v>
      </c>
      <c r="R625" s="69">
        <f t="shared" si="19"/>
        <v>39489.300000000003</v>
      </c>
      <c r="S625" s="30"/>
      <c r="T625" s="30"/>
    </row>
    <row r="626" spans="1:20" s="41" customFormat="1" ht="45" customHeight="1" x14ac:dyDescent="0.3">
      <c r="A626" s="36">
        <v>614</v>
      </c>
      <c r="B626" s="38" t="s">
        <v>2143</v>
      </c>
      <c r="C626" s="38" t="s">
        <v>2183</v>
      </c>
      <c r="D626" s="38" t="s">
        <v>2184</v>
      </c>
      <c r="E626" s="38">
        <v>2022</v>
      </c>
      <c r="F626" s="38" t="s">
        <v>19</v>
      </c>
      <c r="G626" s="38" t="s">
        <v>2332</v>
      </c>
      <c r="H626" s="38" t="s">
        <v>2405</v>
      </c>
      <c r="I626" s="38" t="s">
        <v>278</v>
      </c>
      <c r="J626" s="38">
        <v>3582</v>
      </c>
      <c r="K626" s="38">
        <v>0</v>
      </c>
      <c r="L626" s="38">
        <v>0</v>
      </c>
      <c r="M626" s="38">
        <v>0</v>
      </c>
      <c r="N626" s="38">
        <f>15443+17918</f>
        <v>33361</v>
      </c>
      <c r="O626" s="38">
        <v>0</v>
      </c>
      <c r="P626" s="38">
        <v>0</v>
      </c>
      <c r="Q626" s="43">
        <f t="shared" si="18"/>
        <v>36943</v>
      </c>
      <c r="R626" s="69">
        <f t="shared" si="19"/>
        <v>31401.55</v>
      </c>
      <c r="S626" s="40"/>
      <c r="T626" s="40"/>
    </row>
    <row r="627" spans="1:20" ht="45" customHeight="1" x14ac:dyDescent="0.3">
      <c r="A627" s="31">
        <v>615</v>
      </c>
      <c r="B627" s="32" t="s">
        <v>2143</v>
      </c>
      <c r="C627" s="32" t="s">
        <v>2185</v>
      </c>
      <c r="D627" s="32" t="s">
        <v>2186</v>
      </c>
      <c r="E627" s="32">
        <v>2025</v>
      </c>
      <c r="F627" s="32" t="s">
        <v>19</v>
      </c>
      <c r="G627" s="32" t="s">
        <v>2333</v>
      </c>
      <c r="H627" s="32" t="s">
        <v>2406</v>
      </c>
      <c r="I627" s="32" t="s">
        <v>1069</v>
      </c>
      <c r="J627" s="32">
        <v>6199</v>
      </c>
      <c r="K627" s="32">
        <v>0</v>
      </c>
      <c r="L627" s="32">
        <v>0</v>
      </c>
      <c r="M627" s="32">
        <v>0</v>
      </c>
      <c r="N627" s="32">
        <v>0</v>
      </c>
      <c r="O627" s="32">
        <v>0</v>
      </c>
      <c r="P627" s="32">
        <v>0</v>
      </c>
      <c r="Q627" s="43">
        <f t="shared" si="18"/>
        <v>6199</v>
      </c>
      <c r="R627" s="69">
        <f t="shared" si="19"/>
        <v>5269.15</v>
      </c>
      <c r="S627" s="30"/>
      <c r="T627" s="30"/>
    </row>
    <row r="628" spans="1:20" ht="45" customHeight="1" x14ac:dyDescent="0.3">
      <c r="A628" s="31">
        <v>616</v>
      </c>
      <c r="B628" s="32" t="s">
        <v>2143</v>
      </c>
      <c r="C628" s="32" t="s">
        <v>2187</v>
      </c>
      <c r="D628" s="32" t="s">
        <v>2188</v>
      </c>
      <c r="E628" s="32">
        <v>1996</v>
      </c>
      <c r="F628" s="32" t="s">
        <v>19</v>
      </c>
      <c r="G628" s="32" t="s">
        <v>2334</v>
      </c>
      <c r="H628" s="32" t="s">
        <v>2334</v>
      </c>
      <c r="I628" s="32" t="s">
        <v>2448</v>
      </c>
      <c r="J628" s="32">
        <v>6199</v>
      </c>
      <c r="K628" s="32">
        <f>2332+2332+3587</f>
        <v>8251</v>
      </c>
      <c r="L628" s="32">
        <v>0</v>
      </c>
      <c r="M628" s="32">
        <v>0</v>
      </c>
      <c r="N628" s="32">
        <v>0</v>
      </c>
      <c r="O628" s="32">
        <v>0</v>
      </c>
      <c r="P628" s="32">
        <v>0</v>
      </c>
      <c r="Q628" s="43">
        <f t="shared" si="18"/>
        <v>14450</v>
      </c>
      <c r="R628" s="69">
        <f t="shared" si="19"/>
        <v>12282.5</v>
      </c>
      <c r="S628" s="30"/>
      <c r="T628" s="30"/>
    </row>
    <row r="629" spans="1:20" ht="45" customHeight="1" x14ac:dyDescent="0.3">
      <c r="A629" s="36">
        <v>617</v>
      </c>
      <c r="B629" s="32" t="s">
        <v>2143</v>
      </c>
      <c r="C629" s="32" t="s">
        <v>2189</v>
      </c>
      <c r="D629" s="32" t="s">
        <v>2190</v>
      </c>
      <c r="E629" s="32">
        <v>2021</v>
      </c>
      <c r="F629" s="32" t="s">
        <v>19</v>
      </c>
      <c r="G629" s="32" t="s">
        <v>2335</v>
      </c>
      <c r="H629" s="32" t="s">
        <v>2407</v>
      </c>
      <c r="I629" s="32" t="s">
        <v>2449</v>
      </c>
      <c r="J629" s="32">
        <v>6199</v>
      </c>
      <c r="K629" s="32">
        <f>6278+4484+2332+2332+2332+2332+4484+4484+2332+2332+1166+2332+2332</f>
        <v>39552</v>
      </c>
      <c r="L629" s="32">
        <v>0</v>
      </c>
      <c r="M629" s="32">
        <v>0</v>
      </c>
      <c r="N629" s="32">
        <v>3148</v>
      </c>
      <c r="O629" s="32">
        <v>0</v>
      </c>
      <c r="P629" s="32">
        <v>0</v>
      </c>
      <c r="Q629" s="43">
        <f t="shared" si="18"/>
        <v>48899</v>
      </c>
      <c r="R629" s="69">
        <f t="shared" si="19"/>
        <v>41564.15</v>
      </c>
      <c r="S629" s="30"/>
      <c r="T629" s="30"/>
    </row>
    <row r="630" spans="1:20" ht="45" customHeight="1" x14ac:dyDescent="0.3">
      <c r="A630" s="31">
        <v>618</v>
      </c>
      <c r="B630" s="32" t="s">
        <v>2143</v>
      </c>
      <c r="C630" s="32" t="s">
        <v>2191</v>
      </c>
      <c r="D630" s="32" t="s">
        <v>2192</v>
      </c>
      <c r="E630" s="32">
        <v>1970</v>
      </c>
      <c r="F630" s="32" t="s">
        <v>19</v>
      </c>
      <c r="G630" s="32" t="s">
        <v>2336</v>
      </c>
      <c r="H630" s="32" t="s">
        <v>2336</v>
      </c>
      <c r="I630" s="32" t="s">
        <v>278</v>
      </c>
      <c r="J630" s="32">
        <v>6199</v>
      </c>
      <c r="K630" s="32">
        <v>0</v>
      </c>
      <c r="L630" s="32">
        <v>0</v>
      </c>
      <c r="M630" s="32">
        <v>0</v>
      </c>
      <c r="N630" s="32">
        <v>0</v>
      </c>
      <c r="O630" s="32">
        <v>0</v>
      </c>
      <c r="P630" s="32">
        <v>0</v>
      </c>
      <c r="Q630" s="43">
        <f t="shared" si="18"/>
        <v>6199</v>
      </c>
      <c r="R630" s="69">
        <f t="shared" si="19"/>
        <v>5269.15</v>
      </c>
      <c r="S630" s="30"/>
      <c r="T630" s="30"/>
    </row>
    <row r="631" spans="1:20" ht="45" customHeight="1" x14ac:dyDescent="0.3">
      <c r="A631" s="31">
        <v>619</v>
      </c>
      <c r="B631" s="32" t="s">
        <v>2143</v>
      </c>
      <c r="C631" s="32" t="s">
        <v>2193</v>
      </c>
      <c r="D631" s="32" t="s">
        <v>2194</v>
      </c>
      <c r="E631" s="32">
        <v>1962</v>
      </c>
      <c r="F631" s="32" t="s">
        <v>18</v>
      </c>
      <c r="G631" s="32" t="s">
        <v>2337</v>
      </c>
      <c r="H631" s="32" t="s">
        <v>2337</v>
      </c>
      <c r="I631" s="32" t="s">
        <v>824</v>
      </c>
      <c r="J631" s="32">
        <v>6199</v>
      </c>
      <c r="K631" s="32">
        <v>0</v>
      </c>
      <c r="L631" s="32">
        <v>0</v>
      </c>
      <c r="M631" s="32">
        <v>0</v>
      </c>
      <c r="N631" s="32">
        <v>0</v>
      </c>
      <c r="O631" s="32">
        <v>0</v>
      </c>
      <c r="P631" s="32">
        <v>0</v>
      </c>
      <c r="Q631" s="43">
        <f t="shared" si="18"/>
        <v>6199</v>
      </c>
      <c r="R631" s="69">
        <f t="shared" si="19"/>
        <v>5269.15</v>
      </c>
      <c r="S631" s="30"/>
      <c r="T631" s="30"/>
    </row>
    <row r="632" spans="1:20" ht="45" customHeight="1" x14ac:dyDescent="0.3">
      <c r="A632" s="36">
        <v>620</v>
      </c>
      <c r="B632" s="32" t="s">
        <v>2143</v>
      </c>
      <c r="C632" s="32" t="s">
        <v>2195</v>
      </c>
      <c r="D632" s="32" t="s">
        <v>2196</v>
      </c>
      <c r="E632" s="32">
        <v>2022</v>
      </c>
      <c r="F632" s="32" t="s">
        <v>18</v>
      </c>
      <c r="G632" s="32" t="s">
        <v>2338</v>
      </c>
      <c r="H632" s="32" t="s">
        <v>2408</v>
      </c>
      <c r="I632" s="32" t="s">
        <v>2450</v>
      </c>
      <c r="J632" s="32">
        <v>6199</v>
      </c>
      <c r="K632" s="32">
        <f>1346+6278+4484+4484+2332+2332+2332+6995+6995+2332+6995+2332+2332+2332</f>
        <v>53901</v>
      </c>
      <c r="L632" s="32">
        <v>0</v>
      </c>
      <c r="M632" s="32">
        <v>0</v>
      </c>
      <c r="N632" s="32">
        <v>3148</v>
      </c>
      <c r="O632" s="32">
        <v>0</v>
      </c>
      <c r="P632" s="32">
        <v>0</v>
      </c>
      <c r="Q632" s="43">
        <f t="shared" si="18"/>
        <v>63248</v>
      </c>
      <c r="R632" s="69">
        <f t="shared" si="19"/>
        <v>53760.800000000003</v>
      </c>
      <c r="S632" s="30"/>
      <c r="T632" s="30"/>
    </row>
    <row r="633" spans="1:20" ht="45" customHeight="1" x14ac:dyDescent="0.3">
      <c r="A633" s="31">
        <v>621</v>
      </c>
      <c r="B633" s="32" t="s">
        <v>2143</v>
      </c>
      <c r="C633" s="32" t="s">
        <v>2197</v>
      </c>
      <c r="D633" s="32" t="s">
        <v>2198</v>
      </c>
      <c r="E633" s="32">
        <v>1950</v>
      </c>
      <c r="F633" s="32" t="s">
        <v>18</v>
      </c>
      <c r="G633" s="32" t="s">
        <v>2339</v>
      </c>
      <c r="H633" s="32" t="s">
        <v>2409</v>
      </c>
      <c r="I633" s="32" t="s">
        <v>2451</v>
      </c>
      <c r="J633" s="32">
        <v>6199</v>
      </c>
      <c r="K633" s="32">
        <v>0</v>
      </c>
      <c r="L633" s="32">
        <v>0</v>
      </c>
      <c r="M633" s="32">
        <v>0</v>
      </c>
      <c r="N633" s="32">
        <v>0</v>
      </c>
      <c r="O633" s="32">
        <v>0</v>
      </c>
      <c r="P633" s="32">
        <v>0</v>
      </c>
      <c r="Q633" s="43">
        <f t="shared" si="18"/>
        <v>6199</v>
      </c>
      <c r="R633" s="69">
        <f t="shared" si="19"/>
        <v>5269.15</v>
      </c>
      <c r="S633" s="30"/>
      <c r="T633" s="30"/>
    </row>
    <row r="634" spans="1:20" ht="45" customHeight="1" x14ac:dyDescent="0.3">
      <c r="A634" s="31">
        <v>622</v>
      </c>
      <c r="B634" s="32" t="s">
        <v>2143</v>
      </c>
      <c r="C634" s="32" t="s">
        <v>2199</v>
      </c>
      <c r="D634" s="32" t="s">
        <v>2200</v>
      </c>
      <c r="E634" s="32">
        <v>1985</v>
      </c>
      <c r="F634" s="32" t="s">
        <v>18</v>
      </c>
      <c r="G634" s="32" t="s">
        <v>2340</v>
      </c>
      <c r="H634" s="32" t="s">
        <v>2340</v>
      </c>
      <c r="I634" s="32" t="s">
        <v>2452</v>
      </c>
      <c r="J634" s="32">
        <v>6199</v>
      </c>
      <c r="K634" s="32">
        <v>0</v>
      </c>
      <c r="L634" s="32">
        <f>13298+13298</f>
        <v>26596</v>
      </c>
      <c r="M634" s="32">
        <v>0</v>
      </c>
      <c r="N634" s="32">
        <v>0</v>
      </c>
      <c r="O634" s="32">
        <v>0</v>
      </c>
      <c r="P634" s="32">
        <v>0</v>
      </c>
      <c r="Q634" s="43">
        <f t="shared" si="18"/>
        <v>32795</v>
      </c>
      <c r="R634" s="69">
        <f t="shared" si="19"/>
        <v>27875.75</v>
      </c>
      <c r="S634" s="30"/>
      <c r="T634" s="30"/>
    </row>
    <row r="635" spans="1:20" ht="45" customHeight="1" x14ac:dyDescent="0.3">
      <c r="A635" s="36">
        <v>623</v>
      </c>
      <c r="B635" s="32" t="s">
        <v>2143</v>
      </c>
      <c r="C635" s="32" t="s">
        <v>2201</v>
      </c>
      <c r="D635" s="32" t="s">
        <v>2202</v>
      </c>
      <c r="E635" s="32">
        <v>1973</v>
      </c>
      <c r="F635" s="32" t="s">
        <v>19</v>
      </c>
      <c r="G635" s="32" t="s">
        <v>2341</v>
      </c>
      <c r="H635" s="32" t="s">
        <v>2410</v>
      </c>
      <c r="I635" s="32" t="s">
        <v>2453</v>
      </c>
      <c r="J635" s="32">
        <v>6199</v>
      </c>
      <c r="K635" s="32">
        <v>0</v>
      </c>
      <c r="L635" s="32">
        <v>0</v>
      </c>
      <c r="M635" s="32">
        <v>0</v>
      </c>
      <c r="N635" s="32">
        <v>0</v>
      </c>
      <c r="O635" s="32">
        <v>0</v>
      </c>
      <c r="P635" s="32">
        <v>0</v>
      </c>
      <c r="Q635" s="43">
        <f t="shared" si="18"/>
        <v>6199</v>
      </c>
      <c r="R635" s="69">
        <f t="shared" si="19"/>
        <v>5269.15</v>
      </c>
      <c r="S635" s="30"/>
      <c r="T635" s="30"/>
    </row>
    <row r="636" spans="1:20" ht="45" customHeight="1" x14ac:dyDescent="0.3">
      <c r="A636" s="31">
        <v>624</v>
      </c>
      <c r="B636" s="32" t="s">
        <v>2143</v>
      </c>
      <c r="C636" s="32" t="s">
        <v>2203</v>
      </c>
      <c r="D636" s="32" t="s">
        <v>2204</v>
      </c>
      <c r="E636" s="32">
        <v>1958</v>
      </c>
      <c r="F636" s="32" t="s">
        <v>18</v>
      </c>
      <c r="G636" s="32" t="s">
        <v>2342</v>
      </c>
      <c r="H636" s="32" t="s">
        <v>2342</v>
      </c>
      <c r="I636" s="32" t="s">
        <v>2454</v>
      </c>
      <c r="J636" s="32">
        <v>6199</v>
      </c>
      <c r="K636" s="32">
        <v>0</v>
      </c>
      <c r="L636" s="32">
        <v>0</v>
      </c>
      <c r="M636" s="32">
        <v>0</v>
      </c>
      <c r="N636" s="32">
        <v>0</v>
      </c>
      <c r="O636" s="32">
        <v>0</v>
      </c>
      <c r="P636" s="32">
        <v>0</v>
      </c>
      <c r="Q636" s="43">
        <f t="shared" si="18"/>
        <v>6199</v>
      </c>
      <c r="R636" s="69">
        <f t="shared" si="19"/>
        <v>5269.15</v>
      </c>
      <c r="S636" s="30"/>
      <c r="T636" s="30"/>
    </row>
    <row r="637" spans="1:20" ht="45" customHeight="1" x14ac:dyDescent="0.3">
      <c r="A637" s="31">
        <v>625</v>
      </c>
      <c r="B637" s="32" t="s">
        <v>2143</v>
      </c>
      <c r="C637" s="32" t="s">
        <v>2205</v>
      </c>
      <c r="D637" s="32" t="s">
        <v>2206</v>
      </c>
      <c r="E637" s="32">
        <v>1962</v>
      </c>
      <c r="F637" s="32" t="s">
        <v>19</v>
      </c>
      <c r="G637" s="32" t="s">
        <v>2343</v>
      </c>
      <c r="H637" s="32" t="s">
        <v>2343</v>
      </c>
      <c r="I637" s="32" t="s">
        <v>2455</v>
      </c>
      <c r="J637" s="32">
        <v>6199</v>
      </c>
      <c r="K637" s="32">
        <v>0</v>
      </c>
      <c r="L637" s="32">
        <v>0</v>
      </c>
      <c r="M637" s="32">
        <v>0</v>
      </c>
      <c r="N637" s="32">
        <v>0</v>
      </c>
      <c r="O637" s="32">
        <v>0</v>
      </c>
      <c r="P637" s="32">
        <v>0</v>
      </c>
      <c r="Q637" s="43">
        <f t="shared" si="18"/>
        <v>6199</v>
      </c>
      <c r="R637" s="69">
        <f t="shared" si="19"/>
        <v>5269.15</v>
      </c>
      <c r="S637" s="30"/>
      <c r="T637" s="30"/>
    </row>
    <row r="638" spans="1:20" ht="45" customHeight="1" x14ac:dyDescent="0.3">
      <c r="A638" s="36">
        <v>626</v>
      </c>
      <c r="B638" s="32" t="s">
        <v>2143</v>
      </c>
      <c r="C638" s="32" t="s">
        <v>2207</v>
      </c>
      <c r="D638" s="32" t="s">
        <v>2208</v>
      </c>
      <c r="E638" s="32">
        <v>1973</v>
      </c>
      <c r="F638" s="32" t="s">
        <v>19</v>
      </c>
      <c r="G638" s="32" t="s">
        <v>2344</v>
      </c>
      <c r="H638" s="32" t="s">
        <v>2344</v>
      </c>
      <c r="I638" s="32" t="s">
        <v>2456</v>
      </c>
      <c r="J638" s="32">
        <v>6199</v>
      </c>
      <c r="K638" s="32">
        <v>0</v>
      </c>
      <c r="L638" s="32">
        <v>0</v>
      </c>
      <c r="M638" s="32">
        <v>0</v>
      </c>
      <c r="N638" s="32">
        <v>0</v>
      </c>
      <c r="O638" s="32">
        <v>0</v>
      </c>
      <c r="P638" s="32">
        <v>0</v>
      </c>
      <c r="Q638" s="43">
        <f t="shared" si="18"/>
        <v>6199</v>
      </c>
      <c r="R638" s="69">
        <f t="shared" si="19"/>
        <v>5269.15</v>
      </c>
      <c r="S638" s="30"/>
      <c r="T638" s="30"/>
    </row>
    <row r="639" spans="1:20" ht="45" customHeight="1" x14ac:dyDescent="0.3">
      <c r="A639" s="31">
        <v>627</v>
      </c>
      <c r="B639" s="32" t="s">
        <v>2143</v>
      </c>
      <c r="C639" s="32" t="s">
        <v>2209</v>
      </c>
      <c r="D639" s="32" t="s">
        <v>2210</v>
      </c>
      <c r="E639" s="32">
        <v>1965</v>
      </c>
      <c r="F639" s="32" t="s">
        <v>18</v>
      </c>
      <c r="G639" s="32" t="s">
        <v>2345</v>
      </c>
      <c r="H639" s="32" t="s">
        <v>2344</v>
      </c>
      <c r="I639" s="32" t="s">
        <v>1695</v>
      </c>
      <c r="J639" s="32">
        <v>6199</v>
      </c>
      <c r="K639" s="32">
        <v>0</v>
      </c>
      <c r="L639" s="32">
        <v>0</v>
      </c>
      <c r="M639" s="32">
        <v>0</v>
      </c>
      <c r="N639" s="32">
        <v>0</v>
      </c>
      <c r="O639" s="32">
        <v>0</v>
      </c>
      <c r="P639" s="32">
        <v>0</v>
      </c>
      <c r="Q639" s="43">
        <f t="shared" si="18"/>
        <v>6199</v>
      </c>
      <c r="R639" s="69">
        <f t="shared" si="19"/>
        <v>5269.15</v>
      </c>
      <c r="S639" s="30"/>
      <c r="T639" s="30"/>
    </row>
    <row r="640" spans="1:20" ht="45" customHeight="1" x14ac:dyDescent="0.3">
      <c r="A640" s="31">
        <v>628</v>
      </c>
      <c r="B640" s="32" t="s">
        <v>2143</v>
      </c>
      <c r="C640" s="32" t="s">
        <v>2211</v>
      </c>
      <c r="D640" s="32" t="s">
        <v>600</v>
      </c>
      <c r="E640" s="32">
        <v>2015</v>
      </c>
      <c r="F640" s="32" t="s">
        <v>19</v>
      </c>
      <c r="G640" s="32" t="s">
        <v>728</v>
      </c>
      <c r="H640" s="32" t="s">
        <v>791</v>
      </c>
      <c r="I640" s="32" t="s">
        <v>829</v>
      </c>
      <c r="J640" s="32">
        <v>3793</v>
      </c>
      <c r="K640" s="32">
        <v>0</v>
      </c>
      <c r="L640" s="32">
        <v>0</v>
      </c>
      <c r="M640" s="32">
        <v>0</v>
      </c>
      <c r="N640" s="32">
        <v>0</v>
      </c>
      <c r="O640" s="32">
        <v>0</v>
      </c>
      <c r="P640" s="32">
        <v>0</v>
      </c>
      <c r="Q640" s="43">
        <f t="shared" si="18"/>
        <v>3793</v>
      </c>
      <c r="R640" s="69">
        <f t="shared" si="19"/>
        <v>3224.05</v>
      </c>
      <c r="S640" s="30"/>
      <c r="T640" s="30"/>
    </row>
    <row r="641" spans="1:20" ht="45" customHeight="1" x14ac:dyDescent="0.3">
      <c r="A641" s="36">
        <v>629</v>
      </c>
      <c r="B641" s="32" t="s">
        <v>2143</v>
      </c>
      <c r="C641" s="32" t="s">
        <v>2212</v>
      </c>
      <c r="D641" s="32" t="s">
        <v>2213</v>
      </c>
      <c r="E641" s="32">
        <v>2025</v>
      </c>
      <c r="F641" s="32" t="s">
        <v>19</v>
      </c>
      <c r="G641" s="32" t="s">
        <v>2346</v>
      </c>
      <c r="H641" s="32" t="s">
        <v>2411</v>
      </c>
      <c r="I641" s="32" t="s">
        <v>2446</v>
      </c>
      <c r="J641" s="32">
        <v>6199</v>
      </c>
      <c r="K641" s="32">
        <f>1346+6278+4484+4484+2332+2332+2332+6995+6995+2332+6995+2332+2332+2332</f>
        <v>53901</v>
      </c>
      <c r="L641" s="32">
        <v>0</v>
      </c>
      <c r="M641" s="32">
        <v>0</v>
      </c>
      <c r="N641" s="32">
        <v>3148</v>
      </c>
      <c r="O641" s="32">
        <v>0</v>
      </c>
      <c r="P641" s="32">
        <v>0</v>
      </c>
      <c r="Q641" s="43">
        <f t="shared" si="18"/>
        <v>63248</v>
      </c>
      <c r="R641" s="69">
        <f t="shared" si="19"/>
        <v>53760.800000000003</v>
      </c>
      <c r="S641" s="30"/>
      <c r="T641" s="30"/>
    </row>
    <row r="642" spans="1:20" ht="45" customHeight="1" x14ac:dyDescent="0.3">
      <c r="A642" s="31">
        <v>630</v>
      </c>
      <c r="B642" s="32" t="s">
        <v>2143</v>
      </c>
      <c r="C642" s="32" t="s">
        <v>2214</v>
      </c>
      <c r="D642" s="32" t="s">
        <v>2215</v>
      </c>
      <c r="E642" s="32">
        <v>1979</v>
      </c>
      <c r="F642" s="32" t="s">
        <v>18</v>
      </c>
      <c r="G642" s="32" t="s">
        <v>2347</v>
      </c>
      <c r="H642" s="32" t="s">
        <v>2347</v>
      </c>
      <c r="I642" s="32" t="s">
        <v>2457</v>
      </c>
      <c r="J642" s="32">
        <v>6199</v>
      </c>
      <c r="K642" s="32">
        <v>0</v>
      </c>
      <c r="L642" s="32">
        <v>0</v>
      </c>
      <c r="M642" s="32">
        <v>0</v>
      </c>
      <c r="N642" s="32">
        <v>0</v>
      </c>
      <c r="O642" s="32">
        <v>0</v>
      </c>
      <c r="P642" s="32">
        <v>0</v>
      </c>
      <c r="Q642" s="43">
        <f t="shared" si="18"/>
        <v>6199</v>
      </c>
      <c r="R642" s="69">
        <f t="shared" si="19"/>
        <v>5269.15</v>
      </c>
      <c r="S642" s="30"/>
      <c r="T642" s="30"/>
    </row>
    <row r="643" spans="1:20" ht="45" customHeight="1" x14ac:dyDescent="0.3">
      <c r="A643" s="31">
        <v>631</v>
      </c>
      <c r="B643" s="32" t="s">
        <v>2143</v>
      </c>
      <c r="C643" s="32" t="s">
        <v>2216</v>
      </c>
      <c r="D643" s="32" t="s">
        <v>1148</v>
      </c>
      <c r="E643" s="32">
        <v>1985</v>
      </c>
      <c r="F643" s="32" t="s">
        <v>19</v>
      </c>
      <c r="G643" s="32" t="s">
        <v>1202</v>
      </c>
      <c r="H643" s="32" t="s">
        <v>1202</v>
      </c>
      <c r="I643" s="32" t="s">
        <v>1276</v>
      </c>
      <c r="J643" s="32">
        <v>6199</v>
      </c>
      <c r="K643" s="32">
        <f>1346+6278+4484+2332+2332+2332+2332+2332</f>
        <v>23768</v>
      </c>
      <c r="L643" s="32">
        <v>0</v>
      </c>
      <c r="M643" s="32">
        <v>0</v>
      </c>
      <c r="N643" s="32">
        <v>1793</v>
      </c>
      <c r="O643" s="32">
        <v>0</v>
      </c>
      <c r="P643" s="32">
        <v>0</v>
      </c>
      <c r="Q643" s="43">
        <f t="shared" si="18"/>
        <v>31760</v>
      </c>
      <c r="R643" s="69">
        <f t="shared" si="19"/>
        <v>26996</v>
      </c>
      <c r="S643" s="30"/>
      <c r="T643" s="30"/>
    </row>
    <row r="644" spans="1:20" ht="45" customHeight="1" x14ac:dyDescent="0.3">
      <c r="A644" s="36">
        <v>632</v>
      </c>
      <c r="B644" s="32" t="s">
        <v>2143</v>
      </c>
      <c r="C644" s="32" t="s">
        <v>2217</v>
      </c>
      <c r="D644" s="32" t="s">
        <v>2218</v>
      </c>
      <c r="E644" s="32">
        <v>2017</v>
      </c>
      <c r="F644" s="32" t="s">
        <v>18</v>
      </c>
      <c r="G644" s="32" t="s">
        <v>2348</v>
      </c>
      <c r="H644" s="32" t="s">
        <v>2412</v>
      </c>
      <c r="I644" s="32" t="s">
        <v>2458</v>
      </c>
      <c r="J644" s="32">
        <v>6199</v>
      </c>
      <c r="K644" s="32">
        <f>6278+4484+1346+4484+2332+1166+2332+2332+2332+2332+2332+6995+6995+2332+6995</f>
        <v>55067</v>
      </c>
      <c r="L644" s="32">
        <v>0</v>
      </c>
      <c r="M644" s="32">
        <v>0</v>
      </c>
      <c r="N644" s="32">
        <v>3148</v>
      </c>
      <c r="O644" s="32">
        <v>0</v>
      </c>
      <c r="P644" s="32">
        <v>0</v>
      </c>
      <c r="Q644" s="43">
        <f t="shared" si="18"/>
        <v>64414</v>
      </c>
      <c r="R644" s="69">
        <f t="shared" si="19"/>
        <v>54751.9</v>
      </c>
      <c r="S644" s="30"/>
      <c r="T644" s="30"/>
    </row>
    <row r="645" spans="1:20" ht="45" customHeight="1" x14ac:dyDescent="0.3">
      <c r="A645" s="31">
        <v>633</v>
      </c>
      <c r="B645" s="32" t="s">
        <v>2143</v>
      </c>
      <c r="C645" s="32" t="s">
        <v>2219</v>
      </c>
      <c r="D645" s="32" t="s">
        <v>2220</v>
      </c>
      <c r="E645" s="32">
        <v>2019</v>
      </c>
      <c r="F645" s="32" t="s">
        <v>18</v>
      </c>
      <c r="G645" s="32" t="s">
        <v>2349</v>
      </c>
      <c r="H645" s="32" t="s">
        <v>2412</v>
      </c>
      <c r="I645" s="32" t="s">
        <v>2459</v>
      </c>
      <c r="J645" s="32">
        <v>6199</v>
      </c>
      <c r="K645" s="32">
        <f>6278+4484+1346+4484+2332+2332+2332+2332+2332+6995+6995+2332+6995+3000+3000</f>
        <v>57569</v>
      </c>
      <c r="L645" s="32">
        <v>0</v>
      </c>
      <c r="M645" s="32">
        <v>0</v>
      </c>
      <c r="N645" s="32">
        <v>3148</v>
      </c>
      <c r="O645" s="32">
        <v>0</v>
      </c>
      <c r="P645" s="32">
        <v>0</v>
      </c>
      <c r="Q645" s="43">
        <f t="shared" si="18"/>
        <v>66916</v>
      </c>
      <c r="R645" s="69">
        <f t="shared" si="19"/>
        <v>56878.6</v>
      </c>
      <c r="S645" s="30"/>
      <c r="T645" s="30"/>
    </row>
    <row r="646" spans="1:20" ht="45" customHeight="1" x14ac:dyDescent="0.3">
      <c r="A646" s="31">
        <v>634</v>
      </c>
      <c r="B646" s="32" t="s">
        <v>2143</v>
      </c>
      <c r="C646" s="32" t="s">
        <v>2221</v>
      </c>
      <c r="D646" s="32" t="s">
        <v>2222</v>
      </c>
      <c r="E646" s="32">
        <v>1977</v>
      </c>
      <c r="F646" s="32" t="s">
        <v>19</v>
      </c>
      <c r="G646" s="32" t="s">
        <v>2350</v>
      </c>
      <c r="H646" s="32" t="s">
        <v>2350</v>
      </c>
      <c r="I646" s="32" t="s">
        <v>1464</v>
      </c>
      <c r="J646" s="32">
        <v>6199</v>
      </c>
      <c r="K646" s="32">
        <v>0</v>
      </c>
      <c r="L646" s="32">
        <v>13298</v>
      </c>
      <c r="M646" s="32">
        <v>0</v>
      </c>
      <c r="N646" s="32">
        <v>0</v>
      </c>
      <c r="O646" s="32">
        <v>0</v>
      </c>
      <c r="P646" s="32">
        <v>0</v>
      </c>
      <c r="Q646" s="43">
        <f t="shared" si="18"/>
        <v>19497</v>
      </c>
      <c r="R646" s="69">
        <f t="shared" si="19"/>
        <v>16572.45</v>
      </c>
      <c r="S646" s="30"/>
      <c r="T646" s="30"/>
    </row>
    <row r="647" spans="1:20" ht="45" customHeight="1" x14ac:dyDescent="0.3">
      <c r="A647" s="36">
        <v>635</v>
      </c>
      <c r="B647" s="32" t="s">
        <v>2143</v>
      </c>
      <c r="C647" s="32" t="s">
        <v>2223</v>
      </c>
      <c r="D647" s="32" t="s">
        <v>2224</v>
      </c>
      <c r="E647" s="32">
        <v>2023</v>
      </c>
      <c r="F647" s="32" t="s">
        <v>18</v>
      </c>
      <c r="G647" s="32" t="s">
        <v>2351</v>
      </c>
      <c r="H647" s="32" t="s">
        <v>2413</v>
      </c>
      <c r="I647" s="32" t="s">
        <v>2460</v>
      </c>
      <c r="J647" s="32">
        <v>6199</v>
      </c>
      <c r="K647" s="32">
        <v>0</v>
      </c>
      <c r="L647" s="32">
        <v>0</v>
      </c>
      <c r="M647" s="32">
        <v>0</v>
      </c>
      <c r="N647" s="32">
        <v>0</v>
      </c>
      <c r="O647" s="32">
        <v>0</v>
      </c>
      <c r="P647" s="32">
        <v>0</v>
      </c>
      <c r="Q647" s="43">
        <f t="shared" si="18"/>
        <v>6199</v>
      </c>
      <c r="R647" s="69">
        <f t="shared" si="19"/>
        <v>5269.15</v>
      </c>
      <c r="S647" s="30"/>
      <c r="T647" s="30"/>
    </row>
    <row r="648" spans="1:20" ht="45" customHeight="1" x14ac:dyDescent="0.3">
      <c r="A648" s="31">
        <v>636</v>
      </c>
      <c r="B648" s="32" t="s">
        <v>2143</v>
      </c>
      <c r="C648" s="32" t="s">
        <v>2225</v>
      </c>
      <c r="D648" s="32" t="s">
        <v>2226</v>
      </c>
      <c r="E648" s="32">
        <v>1999</v>
      </c>
      <c r="F648" s="32" t="s">
        <v>18</v>
      </c>
      <c r="G648" s="32" t="s">
        <v>2352</v>
      </c>
      <c r="H648" s="32" t="s">
        <v>2352</v>
      </c>
      <c r="I648" s="32" t="s">
        <v>2461</v>
      </c>
      <c r="J648" s="32">
        <v>6199</v>
      </c>
      <c r="K648" s="32">
        <f>6278+1166+2332</f>
        <v>9776</v>
      </c>
      <c r="L648" s="32">
        <v>0</v>
      </c>
      <c r="M648" s="32">
        <v>0</v>
      </c>
      <c r="N648" s="32">
        <v>1793</v>
      </c>
      <c r="O648" s="32">
        <v>0</v>
      </c>
      <c r="P648" s="32">
        <v>0</v>
      </c>
      <c r="Q648" s="43">
        <f t="shared" si="18"/>
        <v>17768</v>
      </c>
      <c r="R648" s="69">
        <f t="shared" si="19"/>
        <v>15102.8</v>
      </c>
      <c r="S648" s="30"/>
      <c r="T648" s="30"/>
    </row>
    <row r="649" spans="1:20" ht="45" customHeight="1" x14ac:dyDescent="0.3">
      <c r="A649" s="31">
        <v>637</v>
      </c>
      <c r="B649" s="32" t="s">
        <v>2143</v>
      </c>
      <c r="C649" s="32" t="s">
        <v>2227</v>
      </c>
      <c r="D649" s="32" t="s">
        <v>2228</v>
      </c>
      <c r="E649" s="32">
        <v>2013</v>
      </c>
      <c r="F649" s="32" t="s">
        <v>18</v>
      </c>
      <c r="G649" s="32" t="s">
        <v>2353</v>
      </c>
      <c r="H649" s="32" t="s">
        <v>2414</v>
      </c>
      <c r="I649" s="32" t="s">
        <v>1702</v>
      </c>
      <c r="J649" s="32">
        <v>6199</v>
      </c>
      <c r="K649" s="32">
        <f>6278+4484+1346+2332+4484+1166+2801+2332+2332+2332+2332+3000+3000+2332+2332</f>
        <v>42883</v>
      </c>
      <c r="L649" s="32">
        <v>0</v>
      </c>
      <c r="M649" s="32">
        <v>0</v>
      </c>
      <c r="N649" s="32">
        <v>3148</v>
      </c>
      <c r="O649" s="32">
        <v>0</v>
      </c>
      <c r="P649" s="32">
        <v>0</v>
      </c>
      <c r="Q649" s="43">
        <f t="shared" si="18"/>
        <v>52230</v>
      </c>
      <c r="R649" s="69">
        <f t="shared" si="19"/>
        <v>44395.5</v>
      </c>
      <c r="S649" s="30"/>
      <c r="T649" s="30"/>
    </row>
    <row r="650" spans="1:20" ht="45" customHeight="1" x14ac:dyDescent="0.3">
      <c r="A650" s="36">
        <v>638</v>
      </c>
      <c r="B650" s="32" t="s">
        <v>2143</v>
      </c>
      <c r="C650" s="32" t="s">
        <v>2229</v>
      </c>
      <c r="D650" s="32" t="s">
        <v>2230</v>
      </c>
      <c r="E650" s="32">
        <v>1958</v>
      </c>
      <c r="F650" s="32" t="s">
        <v>19</v>
      </c>
      <c r="G650" s="32" t="s">
        <v>2354</v>
      </c>
      <c r="H650" s="32" t="s">
        <v>2415</v>
      </c>
      <c r="I650" s="32" t="s">
        <v>1689</v>
      </c>
      <c r="J650" s="32">
        <v>6199</v>
      </c>
      <c r="K650" s="32">
        <f>2332+1166+6278+13452+4484+4484+2332+2332+2332+2332+2332</f>
        <v>43856</v>
      </c>
      <c r="L650" s="32">
        <v>13298</v>
      </c>
      <c r="M650" s="32">
        <v>0</v>
      </c>
      <c r="N650" s="32">
        <v>1793</v>
      </c>
      <c r="O650" s="32">
        <v>0</v>
      </c>
      <c r="P650" s="32">
        <v>0</v>
      </c>
      <c r="Q650" s="43">
        <f t="shared" si="18"/>
        <v>65146</v>
      </c>
      <c r="R650" s="69">
        <f t="shared" si="19"/>
        <v>55374.1</v>
      </c>
      <c r="S650" s="30"/>
      <c r="T650" s="30"/>
    </row>
    <row r="651" spans="1:20" ht="45" customHeight="1" x14ac:dyDescent="0.3">
      <c r="A651" s="31">
        <v>639</v>
      </c>
      <c r="B651" s="32" t="s">
        <v>2143</v>
      </c>
      <c r="C651" s="32" t="s">
        <v>2231</v>
      </c>
      <c r="D651" s="32" t="s">
        <v>2232</v>
      </c>
      <c r="E651" s="32">
        <v>1964</v>
      </c>
      <c r="F651" s="32" t="s">
        <v>18</v>
      </c>
      <c r="G651" s="32" t="s">
        <v>2355</v>
      </c>
      <c r="H651" s="32" t="s">
        <v>2416</v>
      </c>
      <c r="I651" s="32" t="s">
        <v>2462</v>
      </c>
      <c r="J651" s="32">
        <v>6199</v>
      </c>
      <c r="K651" s="32">
        <f>1166+2801+2332+2332+2332+2332+3000+3000+6278</f>
        <v>25573</v>
      </c>
      <c r="L651" s="32">
        <v>0</v>
      </c>
      <c r="M651" s="32">
        <v>0</v>
      </c>
      <c r="N651" s="32">
        <v>1793</v>
      </c>
      <c r="O651" s="32">
        <v>0</v>
      </c>
      <c r="P651" s="32">
        <v>0</v>
      </c>
      <c r="Q651" s="43">
        <f t="shared" si="18"/>
        <v>33565</v>
      </c>
      <c r="R651" s="69">
        <f t="shared" si="19"/>
        <v>28530.25</v>
      </c>
      <c r="S651" s="30"/>
      <c r="T651" s="30"/>
    </row>
    <row r="652" spans="1:20" ht="45" customHeight="1" x14ac:dyDescent="0.3">
      <c r="A652" s="31">
        <v>640</v>
      </c>
      <c r="B652" s="32" t="s">
        <v>2143</v>
      </c>
      <c r="C652" s="32" t="s">
        <v>2233</v>
      </c>
      <c r="D652" s="32" t="s">
        <v>2234</v>
      </c>
      <c r="E652" s="32">
        <v>1972</v>
      </c>
      <c r="F652" s="32" t="s">
        <v>18</v>
      </c>
      <c r="G652" s="32" t="s">
        <v>2356</v>
      </c>
      <c r="H652" s="32" t="s">
        <v>2356</v>
      </c>
      <c r="I652" s="32" t="s">
        <v>839</v>
      </c>
      <c r="J652" s="32">
        <v>6199</v>
      </c>
      <c r="K652" s="32">
        <f>2332+2332+6278+2332+2332+2332+4484+4484</f>
        <v>26906</v>
      </c>
      <c r="L652" s="32">
        <v>0</v>
      </c>
      <c r="M652" s="32">
        <v>0</v>
      </c>
      <c r="N652" s="32">
        <v>1793</v>
      </c>
      <c r="O652" s="32">
        <v>0</v>
      </c>
      <c r="P652" s="32">
        <v>0</v>
      </c>
      <c r="Q652" s="43">
        <f t="shared" si="18"/>
        <v>34898</v>
      </c>
      <c r="R652" s="69">
        <f t="shared" si="19"/>
        <v>29663.3</v>
      </c>
      <c r="S652" s="30"/>
      <c r="T652" s="30"/>
    </row>
    <row r="653" spans="1:20" ht="45" customHeight="1" x14ac:dyDescent="0.3">
      <c r="A653" s="36">
        <v>641</v>
      </c>
      <c r="B653" s="32" t="s">
        <v>2143</v>
      </c>
      <c r="C653" s="32" t="s">
        <v>2235</v>
      </c>
      <c r="D653" s="32" t="s">
        <v>2236</v>
      </c>
      <c r="E653" s="32">
        <v>2012</v>
      </c>
      <c r="F653" s="32" t="s">
        <v>18</v>
      </c>
      <c r="G653" s="32" t="s">
        <v>2357</v>
      </c>
      <c r="H653" s="32" t="s">
        <v>2417</v>
      </c>
      <c r="I653" s="32" t="s">
        <v>265</v>
      </c>
      <c r="J653" s="32">
        <v>6199</v>
      </c>
      <c r="K653" s="32">
        <f>1166+2801</f>
        <v>3967</v>
      </c>
      <c r="L653" s="32">
        <v>0</v>
      </c>
      <c r="M653" s="32">
        <v>0</v>
      </c>
      <c r="N653" s="32">
        <v>0</v>
      </c>
      <c r="O653" s="32">
        <v>0</v>
      </c>
      <c r="P653" s="32">
        <v>0</v>
      </c>
      <c r="Q653" s="43">
        <f t="shared" ref="Q653:Q716" si="20">SUM(J653:P653)</f>
        <v>10166</v>
      </c>
      <c r="R653" s="69">
        <f t="shared" si="19"/>
        <v>8641.1</v>
      </c>
      <c r="S653" s="30"/>
      <c r="T653" s="30"/>
    </row>
    <row r="654" spans="1:20" ht="45" customHeight="1" x14ac:dyDescent="0.3">
      <c r="A654" s="31">
        <v>642</v>
      </c>
      <c r="B654" s="32" t="s">
        <v>2143</v>
      </c>
      <c r="C654" s="32" t="s">
        <v>2237</v>
      </c>
      <c r="D654" s="32" t="s">
        <v>2238</v>
      </c>
      <c r="E654" s="32">
        <v>1952</v>
      </c>
      <c r="F654" s="32" t="s">
        <v>18</v>
      </c>
      <c r="G654" s="32" t="s">
        <v>2358</v>
      </c>
      <c r="H654" s="32" t="s">
        <v>2358</v>
      </c>
      <c r="I654" s="32" t="s">
        <v>824</v>
      </c>
      <c r="J654" s="32">
        <v>6199</v>
      </c>
      <c r="K654" s="32">
        <v>0</v>
      </c>
      <c r="L654" s="32">
        <v>0</v>
      </c>
      <c r="M654" s="32">
        <v>0</v>
      </c>
      <c r="N654" s="32">
        <v>0</v>
      </c>
      <c r="O654" s="32">
        <v>0</v>
      </c>
      <c r="P654" s="32">
        <v>0</v>
      </c>
      <c r="Q654" s="43">
        <f t="shared" si="20"/>
        <v>6199</v>
      </c>
      <c r="R654" s="69">
        <f t="shared" ref="R654:R717" si="21">Q654*85/100</f>
        <v>5269.15</v>
      </c>
      <c r="S654" s="30"/>
      <c r="T654" s="30"/>
    </row>
    <row r="655" spans="1:20" ht="45" customHeight="1" x14ac:dyDescent="0.3">
      <c r="A655" s="31">
        <v>643</v>
      </c>
      <c r="B655" s="32" t="s">
        <v>2143</v>
      </c>
      <c r="C655" s="32" t="s">
        <v>2239</v>
      </c>
      <c r="D655" s="32" t="s">
        <v>2240</v>
      </c>
      <c r="E655" s="32">
        <v>1996</v>
      </c>
      <c r="F655" s="32" t="s">
        <v>19</v>
      </c>
      <c r="G655" s="32" t="s">
        <v>2359</v>
      </c>
      <c r="H655" s="32" t="s">
        <v>2359</v>
      </c>
      <c r="I655" s="32" t="s">
        <v>272</v>
      </c>
      <c r="J655" s="32">
        <v>6199</v>
      </c>
      <c r="K655" s="32">
        <v>0</v>
      </c>
      <c r="L655" s="32">
        <v>0</v>
      </c>
      <c r="M655" s="32">
        <v>0</v>
      </c>
      <c r="N655" s="32">
        <v>0</v>
      </c>
      <c r="O655" s="32">
        <v>0</v>
      </c>
      <c r="P655" s="32">
        <v>0</v>
      </c>
      <c r="Q655" s="43">
        <f t="shared" si="20"/>
        <v>6199</v>
      </c>
      <c r="R655" s="69">
        <f t="shared" si="21"/>
        <v>5269.15</v>
      </c>
      <c r="S655" s="30"/>
      <c r="T655" s="30"/>
    </row>
    <row r="656" spans="1:20" ht="45" customHeight="1" x14ac:dyDescent="0.3">
      <c r="A656" s="36">
        <v>644</v>
      </c>
      <c r="B656" s="32" t="s">
        <v>2143</v>
      </c>
      <c r="C656" s="32" t="s">
        <v>2241</v>
      </c>
      <c r="D656" s="32" t="s">
        <v>2242</v>
      </c>
      <c r="E656" s="32">
        <v>1992</v>
      </c>
      <c r="F656" s="32" t="s">
        <v>19</v>
      </c>
      <c r="G656" s="32" t="s">
        <v>2360</v>
      </c>
      <c r="H656" s="32" t="s">
        <v>2360</v>
      </c>
      <c r="I656" s="32" t="s">
        <v>2463</v>
      </c>
      <c r="J656" s="32">
        <v>6199</v>
      </c>
      <c r="K656" s="32">
        <v>0</v>
      </c>
      <c r="L656" s="32">
        <v>0</v>
      </c>
      <c r="M656" s="32">
        <v>0</v>
      </c>
      <c r="N656" s="32">
        <v>0</v>
      </c>
      <c r="O656" s="32">
        <v>0</v>
      </c>
      <c r="P656" s="32">
        <v>0</v>
      </c>
      <c r="Q656" s="43">
        <f t="shared" si="20"/>
        <v>6199</v>
      </c>
      <c r="R656" s="69">
        <f t="shared" si="21"/>
        <v>5269.15</v>
      </c>
      <c r="S656" s="30"/>
      <c r="T656" s="30"/>
    </row>
    <row r="657" spans="1:20" ht="45" customHeight="1" x14ac:dyDescent="0.3">
      <c r="A657" s="31">
        <v>645</v>
      </c>
      <c r="B657" s="32" t="s">
        <v>2143</v>
      </c>
      <c r="C657" s="32" t="s">
        <v>2243</v>
      </c>
      <c r="D657" s="32" t="s">
        <v>2244</v>
      </c>
      <c r="E657" s="32">
        <v>1994</v>
      </c>
      <c r="F657" s="32" t="s">
        <v>19</v>
      </c>
      <c r="G657" s="32" t="s">
        <v>2361</v>
      </c>
      <c r="H657" s="32" t="s">
        <v>2418</v>
      </c>
      <c r="I657" s="32" t="s">
        <v>251</v>
      </c>
      <c r="J657" s="32">
        <v>3582</v>
      </c>
      <c r="K657" s="32">
        <v>0</v>
      </c>
      <c r="L657" s="32">
        <v>0</v>
      </c>
      <c r="M657" s="32">
        <v>0</v>
      </c>
      <c r="N657" s="32">
        <v>0</v>
      </c>
      <c r="O657" s="32">
        <v>0</v>
      </c>
      <c r="P657" s="32">
        <v>0</v>
      </c>
      <c r="Q657" s="43">
        <f t="shared" si="20"/>
        <v>3582</v>
      </c>
      <c r="R657" s="69">
        <f t="shared" si="21"/>
        <v>3044.7</v>
      </c>
      <c r="S657" s="30"/>
      <c r="T657" s="30"/>
    </row>
    <row r="658" spans="1:20" ht="45" customHeight="1" x14ac:dyDescent="0.3">
      <c r="A658" s="31">
        <v>646</v>
      </c>
      <c r="B658" s="32" t="s">
        <v>2143</v>
      </c>
      <c r="C658" s="32" t="s">
        <v>2245</v>
      </c>
      <c r="D658" s="32" t="s">
        <v>2246</v>
      </c>
      <c r="E658" s="32">
        <v>2017</v>
      </c>
      <c r="F658" s="32" t="s">
        <v>18</v>
      </c>
      <c r="G658" s="32" t="s">
        <v>2362</v>
      </c>
      <c r="H658" s="32" t="s">
        <v>2419</v>
      </c>
      <c r="I658" s="32" t="s">
        <v>2464</v>
      </c>
      <c r="J658" s="32">
        <v>6199</v>
      </c>
      <c r="K658" s="32">
        <v>0</v>
      </c>
      <c r="L658" s="32">
        <v>0</v>
      </c>
      <c r="M658" s="32">
        <v>0</v>
      </c>
      <c r="N658" s="32">
        <v>0</v>
      </c>
      <c r="O658" s="32">
        <v>0</v>
      </c>
      <c r="P658" s="32">
        <v>0</v>
      </c>
      <c r="Q658" s="43">
        <f t="shared" si="20"/>
        <v>6199</v>
      </c>
      <c r="R658" s="69">
        <f t="shared" si="21"/>
        <v>5269.15</v>
      </c>
      <c r="S658" s="30"/>
      <c r="T658" s="30"/>
    </row>
    <row r="659" spans="1:20" ht="45" customHeight="1" x14ac:dyDescent="0.3">
      <c r="A659" s="36">
        <v>647</v>
      </c>
      <c r="B659" s="32" t="s">
        <v>2143</v>
      </c>
      <c r="C659" s="32" t="s">
        <v>2247</v>
      </c>
      <c r="D659" s="32" t="s">
        <v>2248</v>
      </c>
      <c r="E659" s="32">
        <v>1990</v>
      </c>
      <c r="F659" s="32" t="s">
        <v>19</v>
      </c>
      <c r="G659" s="32" t="s">
        <v>2363</v>
      </c>
      <c r="H659" s="32" t="s">
        <v>2419</v>
      </c>
      <c r="I659" s="32" t="s">
        <v>24</v>
      </c>
      <c r="J659" s="32">
        <v>3582</v>
      </c>
      <c r="K659" s="32">
        <v>0</v>
      </c>
      <c r="L659" s="32">
        <v>0</v>
      </c>
      <c r="M659" s="32">
        <v>0</v>
      </c>
      <c r="N659" s="32">
        <f>15443+21194+19239</f>
        <v>55876</v>
      </c>
      <c r="O659" s="32">
        <v>0</v>
      </c>
      <c r="P659" s="32">
        <v>0</v>
      </c>
      <c r="Q659" s="43">
        <f t="shared" si="20"/>
        <v>59458</v>
      </c>
      <c r="R659" s="69">
        <f t="shared" si="21"/>
        <v>50539.3</v>
      </c>
      <c r="S659" s="30"/>
      <c r="T659" s="30"/>
    </row>
    <row r="660" spans="1:20" ht="45" customHeight="1" x14ac:dyDescent="0.3">
      <c r="A660" s="31">
        <v>648</v>
      </c>
      <c r="B660" s="32" t="s">
        <v>2143</v>
      </c>
      <c r="C660" s="32" t="s">
        <v>2249</v>
      </c>
      <c r="D660" s="32" t="s">
        <v>1154</v>
      </c>
      <c r="E660" s="32">
        <v>2022</v>
      </c>
      <c r="F660" s="32" t="s">
        <v>18</v>
      </c>
      <c r="G660" s="32" t="s">
        <v>1208</v>
      </c>
      <c r="H660" s="32" t="s">
        <v>1245</v>
      </c>
      <c r="I660" s="32" t="s">
        <v>1267</v>
      </c>
      <c r="J660" s="32">
        <v>3793</v>
      </c>
      <c r="K660" s="32">
        <v>0</v>
      </c>
      <c r="L660" s="32">
        <v>0</v>
      </c>
      <c r="M660" s="32">
        <v>0</v>
      </c>
      <c r="N660" s="32">
        <v>0</v>
      </c>
      <c r="O660" s="32">
        <v>0</v>
      </c>
      <c r="P660" s="32">
        <v>0</v>
      </c>
      <c r="Q660" s="44">
        <f t="shared" si="20"/>
        <v>3793</v>
      </c>
      <c r="R660" s="69">
        <f t="shared" si="21"/>
        <v>3224.05</v>
      </c>
      <c r="S660" s="30"/>
      <c r="T660" s="30"/>
    </row>
    <row r="661" spans="1:20" ht="45" customHeight="1" x14ac:dyDescent="0.3">
      <c r="A661" s="31">
        <v>649</v>
      </c>
      <c r="B661" s="32" t="s">
        <v>2143</v>
      </c>
      <c r="C661" s="32" t="s">
        <v>2250</v>
      </c>
      <c r="D661" s="32" t="s">
        <v>2251</v>
      </c>
      <c r="E661" s="32">
        <v>1993</v>
      </c>
      <c r="F661" s="32" t="s">
        <v>19</v>
      </c>
      <c r="G661" s="32" t="s">
        <v>2364</v>
      </c>
      <c r="H661" s="32" t="s">
        <v>2364</v>
      </c>
      <c r="I661" s="32" t="s">
        <v>2465</v>
      </c>
      <c r="J661" s="32">
        <v>6199</v>
      </c>
      <c r="K661" s="32">
        <f>2332+2332</f>
        <v>4664</v>
      </c>
      <c r="L661" s="32">
        <v>20807</v>
      </c>
      <c r="M661" s="32">
        <v>0</v>
      </c>
      <c r="N661" s="32">
        <v>0</v>
      </c>
      <c r="O661" s="32">
        <v>0</v>
      </c>
      <c r="P661" s="32">
        <v>0</v>
      </c>
      <c r="Q661" s="43">
        <f t="shared" si="20"/>
        <v>31670</v>
      </c>
      <c r="R661" s="69">
        <f t="shared" si="21"/>
        <v>26919.5</v>
      </c>
      <c r="S661" s="30"/>
      <c r="T661" s="30"/>
    </row>
    <row r="662" spans="1:20" ht="45" customHeight="1" x14ac:dyDescent="0.3">
      <c r="A662" s="36">
        <v>650</v>
      </c>
      <c r="B662" s="32" t="s">
        <v>2143</v>
      </c>
      <c r="C662" s="32" t="s">
        <v>2252</v>
      </c>
      <c r="D662" s="32" t="s">
        <v>2253</v>
      </c>
      <c r="E662" s="32">
        <v>2022</v>
      </c>
      <c r="F662" s="32" t="s">
        <v>18</v>
      </c>
      <c r="G662" s="32" t="s">
        <v>2365</v>
      </c>
      <c r="H662" s="32" t="s">
        <v>2420</v>
      </c>
      <c r="I662" s="32" t="s">
        <v>34</v>
      </c>
      <c r="J662" s="32">
        <v>6199</v>
      </c>
      <c r="K662" s="32">
        <f>1346+6278+4484+4484+2332+2332+2332+6995+6995+2332+6995+2332+2332+2332</f>
        <v>53901</v>
      </c>
      <c r="L662" s="32">
        <v>0</v>
      </c>
      <c r="M662" s="32">
        <v>0</v>
      </c>
      <c r="N662" s="32">
        <v>3148</v>
      </c>
      <c r="O662" s="32">
        <v>0</v>
      </c>
      <c r="P662" s="32">
        <v>0</v>
      </c>
      <c r="Q662" s="43">
        <f t="shared" si="20"/>
        <v>63248</v>
      </c>
      <c r="R662" s="69">
        <f t="shared" si="21"/>
        <v>53760.800000000003</v>
      </c>
      <c r="S662" s="30"/>
      <c r="T662" s="30"/>
    </row>
    <row r="663" spans="1:20" ht="45" customHeight="1" x14ac:dyDescent="0.3">
      <c r="A663" s="31">
        <v>651</v>
      </c>
      <c r="B663" s="32" t="s">
        <v>2143</v>
      </c>
      <c r="C663" s="32" t="s">
        <v>2254</v>
      </c>
      <c r="D663" s="32" t="s">
        <v>2255</v>
      </c>
      <c r="E663" s="32">
        <v>2024</v>
      </c>
      <c r="F663" s="32" t="s">
        <v>19</v>
      </c>
      <c r="G663" s="32" t="s">
        <v>2366</v>
      </c>
      <c r="H663" s="32" t="s">
        <v>2421</v>
      </c>
      <c r="I663" s="32" t="s">
        <v>1060</v>
      </c>
      <c r="J663" s="32">
        <v>6199</v>
      </c>
      <c r="K663" s="32">
        <f>1346+6278+4484+2332+2332+2332+4484+2332+2332+2332+6995+6995+2332+6995</f>
        <v>53901</v>
      </c>
      <c r="L663" s="32">
        <v>0</v>
      </c>
      <c r="M663" s="32">
        <v>0</v>
      </c>
      <c r="N663" s="32">
        <v>3148</v>
      </c>
      <c r="O663" s="32">
        <v>0</v>
      </c>
      <c r="P663" s="32">
        <v>0</v>
      </c>
      <c r="Q663" s="43">
        <f t="shared" si="20"/>
        <v>63248</v>
      </c>
      <c r="R663" s="69">
        <f t="shared" si="21"/>
        <v>53760.800000000003</v>
      </c>
      <c r="S663" s="30"/>
      <c r="T663" s="30"/>
    </row>
    <row r="664" spans="1:20" ht="45" customHeight="1" x14ac:dyDescent="0.3">
      <c r="A664" s="31">
        <v>652</v>
      </c>
      <c r="B664" s="32" t="s">
        <v>2143</v>
      </c>
      <c r="C664" s="32" t="s">
        <v>2256</v>
      </c>
      <c r="D664" s="32" t="s">
        <v>2257</v>
      </c>
      <c r="E664" s="32">
        <v>1985</v>
      </c>
      <c r="F664" s="32" t="s">
        <v>18</v>
      </c>
      <c r="G664" s="32" t="s">
        <v>2367</v>
      </c>
      <c r="H664" s="32" t="s">
        <v>2367</v>
      </c>
      <c r="I664" s="32" t="s">
        <v>297</v>
      </c>
      <c r="J664" s="32">
        <v>6199</v>
      </c>
      <c r="K664" s="32">
        <f>2332+2332</f>
        <v>4664</v>
      </c>
      <c r="L664" s="32">
        <v>0</v>
      </c>
      <c r="M664" s="32">
        <v>0</v>
      </c>
      <c r="N664" s="32">
        <v>0</v>
      </c>
      <c r="O664" s="32">
        <v>0</v>
      </c>
      <c r="P664" s="32">
        <v>0</v>
      </c>
      <c r="Q664" s="43">
        <f t="shared" si="20"/>
        <v>10863</v>
      </c>
      <c r="R664" s="69">
        <f t="shared" si="21"/>
        <v>9233.5499999999993</v>
      </c>
      <c r="S664" s="30"/>
      <c r="T664" s="30"/>
    </row>
    <row r="665" spans="1:20" ht="45" customHeight="1" x14ac:dyDescent="0.3">
      <c r="A665" s="36">
        <v>653</v>
      </c>
      <c r="B665" s="32" t="s">
        <v>2143</v>
      </c>
      <c r="C665" s="32" t="s">
        <v>2258</v>
      </c>
      <c r="D665" s="32" t="s">
        <v>2259</v>
      </c>
      <c r="E665" s="32">
        <v>1965</v>
      </c>
      <c r="F665" s="32" t="s">
        <v>18</v>
      </c>
      <c r="G665" s="32" t="s">
        <v>2368</v>
      </c>
      <c r="H665" s="32" t="s">
        <v>2368</v>
      </c>
      <c r="I665" s="32" t="s">
        <v>2466</v>
      </c>
      <c r="J665" s="32">
        <v>6199</v>
      </c>
      <c r="K665" s="32">
        <v>0</v>
      </c>
      <c r="L665" s="32">
        <v>0</v>
      </c>
      <c r="M665" s="32">
        <v>0</v>
      </c>
      <c r="N665" s="32">
        <v>0</v>
      </c>
      <c r="O665" s="32">
        <v>0</v>
      </c>
      <c r="P665" s="32">
        <v>0</v>
      </c>
      <c r="Q665" s="43">
        <f t="shared" si="20"/>
        <v>6199</v>
      </c>
      <c r="R665" s="69">
        <f t="shared" si="21"/>
        <v>5269.15</v>
      </c>
      <c r="S665" s="30"/>
      <c r="T665" s="30"/>
    </row>
    <row r="666" spans="1:20" s="41" customFormat="1" ht="45" customHeight="1" x14ac:dyDescent="0.3">
      <c r="A666" s="31">
        <v>654</v>
      </c>
      <c r="B666" s="38" t="s">
        <v>2143</v>
      </c>
      <c r="C666" s="38" t="s">
        <v>2260</v>
      </c>
      <c r="D666" s="38" t="s">
        <v>2261</v>
      </c>
      <c r="E666" s="38">
        <v>2011</v>
      </c>
      <c r="F666" s="38" t="s">
        <v>19</v>
      </c>
      <c r="G666" s="38" t="s">
        <v>2369</v>
      </c>
      <c r="H666" s="38" t="s">
        <v>220</v>
      </c>
      <c r="I666" s="38" t="s">
        <v>262</v>
      </c>
      <c r="J666" s="38">
        <v>6199</v>
      </c>
      <c r="K666" s="38">
        <v>0</v>
      </c>
      <c r="L666" s="38">
        <v>0</v>
      </c>
      <c r="M666" s="38">
        <v>0</v>
      </c>
      <c r="N666" s="38">
        <v>15868</v>
      </c>
      <c r="O666" s="38">
        <v>0</v>
      </c>
      <c r="P666" s="38">
        <v>0</v>
      </c>
      <c r="Q666" s="43">
        <f t="shared" si="20"/>
        <v>22067</v>
      </c>
      <c r="R666" s="69">
        <f t="shared" si="21"/>
        <v>18756.95</v>
      </c>
      <c r="S666" s="40"/>
      <c r="T666" s="40"/>
    </row>
    <row r="667" spans="1:20" ht="45" customHeight="1" x14ac:dyDescent="0.3">
      <c r="A667" s="31">
        <v>655</v>
      </c>
      <c r="B667" s="32" t="s">
        <v>2143</v>
      </c>
      <c r="C667" s="32" t="s">
        <v>2262</v>
      </c>
      <c r="D667" s="32" t="s">
        <v>2263</v>
      </c>
      <c r="E667" s="32">
        <v>2020</v>
      </c>
      <c r="F667" s="32" t="s">
        <v>18</v>
      </c>
      <c r="G667" s="32" t="s">
        <v>2370</v>
      </c>
      <c r="H667" s="32" t="s">
        <v>2422</v>
      </c>
      <c r="I667" s="32" t="s">
        <v>2467</v>
      </c>
      <c r="J667" s="32">
        <v>6199</v>
      </c>
      <c r="K667" s="32">
        <f>6278+4484+1346+4484+2332+2332+2332+2332+2332</f>
        <v>28252</v>
      </c>
      <c r="L667" s="32">
        <v>0</v>
      </c>
      <c r="M667" s="32">
        <v>0</v>
      </c>
      <c r="N667" s="32">
        <v>3148</v>
      </c>
      <c r="O667" s="32">
        <v>0</v>
      </c>
      <c r="P667" s="32">
        <v>0</v>
      </c>
      <c r="Q667" s="43">
        <f t="shared" si="20"/>
        <v>37599</v>
      </c>
      <c r="R667" s="69">
        <f t="shared" si="21"/>
        <v>31959.15</v>
      </c>
      <c r="S667" s="30"/>
      <c r="T667" s="30"/>
    </row>
    <row r="668" spans="1:20" ht="45" customHeight="1" x14ac:dyDescent="0.3">
      <c r="A668" s="36">
        <v>656</v>
      </c>
      <c r="B668" s="32" t="s">
        <v>2143</v>
      </c>
      <c r="C668" s="32" t="s">
        <v>2264</v>
      </c>
      <c r="D668" s="32" t="s">
        <v>1362</v>
      </c>
      <c r="E668" s="32">
        <v>1991</v>
      </c>
      <c r="F668" s="32" t="s">
        <v>19</v>
      </c>
      <c r="G668" s="32" t="s">
        <v>1419</v>
      </c>
      <c r="H668" s="32" t="s">
        <v>1419</v>
      </c>
      <c r="I668" s="32" t="s">
        <v>290</v>
      </c>
      <c r="J668" s="32">
        <v>3793</v>
      </c>
      <c r="K668" s="32">
        <v>0</v>
      </c>
      <c r="L668" s="32">
        <v>9422</v>
      </c>
      <c r="M668" s="32">
        <v>0</v>
      </c>
      <c r="N668" s="32">
        <v>0</v>
      </c>
      <c r="O668" s="32">
        <v>0</v>
      </c>
      <c r="P668" s="32">
        <v>0</v>
      </c>
      <c r="Q668" s="43">
        <f t="shared" si="20"/>
        <v>13215</v>
      </c>
      <c r="R668" s="69">
        <f t="shared" si="21"/>
        <v>11232.75</v>
      </c>
      <c r="S668" s="30"/>
      <c r="T668" s="30"/>
    </row>
    <row r="669" spans="1:20" ht="45" customHeight="1" x14ac:dyDescent="0.3">
      <c r="A669" s="31">
        <v>657</v>
      </c>
      <c r="B669" s="32" t="s">
        <v>2143</v>
      </c>
      <c r="C669" s="32" t="s">
        <v>2265</v>
      </c>
      <c r="D669" s="32" t="s">
        <v>2266</v>
      </c>
      <c r="E669" s="32">
        <v>2024</v>
      </c>
      <c r="F669" s="32" t="s">
        <v>18</v>
      </c>
      <c r="G669" s="32" t="s">
        <v>2371</v>
      </c>
      <c r="H669" s="32" t="s">
        <v>2423</v>
      </c>
      <c r="I669" s="32" t="s">
        <v>1278</v>
      </c>
      <c r="J669" s="32">
        <v>6199</v>
      </c>
      <c r="K669" s="32">
        <v>0</v>
      </c>
      <c r="L669" s="32">
        <v>0</v>
      </c>
      <c r="M669" s="32">
        <v>0</v>
      </c>
      <c r="N669" s="32">
        <v>0</v>
      </c>
      <c r="O669" s="32">
        <v>0</v>
      </c>
      <c r="P669" s="32">
        <v>0</v>
      </c>
      <c r="Q669" s="43">
        <f t="shared" si="20"/>
        <v>6199</v>
      </c>
      <c r="R669" s="69">
        <f t="shared" si="21"/>
        <v>5269.15</v>
      </c>
      <c r="S669" s="30"/>
      <c r="T669" s="30"/>
    </row>
    <row r="670" spans="1:20" ht="45" customHeight="1" x14ac:dyDescent="0.3">
      <c r="A670" s="31">
        <v>658</v>
      </c>
      <c r="B670" s="32" t="s">
        <v>2143</v>
      </c>
      <c r="C670" s="32" t="s">
        <v>2267</v>
      </c>
      <c r="D670" s="32" t="s">
        <v>2268</v>
      </c>
      <c r="E670" s="32">
        <v>2007</v>
      </c>
      <c r="F670" s="32" t="s">
        <v>19</v>
      </c>
      <c r="G670" s="32" t="s">
        <v>2372</v>
      </c>
      <c r="H670" s="32" t="s">
        <v>2424</v>
      </c>
      <c r="I670" s="32" t="s">
        <v>276</v>
      </c>
      <c r="J670" s="32">
        <v>6199</v>
      </c>
      <c r="K670" s="32">
        <v>0</v>
      </c>
      <c r="L670" s="32">
        <v>0</v>
      </c>
      <c r="M670" s="32">
        <v>0</v>
      </c>
      <c r="N670" s="32">
        <v>0</v>
      </c>
      <c r="O670" s="32">
        <v>0</v>
      </c>
      <c r="P670" s="32">
        <v>0</v>
      </c>
      <c r="Q670" s="43">
        <f t="shared" si="20"/>
        <v>6199</v>
      </c>
      <c r="R670" s="69">
        <f t="shared" si="21"/>
        <v>5269.15</v>
      </c>
      <c r="S670" s="30"/>
      <c r="T670" s="30"/>
    </row>
    <row r="671" spans="1:20" ht="45" customHeight="1" x14ac:dyDescent="0.3">
      <c r="A671" s="36">
        <v>659</v>
      </c>
      <c r="B671" s="32" t="s">
        <v>2143</v>
      </c>
      <c r="C671" s="32" t="s">
        <v>2269</v>
      </c>
      <c r="D671" s="32" t="s">
        <v>2270</v>
      </c>
      <c r="E671" s="32">
        <v>1988</v>
      </c>
      <c r="F671" s="32" t="s">
        <v>19</v>
      </c>
      <c r="G671" s="32" t="s">
        <v>2373</v>
      </c>
      <c r="H671" s="32" t="s">
        <v>2373</v>
      </c>
      <c r="I671" s="32" t="s">
        <v>299</v>
      </c>
      <c r="J671" s="32">
        <v>6199</v>
      </c>
      <c r="K671" s="32">
        <f>2332+2332+2243</f>
        <v>6907</v>
      </c>
      <c r="L671" s="32">
        <v>9422</v>
      </c>
      <c r="M671" s="32">
        <v>0</v>
      </c>
      <c r="N671" s="32">
        <v>0</v>
      </c>
      <c r="O671" s="32">
        <v>0</v>
      </c>
      <c r="P671" s="32">
        <v>0</v>
      </c>
      <c r="Q671" s="43">
        <f t="shared" si="20"/>
        <v>22528</v>
      </c>
      <c r="R671" s="69">
        <f t="shared" si="21"/>
        <v>19148.8</v>
      </c>
      <c r="S671" s="30"/>
      <c r="T671" s="30"/>
    </row>
    <row r="672" spans="1:20" ht="45" customHeight="1" x14ac:dyDescent="0.3">
      <c r="A672" s="31">
        <v>660</v>
      </c>
      <c r="B672" s="32" t="s">
        <v>2143</v>
      </c>
      <c r="C672" s="32" t="s">
        <v>2271</v>
      </c>
      <c r="D672" s="32" t="s">
        <v>2272</v>
      </c>
      <c r="E672" s="32">
        <v>1994</v>
      </c>
      <c r="F672" s="32" t="s">
        <v>18</v>
      </c>
      <c r="G672" s="32" t="s">
        <v>2374</v>
      </c>
      <c r="H672" s="32" t="s">
        <v>2374</v>
      </c>
      <c r="I672" s="32" t="s">
        <v>2468</v>
      </c>
      <c r="J672" s="32">
        <v>6199</v>
      </c>
      <c r="K672" s="32">
        <v>0</v>
      </c>
      <c r="L672" s="32">
        <v>0</v>
      </c>
      <c r="M672" s="32">
        <v>0</v>
      </c>
      <c r="N672" s="32">
        <v>0</v>
      </c>
      <c r="O672" s="32">
        <v>0</v>
      </c>
      <c r="P672" s="32">
        <v>0</v>
      </c>
      <c r="Q672" s="43">
        <f t="shared" si="20"/>
        <v>6199</v>
      </c>
      <c r="R672" s="69">
        <f t="shared" si="21"/>
        <v>5269.15</v>
      </c>
      <c r="S672" s="30"/>
      <c r="T672" s="30"/>
    </row>
    <row r="673" spans="1:20" ht="45" customHeight="1" x14ac:dyDescent="0.3">
      <c r="A673" s="31">
        <v>661</v>
      </c>
      <c r="B673" s="32" t="s">
        <v>2143</v>
      </c>
      <c r="C673" s="32" t="s">
        <v>2273</v>
      </c>
      <c r="D673" s="32" t="s">
        <v>2274</v>
      </c>
      <c r="E673" s="32">
        <v>2022</v>
      </c>
      <c r="F673" s="32" t="s">
        <v>18</v>
      </c>
      <c r="G673" s="32" t="s">
        <v>2375</v>
      </c>
      <c r="H673" s="32" t="s">
        <v>2425</v>
      </c>
      <c r="I673" s="32" t="s">
        <v>576</v>
      </c>
      <c r="J673" s="32">
        <v>6199</v>
      </c>
      <c r="K673" s="32">
        <f>1346+6278+4484+1166</f>
        <v>13274</v>
      </c>
      <c r="L673" s="32">
        <v>0</v>
      </c>
      <c r="M673" s="32">
        <v>0</v>
      </c>
      <c r="N673" s="32">
        <v>3148</v>
      </c>
      <c r="O673" s="32">
        <v>0</v>
      </c>
      <c r="P673" s="32">
        <v>0</v>
      </c>
      <c r="Q673" s="43">
        <f t="shared" si="20"/>
        <v>22621</v>
      </c>
      <c r="R673" s="69">
        <f t="shared" si="21"/>
        <v>19227.849999999999</v>
      </c>
      <c r="S673" s="30"/>
      <c r="T673" s="30"/>
    </row>
    <row r="674" spans="1:20" ht="45" customHeight="1" x14ac:dyDescent="0.3">
      <c r="A674" s="36">
        <v>662</v>
      </c>
      <c r="B674" s="32" t="s">
        <v>2143</v>
      </c>
      <c r="C674" s="32" t="s">
        <v>2275</v>
      </c>
      <c r="D674" s="32" t="s">
        <v>2276</v>
      </c>
      <c r="E674" s="32">
        <v>2019</v>
      </c>
      <c r="F674" s="32" t="s">
        <v>18</v>
      </c>
      <c r="G674" s="32" t="s">
        <v>2376</v>
      </c>
      <c r="H674" s="32" t="s">
        <v>2426</v>
      </c>
      <c r="I674" s="32" t="s">
        <v>2469</v>
      </c>
      <c r="J674" s="32">
        <v>6199</v>
      </c>
      <c r="K674" s="32">
        <f>1346+6278+4484+4484+1166+2332+2332+2332+2332+2332+2332+6995+6995+2332+6995</f>
        <v>55067</v>
      </c>
      <c r="L674" s="32">
        <v>0</v>
      </c>
      <c r="M674" s="32">
        <v>0</v>
      </c>
      <c r="N674" s="32">
        <v>3148</v>
      </c>
      <c r="O674" s="32">
        <v>0</v>
      </c>
      <c r="P674" s="32">
        <v>0</v>
      </c>
      <c r="Q674" s="43">
        <f t="shared" si="20"/>
        <v>64414</v>
      </c>
      <c r="R674" s="69">
        <f t="shared" si="21"/>
        <v>54751.9</v>
      </c>
      <c r="S674" s="30"/>
      <c r="T674" s="30"/>
    </row>
    <row r="675" spans="1:20" ht="45" customHeight="1" x14ac:dyDescent="0.3">
      <c r="A675" s="31">
        <v>663</v>
      </c>
      <c r="B675" s="32" t="s">
        <v>2143</v>
      </c>
      <c r="C675" s="32" t="s">
        <v>2277</v>
      </c>
      <c r="D675" s="32" t="s">
        <v>2278</v>
      </c>
      <c r="E675" s="32">
        <v>1989</v>
      </c>
      <c r="F675" s="32" t="s">
        <v>18</v>
      </c>
      <c r="G675" s="32" t="s">
        <v>2377</v>
      </c>
      <c r="H675" s="32" t="s">
        <v>2377</v>
      </c>
      <c r="I675" s="32" t="s">
        <v>2470</v>
      </c>
      <c r="J675" s="32">
        <v>6199</v>
      </c>
      <c r="K675" s="32">
        <v>0</v>
      </c>
      <c r="L675" s="32">
        <v>0</v>
      </c>
      <c r="M675" s="32">
        <v>0</v>
      </c>
      <c r="N675" s="32">
        <v>0</v>
      </c>
      <c r="O675" s="32">
        <v>0</v>
      </c>
      <c r="P675" s="32">
        <v>0</v>
      </c>
      <c r="Q675" s="43">
        <f t="shared" si="20"/>
        <v>6199</v>
      </c>
      <c r="R675" s="69">
        <f t="shared" si="21"/>
        <v>5269.15</v>
      </c>
      <c r="S675" s="30"/>
      <c r="T675" s="30"/>
    </row>
    <row r="676" spans="1:20" ht="45" customHeight="1" x14ac:dyDescent="0.3">
      <c r="A676" s="31">
        <v>664</v>
      </c>
      <c r="B676" s="32" t="s">
        <v>2143</v>
      </c>
      <c r="C676" s="32" t="s">
        <v>2279</v>
      </c>
      <c r="D676" s="32" t="s">
        <v>2280</v>
      </c>
      <c r="E676" s="32">
        <v>2019</v>
      </c>
      <c r="F676" s="32" t="s">
        <v>18</v>
      </c>
      <c r="G676" s="32" t="s">
        <v>2378</v>
      </c>
      <c r="H676" s="32" t="s">
        <v>2427</v>
      </c>
      <c r="I676" s="32" t="s">
        <v>2471</v>
      </c>
      <c r="J676" s="32">
        <v>3582</v>
      </c>
      <c r="K676" s="32">
        <v>0</v>
      </c>
      <c r="L676" s="32">
        <v>0</v>
      </c>
      <c r="M676" s="32">
        <v>0</v>
      </c>
      <c r="N676" s="32">
        <f>15443+35836</f>
        <v>51279</v>
      </c>
      <c r="O676" s="32">
        <v>0</v>
      </c>
      <c r="P676" s="32">
        <v>0</v>
      </c>
      <c r="Q676" s="43">
        <f t="shared" si="20"/>
        <v>54861</v>
      </c>
      <c r="R676" s="69">
        <f t="shared" si="21"/>
        <v>46631.85</v>
      </c>
      <c r="S676" s="30"/>
      <c r="T676" s="30"/>
    </row>
    <row r="677" spans="1:20" s="41" customFormat="1" ht="45" customHeight="1" x14ac:dyDescent="0.3">
      <c r="A677" s="36">
        <v>665</v>
      </c>
      <c r="B677" s="38" t="s">
        <v>2143</v>
      </c>
      <c r="C677" s="38" t="s">
        <v>2281</v>
      </c>
      <c r="D677" s="38" t="s">
        <v>2282</v>
      </c>
      <c r="E677" s="38">
        <v>1994</v>
      </c>
      <c r="F677" s="38" t="s">
        <v>19</v>
      </c>
      <c r="G677" s="38" t="s">
        <v>2379</v>
      </c>
      <c r="H677" s="38" t="s">
        <v>2379</v>
      </c>
      <c r="I677" s="38" t="s">
        <v>544</v>
      </c>
      <c r="J677" s="38">
        <v>6199</v>
      </c>
      <c r="K677" s="38">
        <v>0</v>
      </c>
      <c r="L677" s="38">
        <v>0</v>
      </c>
      <c r="M677" s="38">
        <v>0</v>
      </c>
      <c r="N677" s="38">
        <v>0</v>
      </c>
      <c r="O677" s="38">
        <v>0</v>
      </c>
      <c r="P677" s="38">
        <v>0</v>
      </c>
      <c r="Q677" s="43">
        <f t="shared" si="20"/>
        <v>6199</v>
      </c>
      <c r="R677" s="69">
        <f t="shared" si="21"/>
        <v>5269.15</v>
      </c>
      <c r="S677" s="40"/>
      <c r="T677" s="40"/>
    </row>
    <row r="678" spans="1:20" s="41" customFormat="1" ht="45" customHeight="1" x14ac:dyDescent="0.3">
      <c r="A678" s="31">
        <v>666</v>
      </c>
      <c r="B678" s="38" t="s">
        <v>2143</v>
      </c>
      <c r="C678" s="38" t="s">
        <v>2283</v>
      </c>
      <c r="D678" s="38" t="s">
        <v>2284</v>
      </c>
      <c r="E678" s="38">
        <v>2022</v>
      </c>
      <c r="F678" s="38" t="s">
        <v>18</v>
      </c>
      <c r="G678" s="38" t="s">
        <v>2380</v>
      </c>
      <c r="H678" s="38" t="s">
        <v>2428</v>
      </c>
      <c r="I678" s="38" t="s">
        <v>544</v>
      </c>
      <c r="J678" s="38">
        <v>6199</v>
      </c>
      <c r="K678" s="38">
        <v>0</v>
      </c>
      <c r="L678" s="38">
        <v>0</v>
      </c>
      <c r="M678" s="38">
        <v>0</v>
      </c>
      <c r="N678" s="38">
        <v>0</v>
      </c>
      <c r="O678" s="38">
        <v>0</v>
      </c>
      <c r="P678" s="38">
        <v>0</v>
      </c>
      <c r="Q678" s="43">
        <f t="shared" si="20"/>
        <v>6199</v>
      </c>
      <c r="R678" s="69">
        <f t="shared" si="21"/>
        <v>5269.15</v>
      </c>
      <c r="S678" s="40"/>
      <c r="T678" s="40"/>
    </row>
    <row r="679" spans="1:20" ht="45" customHeight="1" x14ac:dyDescent="0.3">
      <c r="A679" s="31">
        <v>667</v>
      </c>
      <c r="B679" s="32" t="s">
        <v>2143</v>
      </c>
      <c r="C679" s="32" t="s">
        <v>2285</v>
      </c>
      <c r="D679" s="32" t="s">
        <v>2286</v>
      </c>
      <c r="E679" s="32">
        <v>2018</v>
      </c>
      <c r="F679" s="32" t="s">
        <v>18</v>
      </c>
      <c r="G679" s="32" t="s">
        <v>2381</v>
      </c>
      <c r="H679" s="32" t="s">
        <v>2429</v>
      </c>
      <c r="I679" s="32" t="s">
        <v>1069</v>
      </c>
      <c r="J679" s="32">
        <v>6199</v>
      </c>
      <c r="K679" s="32">
        <f>1346+6278+4484+4484+2332+2332+2332+2332+2332+2332+6995+6995+2332+6995</f>
        <v>53901</v>
      </c>
      <c r="L679" s="32">
        <v>0</v>
      </c>
      <c r="M679" s="32">
        <v>0</v>
      </c>
      <c r="N679" s="32">
        <v>3148</v>
      </c>
      <c r="O679" s="32">
        <v>0</v>
      </c>
      <c r="P679" s="32">
        <v>0</v>
      </c>
      <c r="Q679" s="43">
        <f t="shared" si="20"/>
        <v>63248</v>
      </c>
      <c r="R679" s="69">
        <f t="shared" si="21"/>
        <v>53760.800000000003</v>
      </c>
      <c r="S679" s="30"/>
      <c r="T679" s="30"/>
    </row>
    <row r="680" spans="1:20" s="41" customFormat="1" ht="45" customHeight="1" x14ac:dyDescent="0.3">
      <c r="A680" s="36">
        <v>668</v>
      </c>
      <c r="B680" s="38" t="s">
        <v>2143</v>
      </c>
      <c r="C680" s="38" t="s">
        <v>2287</v>
      </c>
      <c r="D680" s="38" t="s">
        <v>2288</v>
      </c>
      <c r="E680" s="38">
        <v>2023</v>
      </c>
      <c r="F680" s="38" t="s">
        <v>18</v>
      </c>
      <c r="G680" s="38" t="s">
        <v>2382</v>
      </c>
      <c r="H680" s="38" t="s">
        <v>2430</v>
      </c>
      <c r="I680" s="38" t="s">
        <v>2472</v>
      </c>
      <c r="J680" s="38">
        <v>6199</v>
      </c>
      <c r="K680" s="38">
        <f>1346+6278+4484+4484+2332+2332+2332+2332+2332+2332+6995+6995+2332+6995</f>
        <v>53901</v>
      </c>
      <c r="L680" s="38">
        <v>0</v>
      </c>
      <c r="M680" s="38">
        <v>0</v>
      </c>
      <c r="N680" s="38">
        <v>3148</v>
      </c>
      <c r="O680" s="38">
        <v>0</v>
      </c>
      <c r="P680" s="38">
        <v>0</v>
      </c>
      <c r="Q680" s="43">
        <f t="shared" si="20"/>
        <v>63248</v>
      </c>
      <c r="R680" s="69">
        <f t="shared" si="21"/>
        <v>53760.800000000003</v>
      </c>
      <c r="S680" s="40"/>
      <c r="T680" s="40"/>
    </row>
    <row r="681" spans="1:20" ht="45" customHeight="1" x14ac:dyDescent="0.3">
      <c r="A681" s="31">
        <v>669</v>
      </c>
      <c r="B681" s="32" t="s">
        <v>2143</v>
      </c>
      <c r="C681" s="32" t="s">
        <v>2289</v>
      </c>
      <c r="D681" s="32" t="s">
        <v>2290</v>
      </c>
      <c r="E681" s="32">
        <v>2022</v>
      </c>
      <c r="F681" s="32" t="s">
        <v>19</v>
      </c>
      <c r="G681" s="32" t="s">
        <v>2383</v>
      </c>
      <c r="H681" s="32" t="s">
        <v>2431</v>
      </c>
      <c r="I681" s="32" t="s">
        <v>2473</v>
      </c>
      <c r="J681" s="32">
        <v>6199</v>
      </c>
      <c r="K681" s="32">
        <f>1346+6278+4484+4484+2332+2332+2332+2332+2332+2332+6995+6995+2332+6995</f>
        <v>53901</v>
      </c>
      <c r="L681" s="32">
        <v>0</v>
      </c>
      <c r="M681" s="32">
        <v>0</v>
      </c>
      <c r="N681" s="32">
        <v>3148</v>
      </c>
      <c r="O681" s="32">
        <v>0</v>
      </c>
      <c r="P681" s="32">
        <v>0</v>
      </c>
      <c r="Q681" s="43">
        <f t="shared" si="20"/>
        <v>63248</v>
      </c>
      <c r="R681" s="69">
        <f t="shared" si="21"/>
        <v>53760.800000000003</v>
      </c>
      <c r="S681" s="30"/>
      <c r="T681" s="30"/>
    </row>
    <row r="682" spans="1:20" ht="45" customHeight="1" x14ac:dyDescent="0.3">
      <c r="A682" s="31">
        <v>670</v>
      </c>
      <c r="B682" s="32" t="s">
        <v>2143</v>
      </c>
      <c r="C682" s="32" t="s">
        <v>2291</v>
      </c>
      <c r="D682" s="32" t="s">
        <v>2292</v>
      </c>
      <c r="E682" s="32">
        <v>2005</v>
      </c>
      <c r="F682" s="32" t="s">
        <v>18</v>
      </c>
      <c r="G682" s="32" t="s">
        <v>2384</v>
      </c>
      <c r="H682" s="32" t="s">
        <v>2432</v>
      </c>
      <c r="I682" s="32" t="s">
        <v>2474</v>
      </c>
      <c r="J682" s="32">
        <v>6199</v>
      </c>
      <c r="K682" s="32">
        <f>6278+4484+6995+3228+2332+2332+2243</f>
        <v>27892</v>
      </c>
      <c r="L682" s="32">
        <v>0</v>
      </c>
      <c r="M682" s="32">
        <v>0</v>
      </c>
      <c r="N682" s="32">
        <f>1793+1681</f>
        <v>3474</v>
      </c>
      <c r="O682" s="32">
        <v>0</v>
      </c>
      <c r="P682" s="32">
        <f>624+112</f>
        <v>736</v>
      </c>
      <c r="Q682" s="43">
        <f t="shared" si="20"/>
        <v>38301</v>
      </c>
      <c r="R682" s="69">
        <f t="shared" si="21"/>
        <v>32555.85</v>
      </c>
      <c r="S682" s="30"/>
      <c r="T682" s="30"/>
    </row>
    <row r="683" spans="1:20" ht="45" customHeight="1" x14ac:dyDescent="0.3">
      <c r="A683" s="36">
        <v>671</v>
      </c>
      <c r="B683" s="32" t="s">
        <v>2143</v>
      </c>
      <c r="C683" s="32" t="s">
        <v>2293</v>
      </c>
      <c r="D683" s="32" t="s">
        <v>2294</v>
      </c>
      <c r="E683" s="32">
        <v>2009</v>
      </c>
      <c r="F683" s="32" t="s">
        <v>18</v>
      </c>
      <c r="G683" s="32" t="s">
        <v>2385</v>
      </c>
      <c r="H683" s="32" t="s">
        <v>2433</v>
      </c>
      <c r="I683" s="32" t="s">
        <v>2475</v>
      </c>
      <c r="J683" s="32">
        <v>6199</v>
      </c>
      <c r="K683" s="32">
        <f>1346+6278+4484</f>
        <v>12108</v>
      </c>
      <c r="L683" s="32">
        <v>0</v>
      </c>
      <c r="M683" s="32">
        <v>0</v>
      </c>
      <c r="N683" s="32">
        <f>1793+4053</f>
        <v>5846</v>
      </c>
      <c r="O683" s="32">
        <v>0</v>
      </c>
      <c r="P683" s="32">
        <f>624+112</f>
        <v>736</v>
      </c>
      <c r="Q683" s="43">
        <f t="shared" si="20"/>
        <v>24889</v>
      </c>
      <c r="R683" s="69">
        <f t="shared" si="21"/>
        <v>21155.65</v>
      </c>
      <c r="S683" s="30"/>
      <c r="T683" s="30"/>
    </row>
    <row r="684" spans="1:20" ht="45" customHeight="1" x14ac:dyDescent="0.3">
      <c r="A684" s="31">
        <v>672</v>
      </c>
      <c r="B684" s="32" t="s">
        <v>2143</v>
      </c>
      <c r="C684" s="32" t="s">
        <v>2295</v>
      </c>
      <c r="D684" s="32" t="s">
        <v>1358</v>
      </c>
      <c r="E684" s="32">
        <v>1992</v>
      </c>
      <c r="F684" s="32" t="s">
        <v>19</v>
      </c>
      <c r="G684" s="32" t="s">
        <v>1417</v>
      </c>
      <c r="H684" s="32" t="s">
        <v>1452</v>
      </c>
      <c r="I684" s="32" t="s">
        <v>282</v>
      </c>
      <c r="J684" s="32">
        <v>3793</v>
      </c>
      <c r="K684" s="32">
        <v>0</v>
      </c>
      <c r="L684" s="32">
        <v>0</v>
      </c>
      <c r="M684" s="32">
        <v>0</v>
      </c>
      <c r="N684" s="32">
        <v>0</v>
      </c>
      <c r="O684" s="32">
        <v>0</v>
      </c>
      <c r="P684" s="32">
        <v>0</v>
      </c>
      <c r="Q684" s="43">
        <f t="shared" si="20"/>
        <v>3793</v>
      </c>
      <c r="R684" s="69">
        <f t="shared" si="21"/>
        <v>3224.05</v>
      </c>
      <c r="S684" s="30"/>
      <c r="T684" s="30"/>
    </row>
    <row r="685" spans="1:20" ht="45" customHeight="1" x14ac:dyDescent="0.3">
      <c r="A685" s="31">
        <v>673</v>
      </c>
      <c r="B685" s="32" t="s">
        <v>2143</v>
      </c>
      <c r="C685" s="32" t="s">
        <v>2296</v>
      </c>
      <c r="D685" s="32" t="s">
        <v>2297</v>
      </c>
      <c r="E685" s="32">
        <v>2021</v>
      </c>
      <c r="F685" s="32" t="s">
        <v>18</v>
      </c>
      <c r="G685" s="32" t="s">
        <v>2386</v>
      </c>
      <c r="H685" s="32" t="s">
        <v>2434</v>
      </c>
      <c r="I685" s="32" t="s">
        <v>571</v>
      </c>
      <c r="J685" s="32">
        <v>6199</v>
      </c>
      <c r="K685" s="32">
        <f>1346+6278+4484+1166</f>
        <v>13274</v>
      </c>
      <c r="L685" s="32">
        <v>0</v>
      </c>
      <c r="M685" s="32">
        <v>0</v>
      </c>
      <c r="N685" s="32">
        <v>3148</v>
      </c>
      <c r="O685" s="32">
        <v>0</v>
      </c>
      <c r="P685" s="32">
        <v>0</v>
      </c>
      <c r="Q685" s="43">
        <f t="shared" si="20"/>
        <v>22621</v>
      </c>
      <c r="R685" s="69">
        <f t="shared" si="21"/>
        <v>19227.849999999999</v>
      </c>
      <c r="S685" s="30"/>
      <c r="T685" s="30"/>
    </row>
    <row r="686" spans="1:20" ht="45" customHeight="1" x14ac:dyDescent="0.3">
      <c r="A686" s="36">
        <v>674</v>
      </c>
      <c r="B686" s="32" t="s">
        <v>2143</v>
      </c>
      <c r="C686" s="32" t="s">
        <v>2298</v>
      </c>
      <c r="D686" s="32" t="s">
        <v>2299</v>
      </c>
      <c r="E686" s="32">
        <v>2024</v>
      </c>
      <c r="F686" s="32" t="s">
        <v>19</v>
      </c>
      <c r="G686" s="32" t="s">
        <v>2387</v>
      </c>
      <c r="H686" s="32" t="s">
        <v>1452</v>
      </c>
      <c r="I686" s="32" t="s">
        <v>282</v>
      </c>
      <c r="J686" s="32">
        <v>6199</v>
      </c>
      <c r="K686" s="32">
        <v>0</v>
      </c>
      <c r="L686" s="32">
        <v>0</v>
      </c>
      <c r="M686" s="32">
        <v>0</v>
      </c>
      <c r="N686" s="32">
        <v>0</v>
      </c>
      <c r="O686" s="32">
        <v>0</v>
      </c>
      <c r="P686" s="32">
        <v>0</v>
      </c>
      <c r="Q686" s="43">
        <f t="shared" si="20"/>
        <v>6199</v>
      </c>
      <c r="R686" s="69">
        <f t="shared" si="21"/>
        <v>5269.15</v>
      </c>
      <c r="S686" s="30"/>
      <c r="T686" s="30"/>
    </row>
    <row r="687" spans="1:20" ht="45" customHeight="1" x14ac:dyDescent="0.3">
      <c r="A687" s="31">
        <v>675</v>
      </c>
      <c r="B687" s="32" t="s">
        <v>2143</v>
      </c>
      <c r="C687" s="32" t="s">
        <v>2300</v>
      </c>
      <c r="D687" s="32" t="s">
        <v>1163</v>
      </c>
      <c r="E687" s="32">
        <v>1985</v>
      </c>
      <c r="F687" s="32" t="s">
        <v>18</v>
      </c>
      <c r="G687" s="32" t="s">
        <v>1217</v>
      </c>
      <c r="H687" s="32" t="s">
        <v>1217</v>
      </c>
      <c r="I687" s="32" t="s">
        <v>300</v>
      </c>
      <c r="J687" s="32">
        <v>3793</v>
      </c>
      <c r="K687" s="32">
        <v>0</v>
      </c>
      <c r="L687" s="32">
        <v>0</v>
      </c>
      <c r="M687" s="32">
        <v>0</v>
      </c>
      <c r="N687" s="32">
        <v>0</v>
      </c>
      <c r="O687" s="32">
        <v>0</v>
      </c>
      <c r="P687" s="32">
        <v>0</v>
      </c>
      <c r="Q687" s="43">
        <f t="shared" si="20"/>
        <v>3793</v>
      </c>
      <c r="R687" s="69">
        <f t="shared" si="21"/>
        <v>3224.05</v>
      </c>
      <c r="S687" s="30"/>
      <c r="T687" s="30"/>
    </row>
    <row r="688" spans="1:20" ht="45" customHeight="1" x14ac:dyDescent="0.3">
      <c r="A688" s="31">
        <v>676</v>
      </c>
      <c r="B688" s="32" t="s">
        <v>2143</v>
      </c>
      <c r="C688" s="32" t="s">
        <v>2301</v>
      </c>
      <c r="D688" s="32" t="s">
        <v>2302</v>
      </c>
      <c r="E688" s="32">
        <v>2021</v>
      </c>
      <c r="F688" s="32" t="s">
        <v>18</v>
      </c>
      <c r="G688" s="32" t="s">
        <v>2388</v>
      </c>
      <c r="H688" s="32" t="s">
        <v>2435</v>
      </c>
      <c r="I688" s="32" t="s">
        <v>1068</v>
      </c>
      <c r="J688" s="32">
        <v>6199</v>
      </c>
      <c r="K688" s="32">
        <f>1346+6278+4484+4484+2332+2332+2332+2332+2332+2332+6995+6995+2332+6995</f>
        <v>53901</v>
      </c>
      <c r="L688" s="32">
        <v>0</v>
      </c>
      <c r="M688" s="32">
        <v>0</v>
      </c>
      <c r="N688" s="32">
        <v>3148</v>
      </c>
      <c r="O688" s="32">
        <v>0</v>
      </c>
      <c r="P688" s="32">
        <v>0</v>
      </c>
      <c r="Q688" s="43">
        <f t="shared" si="20"/>
        <v>63248</v>
      </c>
      <c r="R688" s="69">
        <f t="shared" si="21"/>
        <v>53760.800000000003</v>
      </c>
      <c r="S688" s="30"/>
      <c r="T688" s="30"/>
    </row>
    <row r="689" spans="1:20" ht="45" customHeight="1" x14ac:dyDescent="0.3">
      <c r="A689" s="36">
        <v>677</v>
      </c>
      <c r="B689" s="32" t="s">
        <v>2143</v>
      </c>
      <c r="C689" s="32" t="s">
        <v>2303</v>
      </c>
      <c r="D689" s="32" t="s">
        <v>2304</v>
      </c>
      <c r="E689" s="32">
        <v>1978</v>
      </c>
      <c r="F689" s="32" t="s">
        <v>18</v>
      </c>
      <c r="G689" s="32" t="s">
        <v>2389</v>
      </c>
      <c r="H689" s="32" t="s">
        <v>2389</v>
      </c>
      <c r="I689" s="32" t="s">
        <v>1478</v>
      </c>
      <c r="J689" s="32">
        <v>6199</v>
      </c>
      <c r="K689" s="32">
        <v>0</v>
      </c>
      <c r="L689" s="32">
        <v>0</v>
      </c>
      <c r="M689" s="32">
        <v>0</v>
      </c>
      <c r="N689" s="32">
        <v>0</v>
      </c>
      <c r="O689" s="32">
        <v>0</v>
      </c>
      <c r="P689" s="32">
        <v>0</v>
      </c>
      <c r="Q689" s="43">
        <f t="shared" si="20"/>
        <v>6199</v>
      </c>
      <c r="R689" s="69">
        <f t="shared" si="21"/>
        <v>5269.15</v>
      </c>
      <c r="S689" s="30"/>
      <c r="T689" s="30"/>
    </row>
    <row r="690" spans="1:20" ht="45" customHeight="1" x14ac:dyDescent="0.3">
      <c r="A690" s="31">
        <v>678</v>
      </c>
      <c r="B690" s="32" t="s">
        <v>2143</v>
      </c>
      <c r="C690" s="32" t="s">
        <v>2305</v>
      </c>
      <c r="D690" s="32" t="s">
        <v>2306</v>
      </c>
      <c r="E690" s="32">
        <v>1988</v>
      </c>
      <c r="F690" s="32" t="s">
        <v>18</v>
      </c>
      <c r="G690" s="32" t="s">
        <v>2390</v>
      </c>
      <c r="H690" s="32" t="s">
        <v>2390</v>
      </c>
      <c r="I690" s="32" t="s">
        <v>1081</v>
      </c>
      <c r="J690" s="32">
        <v>6199</v>
      </c>
      <c r="K690" s="32">
        <v>0</v>
      </c>
      <c r="L690" s="32">
        <v>0</v>
      </c>
      <c r="M690" s="32">
        <v>0</v>
      </c>
      <c r="N690" s="32">
        <v>0</v>
      </c>
      <c r="O690" s="32">
        <v>0</v>
      </c>
      <c r="P690" s="32">
        <v>0</v>
      </c>
      <c r="Q690" s="43">
        <f t="shared" si="20"/>
        <v>6199</v>
      </c>
      <c r="R690" s="69">
        <f t="shared" si="21"/>
        <v>5269.15</v>
      </c>
      <c r="S690" s="30"/>
      <c r="T690" s="30"/>
    </row>
    <row r="691" spans="1:20" ht="45" customHeight="1" x14ac:dyDescent="0.3">
      <c r="A691" s="31">
        <v>679</v>
      </c>
      <c r="B691" s="32" t="s">
        <v>2143</v>
      </c>
      <c r="C691" s="32" t="s">
        <v>2307</v>
      </c>
      <c r="D691" s="32" t="s">
        <v>2308</v>
      </c>
      <c r="E691" s="32">
        <v>1999</v>
      </c>
      <c r="F691" s="32" t="s">
        <v>19</v>
      </c>
      <c r="G691" s="32" t="s">
        <v>2391</v>
      </c>
      <c r="H691" s="32" t="s">
        <v>2391</v>
      </c>
      <c r="I691" s="32" t="s">
        <v>1479</v>
      </c>
      <c r="J691" s="32">
        <v>6199</v>
      </c>
      <c r="K691" s="32">
        <f>6278+4484+6995+3228+2332+2332+2243+3000+3000</f>
        <v>33892</v>
      </c>
      <c r="L691" s="32">
        <v>0</v>
      </c>
      <c r="M691" s="32">
        <v>0</v>
      </c>
      <c r="N691" s="32">
        <v>1793</v>
      </c>
      <c r="O691" s="32">
        <v>0</v>
      </c>
      <c r="P691" s="32">
        <v>0</v>
      </c>
      <c r="Q691" s="43">
        <f t="shared" si="20"/>
        <v>41884</v>
      </c>
      <c r="R691" s="69">
        <f t="shared" si="21"/>
        <v>35601.4</v>
      </c>
      <c r="S691" s="30"/>
      <c r="T691" s="30"/>
    </row>
    <row r="692" spans="1:20" ht="45" customHeight="1" x14ac:dyDescent="0.3">
      <c r="A692" s="36">
        <v>680</v>
      </c>
      <c r="B692" s="32" t="s">
        <v>2143</v>
      </c>
      <c r="C692" s="32" t="s">
        <v>2309</v>
      </c>
      <c r="D692" s="32" t="s">
        <v>2310</v>
      </c>
      <c r="E692" s="32">
        <v>2024</v>
      </c>
      <c r="F692" s="32" t="s">
        <v>19</v>
      </c>
      <c r="G692" s="32" t="s">
        <v>2392</v>
      </c>
      <c r="H692" s="32" t="s">
        <v>2436</v>
      </c>
      <c r="I692" s="32" t="s">
        <v>32</v>
      </c>
      <c r="J692" s="32">
        <v>6199</v>
      </c>
      <c r="K692" s="32">
        <v>0</v>
      </c>
      <c r="L692" s="32">
        <v>0</v>
      </c>
      <c r="M692" s="32">
        <v>0</v>
      </c>
      <c r="N692" s="32">
        <v>24937</v>
      </c>
      <c r="O692" s="32">
        <v>0</v>
      </c>
      <c r="P692" s="32">
        <v>0</v>
      </c>
      <c r="Q692" s="43">
        <f t="shared" si="20"/>
        <v>31136</v>
      </c>
      <c r="R692" s="69">
        <f t="shared" si="21"/>
        <v>26465.599999999999</v>
      </c>
      <c r="S692" s="30"/>
      <c r="T692" s="30"/>
    </row>
    <row r="693" spans="1:20" ht="45" customHeight="1" x14ac:dyDescent="0.3">
      <c r="A693" s="31">
        <v>681</v>
      </c>
      <c r="B693" s="32" t="s">
        <v>2143</v>
      </c>
      <c r="C693" s="32" t="s">
        <v>2311</v>
      </c>
      <c r="D693" s="32" t="s">
        <v>2312</v>
      </c>
      <c r="E693" s="32">
        <v>1988</v>
      </c>
      <c r="F693" s="32" t="s">
        <v>19</v>
      </c>
      <c r="G693" s="32" t="s">
        <v>2393</v>
      </c>
      <c r="H693" s="32" t="s">
        <v>2437</v>
      </c>
      <c r="I693" s="32" t="s">
        <v>2476</v>
      </c>
      <c r="J693" s="32">
        <v>6199</v>
      </c>
      <c r="K693" s="32">
        <v>0</v>
      </c>
      <c r="L693" s="32">
        <v>20807</v>
      </c>
      <c r="M693" s="32">
        <v>0</v>
      </c>
      <c r="N693" s="32">
        <v>0</v>
      </c>
      <c r="O693" s="32">
        <v>0</v>
      </c>
      <c r="P693" s="32">
        <v>0</v>
      </c>
      <c r="Q693" s="43">
        <f t="shared" si="20"/>
        <v>27006</v>
      </c>
      <c r="R693" s="69">
        <f t="shared" si="21"/>
        <v>22955.1</v>
      </c>
      <c r="S693" s="30"/>
      <c r="T693" s="30"/>
    </row>
    <row r="694" spans="1:20" ht="45" customHeight="1" x14ac:dyDescent="0.3">
      <c r="A694" s="31">
        <v>682</v>
      </c>
      <c r="B694" s="32" t="s">
        <v>2143</v>
      </c>
      <c r="C694" s="32" t="s">
        <v>7236</v>
      </c>
      <c r="D694" s="34" t="s">
        <v>2511</v>
      </c>
      <c r="E694" s="32">
        <v>2006</v>
      </c>
      <c r="F694" s="32" t="s">
        <v>19</v>
      </c>
      <c r="G694" s="32" t="s">
        <v>2564</v>
      </c>
      <c r="H694" s="32" t="s">
        <v>2597</v>
      </c>
      <c r="I694" s="32" t="s">
        <v>278</v>
      </c>
      <c r="J694" s="32">
        <v>6199</v>
      </c>
      <c r="K694" s="32">
        <f>6278+4484+2332+2332+2332+6995+2332+2332+2332+3000+3228+6995+6995+2332+6995+1346</f>
        <v>62640</v>
      </c>
      <c r="L694" s="32">
        <v>0</v>
      </c>
      <c r="M694" s="32">
        <v>0</v>
      </c>
      <c r="N694" s="32">
        <v>1793</v>
      </c>
      <c r="O694" s="32">
        <v>0</v>
      </c>
      <c r="P694" s="32">
        <v>0</v>
      </c>
      <c r="Q694" s="43">
        <f t="shared" si="20"/>
        <v>70632</v>
      </c>
      <c r="R694" s="69">
        <f t="shared" si="21"/>
        <v>60037.2</v>
      </c>
      <c r="S694" s="30"/>
      <c r="T694" s="30"/>
    </row>
    <row r="695" spans="1:20" ht="45" customHeight="1" x14ac:dyDescent="0.3">
      <c r="A695" s="36">
        <v>683</v>
      </c>
      <c r="B695" s="32" t="s">
        <v>2143</v>
      </c>
      <c r="C695" s="32" t="s">
        <v>7236</v>
      </c>
      <c r="D695" s="34" t="s">
        <v>2511</v>
      </c>
      <c r="E695" s="32">
        <v>2006</v>
      </c>
      <c r="F695" s="32" t="s">
        <v>19</v>
      </c>
      <c r="G695" s="32" t="s">
        <v>2564</v>
      </c>
      <c r="H695" s="32" t="s">
        <v>2597</v>
      </c>
      <c r="I695" s="32" t="s">
        <v>278</v>
      </c>
      <c r="J695" s="32">
        <v>0</v>
      </c>
      <c r="K695" s="32">
        <v>0</v>
      </c>
      <c r="L695" s="32">
        <v>0</v>
      </c>
      <c r="M695" s="32">
        <v>17688</v>
      </c>
      <c r="N695" s="32">
        <f>2088+1178</f>
        <v>3266</v>
      </c>
      <c r="O695" s="32">
        <v>0</v>
      </c>
      <c r="P695" s="32">
        <f>720+1080+312+144+720</f>
        <v>2976</v>
      </c>
      <c r="Q695" s="43">
        <f t="shared" si="20"/>
        <v>23930</v>
      </c>
      <c r="R695" s="69">
        <f t="shared" si="21"/>
        <v>20340.5</v>
      </c>
      <c r="S695" s="30"/>
      <c r="T695" s="30"/>
    </row>
    <row r="696" spans="1:20" s="41" customFormat="1" ht="45" customHeight="1" x14ac:dyDescent="0.3">
      <c r="A696" s="31">
        <v>684</v>
      </c>
      <c r="B696" s="38" t="s">
        <v>2143</v>
      </c>
      <c r="C696" s="38" t="s">
        <v>7237</v>
      </c>
      <c r="D696" s="39" t="s">
        <v>1777</v>
      </c>
      <c r="E696" s="38">
        <v>2021</v>
      </c>
      <c r="F696" s="38" t="s">
        <v>19</v>
      </c>
      <c r="G696" s="38" t="s">
        <v>1835</v>
      </c>
      <c r="H696" s="38" t="s">
        <v>1875</v>
      </c>
      <c r="I696" s="38" t="s">
        <v>1267</v>
      </c>
      <c r="J696" s="38">
        <v>0</v>
      </c>
      <c r="K696" s="38">
        <f>1346+6278+4484+4484+2332+2332+2332+2332+2332+2332+6995+6995+2332+6995</f>
        <v>53901</v>
      </c>
      <c r="L696" s="38">
        <v>0</v>
      </c>
      <c r="M696" s="38">
        <v>0</v>
      </c>
      <c r="N696" s="38">
        <f>3148+4053+1178+2088</f>
        <v>10467</v>
      </c>
      <c r="O696" s="38">
        <v>0</v>
      </c>
      <c r="P696" s="38">
        <f>720+1080+360+56+1200</f>
        <v>3416</v>
      </c>
      <c r="Q696" s="43">
        <f t="shared" si="20"/>
        <v>67784</v>
      </c>
      <c r="R696" s="69">
        <f t="shared" si="21"/>
        <v>57616.4</v>
      </c>
      <c r="S696" s="40"/>
      <c r="T696" s="40"/>
    </row>
    <row r="697" spans="1:20" ht="45" customHeight="1" x14ac:dyDescent="0.3">
      <c r="A697" s="31">
        <v>685</v>
      </c>
      <c r="B697" s="32" t="s">
        <v>2143</v>
      </c>
      <c r="C697" s="32" t="s">
        <v>7237</v>
      </c>
      <c r="D697" s="34" t="s">
        <v>1777</v>
      </c>
      <c r="E697" s="32">
        <v>2021</v>
      </c>
      <c r="F697" s="32" t="s">
        <v>19</v>
      </c>
      <c r="G697" s="32" t="s">
        <v>1835</v>
      </c>
      <c r="H697" s="32" t="s">
        <v>1875</v>
      </c>
      <c r="I697" s="32" t="s">
        <v>1267</v>
      </c>
      <c r="J697" s="32">
        <v>0</v>
      </c>
      <c r="K697" s="32">
        <v>0</v>
      </c>
      <c r="L697" s="32">
        <v>0</v>
      </c>
      <c r="M697" s="32">
        <v>17688</v>
      </c>
      <c r="N697" s="32">
        <v>0</v>
      </c>
      <c r="O697" s="32">
        <v>0</v>
      </c>
      <c r="P697" s="32">
        <f>360+56+1200</f>
        <v>1616</v>
      </c>
      <c r="Q697" s="43">
        <f t="shared" si="20"/>
        <v>19304</v>
      </c>
      <c r="R697" s="69">
        <f t="shared" si="21"/>
        <v>16408.400000000001</v>
      </c>
      <c r="S697" s="30"/>
      <c r="T697" s="30"/>
    </row>
    <row r="698" spans="1:20" ht="45" customHeight="1" x14ac:dyDescent="0.3">
      <c r="A698" s="36">
        <v>686</v>
      </c>
      <c r="B698" s="32" t="s">
        <v>2143</v>
      </c>
      <c r="C698" s="32" t="s">
        <v>7238</v>
      </c>
      <c r="D698" s="34" t="s">
        <v>3697</v>
      </c>
      <c r="E698" s="32">
        <v>2020</v>
      </c>
      <c r="F698" s="32" t="s">
        <v>19</v>
      </c>
      <c r="G698" s="32" t="s">
        <v>3698</v>
      </c>
      <c r="H698" s="32" t="s">
        <v>2423</v>
      </c>
      <c r="I698" s="32" t="s">
        <v>3699</v>
      </c>
      <c r="J698" s="32">
        <v>6199</v>
      </c>
      <c r="K698" s="32">
        <f>1346+6278+4484+2332+2332+2332+2332+2332+2332+6995+6995+2332+6995+4484</f>
        <v>53901</v>
      </c>
      <c r="L698" s="32">
        <v>0</v>
      </c>
      <c r="M698" s="32">
        <v>0</v>
      </c>
      <c r="N698" s="32">
        <f>3148+1178+4053+2088</f>
        <v>10467</v>
      </c>
      <c r="O698" s="32">
        <v>0</v>
      </c>
      <c r="P698" s="32">
        <f>720+1080+120+360+56</f>
        <v>2336</v>
      </c>
      <c r="Q698" s="43">
        <f t="shared" si="20"/>
        <v>72903</v>
      </c>
      <c r="R698" s="69">
        <f t="shared" si="21"/>
        <v>61967.55</v>
      </c>
      <c r="S698" s="30"/>
      <c r="T698" s="30"/>
    </row>
    <row r="699" spans="1:20" ht="45" customHeight="1" x14ac:dyDescent="0.3">
      <c r="A699" s="31">
        <v>687</v>
      </c>
      <c r="B699" s="32" t="s">
        <v>2143</v>
      </c>
      <c r="C699" s="32" t="s">
        <v>7238</v>
      </c>
      <c r="D699" s="34" t="s">
        <v>3697</v>
      </c>
      <c r="E699" s="32">
        <v>2020</v>
      </c>
      <c r="F699" s="32" t="s">
        <v>19</v>
      </c>
      <c r="G699" s="32" t="s">
        <v>3698</v>
      </c>
      <c r="H699" s="32" t="s">
        <v>2423</v>
      </c>
      <c r="I699" s="32" t="s">
        <v>3699</v>
      </c>
      <c r="J699" s="32">
        <v>0</v>
      </c>
      <c r="K699" s="32">
        <v>0</v>
      </c>
      <c r="L699" s="32">
        <v>0</v>
      </c>
      <c r="M699" s="32">
        <v>17688</v>
      </c>
      <c r="N699" s="32">
        <v>0</v>
      </c>
      <c r="O699" s="32">
        <v>0</v>
      </c>
      <c r="P699" s="32">
        <f>360+56</f>
        <v>416</v>
      </c>
      <c r="Q699" s="43">
        <f t="shared" si="20"/>
        <v>18104</v>
      </c>
      <c r="R699" s="69">
        <f t="shared" si="21"/>
        <v>15388.4</v>
      </c>
      <c r="S699" s="30"/>
      <c r="T699" s="30"/>
    </row>
    <row r="700" spans="1:20" ht="45" customHeight="1" x14ac:dyDescent="0.3">
      <c r="A700" s="31">
        <v>688</v>
      </c>
      <c r="B700" s="32" t="s">
        <v>2143</v>
      </c>
      <c r="C700" s="32" t="s">
        <v>7239</v>
      </c>
      <c r="D700" s="34" t="s">
        <v>3700</v>
      </c>
      <c r="E700" s="32">
        <v>2021</v>
      </c>
      <c r="F700" s="32" t="s">
        <v>19</v>
      </c>
      <c r="G700" s="32" t="s">
        <v>3701</v>
      </c>
      <c r="H700" s="32" t="s">
        <v>3702</v>
      </c>
      <c r="I700" s="32" t="s">
        <v>3703</v>
      </c>
      <c r="J700" s="32">
        <v>6199</v>
      </c>
      <c r="K700" s="32">
        <f>6278+4484+1346+4484+2332+2332+2332+2332+1166+2332+6995+6995+2332+6995</f>
        <v>52735</v>
      </c>
      <c r="L700" s="32">
        <v>0</v>
      </c>
      <c r="M700" s="32">
        <v>0</v>
      </c>
      <c r="N700" s="32">
        <f>3148+2088+4053</f>
        <v>9289</v>
      </c>
      <c r="O700" s="32">
        <v>0</v>
      </c>
      <c r="P700" s="32">
        <f>720+1080+1200+360+56</f>
        <v>3416</v>
      </c>
      <c r="Q700" s="43">
        <f t="shared" si="20"/>
        <v>71639</v>
      </c>
      <c r="R700" s="69">
        <f t="shared" si="21"/>
        <v>60893.15</v>
      </c>
      <c r="S700" s="30"/>
      <c r="T700" s="30"/>
    </row>
    <row r="701" spans="1:20" ht="45" customHeight="1" x14ac:dyDescent="0.3">
      <c r="A701" s="36">
        <v>689</v>
      </c>
      <c r="B701" s="32" t="s">
        <v>2143</v>
      </c>
      <c r="C701" s="32" t="s">
        <v>7239</v>
      </c>
      <c r="D701" s="34" t="s">
        <v>3700</v>
      </c>
      <c r="E701" s="32">
        <v>2021</v>
      </c>
      <c r="F701" s="32" t="s">
        <v>19</v>
      </c>
      <c r="G701" s="32" t="s">
        <v>3701</v>
      </c>
      <c r="H701" s="32" t="s">
        <v>3702</v>
      </c>
      <c r="I701" s="32" t="s">
        <v>3703</v>
      </c>
      <c r="J701" s="32">
        <v>0</v>
      </c>
      <c r="K701" s="32">
        <v>0</v>
      </c>
      <c r="L701" s="32">
        <v>0</v>
      </c>
      <c r="M701" s="32">
        <v>17688</v>
      </c>
      <c r="N701" s="32">
        <v>0</v>
      </c>
      <c r="O701" s="32">
        <v>0</v>
      </c>
      <c r="P701" s="32">
        <f>360+56</f>
        <v>416</v>
      </c>
      <c r="Q701" s="43">
        <f t="shared" si="20"/>
        <v>18104</v>
      </c>
      <c r="R701" s="69">
        <f t="shared" si="21"/>
        <v>15388.4</v>
      </c>
      <c r="S701" s="30"/>
      <c r="T701" s="30"/>
    </row>
    <row r="702" spans="1:20" ht="45" customHeight="1" x14ac:dyDescent="0.3">
      <c r="A702" s="31">
        <v>690</v>
      </c>
      <c r="B702" s="32" t="s">
        <v>2143</v>
      </c>
      <c r="C702" s="32" t="s">
        <v>7240</v>
      </c>
      <c r="D702" s="34" t="s">
        <v>1788</v>
      </c>
      <c r="E702" s="32">
        <v>2025</v>
      </c>
      <c r="F702" s="32" t="s">
        <v>19</v>
      </c>
      <c r="G702" s="32" t="s">
        <v>1840</v>
      </c>
      <c r="H702" s="32" t="s">
        <v>1878</v>
      </c>
      <c r="I702" s="32" t="s">
        <v>1901</v>
      </c>
      <c r="J702" s="32">
        <v>2900</v>
      </c>
      <c r="K702" s="32">
        <v>0</v>
      </c>
      <c r="L702" s="32">
        <v>0</v>
      </c>
      <c r="M702" s="32">
        <v>0</v>
      </c>
      <c r="N702" s="32">
        <v>2088</v>
      </c>
      <c r="O702" s="32">
        <v>0</v>
      </c>
      <c r="P702" s="32">
        <f>360+56</f>
        <v>416</v>
      </c>
      <c r="Q702" s="43">
        <f t="shared" si="20"/>
        <v>5404</v>
      </c>
      <c r="R702" s="69">
        <f t="shared" si="21"/>
        <v>4593.3999999999996</v>
      </c>
      <c r="S702" s="30" t="s">
        <v>3704</v>
      </c>
      <c r="T702" s="30"/>
    </row>
    <row r="703" spans="1:20" ht="45" customHeight="1" x14ac:dyDescent="0.3">
      <c r="A703" s="31">
        <v>691</v>
      </c>
      <c r="B703" s="32" t="s">
        <v>2477</v>
      </c>
      <c r="C703" s="32" t="s">
        <v>2478</v>
      </c>
      <c r="D703" s="34" t="s">
        <v>2479</v>
      </c>
      <c r="E703" s="32">
        <v>2025</v>
      </c>
      <c r="F703" s="32" t="s">
        <v>18</v>
      </c>
      <c r="G703" s="32" t="s">
        <v>2550</v>
      </c>
      <c r="H703" s="32" t="s">
        <v>2586</v>
      </c>
      <c r="I703" s="32" t="s">
        <v>2615</v>
      </c>
      <c r="J703" s="32">
        <v>6199</v>
      </c>
      <c r="K703" s="32">
        <f>1346+6278+4484</f>
        <v>12108</v>
      </c>
      <c r="L703" s="32">
        <v>0</v>
      </c>
      <c r="M703" s="32">
        <v>0</v>
      </c>
      <c r="N703" s="32">
        <v>3148</v>
      </c>
      <c r="O703" s="32">
        <v>0</v>
      </c>
      <c r="P703" s="32">
        <v>0</v>
      </c>
      <c r="Q703" s="43">
        <f t="shared" si="20"/>
        <v>21455</v>
      </c>
      <c r="R703" s="69">
        <f t="shared" si="21"/>
        <v>18236.75</v>
      </c>
      <c r="S703" s="30"/>
      <c r="T703" s="30"/>
    </row>
    <row r="704" spans="1:20" ht="45" customHeight="1" x14ac:dyDescent="0.3">
      <c r="A704" s="36">
        <v>692</v>
      </c>
      <c r="B704" s="32" t="s">
        <v>2477</v>
      </c>
      <c r="C704" s="32" t="s">
        <v>2480</v>
      </c>
      <c r="D704" s="32" t="s">
        <v>2481</v>
      </c>
      <c r="E704" s="32">
        <v>1982</v>
      </c>
      <c r="F704" s="32" t="s">
        <v>18</v>
      </c>
      <c r="G704" s="32" t="s">
        <v>2551</v>
      </c>
      <c r="H704" s="32" t="s">
        <v>2551</v>
      </c>
      <c r="I704" s="32" t="s">
        <v>2616</v>
      </c>
      <c r="J704" s="32">
        <v>6199</v>
      </c>
      <c r="K704" s="32">
        <f>6278+4484+4484+2332+2332+2332+2332+2332+2332+3000+3000+2332+2332+1346+1346+3228+4484+4484+2332+4484</f>
        <v>61606</v>
      </c>
      <c r="L704" s="32">
        <v>13298</v>
      </c>
      <c r="M704" s="32">
        <v>0</v>
      </c>
      <c r="N704" s="32">
        <v>1793</v>
      </c>
      <c r="O704" s="32">
        <v>0</v>
      </c>
      <c r="P704" s="32">
        <v>0</v>
      </c>
      <c r="Q704" s="43">
        <f t="shared" si="20"/>
        <v>82896</v>
      </c>
      <c r="R704" s="69">
        <f t="shared" si="21"/>
        <v>70461.600000000006</v>
      </c>
      <c r="S704" s="30"/>
      <c r="T704" s="30"/>
    </row>
    <row r="705" spans="1:20" ht="45" customHeight="1" x14ac:dyDescent="0.3">
      <c r="A705" s="31">
        <v>693</v>
      </c>
      <c r="B705" s="32" t="s">
        <v>2477</v>
      </c>
      <c r="C705" s="32" t="s">
        <v>2482</v>
      </c>
      <c r="D705" s="32" t="s">
        <v>2483</v>
      </c>
      <c r="E705" s="32">
        <v>2022</v>
      </c>
      <c r="F705" s="32" t="s">
        <v>19</v>
      </c>
      <c r="G705" s="32" t="s">
        <v>2552</v>
      </c>
      <c r="H705" s="32" t="s">
        <v>1875</v>
      </c>
      <c r="I705" s="32" t="s">
        <v>1267</v>
      </c>
      <c r="J705" s="32">
        <v>3793</v>
      </c>
      <c r="K705" s="32">
        <f>1346+6278+4484+4484+2332+2332+2332+2332+2332+2332+6995+6995+2332+6995</f>
        <v>53901</v>
      </c>
      <c r="L705" s="32">
        <v>0</v>
      </c>
      <c r="M705" s="32">
        <v>0</v>
      </c>
      <c r="N705" s="32">
        <v>3148</v>
      </c>
      <c r="O705" s="32">
        <v>0</v>
      </c>
      <c r="P705" s="32">
        <v>63</v>
      </c>
      <c r="Q705" s="43">
        <f t="shared" si="20"/>
        <v>60905</v>
      </c>
      <c r="R705" s="69">
        <f t="shared" si="21"/>
        <v>51769.25</v>
      </c>
      <c r="S705" s="30"/>
      <c r="T705" s="30"/>
    </row>
    <row r="706" spans="1:20" ht="45" customHeight="1" x14ac:dyDescent="0.3">
      <c r="A706" s="31">
        <v>694</v>
      </c>
      <c r="B706" s="32" t="s">
        <v>2477</v>
      </c>
      <c r="C706" s="32" t="s">
        <v>2484</v>
      </c>
      <c r="D706" s="32" t="s">
        <v>871</v>
      </c>
      <c r="E706" s="32">
        <v>1990</v>
      </c>
      <c r="F706" s="32" t="s">
        <v>19</v>
      </c>
      <c r="G706" s="32" t="s">
        <v>969</v>
      </c>
      <c r="H706" s="32" t="s">
        <v>1017</v>
      </c>
      <c r="I706" s="32" t="s">
        <v>1048</v>
      </c>
      <c r="J706" s="32">
        <v>6199</v>
      </c>
      <c r="K706" s="32">
        <v>0</v>
      </c>
      <c r="L706" s="32">
        <v>0</v>
      </c>
      <c r="M706" s="32">
        <v>0</v>
      </c>
      <c r="N706" s="32">
        <f>303362+15443</f>
        <v>318805</v>
      </c>
      <c r="O706" s="32">
        <v>0</v>
      </c>
      <c r="P706" s="32">
        <v>0</v>
      </c>
      <c r="Q706" s="43">
        <f t="shared" si="20"/>
        <v>325004</v>
      </c>
      <c r="R706" s="69">
        <f t="shared" si="21"/>
        <v>276253.40000000002</v>
      </c>
      <c r="S706" s="30"/>
      <c r="T706" s="30"/>
    </row>
    <row r="707" spans="1:20" ht="45" customHeight="1" x14ac:dyDescent="0.3">
      <c r="A707" s="36">
        <v>695</v>
      </c>
      <c r="B707" s="32" t="s">
        <v>2477</v>
      </c>
      <c r="C707" s="32" t="s">
        <v>2485</v>
      </c>
      <c r="D707" s="32" t="s">
        <v>2486</v>
      </c>
      <c r="E707" s="32">
        <v>2022</v>
      </c>
      <c r="F707" s="32" t="s">
        <v>19</v>
      </c>
      <c r="G707" s="32" t="s">
        <v>2553</v>
      </c>
      <c r="H707" s="32" t="s">
        <v>2554</v>
      </c>
      <c r="I707" s="32" t="s">
        <v>2617</v>
      </c>
      <c r="J707" s="32">
        <v>6199</v>
      </c>
      <c r="K707" s="32">
        <f>1346+6278+4484+1166+4484</f>
        <v>17758</v>
      </c>
      <c r="L707" s="32">
        <v>0</v>
      </c>
      <c r="M707" s="32">
        <v>0</v>
      </c>
      <c r="N707" s="32">
        <v>3148</v>
      </c>
      <c r="O707" s="32">
        <v>0</v>
      </c>
      <c r="P707" s="32">
        <v>0</v>
      </c>
      <c r="Q707" s="43">
        <f t="shared" si="20"/>
        <v>27105</v>
      </c>
      <c r="R707" s="69">
        <f t="shared" si="21"/>
        <v>23039.25</v>
      </c>
      <c r="S707" s="30"/>
      <c r="T707" s="30"/>
    </row>
    <row r="708" spans="1:20" ht="45" customHeight="1" x14ac:dyDescent="0.3">
      <c r="A708" s="31">
        <v>696</v>
      </c>
      <c r="B708" s="32" t="s">
        <v>2477</v>
      </c>
      <c r="C708" s="32" t="s">
        <v>2487</v>
      </c>
      <c r="D708" s="32" t="s">
        <v>2488</v>
      </c>
      <c r="E708" s="32">
        <v>1995</v>
      </c>
      <c r="F708" s="32" t="s">
        <v>19</v>
      </c>
      <c r="G708" s="32" t="s">
        <v>2554</v>
      </c>
      <c r="H708" s="32" t="s">
        <v>2554</v>
      </c>
      <c r="I708" s="32" t="s">
        <v>2617</v>
      </c>
      <c r="J708" s="32">
        <v>6199</v>
      </c>
      <c r="K708" s="32">
        <v>0</v>
      </c>
      <c r="L708" s="32">
        <v>0</v>
      </c>
      <c r="M708" s="32">
        <v>0</v>
      </c>
      <c r="N708" s="32">
        <v>9871</v>
      </c>
      <c r="O708" s="32">
        <v>0</v>
      </c>
      <c r="P708" s="32">
        <v>0</v>
      </c>
      <c r="Q708" s="43">
        <f t="shared" si="20"/>
        <v>16070</v>
      </c>
      <c r="R708" s="69">
        <f t="shared" si="21"/>
        <v>13659.5</v>
      </c>
      <c r="S708" s="30"/>
      <c r="T708" s="30"/>
    </row>
    <row r="709" spans="1:20" ht="45" customHeight="1" x14ac:dyDescent="0.3">
      <c r="A709" s="31">
        <v>697</v>
      </c>
      <c r="B709" s="32" t="s">
        <v>2477</v>
      </c>
      <c r="C709" s="32" t="s">
        <v>2489</v>
      </c>
      <c r="D709" s="32" t="s">
        <v>2490</v>
      </c>
      <c r="E709" s="32">
        <v>2022</v>
      </c>
      <c r="F709" s="32" t="s">
        <v>19</v>
      </c>
      <c r="G709" s="32" t="s">
        <v>2555</v>
      </c>
      <c r="H709" s="32" t="s">
        <v>2587</v>
      </c>
      <c r="I709" s="32" t="s">
        <v>2618</v>
      </c>
      <c r="J709" s="32">
        <v>6199</v>
      </c>
      <c r="K709" s="32">
        <f>1346+6278+4484+4484+2332+2332+2332+2332+2332+2332+6995+6995+2332+6995</f>
        <v>53901</v>
      </c>
      <c r="L709" s="32">
        <v>0</v>
      </c>
      <c r="M709" s="32">
        <v>0</v>
      </c>
      <c r="N709" s="32">
        <f>3148+4053+1178+2088</f>
        <v>10467</v>
      </c>
      <c r="O709" s="32">
        <v>0</v>
      </c>
      <c r="P709" s="32">
        <f>720+1080+120+720+112</f>
        <v>2752</v>
      </c>
      <c r="Q709" s="43">
        <f t="shared" si="20"/>
        <v>73319</v>
      </c>
      <c r="R709" s="69">
        <f t="shared" si="21"/>
        <v>62321.15</v>
      </c>
      <c r="S709" s="30"/>
      <c r="T709" s="30"/>
    </row>
    <row r="710" spans="1:20" ht="45" customHeight="1" x14ac:dyDescent="0.3">
      <c r="A710" s="36">
        <v>698</v>
      </c>
      <c r="B710" s="32" t="s">
        <v>2477</v>
      </c>
      <c r="C710" s="32" t="s">
        <v>2491</v>
      </c>
      <c r="D710" s="32" t="s">
        <v>1792</v>
      </c>
      <c r="E710" s="32">
        <v>2019</v>
      </c>
      <c r="F710" s="32" t="s">
        <v>18</v>
      </c>
      <c r="G710" s="32" t="s">
        <v>1841</v>
      </c>
      <c r="H710" s="32" t="s">
        <v>1879</v>
      </c>
      <c r="I710" s="32" t="s">
        <v>1902</v>
      </c>
      <c r="J710" s="32">
        <v>3793</v>
      </c>
      <c r="K710" s="32">
        <f>1346+6278+4484+2332+2332+2332+2332+2332</f>
        <v>23768</v>
      </c>
      <c r="L710" s="32">
        <v>0</v>
      </c>
      <c r="M710" s="32">
        <v>0</v>
      </c>
      <c r="N710" s="32">
        <v>0</v>
      </c>
      <c r="O710" s="32">
        <v>0</v>
      </c>
      <c r="P710" s="32">
        <v>0</v>
      </c>
      <c r="Q710" s="43">
        <f t="shared" si="20"/>
        <v>27561</v>
      </c>
      <c r="R710" s="69">
        <f t="shared" si="21"/>
        <v>23426.85</v>
      </c>
      <c r="S710" s="30"/>
      <c r="T710" s="30"/>
    </row>
    <row r="711" spans="1:20" ht="45" customHeight="1" x14ac:dyDescent="0.3">
      <c r="A711" s="31">
        <v>699</v>
      </c>
      <c r="B711" s="32" t="s">
        <v>2477</v>
      </c>
      <c r="C711" s="32" t="s">
        <v>2492</v>
      </c>
      <c r="D711" s="32" t="s">
        <v>2493</v>
      </c>
      <c r="E711" s="32">
        <v>2025</v>
      </c>
      <c r="F711" s="32" t="s">
        <v>19</v>
      </c>
      <c r="G711" s="32" t="s">
        <v>2556</v>
      </c>
      <c r="H711" s="32" t="s">
        <v>2588</v>
      </c>
      <c r="I711" s="32" t="s">
        <v>2619</v>
      </c>
      <c r="J711" s="32">
        <v>6199</v>
      </c>
      <c r="K711" s="32">
        <f>1346+6278+4484+4484</f>
        <v>16592</v>
      </c>
      <c r="L711" s="32">
        <v>0</v>
      </c>
      <c r="M711" s="32">
        <v>0</v>
      </c>
      <c r="N711" s="32">
        <v>3148</v>
      </c>
      <c r="O711" s="32">
        <v>0</v>
      </c>
      <c r="P711" s="32">
        <v>0</v>
      </c>
      <c r="Q711" s="43">
        <f t="shared" si="20"/>
        <v>25939</v>
      </c>
      <c r="R711" s="69">
        <f t="shared" si="21"/>
        <v>22048.15</v>
      </c>
      <c r="S711" s="30"/>
      <c r="T711" s="30"/>
    </row>
    <row r="712" spans="1:20" ht="45" customHeight="1" x14ac:dyDescent="0.3">
      <c r="A712" s="31">
        <v>700</v>
      </c>
      <c r="B712" s="32" t="s">
        <v>2477</v>
      </c>
      <c r="C712" s="32" t="s">
        <v>2494</v>
      </c>
      <c r="D712" s="32" t="s">
        <v>2495</v>
      </c>
      <c r="E712" s="32">
        <v>2020</v>
      </c>
      <c r="F712" s="32" t="s">
        <v>18</v>
      </c>
      <c r="G712" s="32" t="s">
        <v>2557</v>
      </c>
      <c r="H712" s="32" t="s">
        <v>2589</v>
      </c>
      <c r="I712" s="32" t="s">
        <v>2620</v>
      </c>
      <c r="J712" s="32">
        <v>6199</v>
      </c>
      <c r="K712" s="32">
        <f>2332+2332</f>
        <v>4664</v>
      </c>
      <c r="L712" s="32">
        <v>0</v>
      </c>
      <c r="M712" s="32">
        <v>0</v>
      </c>
      <c r="N712" s="32">
        <v>0</v>
      </c>
      <c r="O712" s="32">
        <v>0</v>
      </c>
      <c r="P712" s="32">
        <v>0</v>
      </c>
      <c r="Q712" s="43">
        <f t="shared" si="20"/>
        <v>10863</v>
      </c>
      <c r="R712" s="69">
        <f t="shared" si="21"/>
        <v>9233.5499999999993</v>
      </c>
      <c r="S712" s="30"/>
      <c r="T712" s="30"/>
    </row>
    <row r="713" spans="1:20" ht="45" customHeight="1" x14ac:dyDescent="0.3">
      <c r="A713" s="36">
        <v>701</v>
      </c>
      <c r="B713" s="32" t="s">
        <v>2477</v>
      </c>
      <c r="C713" s="32" t="s">
        <v>2496</v>
      </c>
      <c r="D713" s="32" t="s">
        <v>2497</v>
      </c>
      <c r="E713" s="32">
        <v>2022</v>
      </c>
      <c r="F713" s="32" t="s">
        <v>18</v>
      </c>
      <c r="G713" s="32" t="s">
        <v>2558</v>
      </c>
      <c r="H713" s="32" t="s">
        <v>2590</v>
      </c>
      <c r="I713" s="32" t="s">
        <v>2621</v>
      </c>
      <c r="J713" s="32">
        <v>6199</v>
      </c>
      <c r="K713" s="32">
        <v>0</v>
      </c>
      <c r="L713" s="32">
        <v>0</v>
      </c>
      <c r="M713" s="32">
        <v>0</v>
      </c>
      <c r="N713" s="32">
        <v>0</v>
      </c>
      <c r="O713" s="32">
        <v>0</v>
      </c>
      <c r="P713" s="32">
        <v>0</v>
      </c>
      <c r="Q713" s="43">
        <f t="shared" si="20"/>
        <v>6199</v>
      </c>
      <c r="R713" s="69">
        <f t="shared" si="21"/>
        <v>5269.15</v>
      </c>
      <c r="S713" s="30"/>
      <c r="T713" s="30"/>
    </row>
    <row r="714" spans="1:20" ht="45" customHeight="1" x14ac:dyDescent="0.3">
      <c r="A714" s="31">
        <v>702</v>
      </c>
      <c r="B714" s="32" t="s">
        <v>2477</v>
      </c>
      <c r="C714" s="32" t="s">
        <v>2498</v>
      </c>
      <c r="D714" s="32" t="s">
        <v>2499</v>
      </c>
      <c r="E714" s="32">
        <v>1989</v>
      </c>
      <c r="F714" s="32" t="s">
        <v>19</v>
      </c>
      <c r="G714" s="32" t="s">
        <v>2559</v>
      </c>
      <c r="H714" s="32" t="s">
        <v>2591</v>
      </c>
      <c r="I714" s="32" t="s">
        <v>2622</v>
      </c>
      <c r="J714" s="32">
        <v>6199</v>
      </c>
      <c r="K714" s="32">
        <v>0</v>
      </c>
      <c r="L714" s="32">
        <v>0</v>
      </c>
      <c r="M714" s="32">
        <v>0</v>
      </c>
      <c r="N714" s="32">
        <v>38478</v>
      </c>
      <c r="O714" s="32">
        <v>0</v>
      </c>
      <c r="P714" s="32">
        <v>0</v>
      </c>
      <c r="Q714" s="43">
        <f t="shared" si="20"/>
        <v>44677</v>
      </c>
      <c r="R714" s="69">
        <f t="shared" si="21"/>
        <v>37975.449999999997</v>
      </c>
      <c r="S714" s="30"/>
      <c r="T714" s="30"/>
    </row>
    <row r="715" spans="1:20" ht="45" customHeight="1" x14ac:dyDescent="0.3">
      <c r="A715" s="31">
        <v>703</v>
      </c>
      <c r="B715" s="32" t="s">
        <v>2477</v>
      </c>
      <c r="C715" s="32" t="s">
        <v>2500</v>
      </c>
      <c r="D715" s="32" t="s">
        <v>2499</v>
      </c>
      <c r="E715" s="32">
        <v>1989</v>
      </c>
      <c r="F715" s="32" t="s">
        <v>19</v>
      </c>
      <c r="G715" s="32" t="s">
        <v>2559</v>
      </c>
      <c r="H715" s="32" t="s">
        <v>2591</v>
      </c>
      <c r="I715" s="32" t="s">
        <v>2622</v>
      </c>
      <c r="J715" s="32">
        <v>6199</v>
      </c>
      <c r="K715" s="32">
        <v>0</v>
      </c>
      <c r="L715" s="32">
        <v>0</v>
      </c>
      <c r="M715" s="32">
        <v>0</v>
      </c>
      <c r="N715" s="32">
        <v>0</v>
      </c>
      <c r="O715" s="32">
        <v>0</v>
      </c>
      <c r="P715" s="32">
        <v>0</v>
      </c>
      <c r="Q715" s="43">
        <f t="shared" si="20"/>
        <v>6199</v>
      </c>
      <c r="R715" s="69">
        <f t="shared" si="21"/>
        <v>5269.15</v>
      </c>
      <c r="S715" s="30"/>
      <c r="T715" s="30"/>
    </row>
    <row r="716" spans="1:20" ht="45" customHeight="1" x14ac:dyDescent="0.3">
      <c r="A716" s="36">
        <v>704</v>
      </c>
      <c r="B716" s="32" t="s">
        <v>2477</v>
      </c>
      <c r="C716" s="32" t="s">
        <v>2501</v>
      </c>
      <c r="D716" s="32" t="s">
        <v>2502</v>
      </c>
      <c r="E716" s="32">
        <v>2003</v>
      </c>
      <c r="F716" s="32" t="s">
        <v>19</v>
      </c>
      <c r="G716" s="32" t="s">
        <v>980</v>
      </c>
      <c r="H716" s="32" t="s">
        <v>2592</v>
      </c>
      <c r="I716" s="32" t="s">
        <v>1084</v>
      </c>
      <c r="J716" s="32">
        <v>6199</v>
      </c>
      <c r="K716" s="32">
        <f>6278+6995+4484+2332+2332+2332+2332+2332+2332+3228+3000+3000+1346+1346+2332+2332+4484+3500+3500</f>
        <v>59817</v>
      </c>
      <c r="L716" s="32">
        <v>9422</v>
      </c>
      <c r="M716" s="32">
        <v>0</v>
      </c>
      <c r="N716" s="32">
        <v>1793</v>
      </c>
      <c r="O716" s="32">
        <v>0</v>
      </c>
      <c r="P716" s="32">
        <v>2400</v>
      </c>
      <c r="Q716" s="43">
        <f t="shared" si="20"/>
        <v>79631</v>
      </c>
      <c r="R716" s="69">
        <f t="shared" si="21"/>
        <v>67686.350000000006</v>
      </c>
      <c r="S716" s="30"/>
      <c r="T716" s="30"/>
    </row>
    <row r="717" spans="1:20" s="41" customFormat="1" ht="45" customHeight="1" x14ac:dyDescent="0.3">
      <c r="A717" s="31">
        <v>705</v>
      </c>
      <c r="B717" s="38" t="s">
        <v>2477</v>
      </c>
      <c r="C717" s="38" t="s">
        <v>2503</v>
      </c>
      <c r="D717" s="38" t="s">
        <v>2504</v>
      </c>
      <c r="E717" s="38">
        <v>2014</v>
      </c>
      <c r="F717" s="38" t="s">
        <v>19</v>
      </c>
      <c r="G717" s="38" t="s">
        <v>2560</v>
      </c>
      <c r="H717" s="38" t="s">
        <v>2593</v>
      </c>
      <c r="I717" s="38" t="s">
        <v>2623</v>
      </c>
      <c r="J717" s="38">
        <v>6199</v>
      </c>
      <c r="K717" s="38">
        <v>0</v>
      </c>
      <c r="L717" s="38">
        <v>0</v>
      </c>
      <c r="M717" s="38">
        <v>0</v>
      </c>
      <c r="N717" s="38">
        <v>0</v>
      </c>
      <c r="O717" s="38">
        <v>0</v>
      </c>
      <c r="P717" s="38">
        <v>0</v>
      </c>
      <c r="Q717" s="43">
        <f t="shared" ref="Q717:Q780" si="22">SUM(J717:P717)</f>
        <v>6199</v>
      </c>
      <c r="R717" s="69">
        <f t="shared" si="21"/>
        <v>5269.15</v>
      </c>
      <c r="S717" s="40"/>
      <c r="T717" s="40"/>
    </row>
    <row r="718" spans="1:20" ht="45" customHeight="1" x14ac:dyDescent="0.3">
      <c r="A718" s="31">
        <v>706</v>
      </c>
      <c r="B718" s="32" t="s">
        <v>2477</v>
      </c>
      <c r="C718" s="32" t="s">
        <v>2505</v>
      </c>
      <c r="D718" s="32" t="s">
        <v>2506</v>
      </c>
      <c r="E718" s="32">
        <v>2013</v>
      </c>
      <c r="F718" s="32" t="s">
        <v>18</v>
      </c>
      <c r="G718" s="32" t="s">
        <v>2561</v>
      </c>
      <c r="H718" s="32" t="s">
        <v>2594</v>
      </c>
      <c r="I718" s="32" t="s">
        <v>2624</v>
      </c>
      <c r="J718" s="32">
        <v>6199</v>
      </c>
      <c r="K718" s="32">
        <v>0</v>
      </c>
      <c r="L718" s="32">
        <v>0</v>
      </c>
      <c r="M718" s="32">
        <v>0</v>
      </c>
      <c r="N718" s="32">
        <v>0</v>
      </c>
      <c r="O718" s="32">
        <v>0</v>
      </c>
      <c r="P718" s="32">
        <v>0</v>
      </c>
      <c r="Q718" s="43">
        <f t="shared" si="22"/>
        <v>6199</v>
      </c>
      <c r="R718" s="69">
        <f t="shared" ref="R718:R781" si="23">Q718*85/100</f>
        <v>5269.15</v>
      </c>
      <c r="S718" s="30"/>
      <c r="T718" s="30"/>
    </row>
    <row r="719" spans="1:20" ht="45" customHeight="1" x14ac:dyDescent="0.3">
      <c r="A719" s="36">
        <v>707</v>
      </c>
      <c r="B719" s="32" t="s">
        <v>2477</v>
      </c>
      <c r="C719" s="32" t="s">
        <v>2507</v>
      </c>
      <c r="D719" s="32" t="s">
        <v>2508</v>
      </c>
      <c r="E719" s="32">
        <v>2005</v>
      </c>
      <c r="F719" s="32" t="s">
        <v>19</v>
      </c>
      <c r="G719" s="32" t="s">
        <v>2562</v>
      </c>
      <c r="H719" s="32" t="s">
        <v>2595</v>
      </c>
      <c r="I719" s="32" t="s">
        <v>2625</v>
      </c>
      <c r="J719" s="32">
        <v>6199</v>
      </c>
      <c r="K719" s="32">
        <f>6278+4484+6995+2332+2332+2332+1166+2332+2332+2243+3587+3228+3000+3000</f>
        <v>45641</v>
      </c>
      <c r="L719" s="32">
        <v>0</v>
      </c>
      <c r="M719" s="32">
        <v>0</v>
      </c>
      <c r="N719" s="32">
        <v>1793</v>
      </c>
      <c r="O719" s="32">
        <v>0</v>
      </c>
      <c r="P719" s="32">
        <v>0</v>
      </c>
      <c r="Q719" s="43">
        <f t="shared" si="22"/>
        <v>53633</v>
      </c>
      <c r="R719" s="69">
        <f t="shared" si="23"/>
        <v>45588.05</v>
      </c>
      <c r="S719" s="30"/>
      <c r="T719" s="30"/>
    </row>
    <row r="720" spans="1:20" ht="45" customHeight="1" x14ac:dyDescent="0.3">
      <c r="A720" s="31">
        <v>708</v>
      </c>
      <c r="B720" s="32" t="s">
        <v>2477</v>
      </c>
      <c r="C720" s="32" t="s">
        <v>2509</v>
      </c>
      <c r="D720" s="32" t="s">
        <v>2510</v>
      </c>
      <c r="E720" s="32">
        <v>2024</v>
      </c>
      <c r="F720" s="32" t="s">
        <v>18</v>
      </c>
      <c r="G720" s="32" t="s">
        <v>2563</v>
      </c>
      <c r="H720" s="32" t="s">
        <v>2596</v>
      </c>
      <c r="I720" s="32" t="s">
        <v>2626</v>
      </c>
      <c r="J720" s="32">
        <v>6199</v>
      </c>
      <c r="K720" s="32">
        <v>0</v>
      </c>
      <c r="L720" s="32">
        <v>0</v>
      </c>
      <c r="M720" s="32">
        <v>0</v>
      </c>
      <c r="N720" s="32">
        <v>0</v>
      </c>
      <c r="O720" s="32">
        <v>0</v>
      </c>
      <c r="P720" s="32">
        <v>0</v>
      </c>
      <c r="Q720" s="43">
        <f t="shared" si="22"/>
        <v>6199</v>
      </c>
      <c r="R720" s="69">
        <f t="shared" si="23"/>
        <v>5269.15</v>
      </c>
      <c r="S720" s="30"/>
      <c r="T720" s="30"/>
    </row>
    <row r="721" spans="1:20" ht="45" customHeight="1" x14ac:dyDescent="0.3">
      <c r="A721" s="31">
        <v>709</v>
      </c>
      <c r="B721" s="32" t="s">
        <v>2477</v>
      </c>
      <c r="C721" s="32" t="s">
        <v>2512</v>
      </c>
      <c r="D721" s="32" t="s">
        <v>2513</v>
      </c>
      <c r="E721" s="32">
        <v>1987</v>
      </c>
      <c r="F721" s="32" t="s">
        <v>18</v>
      </c>
      <c r="G721" s="32" t="s">
        <v>2565</v>
      </c>
      <c r="H721" s="32" t="s">
        <v>2565</v>
      </c>
      <c r="I721" s="32" t="s">
        <v>2627</v>
      </c>
      <c r="J721" s="32">
        <v>6199</v>
      </c>
      <c r="K721" s="32">
        <f>6278+4484+2332+2332+2332+2332+2332+2332+4484+3000+3000+1166+6995+6995+2332+6995+6995</f>
        <v>66716</v>
      </c>
      <c r="L721" s="32">
        <v>0</v>
      </c>
      <c r="M721" s="32">
        <v>0</v>
      </c>
      <c r="N721" s="32">
        <v>1793</v>
      </c>
      <c r="O721" s="32">
        <v>0</v>
      </c>
      <c r="P721" s="32">
        <v>0</v>
      </c>
      <c r="Q721" s="43">
        <f t="shared" si="22"/>
        <v>74708</v>
      </c>
      <c r="R721" s="69">
        <f t="shared" si="23"/>
        <v>63501.8</v>
      </c>
      <c r="S721" s="30"/>
      <c r="T721" s="30"/>
    </row>
    <row r="722" spans="1:20" ht="45" customHeight="1" x14ac:dyDescent="0.3">
      <c r="A722" s="36">
        <v>710</v>
      </c>
      <c r="B722" s="32" t="s">
        <v>2477</v>
      </c>
      <c r="C722" s="32" t="s">
        <v>2514</v>
      </c>
      <c r="D722" s="32" t="s">
        <v>2515</v>
      </c>
      <c r="E722" s="32">
        <v>1988</v>
      </c>
      <c r="F722" s="32" t="s">
        <v>18</v>
      </c>
      <c r="G722" s="32" t="s">
        <v>2566</v>
      </c>
      <c r="H722" s="32" t="s">
        <v>2566</v>
      </c>
      <c r="I722" s="32" t="s">
        <v>1075</v>
      </c>
      <c r="J722" s="32">
        <v>6199</v>
      </c>
      <c r="K722" s="32">
        <v>0</v>
      </c>
      <c r="L722" s="32">
        <f>13298+13298</f>
        <v>26596</v>
      </c>
      <c r="M722" s="32">
        <v>0</v>
      </c>
      <c r="N722" s="32">
        <v>0</v>
      </c>
      <c r="O722" s="32">
        <v>0</v>
      </c>
      <c r="P722" s="32">
        <v>0</v>
      </c>
      <c r="Q722" s="43">
        <f t="shared" si="22"/>
        <v>32795</v>
      </c>
      <c r="R722" s="69">
        <f t="shared" si="23"/>
        <v>27875.75</v>
      </c>
      <c r="S722" s="30"/>
      <c r="T722" s="30"/>
    </row>
    <row r="723" spans="1:20" ht="45" customHeight="1" x14ac:dyDescent="0.3">
      <c r="A723" s="31">
        <v>711</v>
      </c>
      <c r="B723" s="32" t="s">
        <v>2477</v>
      </c>
      <c r="C723" s="32" t="s">
        <v>2516</v>
      </c>
      <c r="D723" s="32" t="s">
        <v>2517</v>
      </c>
      <c r="E723" s="32">
        <v>1986</v>
      </c>
      <c r="F723" s="32" t="s">
        <v>18</v>
      </c>
      <c r="G723" s="32" t="s">
        <v>2567</v>
      </c>
      <c r="H723" s="32" t="s">
        <v>2598</v>
      </c>
      <c r="I723" s="32" t="s">
        <v>580</v>
      </c>
      <c r="J723" s="32">
        <v>6199</v>
      </c>
      <c r="K723" s="32">
        <v>0</v>
      </c>
      <c r="L723" s="32">
        <v>0</v>
      </c>
      <c r="M723" s="32">
        <v>0</v>
      </c>
      <c r="N723" s="32">
        <v>7052</v>
      </c>
      <c r="O723" s="32">
        <v>0</v>
      </c>
      <c r="P723" s="32">
        <v>0</v>
      </c>
      <c r="Q723" s="43">
        <f t="shared" si="22"/>
        <v>13251</v>
      </c>
      <c r="R723" s="69">
        <f t="shared" si="23"/>
        <v>11263.35</v>
      </c>
      <c r="S723" s="30"/>
      <c r="T723" s="30"/>
    </row>
    <row r="724" spans="1:20" ht="45" customHeight="1" x14ac:dyDescent="0.3">
      <c r="A724" s="31">
        <v>712</v>
      </c>
      <c r="B724" s="32" t="s">
        <v>2477</v>
      </c>
      <c r="C724" s="32" t="s">
        <v>2518</v>
      </c>
      <c r="D724" s="32" t="s">
        <v>2519</v>
      </c>
      <c r="E724" s="32">
        <v>2020</v>
      </c>
      <c r="F724" s="32" t="s">
        <v>19</v>
      </c>
      <c r="G724" s="32" t="s">
        <v>2568</v>
      </c>
      <c r="H724" s="32" t="s">
        <v>2599</v>
      </c>
      <c r="I724" s="32" t="s">
        <v>1277</v>
      </c>
      <c r="J724" s="32">
        <v>6199</v>
      </c>
      <c r="K724" s="32">
        <v>0</v>
      </c>
      <c r="L724" s="32">
        <v>0</v>
      </c>
      <c r="M724" s="32">
        <v>0</v>
      </c>
      <c r="N724" s="32">
        <v>0</v>
      </c>
      <c r="O724" s="32">
        <v>0</v>
      </c>
      <c r="P724" s="32">
        <v>0</v>
      </c>
      <c r="Q724" s="43">
        <f t="shared" si="22"/>
        <v>6199</v>
      </c>
      <c r="R724" s="69">
        <f t="shared" si="23"/>
        <v>5269.15</v>
      </c>
      <c r="S724" s="30"/>
      <c r="T724" s="30"/>
    </row>
    <row r="725" spans="1:20" ht="45" customHeight="1" x14ac:dyDescent="0.3">
      <c r="A725" s="36">
        <v>713</v>
      </c>
      <c r="B725" s="32" t="s">
        <v>2477</v>
      </c>
      <c r="C725" s="32" t="s">
        <v>2520</v>
      </c>
      <c r="D725" s="34" t="s">
        <v>2521</v>
      </c>
      <c r="E725" s="32">
        <v>2023</v>
      </c>
      <c r="F725" s="32" t="s">
        <v>18</v>
      </c>
      <c r="G725" s="32" t="s">
        <v>2569</v>
      </c>
      <c r="H725" s="32" t="s">
        <v>2600</v>
      </c>
      <c r="I725" s="32" t="s">
        <v>2628</v>
      </c>
      <c r="J725" s="32">
        <v>6199</v>
      </c>
      <c r="K725" s="32">
        <f>1346+6278+4484+2332+2332+2332+2332+2332+2332+6995+6995+2332+6995+4484</f>
        <v>53901</v>
      </c>
      <c r="L725" s="32">
        <v>0</v>
      </c>
      <c r="M725" s="32">
        <v>0</v>
      </c>
      <c r="N725" s="32">
        <v>3148</v>
      </c>
      <c r="O725" s="32">
        <v>0</v>
      </c>
      <c r="P725" s="32">
        <v>0</v>
      </c>
      <c r="Q725" s="43">
        <f t="shared" si="22"/>
        <v>63248</v>
      </c>
      <c r="R725" s="69">
        <f t="shared" si="23"/>
        <v>53760.800000000003</v>
      </c>
      <c r="S725" s="30"/>
      <c r="T725" s="30"/>
    </row>
    <row r="726" spans="1:20" ht="45" customHeight="1" x14ac:dyDescent="0.3">
      <c r="A726" s="31">
        <v>714</v>
      </c>
      <c r="B726" s="32" t="s">
        <v>2477</v>
      </c>
      <c r="C726" s="32" t="s">
        <v>2520</v>
      </c>
      <c r="D726" s="34" t="s">
        <v>2521</v>
      </c>
      <c r="E726" s="32">
        <v>2023</v>
      </c>
      <c r="F726" s="32" t="s">
        <v>18</v>
      </c>
      <c r="G726" s="32" t="s">
        <v>2569</v>
      </c>
      <c r="H726" s="32" t="s">
        <v>2600</v>
      </c>
      <c r="I726" s="32" t="s">
        <v>2628</v>
      </c>
      <c r="J726" s="32">
        <v>0</v>
      </c>
      <c r="K726" s="32">
        <v>0</v>
      </c>
      <c r="L726" s="32">
        <v>0</v>
      </c>
      <c r="M726" s="32">
        <v>17688</v>
      </c>
      <c r="N726" s="32">
        <v>0</v>
      </c>
      <c r="O726" s="32">
        <v>0</v>
      </c>
      <c r="P726" s="32">
        <f>360+56</f>
        <v>416</v>
      </c>
      <c r="Q726" s="43">
        <f t="shared" si="22"/>
        <v>18104</v>
      </c>
      <c r="R726" s="69">
        <f t="shared" si="23"/>
        <v>15388.4</v>
      </c>
      <c r="S726" s="30"/>
      <c r="T726" s="30"/>
    </row>
    <row r="727" spans="1:20" ht="45" customHeight="1" x14ac:dyDescent="0.3">
      <c r="A727" s="31">
        <v>715</v>
      </c>
      <c r="B727" s="32" t="s">
        <v>2477</v>
      </c>
      <c r="C727" s="32" t="s">
        <v>2522</v>
      </c>
      <c r="D727" s="32" t="s">
        <v>2523</v>
      </c>
      <c r="E727" s="32">
        <v>2020</v>
      </c>
      <c r="F727" s="32" t="s">
        <v>19</v>
      </c>
      <c r="G727" s="32" t="s">
        <v>2570</v>
      </c>
      <c r="H727" s="32" t="s">
        <v>2601</v>
      </c>
      <c r="I727" s="32" t="s">
        <v>2629</v>
      </c>
      <c r="J727" s="32">
        <v>6199</v>
      </c>
      <c r="K727" s="32">
        <f>6278+4484+1346+2332+2332</f>
        <v>16772</v>
      </c>
      <c r="L727" s="32">
        <v>0</v>
      </c>
      <c r="M727" s="32">
        <v>0</v>
      </c>
      <c r="N727" s="32">
        <v>3148</v>
      </c>
      <c r="O727" s="32">
        <v>0</v>
      </c>
      <c r="P727" s="32">
        <v>0</v>
      </c>
      <c r="Q727" s="43">
        <f t="shared" si="22"/>
        <v>26119</v>
      </c>
      <c r="R727" s="69">
        <f t="shared" si="23"/>
        <v>22201.15</v>
      </c>
      <c r="S727" s="30"/>
      <c r="T727" s="30"/>
    </row>
    <row r="728" spans="1:20" ht="45" customHeight="1" x14ac:dyDescent="0.3">
      <c r="A728" s="36">
        <v>716</v>
      </c>
      <c r="B728" s="32" t="s">
        <v>2477</v>
      </c>
      <c r="C728" s="32" t="s">
        <v>2524</v>
      </c>
      <c r="D728" s="32" t="s">
        <v>2525</v>
      </c>
      <c r="E728" s="32">
        <v>1984</v>
      </c>
      <c r="F728" s="32" t="s">
        <v>18</v>
      </c>
      <c r="G728" s="32" t="s">
        <v>2571</v>
      </c>
      <c r="H728" s="32" t="s">
        <v>2602</v>
      </c>
      <c r="I728" s="32" t="s">
        <v>2630</v>
      </c>
      <c r="J728" s="32">
        <v>6199</v>
      </c>
      <c r="K728" s="32">
        <v>0</v>
      </c>
      <c r="L728" s="32">
        <v>0</v>
      </c>
      <c r="M728" s="32">
        <v>0</v>
      </c>
      <c r="N728" s="32">
        <f>15443+60299</f>
        <v>75742</v>
      </c>
      <c r="O728" s="32">
        <v>0</v>
      </c>
      <c r="P728" s="32">
        <v>0</v>
      </c>
      <c r="Q728" s="43">
        <f t="shared" si="22"/>
        <v>81941</v>
      </c>
      <c r="R728" s="69">
        <f t="shared" si="23"/>
        <v>69649.850000000006</v>
      </c>
      <c r="S728" s="30"/>
      <c r="T728" s="30"/>
    </row>
    <row r="729" spans="1:20" ht="45" customHeight="1" x14ac:dyDescent="0.3">
      <c r="A729" s="31">
        <v>717</v>
      </c>
      <c r="B729" s="32" t="s">
        <v>2477</v>
      </c>
      <c r="C729" s="32" t="s">
        <v>2526</v>
      </c>
      <c r="D729" s="32" t="s">
        <v>2527</v>
      </c>
      <c r="E729" s="32">
        <v>1996</v>
      </c>
      <c r="F729" s="32" t="s">
        <v>19</v>
      </c>
      <c r="G729" s="32" t="s">
        <v>1239</v>
      </c>
      <c r="H729" s="32" t="s">
        <v>1239</v>
      </c>
      <c r="I729" s="32" t="s">
        <v>267</v>
      </c>
      <c r="J729" s="32">
        <v>6199</v>
      </c>
      <c r="K729" s="32">
        <f>6278+4484+1346+2332+2332+3587+2332+2332+2332+2332+2332+3000+3000+2332+4484+6995</f>
        <v>51830</v>
      </c>
      <c r="L729" s="32">
        <v>0</v>
      </c>
      <c r="M729" s="32">
        <v>0</v>
      </c>
      <c r="N729" s="32">
        <v>1793</v>
      </c>
      <c r="O729" s="32">
        <v>0</v>
      </c>
      <c r="P729" s="32"/>
      <c r="Q729" s="43">
        <f t="shared" si="22"/>
        <v>59822</v>
      </c>
      <c r="R729" s="69">
        <f t="shared" si="23"/>
        <v>50848.7</v>
      </c>
      <c r="S729" s="30"/>
      <c r="T729" s="30"/>
    </row>
    <row r="730" spans="1:20" s="41" customFormat="1" ht="45" customHeight="1" x14ac:dyDescent="0.3">
      <c r="A730" s="31">
        <v>718</v>
      </c>
      <c r="B730" s="38" t="s">
        <v>2477</v>
      </c>
      <c r="C730" s="38" t="s">
        <v>2528</v>
      </c>
      <c r="D730" s="38" t="s">
        <v>2529</v>
      </c>
      <c r="E730" s="38">
        <v>2025</v>
      </c>
      <c r="F730" s="38" t="s">
        <v>19</v>
      </c>
      <c r="G730" s="38" t="s">
        <v>2572</v>
      </c>
      <c r="H730" s="38" t="s">
        <v>2603</v>
      </c>
      <c r="I730" s="38" t="s">
        <v>2631</v>
      </c>
      <c r="J730" s="38">
        <v>6199</v>
      </c>
      <c r="K730" s="38">
        <v>0</v>
      </c>
      <c r="L730" s="38">
        <v>0</v>
      </c>
      <c r="M730" s="38">
        <v>0</v>
      </c>
      <c r="N730" s="38">
        <v>0</v>
      </c>
      <c r="O730" s="38">
        <v>0</v>
      </c>
      <c r="P730" s="38">
        <v>0</v>
      </c>
      <c r="Q730" s="43">
        <f t="shared" si="22"/>
        <v>6199</v>
      </c>
      <c r="R730" s="69">
        <f t="shared" si="23"/>
        <v>5269.15</v>
      </c>
      <c r="S730" s="40"/>
      <c r="T730" s="40"/>
    </row>
    <row r="731" spans="1:20" ht="45" customHeight="1" x14ac:dyDescent="0.3">
      <c r="A731" s="36">
        <v>719</v>
      </c>
      <c r="B731" s="32" t="s">
        <v>2477</v>
      </c>
      <c r="C731" s="32" t="s">
        <v>2530</v>
      </c>
      <c r="D731" s="32" t="s">
        <v>2531</v>
      </c>
      <c r="E731" s="32">
        <v>2003</v>
      </c>
      <c r="F731" s="32" t="s">
        <v>19</v>
      </c>
      <c r="G731" s="32" t="s">
        <v>2573</v>
      </c>
      <c r="H731" s="32" t="s">
        <v>2573</v>
      </c>
      <c r="I731" s="32" t="s">
        <v>2632</v>
      </c>
      <c r="J731" s="32">
        <v>6199</v>
      </c>
      <c r="K731" s="32">
        <f>1166+2801+6278+4484+2332+2332+2332+2332+2332+2332+3000+3000+6995+4484</f>
        <v>46200</v>
      </c>
      <c r="L731" s="32">
        <v>0</v>
      </c>
      <c r="M731" s="32">
        <v>0</v>
      </c>
      <c r="N731" s="32">
        <v>1793</v>
      </c>
      <c r="O731" s="32">
        <v>0</v>
      </c>
      <c r="P731" s="32">
        <v>0</v>
      </c>
      <c r="Q731" s="43">
        <f t="shared" si="22"/>
        <v>54192</v>
      </c>
      <c r="R731" s="69">
        <f t="shared" si="23"/>
        <v>46063.199999999997</v>
      </c>
      <c r="S731" s="30"/>
      <c r="T731" s="30"/>
    </row>
    <row r="732" spans="1:20" ht="45" customHeight="1" x14ac:dyDescent="0.3">
      <c r="A732" s="31">
        <v>720</v>
      </c>
      <c r="B732" s="32" t="s">
        <v>2477</v>
      </c>
      <c r="C732" s="32" t="s">
        <v>2532</v>
      </c>
      <c r="D732" s="32" t="s">
        <v>2533</v>
      </c>
      <c r="E732" s="32">
        <v>2022</v>
      </c>
      <c r="F732" s="32" t="s">
        <v>19</v>
      </c>
      <c r="G732" s="32" t="s">
        <v>2574</v>
      </c>
      <c r="H732" s="32" t="s">
        <v>2604</v>
      </c>
      <c r="I732" s="32" t="s">
        <v>2633</v>
      </c>
      <c r="J732" s="32">
        <v>6199</v>
      </c>
      <c r="K732" s="32">
        <f>6278+4484+1346+4484+2332+2332+2332+2332+2332+1166</f>
        <v>29418</v>
      </c>
      <c r="L732" s="32">
        <v>0</v>
      </c>
      <c r="M732" s="32">
        <v>0</v>
      </c>
      <c r="N732" s="32">
        <v>3148</v>
      </c>
      <c r="O732" s="32">
        <v>0</v>
      </c>
      <c r="P732" s="32">
        <v>0</v>
      </c>
      <c r="Q732" s="43">
        <f t="shared" si="22"/>
        <v>38765</v>
      </c>
      <c r="R732" s="69">
        <f t="shared" si="23"/>
        <v>32950.25</v>
      </c>
      <c r="S732" s="30"/>
      <c r="T732" s="30"/>
    </row>
    <row r="733" spans="1:20" ht="45" customHeight="1" x14ac:dyDescent="0.3">
      <c r="A733" s="31">
        <v>721</v>
      </c>
      <c r="B733" s="32" t="s">
        <v>2477</v>
      </c>
      <c r="C733" s="32" t="s">
        <v>2534</v>
      </c>
      <c r="D733" s="32" t="s">
        <v>2535</v>
      </c>
      <c r="E733" s="32">
        <v>1987</v>
      </c>
      <c r="F733" s="32" t="s">
        <v>18</v>
      </c>
      <c r="G733" s="32" t="s">
        <v>2575</v>
      </c>
      <c r="H733" s="32" t="s">
        <v>2575</v>
      </c>
      <c r="I733" s="32" t="s">
        <v>34</v>
      </c>
      <c r="J733" s="32">
        <v>6199</v>
      </c>
      <c r="K733" s="32">
        <v>0</v>
      </c>
      <c r="L733" s="32">
        <v>0</v>
      </c>
      <c r="M733" s="32">
        <v>0</v>
      </c>
      <c r="N733" s="32">
        <v>0</v>
      </c>
      <c r="O733" s="32">
        <v>0</v>
      </c>
      <c r="P733" s="32">
        <v>0</v>
      </c>
      <c r="Q733" s="43">
        <f t="shared" si="22"/>
        <v>6199</v>
      </c>
      <c r="R733" s="69">
        <f t="shared" si="23"/>
        <v>5269.15</v>
      </c>
      <c r="S733" s="30"/>
      <c r="T733" s="30"/>
    </row>
    <row r="734" spans="1:20" s="41" customFormat="1" ht="45" customHeight="1" x14ac:dyDescent="0.3">
      <c r="A734" s="36">
        <v>722</v>
      </c>
      <c r="B734" s="38" t="s">
        <v>2477</v>
      </c>
      <c r="C734" s="38" t="s">
        <v>2536</v>
      </c>
      <c r="D734" s="38" t="s">
        <v>2537</v>
      </c>
      <c r="E734" s="38">
        <v>1991</v>
      </c>
      <c r="F734" s="38" t="s">
        <v>18</v>
      </c>
      <c r="G734" s="38" t="s">
        <v>3705</v>
      </c>
      <c r="H734" s="38" t="s">
        <v>2605</v>
      </c>
      <c r="I734" s="38" t="s">
        <v>2634</v>
      </c>
      <c r="J734" s="38">
        <v>6199</v>
      </c>
      <c r="K734" s="38">
        <f>2332+2332+2243</f>
        <v>6907</v>
      </c>
      <c r="L734" s="38">
        <v>0</v>
      </c>
      <c r="M734" s="38">
        <v>0</v>
      </c>
      <c r="N734" s="38">
        <v>0</v>
      </c>
      <c r="O734" s="38">
        <v>0</v>
      </c>
      <c r="P734" s="38">
        <v>0</v>
      </c>
      <c r="Q734" s="43">
        <f t="shared" si="22"/>
        <v>13106</v>
      </c>
      <c r="R734" s="69">
        <f t="shared" si="23"/>
        <v>11140.1</v>
      </c>
      <c r="S734" s="40"/>
      <c r="T734" s="40"/>
    </row>
    <row r="735" spans="1:20" ht="45" customHeight="1" x14ac:dyDescent="0.3">
      <c r="A735" s="31">
        <v>723</v>
      </c>
      <c r="B735" s="32" t="s">
        <v>2477</v>
      </c>
      <c r="C735" s="32" t="s">
        <v>2538</v>
      </c>
      <c r="D735" s="32" t="s">
        <v>2539</v>
      </c>
      <c r="E735" s="32">
        <v>1993</v>
      </c>
      <c r="F735" s="32" t="s">
        <v>19</v>
      </c>
      <c r="G735" s="32" t="s">
        <v>2576</v>
      </c>
      <c r="H735" s="32" t="s">
        <v>2606</v>
      </c>
      <c r="I735" s="32" t="s">
        <v>1065</v>
      </c>
      <c r="J735" s="32">
        <v>6199</v>
      </c>
      <c r="K735" s="32">
        <f>1346+6278+4484+3500+6995+2332+2332+2332</f>
        <v>29599</v>
      </c>
      <c r="L735" s="32">
        <v>0</v>
      </c>
      <c r="M735" s="32">
        <v>0</v>
      </c>
      <c r="N735" s="32">
        <v>1793</v>
      </c>
      <c r="O735" s="32">
        <v>0</v>
      </c>
      <c r="P735" s="32">
        <v>0</v>
      </c>
      <c r="Q735" s="43">
        <f t="shared" si="22"/>
        <v>37591</v>
      </c>
      <c r="R735" s="69">
        <f t="shared" si="23"/>
        <v>31952.35</v>
      </c>
      <c r="S735" s="30"/>
      <c r="T735" s="30"/>
    </row>
    <row r="736" spans="1:20" ht="45" customHeight="1" x14ac:dyDescent="0.3">
      <c r="A736" s="31">
        <v>724</v>
      </c>
      <c r="B736" s="32" t="s">
        <v>2477</v>
      </c>
      <c r="C736" s="32" t="s">
        <v>2540</v>
      </c>
      <c r="D736" s="32" t="s">
        <v>2541</v>
      </c>
      <c r="E736" s="32">
        <v>1980</v>
      </c>
      <c r="F736" s="32" t="s">
        <v>18</v>
      </c>
      <c r="G736" s="32" t="s">
        <v>2577</v>
      </c>
      <c r="H736" s="32" t="s">
        <v>2577</v>
      </c>
      <c r="I736" s="32" t="s">
        <v>1262</v>
      </c>
      <c r="J736" s="32">
        <v>6199</v>
      </c>
      <c r="K736" s="32">
        <v>0</v>
      </c>
      <c r="L736" s="32">
        <v>0</v>
      </c>
      <c r="M736" s="32">
        <v>0</v>
      </c>
      <c r="N736" s="32">
        <v>0</v>
      </c>
      <c r="O736" s="32">
        <v>0</v>
      </c>
      <c r="P736" s="32">
        <v>0</v>
      </c>
      <c r="Q736" s="43">
        <f t="shared" si="22"/>
        <v>6199</v>
      </c>
      <c r="R736" s="69">
        <f t="shared" si="23"/>
        <v>5269.15</v>
      </c>
      <c r="S736" s="30"/>
      <c r="T736" s="30"/>
    </row>
    <row r="737" spans="1:20" ht="45" customHeight="1" x14ac:dyDescent="0.3">
      <c r="A737" s="36">
        <v>725</v>
      </c>
      <c r="B737" s="32" t="s">
        <v>2477</v>
      </c>
      <c r="C737" s="32" t="s">
        <v>7447</v>
      </c>
      <c r="D737" s="32" t="s">
        <v>2542</v>
      </c>
      <c r="E737" s="32">
        <v>2022</v>
      </c>
      <c r="F737" s="32" t="s">
        <v>18</v>
      </c>
      <c r="G737" s="32" t="s">
        <v>2578</v>
      </c>
      <c r="H737" s="32" t="s">
        <v>2607</v>
      </c>
      <c r="I737" s="32" t="s">
        <v>2130</v>
      </c>
      <c r="J737" s="32">
        <v>6199</v>
      </c>
      <c r="K737" s="32">
        <f>1346+6278+4484+2332+2332+2332+6995+6995+2332+6995+2332+2332+2332+4484</f>
        <v>53901</v>
      </c>
      <c r="L737" s="32">
        <v>0</v>
      </c>
      <c r="M737" s="32">
        <v>0</v>
      </c>
      <c r="N737" s="32">
        <v>3148</v>
      </c>
      <c r="O737" s="32">
        <v>0</v>
      </c>
      <c r="P737" s="32">
        <v>0</v>
      </c>
      <c r="Q737" s="43">
        <f t="shared" si="22"/>
        <v>63248</v>
      </c>
      <c r="R737" s="69">
        <f t="shared" si="23"/>
        <v>53760.800000000003</v>
      </c>
      <c r="S737" s="30"/>
      <c r="T737" s="30"/>
    </row>
    <row r="738" spans="1:20" ht="45" customHeight="1" x14ac:dyDescent="0.3">
      <c r="A738" s="31">
        <v>726</v>
      </c>
      <c r="B738" s="32" t="s">
        <v>2477</v>
      </c>
      <c r="C738" s="32" t="s">
        <v>7448</v>
      </c>
      <c r="D738" s="32" t="s">
        <v>2543</v>
      </c>
      <c r="E738" s="32">
        <v>1967</v>
      </c>
      <c r="F738" s="32" t="s">
        <v>18</v>
      </c>
      <c r="G738" s="32" t="s">
        <v>2579</v>
      </c>
      <c r="H738" s="32" t="s">
        <v>2608</v>
      </c>
      <c r="I738" s="32" t="s">
        <v>28</v>
      </c>
      <c r="J738" s="32">
        <v>6199</v>
      </c>
      <c r="K738" s="32">
        <v>0</v>
      </c>
      <c r="L738" s="32">
        <v>0</v>
      </c>
      <c r="M738" s="32">
        <v>0</v>
      </c>
      <c r="N738" s="32">
        <v>0</v>
      </c>
      <c r="O738" s="32">
        <v>0</v>
      </c>
      <c r="P738" s="32">
        <v>0</v>
      </c>
      <c r="Q738" s="43">
        <f t="shared" si="22"/>
        <v>6199</v>
      </c>
      <c r="R738" s="69">
        <f t="shared" si="23"/>
        <v>5269.15</v>
      </c>
      <c r="S738" s="30"/>
      <c r="T738" s="30"/>
    </row>
    <row r="739" spans="1:20" ht="45" customHeight="1" x14ac:dyDescent="0.3">
      <c r="A739" s="31">
        <v>727</v>
      </c>
      <c r="B739" s="32" t="s">
        <v>2477</v>
      </c>
      <c r="C739" s="32" t="s">
        <v>7449</v>
      </c>
      <c r="D739" s="32" t="s">
        <v>2544</v>
      </c>
      <c r="E739" s="32">
        <v>2022</v>
      </c>
      <c r="F739" s="32" t="s">
        <v>19</v>
      </c>
      <c r="G739" s="32" t="s">
        <v>2580</v>
      </c>
      <c r="H739" s="32" t="s">
        <v>2609</v>
      </c>
      <c r="I739" s="32" t="s">
        <v>1065</v>
      </c>
      <c r="J739" s="32">
        <v>6199</v>
      </c>
      <c r="K739" s="32">
        <f>1346+6278+4484</f>
        <v>12108</v>
      </c>
      <c r="L739" s="32">
        <v>0</v>
      </c>
      <c r="M739" s="32">
        <v>0</v>
      </c>
      <c r="N739" s="32">
        <v>3148</v>
      </c>
      <c r="O739" s="32">
        <v>0</v>
      </c>
      <c r="P739" s="32">
        <v>0</v>
      </c>
      <c r="Q739" s="43">
        <f t="shared" si="22"/>
        <v>21455</v>
      </c>
      <c r="R739" s="69">
        <f t="shared" si="23"/>
        <v>18236.75</v>
      </c>
      <c r="S739" s="30"/>
      <c r="T739" s="30"/>
    </row>
    <row r="740" spans="1:20" ht="45" customHeight="1" x14ac:dyDescent="0.3">
      <c r="A740" s="36">
        <v>728</v>
      </c>
      <c r="B740" s="32" t="s">
        <v>2477</v>
      </c>
      <c r="C740" s="32" t="s">
        <v>7450</v>
      </c>
      <c r="D740" s="32" t="s">
        <v>2545</v>
      </c>
      <c r="E740" s="32">
        <v>2024</v>
      </c>
      <c r="F740" s="32" t="s">
        <v>19</v>
      </c>
      <c r="G740" s="32" t="s">
        <v>2581</v>
      </c>
      <c r="H740" s="32" t="s">
        <v>2610</v>
      </c>
      <c r="I740" s="32" t="s">
        <v>20</v>
      </c>
      <c r="J740" s="32">
        <v>6199</v>
      </c>
      <c r="K740" s="32">
        <f>1346+6278+4484+4484+2332+2332+2332+2332+2332+2332+6995+6995+2332+6995</f>
        <v>53901</v>
      </c>
      <c r="L740" s="32">
        <v>0</v>
      </c>
      <c r="M740" s="32">
        <v>0</v>
      </c>
      <c r="N740" s="32">
        <v>3148</v>
      </c>
      <c r="O740" s="32">
        <v>0</v>
      </c>
      <c r="P740" s="32">
        <v>0</v>
      </c>
      <c r="Q740" s="43">
        <f t="shared" si="22"/>
        <v>63248</v>
      </c>
      <c r="R740" s="69">
        <f t="shared" si="23"/>
        <v>53760.800000000003</v>
      </c>
      <c r="S740" s="30"/>
      <c r="T740" s="30"/>
    </row>
    <row r="741" spans="1:20" ht="45" customHeight="1" x14ac:dyDescent="0.3">
      <c r="A741" s="31">
        <v>729</v>
      </c>
      <c r="B741" s="32" t="s">
        <v>2477</v>
      </c>
      <c r="C741" s="32" t="s">
        <v>7451</v>
      </c>
      <c r="D741" s="32" t="s">
        <v>2546</v>
      </c>
      <c r="E741" s="32">
        <v>2021</v>
      </c>
      <c r="F741" s="32" t="s">
        <v>19</v>
      </c>
      <c r="G741" s="32" t="s">
        <v>2582</v>
      </c>
      <c r="H741" s="32" t="s">
        <v>2611</v>
      </c>
      <c r="I741" s="32" t="s">
        <v>300</v>
      </c>
      <c r="J741" s="32">
        <v>6199</v>
      </c>
      <c r="K741" s="32">
        <v>0</v>
      </c>
      <c r="L741" s="32">
        <v>0</v>
      </c>
      <c r="M741" s="32">
        <v>0</v>
      </c>
      <c r="N741" s="32">
        <v>0</v>
      </c>
      <c r="O741" s="32">
        <v>0</v>
      </c>
      <c r="P741" s="32">
        <v>0</v>
      </c>
      <c r="Q741" s="43">
        <f t="shared" si="22"/>
        <v>6199</v>
      </c>
      <c r="R741" s="69">
        <f t="shared" si="23"/>
        <v>5269.15</v>
      </c>
      <c r="S741" s="30"/>
      <c r="T741" s="30"/>
    </row>
    <row r="742" spans="1:20" ht="45" customHeight="1" x14ac:dyDescent="0.3">
      <c r="A742" s="31">
        <v>730</v>
      </c>
      <c r="B742" s="32" t="s">
        <v>2477</v>
      </c>
      <c r="C742" s="32" t="s">
        <v>7452</v>
      </c>
      <c r="D742" s="32" t="s">
        <v>2547</v>
      </c>
      <c r="E742" s="32">
        <v>2018</v>
      </c>
      <c r="F742" s="32" t="s">
        <v>19</v>
      </c>
      <c r="G742" s="32" t="s">
        <v>2583</v>
      </c>
      <c r="H742" s="32" t="s">
        <v>2612</v>
      </c>
      <c r="I742" s="32" t="s">
        <v>300</v>
      </c>
      <c r="J742" s="32">
        <v>6199</v>
      </c>
      <c r="K742" s="32">
        <v>0</v>
      </c>
      <c r="L742" s="32">
        <v>0</v>
      </c>
      <c r="M742" s="32">
        <v>0</v>
      </c>
      <c r="N742" s="32">
        <v>0</v>
      </c>
      <c r="O742" s="32">
        <v>0</v>
      </c>
      <c r="P742" s="32">
        <v>0</v>
      </c>
      <c r="Q742" s="43">
        <f t="shared" si="22"/>
        <v>6199</v>
      </c>
      <c r="R742" s="69">
        <f t="shared" si="23"/>
        <v>5269.15</v>
      </c>
      <c r="S742" s="30"/>
      <c r="T742" s="30"/>
    </row>
    <row r="743" spans="1:20" s="41" customFormat="1" ht="45" customHeight="1" x14ac:dyDescent="0.3">
      <c r="A743" s="36">
        <v>731</v>
      </c>
      <c r="B743" s="38" t="s">
        <v>2477</v>
      </c>
      <c r="C743" s="38" t="s">
        <v>7453</v>
      </c>
      <c r="D743" s="38" t="s">
        <v>2548</v>
      </c>
      <c r="E743" s="38">
        <v>2022</v>
      </c>
      <c r="F743" s="38" t="s">
        <v>19</v>
      </c>
      <c r="G743" s="38" t="s">
        <v>2584</v>
      </c>
      <c r="H743" s="38" t="s">
        <v>2613</v>
      </c>
      <c r="I743" s="38" t="s">
        <v>34</v>
      </c>
      <c r="J743" s="38">
        <v>6199</v>
      </c>
      <c r="K743" s="38">
        <v>0</v>
      </c>
      <c r="L743" s="38">
        <v>0</v>
      </c>
      <c r="M743" s="38">
        <v>0</v>
      </c>
      <c r="N743" s="38">
        <v>0</v>
      </c>
      <c r="O743" s="38">
        <v>0</v>
      </c>
      <c r="P743" s="38">
        <v>0</v>
      </c>
      <c r="Q743" s="43">
        <f t="shared" si="22"/>
        <v>6199</v>
      </c>
      <c r="R743" s="69">
        <f t="shared" si="23"/>
        <v>5269.15</v>
      </c>
      <c r="S743" s="40"/>
      <c r="T743" s="40"/>
    </row>
    <row r="744" spans="1:20" ht="45" customHeight="1" x14ac:dyDescent="0.3">
      <c r="A744" s="31">
        <v>732</v>
      </c>
      <c r="B744" s="32" t="s">
        <v>2477</v>
      </c>
      <c r="C744" s="32" t="s">
        <v>7454</v>
      </c>
      <c r="D744" s="32" t="s">
        <v>2549</v>
      </c>
      <c r="E744" s="32">
        <v>2019</v>
      </c>
      <c r="F744" s="32" t="s">
        <v>18</v>
      </c>
      <c r="G744" s="32" t="s">
        <v>2585</v>
      </c>
      <c r="H744" s="32" t="s">
        <v>2614</v>
      </c>
      <c r="I744" s="32" t="s">
        <v>34</v>
      </c>
      <c r="J744" s="32">
        <v>6199</v>
      </c>
      <c r="K744" s="32">
        <v>0</v>
      </c>
      <c r="L744" s="32">
        <v>0</v>
      </c>
      <c r="M744" s="32">
        <v>0</v>
      </c>
      <c r="N744" s="32">
        <v>0</v>
      </c>
      <c r="O744" s="32">
        <v>0</v>
      </c>
      <c r="P744" s="32">
        <v>0</v>
      </c>
      <c r="Q744" s="43">
        <f t="shared" si="22"/>
        <v>6199</v>
      </c>
      <c r="R744" s="69">
        <f t="shared" si="23"/>
        <v>5269.15</v>
      </c>
      <c r="S744" s="30"/>
      <c r="T744" s="30"/>
    </row>
    <row r="745" spans="1:20" ht="45" customHeight="1" x14ac:dyDescent="0.3">
      <c r="A745" s="31">
        <v>733</v>
      </c>
      <c r="B745" s="32" t="s">
        <v>2477</v>
      </c>
      <c r="C745" s="32" t="s">
        <v>7455</v>
      </c>
      <c r="D745" s="34" t="s">
        <v>3707</v>
      </c>
      <c r="E745" s="32">
        <v>1975</v>
      </c>
      <c r="F745" s="32" t="s">
        <v>18</v>
      </c>
      <c r="G745" s="32" t="s">
        <v>2401</v>
      </c>
      <c r="H745" s="32" t="s">
        <v>2401</v>
      </c>
      <c r="I745" s="32" t="s">
        <v>278</v>
      </c>
      <c r="J745" s="32">
        <v>6199</v>
      </c>
      <c r="K745" s="32">
        <f>6278+4484+1346+2332+2332+2332+2332+2332+6995+6995+2332+6995+3000+3000+2801+2332+6995+3228</f>
        <v>68441</v>
      </c>
      <c r="L745" s="32">
        <v>0</v>
      </c>
      <c r="M745" s="32">
        <v>0</v>
      </c>
      <c r="N745" s="32">
        <f>1793+3179</f>
        <v>4972</v>
      </c>
      <c r="O745" s="32">
        <v>0</v>
      </c>
      <c r="P745" s="32">
        <f>1440+1320+120+374+1080</f>
        <v>4334</v>
      </c>
      <c r="Q745" s="43">
        <f t="shared" si="22"/>
        <v>83946</v>
      </c>
      <c r="R745" s="69">
        <f t="shared" si="23"/>
        <v>71354.100000000006</v>
      </c>
      <c r="S745" s="30"/>
      <c r="T745" s="30"/>
    </row>
    <row r="746" spans="1:20" ht="45" customHeight="1" x14ac:dyDescent="0.3">
      <c r="A746" s="36">
        <v>734</v>
      </c>
      <c r="B746" s="32" t="s">
        <v>2477</v>
      </c>
      <c r="C746" s="32" t="s">
        <v>7456</v>
      </c>
      <c r="D746" s="34" t="s">
        <v>3708</v>
      </c>
      <c r="E746" s="32">
        <v>2020</v>
      </c>
      <c r="F746" s="32" t="s">
        <v>18</v>
      </c>
      <c r="G746" s="32" t="s">
        <v>3709</v>
      </c>
      <c r="H746" s="32" t="s">
        <v>3710</v>
      </c>
      <c r="I746" s="32" t="s">
        <v>25</v>
      </c>
      <c r="J746" s="32">
        <v>6199</v>
      </c>
      <c r="K746" s="32">
        <f>6278+4484+1346+2332+2332+2332+2332+2332+6995+6995+2332+6995+2332</f>
        <v>49417</v>
      </c>
      <c r="L746" s="32">
        <v>0</v>
      </c>
      <c r="M746" s="32">
        <v>0</v>
      </c>
      <c r="N746" s="32">
        <v>3148</v>
      </c>
      <c r="O746" s="32">
        <v>0</v>
      </c>
      <c r="P746" s="32">
        <v>0</v>
      </c>
      <c r="Q746" s="43">
        <f t="shared" si="22"/>
        <v>58764</v>
      </c>
      <c r="R746" s="69">
        <f t="shared" si="23"/>
        <v>49949.4</v>
      </c>
      <c r="S746" s="30"/>
      <c r="T746" s="30"/>
    </row>
    <row r="747" spans="1:20" ht="45" customHeight="1" x14ac:dyDescent="0.3">
      <c r="A747" s="31">
        <v>735</v>
      </c>
      <c r="B747" s="32" t="s">
        <v>2477</v>
      </c>
      <c r="C747" s="32" t="s">
        <v>7456</v>
      </c>
      <c r="D747" s="34" t="s">
        <v>3708</v>
      </c>
      <c r="E747" s="32">
        <v>2020</v>
      </c>
      <c r="F747" s="32" t="s">
        <v>18</v>
      </c>
      <c r="G747" s="32" t="s">
        <v>3709</v>
      </c>
      <c r="H747" s="32" t="s">
        <v>3710</v>
      </c>
      <c r="I747" s="32" t="s">
        <v>25</v>
      </c>
      <c r="J747" s="32">
        <v>0</v>
      </c>
      <c r="K747" s="32">
        <v>0</v>
      </c>
      <c r="L747" s="32">
        <v>0</v>
      </c>
      <c r="M747" s="32">
        <v>17688</v>
      </c>
      <c r="N747" s="32">
        <v>0</v>
      </c>
      <c r="O747" s="32">
        <v>0</v>
      </c>
      <c r="P747" s="32">
        <f>360+56</f>
        <v>416</v>
      </c>
      <c r="Q747" s="43">
        <f t="shared" si="22"/>
        <v>18104</v>
      </c>
      <c r="R747" s="69">
        <f t="shared" si="23"/>
        <v>15388.4</v>
      </c>
      <c r="S747" s="30"/>
      <c r="T747" s="30"/>
    </row>
    <row r="748" spans="1:20" ht="45" customHeight="1" x14ac:dyDescent="0.3">
      <c r="A748" s="31">
        <v>736</v>
      </c>
      <c r="B748" s="32" t="s">
        <v>2477</v>
      </c>
      <c r="C748" s="32" t="s">
        <v>7457</v>
      </c>
      <c r="D748" s="34" t="s">
        <v>1914</v>
      </c>
      <c r="E748" s="32">
        <v>2016</v>
      </c>
      <c r="F748" s="32" t="s">
        <v>19</v>
      </c>
      <c r="G748" s="32" t="s">
        <v>2028</v>
      </c>
      <c r="H748" s="32" t="s">
        <v>2084</v>
      </c>
      <c r="I748" s="32" t="s">
        <v>2621</v>
      </c>
      <c r="J748" s="32">
        <v>3793</v>
      </c>
      <c r="K748" s="32">
        <v>0</v>
      </c>
      <c r="L748" s="32">
        <v>0</v>
      </c>
      <c r="M748" s="32">
        <v>0</v>
      </c>
      <c r="N748" s="32">
        <f>4053+2088</f>
        <v>6141</v>
      </c>
      <c r="O748" s="32">
        <v>0</v>
      </c>
      <c r="P748" s="32">
        <f>720+1080+336+120+360+56</f>
        <v>2672</v>
      </c>
      <c r="Q748" s="43">
        <f t="shared" si="22"/>
        <v>12606</v>
      </c>
      <c r="R748" s="69">
        <f t="shared" si="23"/>
        <v>10715.1</v>
      </c>
      <c r="S748" s="30"/>
      <c r="T748" s="30"/>
    </row>
    <row r="749" spans="1:20" ht="45" customHeight="1" x14ac:dyDescent="0.3">
      <c r="A749" s="36">
        <v>737</v>
      </c>
      <c r="B749" s="32" t="s">
        <v>2477</v>
      </c>
      <c r="C749" s="32" t="s">
        <v>7457</v>
      </c>
      <c r="D749" s="34" t="s">
        <v>1914</v>
      </c>
      <c r="E749" s="32">
        <v>2016</v>
      </c>
      <c r="F749" s="32" t="s">
        <v>19</v>
      </c>
      <c r="G749" s="32" t="s">
        <v>2028</v>
      </c>
      <c r="H749" s="32" t="s">
        <v>2084</v>
      </c>
      <c r="I749" s="32" t="s">
        <v>2621</v>
      </c>
      <c r="J749" s="32">
        <v>0</v>
      </c>
      <c r="K749" s="32">
        <v>0</v>
      </c>
      <c r="L749" s="32">
        <v>0</v>
      </c>
      <c r="M749" s="32">
        <v>17688</v>
      </c>
      <c r="N749" s="32">
        <v>0</v>
      </c>
      <c r="O749" s="32">
        <v>0</v>
      </c>
      <c r="P749" s="32">
        <f>360+56+720+374</f>
        <v>1510</v>
      </c>
      <c r="Q749" s="43">
        <f t="shared" si="22"/>
        <v>19198</v>
      </c>
      <c r="R749" s="69">
        <f t="shared" si="23"/>
        <v>16318.3</v>
      </c>
      <c r="S749" s="30"/>
      <c r="T749" s="30"/>
    </row>
    <row r="750" spans="1:20" ht="45" customHeight="1" x14ac:dyDescent="0.3">
      <c r="A750" s="31">
        <v>738</v>
      </c>
      <c r="B750" s="32" t="s">
        <v>2477</v>
      </c>
      <c r="C750" s="32" t="s">
        <v>7458</v>
      </c>
      <c r="D750" s="34" t="s">
        <v>2299</v>
      </c>
      <c r="E750" s="32">
        <v>2024</v>
      </c>
      <c r="F750" s="32" t="s">
        <v>19</v>
      </c>
      <c r="G750" s="32" t="s">
        <v>2387</v>
      </c>
      <c r="H750" s="32" t="s">
        <v>1452</v>
      </c>
      <c r="I750" s="32" t="s">
        <v>282</v>
      </c>
      <c r="J750" s="32">
        <v>3793</v>
      </c>
      <c r="K750" s="32">
        <f>6278+4484+1346+4484+2332+2332+2332+2332+2332+2332+6995+6995+2332+6995</f>
        <v>53901</v>
      </c>
      <c r="L750" s="32">
        <v>0</v>
      </c>
      <c r="M750" s="32">
        <v>0</v>
      </c>
      <c r="N750" s="32">
        <f>3148+2088+4053</f>
        <v>9289</v>
      </c>
      <c r="O750" s="32">
        <v>0</v>
      </c>
      <c r="P750" s="32">
        <f>720+1080+120+720+112</f>
        <v>2752</v>
      </c>
      <c r="Q750" s="43">
        <f t="shared" si="22"/>
        <v>69735</v>
      </c>
      <c r="R750" s="69">
        <f t="shared" si="23"/>
        <v>59274.75</v>
      </c>
      <c r="S750" s="30"/>
      <c r="T750" s="30"/>
    </row>
    <row r="751" spans="1:20" ht="45" customHeight="1" x14ac:dyDescent="0.3">
      <c r="A751" s="31">
        <v>739</v>
      </c>
      <c r="B751" s="32" t="s">
        <v>2477</v>
      </c>
      <c r="C751" s="32" t="s">
        <v>7458</v>
      </c>
      <c r="D751" s="34" t="s">
        <v>2299</v>
      </c>
      <c r="E751" s="32">
        <v>2024</v>
      </c>
      <c r="F751" s="32" t="s">
        <v>19</v>
      </c>
      <c r="G751" s="32" t="s">
        <v>2387</v>
      </c>
      <c r="H751" s="32" t="s">
        <v>1452</v>
      </c>
      <c r="I751" s="32" t="s">
        <v>282</v>
      </c>
      <c r="J751" s="32">
        <v>0</v>
      </c>
      <c r="K751" s="32">
        <v>0</v>
      </c>
      <c r="L751" s="32">
        <v>0</v>
      </c>
      <c r="M751" s="32">
        <v>17688</v>
      </c>
      <c r="N751" s="32">
        <v>0</v>
      </c>
      <c r="O751" s="32">
        <v>0</v>
      </c>
      <c r="P751" s="32">
        <v>0</v>
      </c>
      <c r="Q751" s="43">
        <f t="shared" si="22"/>
        <v>17688</v>
      </c>
      <c r="R751" s="69">
        <f t="shared" si="23"/>
        <v>15034.8</v>
      </c>
      <c r="S751" s="30"/>
      <c r="T751" s="30"/>
    </row>
    <row r="752" spans="1:20" ht="45" customHeight="1" x14ac:dyDescent="0.3">
      <c r="A752" s="36">
        <v>740</v>
      </c>
      <c r="B752" s="32" t="s">
        <v>2477</v>
      </c>
      <c r="C752" s="32" t="s">
        <v>7459</v>
      </c>
      <c r="D752" s="34" t="s">
        <v>2511</v>
      </c>
      <c r="E752" s="32">
        <v>2006</v>
      </c>
      <c r="F752" s="32" t="s">
        <v>19</v>
      </c>
      <c r="G752" s="32" t="s">
        <v>2564</v>
      </c>
      <c r="H752" s="32" t="s">
        <v>2597</v>
      </c>
      <c r="I752" s="32" t="s">
        <v>278</v>
      </c>
      <c r="J752" s="32">
        <v>2900</v>
      </c>
      <c r="K752" s="32">
        <v>3000</v>
      </c>
      <c r="L752" s="32">
        <v>0</v>
      </c>
      <c r="M752" s="32">
        <v>0</v>
      </c>
      <c r="N752" s="32">
        <v>2088</v>
      </c>
      <c r="O752" s="32">
        <v>0</v>
      </c>
      <c r="P752" s="32">
        <f>360+56</f>
        <v>416</v>
      </c>
      <c r="Q752" s="43">
        <f t="shared" si="22"/>
        <v>8404</v>
      </c>
      <c r="R752" s="69">
        <f t="shared" si="23"/>
        <v>7143.4</v>
      </c>
      <c r="S752" s="30"/>
      <c r="T752" s="30"/>
    </row>
    <row r="753" spans="1:20" ht="45" customHeight="1" x14ac:dyDescent="0.3">
      <c r="A753" s="31">
        <v>741</v>
      </c>
      <c r="B753" s="32" t="s">
        <v>2477</v>
      </c>
      <c r="C753" s="32" t="s">
        <v>7460</v>
      </c>
      <c r="D753" s="34" t="s">
        <v>3700</v>
      </c>
      <c r="E753" s="32">
        <v>2021</v>
      </c>
      <c r="F753" s="32" t="s">
        <v>19</v>
      </c>
      <c r="G753" s="32" t="s">
        <v>3701</v>
      </c>
      <c r="H753" s="32" t="s">
        <v>3702</v>
      </c>
      <c r="I753" s="32" t="s">
        <v>3703</v>
      </c>
      <c r="J753" s="32">
        <v>2900</v>
      </c>
      <c r="K753" s="32">
        <v>0</v>
      </c>
      <c r="L753" s="32">
        <v>0</v>
      </c>
      <c r="M753" s="32">
        <v>17688</v>
      </c>
      <c r="N753" s="32">
        <v>1681</v>
      </c>
      <c r="O753" s="32">
        <v>0</v>
      </c>
      <c r="P753" s="32">
        <f>1080+168</f>
        <v>1248</v>
      </c>
      <c r="Q753" s="43">
        <f t="shared" si="22"/>
        <v>23517</v>
      </c>
      <c r="R753" s="69">
        <f t="shared" si="23"/>
        <v>19989.45</v>
      </c>
      <c r="S753" s="30"/>
      <c r="T753" s="30"/>
    </row>
    <row r="754" spans="1:20" s="41" customFormat="1" ht="45" customHeight="1" x14ac:dyDescent="0.3">
      <c r="A754" s="31">
        <v>742</v>
      </c>
      <c r="B754" s="38" t="s">
        <v>2477</v>
      </c>
      <c r="C754" s="38" t="s">
        <v>7461</v>
      </c>
      <c r="D754" s="39" t="s">
        <v>2176</v>
      </c>
      <c r="E754" s="38">
        <v>2004</v>
      </c>
      <c r="F754" s="38" t="s">
        <v>19</v>
      </c>
      <c r="G754" s="38" t="s">
        <v>2328</v>
      </c>
      <c r="H754" s="38" t="s">
        <v>2402</v>
      </c>
      <c r="I754" s="38" t="s">
        <v>2445</v>
      </c>
      <c r="J754" s="38">
        <v>2900</v>
      </c>
      <c r="K754" s="38">
        <v>0</v>
      </c>
      <c r="L754" s="38">
        <v>0</v>
      </c>
      <c r="M754" s="38">
        <v>0</v>
      </c>
      <c r="N754" s="38">
        <v>0</v>
      </c>
      <c r="O754" s="38">
        <v>0</v>
      </c>
      <c r="P754" s="38">
        <v>0</v>
      </c>
      <c r="Q754" s="43">
        <f t="shared" si="22"/>
        <v>2900</v>
      </c>
      <c r="R754" s="69">
        <f t="shared" si="23"/>
        <v>2465</v>
      </c>
      <c r="S754" s="40"/>
      <c r="T754" s="40"/>
    </row>
    <row r="755" spans="1:20" ht="45" customHeight="1" x14ac:dyDescent="0.3">
      <c r="A755" s="36">
        <v>743</v>
      </c>
      <c r="B755" s="32" t="s">
        <v>2477</v>
      </c>
      <c r="C755" s="32" t="s">
        <v>7462</v>
      </c>
      <c r="D755" s="34" t="s">
        <v>2153</v>
      </c>
      <c r="E755" s="32">
        <v>1998</v>
      </c>
      <c r="F755" s="32" t="s">
        <v>19</v>
      </c>
      <c r="G755" s="32" t="s">
        <v>2317</v>
      </c>
      <c r="H755" s="32" t="s">
        <v>2396</v>
      </c>
      <c r="I755" s="32" t="s">
        <v>539</v>
      </c>
      <c r="J755" s="32">
        <v>2900</v>
      </c>
      <c r="K755" s="32">
        <v>0</v>
      </c>
      <c r="L755" s="32">
        <v>0</v>
      </c>
      <c r="M755" s="32">
        <v>0</v>
      </c>
      <c r="N755" s="32">
        <v>1681</v>
      </c>
      <c r="O755" s="32">
        <v>0</v>
      </c>
      <c r="P755" s="32">
        <f>56+312+396</f>
        <v>764</v>
      </c>
      <c r="Q755" s="43">
        <f t="shared" si="22"/>
        <v>5345</v>
      </c>
      <c r="R755" s="69">
        <f t="shared" si="23"/>
        <v>4543.25</v>
      </c>
      <c r="S755" s="30"/>
      <c r="T755" s="30"/>
    </row>
    <row r="756" spans="1:20" ht="45" customHeight="1" x14ac:dyDescent="0.3">
      <c r="A756" s="31">
        <v>744</v>
      </c>
      <c r="B756" s="32" t="s">
        <v>2477</v>
      </c>
      <c r="C756" s="32" t="s">
        <v>7463</v>
      </c>
      <c r="D756" s="34" t="s">
        <v>1777</v>
      </c>
      <c r="E756" s="32">
        <v>2021</v>
      </c>
      <c r="F756" s="32" t="s">
        <v>19</v>
      </c>
      <c r="G756" s="32" t="s">
        <v>1835</v>
      </c>
      <c r="H756" s="32" t="s">
        <v>1875</v>
      </c>
      <c r="I756" s="32" t="s">
        <v>1267</v>
      </c>
      <c r="J756" s="32">
        <v>2900</v>
      </c>
      <c r="K756" s="32">
        <v>0</v>
      </c>
      <c r="L756" s="32">
        <v>0</v>
      </c>
      <c r="M756" s="32">
        <v>17688</v>
      </c>
      <c r="N756" s="32">
        <v>2088</v>
      </c>
      <c r="O756" s="32">
        <v>0</v>
      </c>
      <c r="P756" s="32">
        <f>1080+168</f>
        <v>1248</v>
      </c>
      <c r="Q756" s="43">
        <f t="shared" si="22"/>
        <v>23924</v>
      </c>
      <c r="R756" s="69">
        <f t="shared" si="23"/>
        <v>20335.400000000001</v>
      </c>
      <c r="S756" s="30"/>
      <c r="T756" s="30"/>
    </row>
    <row r="757" spans="1:20" ht="45" customHeight="1" x14ac:dyDescent="0.3">
      <c r="A757" s="31">
        <v>745</v>
      </c>
      <c r="B757" s="32" t="s">
        <v>2477</v>
      </c>
      <c r="C757" s="32" t="s">
        <v>7464</v>
      </c>
      <c r="D757" s="34" t="s">
        <v>3697</v>
      </c>
      <c r="E757" s="32">
        <v>2020</v>
      </c>
      <c r="F757" s="32" t="s">
        <v>19</v>
      </c>
      <c r="G757" s="32" t="s">
        <v>3698</v>
      </c>
      <c r="H757" s="32" t="s">
        <v>2423</v>
      </c>
      <c r="I757" s="32" t="s">
        <v>1278</v>
      </c>
      <c r="J757" s="32">
        <v>2900</v>
      </c>
      <c r="K757" s="32">
        <v>0</v>
      </c>
      <c r="L757" s="32">
        <v>0</v>
      </c>
      <c r="M757" s="32">
        <v>17688</v>
      </c>
      <c r="N757" s="32">
        <v>2088</v>
      </c>
      <c r="O757" s="32">
        <v>0</v>
      </c>
      <c r="P757" s="32">
        <f>312+168+720+60</f>
        <v>1260</v>
      </c>
      <c r="Q757" s="43">
        <f t="shared" si="22"/>
        <v>23936</v>
      </c>
      <c r="R757" s="69">
        <f t="shared" si="23"/>
        <v>20345.599999999999</v>
      </c>
      <c r="S757" s="30"/>
      <c r="T757" s="30"/>
    </row>
    <row r="758" spans="1:20" ht="45" customHeight="1" x14ac:dyDescent="0.3">
      <c r="A758" s="36">
        <v>746</v>
      </c>
      <c r="B758" s="32" t="s">
        <v>2655</v>
      </c>
      <c r="C758" s="32" t="s">
        <v>2656</v>
      </c>
      <c r="D758" s="32" t="s">
        <v>2657</v>
      </c>
      <c r="E758" s="32">
        <v>2009</v>
      </c>
      <c r="F758" s="32" t="s">
        <v>19</v>
      </c>
      <c r="G758" s="32" t="s">
        <v>2758</v>
      </c>
      <c r="H758" s="32" t="s">
        <v>2806</v>
      </c>
      <c r="I758" s="32" t="s">
        <v>2843</v>
      </c>
      <c r="J758" s="32">
        <v>6199</v>
      </c>
      <c r="K758" s="32">
        <f>2332+2332+1166+2801+2332+2332+2332+2332+6995+6278+4484+1346+2332+2332</f>
        <v>41726</v>
      </c>
      <c r="L758" s="32">
        <v>0</v>
      </c>
      <c r="M758" s="32">
        <v>0</v>
      </c>
      <c r="N758" s="32">
        <v>1793</v>
      </c>
      <c r="O758" s="32">
        <v>0</v>
      </c>
      <c r="P758" s="32">
        <v>0</v>
      </c>
      <c r="Q758" s="43">
        <f t="shared" si="22"/>
        <v>49718</v>
      </c>
      <c r="R758" s="69">
        <f t="shared" si="23"/>
        <v>42260.3</v>
      </c>
      <c r="S758" s="30"/>
      <c r="T758" s="30"/>
    </row>
    <row r="759" spans="1:20" ht="45" customHeight="1" x14ac:dyDescent="0.3">
      <c r="A759" s="31">
        <v>747</v>
      </c>
      <c r="B759" s="32" t="s">
        <v>2655</v>
      </c>
      <c r="C759" s="32" t="s">
        <v>2658</v>
      </c>
      <c r="D759" s="32" t="s">
        <v>2659</v>
      </c>
      <c r="E759" s="32">
        <v>2008</v>
      </c>
      <c r="F759" s="32" t="s">
        <v>18</v>
      </c>
      <c r="G759" s="32" t="s">
        <v>2759</v>
      </c>
      <c r="H759" s="32" t="s">
        <v>2807</v>
      </c>
      <c r="I759" s="32" t="s">
        <v>2844</v>
      </c>
      <c r="J759" s="32">
        <v>6199</v>
      </c>
      <c r="K759" s="32">
        <v>0</v>
      </c>
      <c r="L759" s="32">
        <v>0</v>
      </c>
      <c r="M759" s="32">
        <v>0</v>
      </c>
      <c r="N759" s="32">
        <v>0</v>
      </c>
      <c r="O759" s="32">
        <v>0</v>
      </c>
      <c r="P759" s="32">
        <v>0</v>
      </c>
      <c r="Q759" s="43">
        <f t="shared" si="22"/>
        <v>6199</v>
      </c>
      <c r="R759" s="69">
        <f t="shared" si="23"/>
        <v>5269.15</v>
      </c>
      <c r="S759" s="30"/>
      <c r="T759" s="30"/>
    </row>
    <row r="760" spans="1:20" ht="45" customHeight="1" x14ac:dyDescent="0.3">
      <c r="A760" s="31">
        <v>748</v>
      </c>
      <c r="B760" s="32" t="s">
        <v>2655</v>
      </c>
      <c r="C760" s="32" t="s">
        <v>2660</v>
      </c>
      <c r="D760" s="32" t="s">
        <v>2661</v>
      </c>
      <c r="E760" s="32">
        <v>2009</v>
      </c>
      <c r="F760" s="32" t="s">
        <v>19</v>
      </c>
      <c r="G760" s="32" t="s">
        <v>2760</v>
      </c>
      <c r="H760" s="32" t="s">
        <v>2808</v>
      </c>
      <c r="I760" s="32" t="s">
        <v>2645</v>
      </c>
      <c r="J760" s="32">
        <v>6199</v>
      </c>
      <c r="K760" s="32">
        <v>0</v>
      </c>
      <c r="L760" s="32">
        <v>0</v>
      </c>
      <c r="M760" s="32">
        <v>0</v>
      </c>
      <c r="N760" s="32">
        <v>0</v>
      </c>
      <c r="O760" s="32">
        <v>0</v>
      </c>
      <c r="P760" s="32">
        <v>0</v>
      </c>
      <c r="Q760" s="43">
        <f t="shared" si="22"/>
        <v>6199</v>
      </c>
      <c r="R760" s="69">
        <f t="shared" si="23"/>
        <v>5269.15</v>
      </c>
      <c r="S760" s="30"/>
      <c r="T760" s="30"/>
    </row>
    <row r="761" spans="1:20" ht="45" customHeight="1" x14ac:dyDescent="0.3">
      <c r="A761" s="36">
        <v>749</v>
      </c>
      <c r="B761" s="32" t="s">
        <v>2655</v>
      </c>
      <c r="C761" s="32" t="s">
        <v>2662</v>
      </c>
      <c r="D761" s="32" t="s">
        <v>2663</v>
      </c>
      <c r="E761" s="32">
        <v>2008</v>
      </c>
      <c r="F761" s="32" t="s">
        <v>19</v>
      </c>
      <c r="G761" s="32" t="s">
        <v>2761</v>
      </c>
      <c r="H761" s="32" t="s">
        <v>2809</v>
      </c>
      <c r="I761" s="32" t="s">
        <v>2845</v>
      </c>
      <c r="J761" s="32">
        <v>6199</v>
      </c>
      <c r="K761" s="32">
        <f>2332+2332+2243</f>
        <v>6907</v>
      </c>
      <c r="L761" s="32">
        <v>0</v>
      </c>
      <c r="M761" s="32">
        <v>0</v>
      </c>
      <c r="N761" s="32">
        <v>0</v>
      </c>
      <c r="O761" s="32">
        <v>0</v>
      </c>
      <c r="P761" s="32">
        <v>0</v>
      </c>
      <c r="Q761" s="43">
        <f t="shared" si="22"/>
        <v>13106</v>
      </c>
      <c r="R761" s="69">
        <f t="shared" si="23"/>
        <v>11140.1</v>
      </c>
      <c r="S761" s="30"/>
      <c r="T761" s="30"/>
    </row>
    <row r="762" spans="1:20" ht="45" customHeight="1" x14ac:dyDescent="0.3">
      <c r="A762" s="31">
        <v>750</v>
      </c>
      <c r="B762" s="32" t="s">
        <v>2655</v>
      </c>
      <c r="C762" s="32" t="s">
        <v>2664</v>
      </c>
      <c r="D762" s="32" t="s">
        <v>2665</v>
      </c>
      <c r="E762" s="32">
        <v>1983</v>
      </c>
      <c r="F762" s="32" t="s">
        <v>19</v>
      </c>
      <c r="G762" s="32" t="s">
        <v>2762</v>
      </c>
      <c r="H762" s="32" t="s">
        <v>2810</v>
      </c>
      <c r="I762" s="32" t="s">
        <v>576</v>
      </c>
      <c r="J762" s="32">
        <v>3582</v>
      </c>
      <c r="K762" s="32">
        <v>0</v>
      </c>
      <c r="L762" s="32">
        <v>0</v>
      </c>
      <c r="M762" s="32">
        <v>0</v>
      </c>
      <c r="N762" s="32">
        <f>15443+13563+20859</f>
        <v>49865</v>
      </c>
      <c r="O762" s="32">
        <v>0</v>
      </c>
      <c r="P762" s="32">
        <v>0</v>
      </c>
      <c r="Q762" s="43">
        <f t="shared" si="22"/>
        <v>53447</v>
      </c>
      <c r="R762" s="69">
        <f t="shared" si="23"/>
        <v>45429.95</v>
      </c>
      <c r="S762" s="30"/>
      <c r="T762" s="30"/>
    </row>
    <row r="763" spans="1:20" ht="45" customHeight="1" x14ac:dyDescent="0.3">
      <c r="A763" s="31">
        <v>751</v>
      </c>
      <c r="B763" s="32" t="s">
        <v>2655</v>
      </c>
      <c r="C763" s="32" t="s">
        <v>2666</v>
      </c>
      <c r="D763" s="32" t="s">
        <v>2667</v>
      </c>
      <c r="E763" s="32">
        <v>2016</v>
      </c>
      <c r="F763" s="32" t="s">
        <v>19</v>
      </c>
      <c r="G763" s="32" t="s">
        <v>2763</v>
      </c>
      <c r="H763" s="32" t="s">
        <v>2811</v>
      </c>
      <c r="I763" s="32" t="s">
        <v>2127</v>
      </c>
      <c r="J763" s="32">
        <v>6199</v>
      </c>
      <c r="K763" s="32">
        <f>6278+4484+1346+4484+2332+2332+2332+2332+2332+2332+1166+6995+6995+2332+6995</f>
        <v>55067</v>
      </c>
      <c r="L763" s="32">
        <v>0</v>
      </c>
      <c r="M763" s="32">
        <v>0</v>
      </c>
      <c r="N763" s="32">
        <v>3148</v>
      </c>
      <c r="O763" s="32">
        <v>0</v>
      </c>
      <c r="P763" s="32">
        <v>0</v>
      </c>
      <c r="Q763" s="43">
        <f t="shared" si="22"/>
        <v>64414</v>
      </c>
      <c r="R763" s="69">
        <f t="shared" si="23"/>
        <v>54751.9</v>
      </c>
      <c r="S763" s="30"/>
      <c r="T763" s="30"/>
    </row>
    <row r="764" spans="1:20" ht="45" customHeight="1" x14ac:dyDescent="0.3">
      <c r="A764" s="36">
        <v>752</v>
      </c>
      <c r="B764" s="32" t="s">
        <v>2655</v>
      </c>
      <c r="C764" s="32" t="s">
        <v>2668</v>
      </c>
      <c r="D764" s="32" t="s">
        <v>2669</v>
      </c>
      <c r="E764" s="32">
        <v>2023</v>
      </c>
      <c r="F764" s="32" t="s">
        <v>18</v>
      </c>
      <c r="G764" s="32" t="s">
        <v>2764</v>
      </c>
      <c r="H764" s="32" t="s">
        <v>2812</v>
      </c>
      <c r="I764" s="32" t="s">
        <v>2846</v>
      </c>
      <c r="J764" s="32">
        <v>6199</v>
      </c>
      <c r="K764" s="32">
        <f>1346+6278+4484+4484</f>
        <v>16592</v>
      </c>
      <c r="L764" s="32">
        <v>0</v>
      </c>
      <c r="M764" s="32">
        <v>0</v>
      </c>
      <c r="N764" s="32">
        <v>3148</v>
      </c>
      <c r="O764" s="32">
        <v>0</v>
      </c>
      <c r="P764" s="32">
        <v>0</v>
      </c>
      <c r="Q764" s="43">
        <f t="shared" si="22"/>
        <v>25939</v>
      </c>
      <c r="R764" s="69">
        <f t="shared" si="23"/>
        <v>22048.15</v>
      </c>
      <c r="S764" s="30"/>
      <c r="T764" s="30"/>
    </row>
    <row r="765" spans="1:20" ht="45" customHeight="1" x14ac:dyDescent="0.3">
      <c r="A765" s="31">
        <v>753</v>
      </c>
      <c r="B765" s="32" t="s">
        <v>2655</v>
      </c>
      <c r="C765" s="32" t="s">
        <v>2670</v>
      </c>
      <c r="D765" s="32" t="s">
        <v>1149</v>
      </c>
      <c r="E765" s="32">
        <v>2002</v>
      </c>
      <c r="F765" s="32" t="s">
        <v>18</v>
      </c>
      <c r="G765" s="32" t="s">
        <v>1203</v>
      </c>
      <c r="H765" s="32" t="s">
        <v>1203</v>
      </c>
      <c r="I765" s="32" t="s">
        <v>1257</v>
      </c>
      <c r="J765" s="32">
        <v>3793</v>
      </c>
      <c r="K765" s="32">
        <f>1346+6278+4484+6995+2332+2332+2332+2332+2332+2332+1166+2801+3000+3000+3228+6995+6995+2332+6995</f>
        <v>69607</v>
      </c>
      <c r="L765" s="32">
        <v>0</v>
      </c>
      <c r="M765" s="32">
        <v>0</v>
      </c>
      <c r="N765" s="32">
        <v>1793</v>
      </c>
      <c r="O765" s="32">
        <v>0</v>
      </c>
      <c r="P765" s="32">
        <v>0</v>
      </c>
      <c r="Q765" s="43">
        <f t="shared" si="22"/>
        <v>75193</v>
      </c>
      <c r="R765" s="69">
        <f t="shared" si="23"/>
        <v>63914.05</v>
      </c>
      <c r="S765" s="30"/>
      <c r="T765" s="30"/>
    </row>
    <row r="766" spans="1:20" ht="45" customHeight="1" x14ac:dyDescent="0.3">
      <c r="A766" s="31">
        <v>754</v>
      </c>
      <c r="B766" s="32" t="s">
        <v>2655</v>
      </c>
      <c r="C766" s="32" t="s">
        <v>2671</v>
      </c>
      <c r="D766" s="32" t="s">
        <v>2672</v>
      </c>
      <c r="E766" s="32">
        <v>2002</v>
      </c>
      <c r="F766" s="32" t="s">
        <v>19</v>
      </c>
      <c r="G766" s="32" t="s">
        <v>2765</v>
      </c>
      <c r="H766" s="32" t="s">
        <v>2765</v>
      </c>
      <c r="I766" s="32" t="s">
        <v>2847</v>
      </c>
      <c r="J766" s="32">
        <v>6199</v>
      </c>
      <c r="K766" s="32">
        <v>0</v>
      </c>
      <c r="L766" s="32">
        <v>9422</v>
      </c>
      <c r="M766" s="32">
        <v>0</v>
      </c>
      <c r="N766" s="32">
        <v>0</v>
      </c>
      <c r="O766" s="32">
        <v>0</v>
      </c>
      <c r="P766" s="32">
        <v>2400</v>
      </c>
      <c r="Q766" s="43">
        <f t="shared" si="22"/>
        <v>18021</v>
      </c>
      <c r="R766" s="69">
        <f t="shared" si="23"/>
        <v>15317.85</v>
      </c>
      <c r="S766" s="30"/>
      <c r="T766" s="30"/>
    </row>
    <row r="767" spans="1:20" ht="45" customHeight="1" x14ac:dyDescent="0.3">
      <c r="A767" s="36">
        <v>755</v>
      </c>
      <c r="B767" s="32" t="s">
        <v>2655</v>
      </c>
      <c r="C767" s="32" t="s">
        <v>2673</v>
      </c>
      <c r="D767" s="32" t="s">
        <v>2674</v>
      </c>
      <c r="E767" s="32">
        <v>2022</v>
      </c>
      <c r="F767" s="32" t="s">
        <v>19</v>
      </c>
      <c r="G767" s="32" t="s">
        <v>2766</v>
      </c>
      <c r="H767" s="32" t="s">
        <v>2813</v>
      </c>
      <c r="I767" s="32" t="s">
        <v>2848</v>
      </c>
      <c r="J767" s="32">
        <v>6199</v>
      </c>
      <c r="K767" s="32">
        <v>0</v>
      </c>
      <c r="L767" s="32">
        <v>0</v>
      </c>
      <c r="M767" s="32">
        <v>0</v>
      </c>
      <c r="N767" s="32">
        <v>0</v>
      </c>
      <c r="O767" s="32">
        <v>0</v>
      </c>
      <c r="P767" s="32">
        <v>0</v>
      </c>
      <c r="Q767" s="43">
        <f t="shared" si="22"/>
        <v>6199</v>
      </c>
      <c r="R767" s="69">
        <f t="shared" si="23"/>
        <v>5269.15</v>
      </c>
      <c r="S767" s="30"/>
      <c r="T767" s="30"/>
    </row>
    <row r="768" spans="1:20" ht="45" customHeight="1" x14ac:dyDescent="0.3">
      <c r="A768" s="31">
        <v>756</v>
      </c>
      <c r="B768" s="32" t="s">
        <v>2655</v>
      </c>
      <c r="C768" s="32" t="s">
        <v>2675</v>
      </c>
      <c r="D768" s="32" t="s">
        <v>2676</v>
      </c>
      <c r="E768" s="32">
        <v>1990</v>
      </c>
      <c r="F768" s="32" t="s">
        <v>18</v>
      </c>
      <c r="G768" s="32" t="s">
        <v>2767</v>
      </c>
      <c r="H768" s="32" t="s">
        <v>2767</v>
      </c>
      <c r="I768" s="32" t="s">
        <v>2849</v>
      </c>
      <c r="J768" s="32">
        <v>6199</v>
      </c>
      <c r="K768" s="32">
        <v>0</v>
      </c>
      <c r="L768" s="32">
        <v>0</v>
      </c>
      <c r="M768" s="32">
        <v>0</v>
      </c>
      <c r="N768" s="32">
        <v>0</v>
      </c>
      <c r="O768" s="32">
        <v>0</v>
      </c>
      <c r="P768" s="32">
        <v>0</v>
      </c>
      <c r="Q768" s="43">
        <f t="shared" si="22"/>
        <v>6199</v>
      </c>
      <c r="R768" s="69">
        <f t="shared" si="23"/>
        <v>5269.15</v>
      </c>
      <c r="S768" s="30"/>
      <c r="T768" s="30"/>
    </row>
    <row r="769" spans="1:20" ht="45" customHeight="1" x14ac:dyDescent="0.3">
      <c r="A769" s="31">
        <v>757</v>
      </c>
      <c r="B769" s="32" t="s">
        <v>2655</v>
      </c>
      <c r="C769" s="32" t="s">
        <v>2677</v>
      </c>
      <c r="D769" s="32" t="s">
        <v>2678</v>
      </c>
      <c r="E769" s="32">
        <v>1994</v>
      </c>
      <c r="F769" s="32" t="s">
        <v>19</v>
      </c>
      <c r="G769" s="32" t="s">
        <v>2768</v>
      </c>
      <c r="H769" s="32" t="s">
        <v>2814</v>
      </c>
      <c r="I769" s="32" t="s">
        <v>27</v>
      </c>
      <c r="J769" s="32">
        <v>6199</v>
      </c>
      <c r="K769" s="32">
        <f>6278+4484+1346+2332+4484+2332+3000+3000+2332+2332+3228+2332+2332+6995+6995</f>
        <v>53802</v>
      </c>
      <c r="L769" s="32">
        <v>0</v>
      </c>
      <c r="M769" s="32">
        <v>0</v>
      </c>
      <c r="N769" s="32">
        <v>1793</v>
      </c>
      <c r="O769" s="32">
        <v>0</v>
      </c>
      <c r="P769" s="32">
        <v>0</v>
      </c>
      <c r="Q769" s="43">
        <f t="shared" si="22"/>
        <v>61794</v>
      </c>
      <c r="R769" s="69">
        <f t="shared" si="23"/>
        <v>52524.9</v>
      </c>
      <c r="S769" s="30"/>
      <c r="T769" s="30"/>
    </row>
    <row r="770" spans="1:20" ht="45" customHeight="1" x14ac:dyDescent="0.3">
      <c r="A770" s="36">
        <v>758</v>
      </c>
      <c r="B770" s="32" t="s">
        <v>2655</v>
      </c>
      <c r="C770" s="32" t="s">
        <v>2679</v>
      </c>
      <c r="D770" s="32" t="s">
        <v>2680</v>
      </c>
      <c r="E770" s="32">
        <v>2019</v>
      </c>
      <c r="F770" s="32" t="s">
        <v>19</v>
      </c>
      <c r="G770" s="32" t="s">
        <v>2769</v>
      </c>
      <c r="H770" s="32" t="s">
        <v>2815</v>
      </c>
      <c r="I770" s="32" t="s">
        <v>2850</v>
      </c>
      <c r="J770" s="32">
        <v>6199</v>
      </c>
      <c r="K770" s="32">
        <f>1346+6278+4484+4484+2332+2332+2332+2332+2332+2332+6995+6995+2332+6995+1166</f>
        <v>55067</v>
      </c>
      <c r="L770" s="32">
        <v>0</v>
      </c>
      <c r="M770" s="32">
        <v>0</v>
      </c>
      <c r="N770" s="32">
        <v>3148</v>
      </c>
      <c r="O770" s="32">
        <v>0</v>
      </c>
      <c r="P770" s="32">
        <v>0</v>
      </c>
      <c r="Q770" s="43">
        <f t="shared" si="22"/>
        <v>64414</v>
      </c>
      <c r="R770" s="69">
        <f t="shared" si="23"/>
        <v>54751.9</v>
      </c>
      <c r="S770" s="30"/>
      <c r="T770" s="30"/>
    </row>
    <row r="771" spans="1:20" ht="45" customHeight="1" x14ac:dyDescent="0.3">
      <c r="A771" s="31">
        <v>759</v>
      </c>
      <c r="B771" s="32" t="s">
        <v>2655</v>
      </c>
      <c r="C771" s="32" t="s">
        <v>2681</v>
      </c>
      <c r="D771" s="32" t="s">
        <v>2682</v>
      </c>
      <c r="E771" s="32">
        <v>2017</v>
      </c>
      <c r="F771" s="32" t="s">
        <v>18</v>
      </c>
      <c r="G771" s="32" t="s">
        <v>2770</v>
      </c>
      <c r="H771" s="32" t="s">
        <v>2816</v>
      </c>
      <c r="I771" s="32" t="s">
        <v>2851</v>
      </c>
      <c r="J771" s="32">
        <v>6199</v>
      </c>
      <c r="K771" s="32">
        <f>1346+6278+4484+4484</f>
        <v>16592</v>
      </c>
      <c r="L771" s="32">
        <v>0</v>
      </c>
      <c r="M771" s="32">
        <v>0</v>
      </c>
      <c r="N771" s="32">
        <v>3148</v>
      </c>
      <c r="O771" s="32">
        <v>0</v>
      </c>
      <c r="P771" s="32">
        <v>0</v>
      </c>
      <c r="Q771" s="43">
        <f t="shared" si="22"/>
        <v>25939</v>
      </c>
      <c r="R771" s="69">
        <f t="shared" si="23"/>
        <v>22048.15</v>
      </c>
      <c r="S771" s="30"/>
      <c r="T771" s="30"/>
    </row>
    <row r="772" spans="1:20" ht="45" customHeight="1" x14ac:dyDescent="0.3">
      <c r="A772" s="31">
        <v>760</v>
      </c>
      <c r="B772" s="32" t="s">
        <v>2655</v>
      </c>
      <c r="C772" s="32" t="s">
        <v>2683</v>
      </c>
      <c r="D772" s="32" t="s">
        <v>2684</v>
      </c>
      <c r="E772" s="32">
        <v>2024</v>
      </c>
      <c r="F772" s="32" t="s">
        <v>18</v>
      </c>
      <c r="G772" s="32" t="s">
        <v>2771</v>
      </c>
      <c r="H772" s="32" t="s">
        <v>2817</v>
      </c>
      <c r="I772" s="32" t="s">
        <v>2852</v>
      </c>
      <c r="J772" s="32">
        <v>6199</v>
      </c>
      <c r="K772" s="32">
        <v>0</v>
      </c>
      <c r="L772" s="32">
        <v>13298</v>
      </c>
      <c r="M772" s="32">
        <v>0</v>
      </c>
      <c r="N772" s="32">
        <v>0</v>
      </c>
      <c r="O772" s="32">
        <v>0</v>
      </c>
      <c r="P772" s="32">
        <v>0</v>
      </c>
      <c r="Q772" s="43">
        <f t="shared" si="22"/>
        <v>19497</v>
      </c>
      <c r="R772" s="69">
        <f t="shared" si="23"/>
        <v>16572.45</v>
      </c>
      <c r="S772" s="30"/>
      <c r="T772" s="30"/>
    </row>
    <row r="773" spans="1:20" ht="45" customHeight="1" x14ac:dyDescent="0.3">
      <c r="A773" s="36">
        <v>761</v>
      </c>
      <c r="B773" s="32" t="s">
        <v>2655</v>
      </c>
      <c r="C773" s="32" t="s">
        <v>2685</v>
      </c>
      <c r="D773" s="32" t="s">
        <v>2686</v>
      </c>
      <c r="E773" s="32">
        <v>1994</v>
      </c>
      <c r="F773" s="32" t="s">
        <v>19</v>
      </c>
      <c r="G773" s="32" t="s">
        <v>2772</v>
      </c>
      <c r="H773" s="32" t="s">
        <v>2772</v>
      </c>
      <c r="I773" s="32" t="s">
        <v>2853</v>
      </c>
      <c r="J773" s="32">
        <v>6199</v>
      </c>
      <c r="K773" s="32">
        <f>6278+4484+2332+3000+3000+3228+4484+6995+2332+2332+2332+2332</f>
        <v>43129</v>
      </c>
      <c r="L773" s="32">
        <v>0</v>
      </c>
      <c r="M773" s="32">
        <v>0</v>
      </c>
      <c r="N773" s="32">
        <v>1793</v>
      </c>
      <c r="O773" s="32">
        <v>0</v>
      </c>
      <c r="P773" s="32">
        <v>0</v>
      </c>
      <c r="Q773" s="43">
        <f t="shared" si="22"/>
        <v>51121</v>
      </c>
      <c r="R773" s="69">
        <f t="shared" si="23"/>
        <v>43452.85</v>
      </c>
      <c r="S773" s="30"/>
      <c r="T773" s="30"/>
    </row>
    <row r="774" spans="1:20" ht="45" customHeight="1" x14ac:dyDescent="0.3">
      <c r="A774" s="31">
        <v>762</v>
      </c>
      <c r="B774" s="32" t="s">
        <v>2655</v>
      </c>
      <c r="C774" s="32" t="s">
        <v>2687</v>
      </c>
      <c r="D774" s="32" t="s">
        <v>2688</v>
      </c>
      <c r="E774" s="32">
        <v>2011</v>
      </c>
      <c r="F774" s="32" t="s">
        <v>18</v>
      </c>
      <c r="G774" s="32" t="s">
        <v>2773</v>
      </c>
      <c r="H774" s="32" t="s">
        <v>2818</v>
      </c>
      <c r="I774" s="32" t="s">
        <v>276</v>
      </c>
      <c r="J774" s="32">
        <v>6199</v>
      </c>
      <c r="K774" s="32">
        <f>1346+6278+4484+6995+2332+2332+2332+1166+3500+2332+2332+2332+6995+6995+2332+6995+3000+3000</f>
        <v>67078</v>
      </c>
      <c r="L774" s="32">
        <v>0</v>
      </c>
      <c r="M774" s="32">
        <v>0</v>
      </c>
      <c r="N774" s="32">
        <v>1793</v>
      </c>
      <c r="O774" s="32">
        <v>0</v>
      </c>
      <c r="P774" s="32">
        <v>0</v>
      </c>
      <c r="Q774" s="43">
        <f t="shared" si="22"/>
        <v>75070</v>
      </c>
      <c r="R774" s="69">
        <f t="shared" si="23"/>
        <v>63809.5</v>
      </c>
      <c r="S774" s="30"/>
      <c r="T774" s="30"/>
    </row>
    <row r="775" spans="1:20" ht="45" customHeight="1" x14ac:dyDescent="0.3">
      <c r="A775" s="31">
        <v>763</v>
      </c>
      <c r="B775" s="32" t="s">
        <v>2655</v>
      </c>
      <c r="C775" s="32" t="s">
        <v>2689</v>
      </c>
      <c r="D775" s="32" t="s">
        <v>2690</v>
      </c>
      <c r="E775" s="32">
        <v>2019</v>
      </c>
      <c r="F775" s="32" t="s">
        <v>19</v>
      </c>
      <c r="G775" s="32" t="s">
        <v>2774</v>
      </c>
      <c r="H775" s="32" t="s">
        <v>2819</v>
      </c>
      <c r="I775" s="32" t="s">
        <v>2854</v>
      </c>
      <c r="J775" s="32">
        <v>6199</v>
      </c>
      <c r="K775" s="32">
        <f>6278+4484+1346+2332+4484+2332+2332+2332+2332+2332+6995+6995+2332+6995</f>
        <v>53901</v>
      </c>
      <c r="L775" s="32">
        <v>0</v>
      </c>
      <c r="M775" s="32">
        <v>0</v>
      </c>
      <c r="N775" s="32">
        <v>3148</v>
      </c>
      <c r="O775" s="32">
        <v>0</v>
      </c>
      <c r="P775" s="32">
        <v>0</v>
      </c>
      <c r="Q775" s="43">
        <f t="shared" si="22"/>
        <v>63248</v>
      </c>
      <c r="R775" s="69">
        <f t="shared" si="23"/>
        <v>53760.800000000003</v>
      </c>
      <c r="S775" s="30"/>
      <c r="T775" s="30"/>
    </row>
    <row r="776" spans="1:20" ht="45" customHeight="1" x14ac:dyDescent="0.3">
      <c r="A776" s="36">
        <v>764</v>
      </c>
      <c r="B776" s="32" t="s">
        <v>2655</v>
      </c>
      <c r="C776" s="32" t="s">
        <v>2691</v>
      </c>
      <c r="D776" s="32" t="s">
        <v>2692</v>
      </c>
      <c r="E776" s="32">
        <v>2023</v>
      </c>
      <c r="F776" s="32" t="s">
        <v>18</v>
      </c>
      <c r="G776" s="32" t="s">
        <v>2775</v>
      </c>
      <c r="H776" s="32" t="s">
        <v>2820</v>
      </c>
      <c r="I776" s="32" t="s">
        <v>25</v>
      </c>
      <c r="J776" s="32">
        <v>6199</v>
      </c>
      <c r="K776" s="32">
        <f>1346+6278+4484+4484</f>
        <v>16592</v>
      </c>
      <c r="L776" s="32">
        <v>0</v>
      </c>
      <c r="M776" s="32">
        <v>0</v>
      </c>
      <c r="N776" s="32">
        <v>3148</v>
      </c>
      <c r="O776" s="32">
        <v>0</v>
      </c>
      <c r="P776" s="32">
        <v>0</v>
      </c>
      <c r="Q776" s="43">
        <f t="shared" si="22"/>
        <v>25939</v>
      </c>
      <c r="R776" s="69">
        <f t="shared" si="23"/>
        <v>22048.15</v>
      </c>
      <c r="S776" s="30"/>
      <c r="T776" s="30"/>
    </row>
    <row r="777" spans="1:20" ht="45" customHeight="1" x14ac:dyDescent="0.3">
      <c r="A777" s="31">
        <v>765</v>
      </c>
      <c r="B777" s="32" t="s">
        <v>2655</v>
      </c>
      <c r="C777" s="32" t="s">
        <v>2693</v>
      </c>
      <c r="D777" s="32" t="s">
        <v>2684</v>
      </c>
      <c r="E777" s="32">
        <v>2024</v>
      </c>
      <c r="F777" s="32" t="s">
        <v>18</v>
      </c>
      <c r="G777" s="32" t="s">
        <v>2771</v>
      </c>
      <c r="H777" s="32" t="s">
        <v>2817</v>
      </c>
      <c r="I777" s="32" t="s">
        <v>2852</v>
      </c>
      <c r="J777" s="32">
        <v>6199</v>
      </c>
      <c r="K777" s="32">
        <v>0</v>
      </c>
      <c r="L777" s="32">
        <v>0</v>
      </c>
      <c r="M777" s="32">
        <v>0</v>
      </c>
      <c r="N777" s="32">
        <v>0</v>
      </c>
      <c r="O777" s="32">
        <v>0</v>
      </c>
      <c r="P777" s="32">
        <v>0</v>
      </c>
      <c r="Q777" s="43">
        <f t="shared" si="22"/>
        <v>6199</v>
      </c>
      <c r="R777" s="69">
        <f t="shared" si="23"/>
        <v>5269.15</v>
      </c>
      <c r="S777" s="30"/>
      <c r="T777" s="30"/>
    </row>
    <row r="778" spans="1:20" ht="45" customHeight="1" x14ac:dyDescent="0.3">
      <c r="A778" s="31">
        <v>766</v>
      </c>
      <c r="B778" s="32" t="s">
        <v>2655</v>
      </c>
      <c r="C778" s="32" t="s">
        <v>2694</v>
      </c>
      <c r="D778" s="32" t="s">
        <v>2695</v>
      </c>
      <c r="E778" s="32">
        <v>1973</v>
      </c>
      <c r="F778" s="32" t="s">
        <v>18</v>
      </c>
      <c r="G778" s="32" t="s">
        <v>2776</v>
      </c>
      <c r="H778" s="32" t="s">
        <v>2821</v>
      </c>
      <c r="I778" s="32" t="s">
        <v>2855</v>
      </c>
      <c r="J778" s="32">
        <v>3582</v>
      </c>
      <c r="K778" s="32">
        <v>0</v>
      </c>
      <c r="L778" s="32">
        <v>0</v>
      </c>
      <c r="M778" s="32">
        <v>0</v>
      </c>
      <c r="N778" s="32">
        <f>34016+21194+13563</f>
        <v>68773</v>
      </c>
      <c r="O778" s="32">
        <v>0</v>
      </c>
      <c r="P778" s="32">
        <v>0</v>
      </c>
      <c r="Q778" s="43">
        <f t="shared" si="22"/>
        <v>72355</v>
      </c>
      <c r="R778" s="69">
        <f t="shared" si="23"/>
        <v>61501.75</v>
      </c>
      <c r="S778" s="30"/>
      <c r="T778" s="30"/>
    </row>
    <row r="779" spans="1:20" ht="45" customHeight="1" x14ac:dyDescent="0.3">
      <c r="A779" s="36">
        <v>767</v>
      </c>
      <c r="B779" s="32" t="s">
        <v>2655</v>
      </c>
      <c r="C779" s="32" t="s">
        <v>2696</v>
      </c>
      <c r="D779" s="32" t="s">
        <v>2697</v>
      </c>
      <c r="E779" s="32">
        <v>1978</v>
      </c>
      <c r="F779" s="32" t="s">
        <v>18</v>
      </c>
      <c r="G779" s="32" t="s">
        <v>516</v>
      </c>
      <c r="H779" s="32" t="s">
        <v>516</v>
      </c>
      <c r="I779" s="32" t="s">
        <v>1050</v>
      </c>
      <c r="J779" s="32">
        <v>6199</v>
      </c>
      <c r="K779" s="32">
        <v>0</v>
      </c>
      <c r="L779" s="32">
        <v>0</v>
      </c>
      <c r="M779" s="32">
        <v>0</v>
      </c>
      <c r="N779" s="32">
        <v>0</v>
      </c>
      <c r="O779" s="32">
        <v>0</v>
      </c>
      <c r="P779" s="32">
        <v>0</v>
      </c>
      <c r="Q779" s="43">
        <f t="shared" si="22"/>
        <v>6199</v>
      </c>
      <c r="R779" s="69">
        <f t="shared" si="23"/>
        <v>5269.15</v>
      </c>
      <c r="S779" s="30"/>
      <c r="T779" s="30"/>
    </row>
    <row r="780" spans="1:20" ht="45" customHeight="1" x14ac:dyDescent="0.3">
      <c r="A780" s="31">
        <v>768</v>
      </c>
      <c r="B780" s="32" t="s">
        <v>2655</v>
      </c>
      <c r="C780" s="32" t="s">
        <v>2698</v>
      </c>
      <c r="D780" s="32" t="s">
        <v>2699</v>
      </c>
      <c r="E780" s="32">
        <v>1966</v>
      </c>
      <c r="F780" s="32" t="s">
        <v>19</v>
      </c>
      <c r="G780" s="32" t="s">
        <v>2777</v>
      </c>
      <c r="H780" s="32" t="s">
        <v>2822</v>
      </c>
      <c r="I780" s="32" t="s">
        <v>1480</v>
      </c>
      <c r="J780" s="32">
        <v>6199</v>
      </c>
      <c r="K780" s="32">
        <f>1346+6278+4484+6995+6995+3228+2332+2332+2243+1166+3500+2332+2332+2332+3000+3000+2332+2332+2332+4484+4484+2332+4484</f>
        <v>76675</v>
      </c>
      <c r="L780" s="32">
        <v>0</v>
      </c>
      <c r="M780" s="32">
        <v>0</v>
      </c>
      <c r="N780" s="32">
        <f>1793+1681</f>
        <v>3474</v>
      </c>
      <c r="O780" s="32">
        <v>0</v>
      </c>
      <c r="P780" s="32">
        <f>312+56+240</f>
        <v>608</v>
      </c>
      <c r="Q780" s="43">
        <f t="shared" si="22"/>
        <v>86956</v>
      </c>
      <c r="R780" s="69">
        <f t="shared" si="23"/>
        <v>73912.600000000006</v>
      </c>
      <c r="S780" s="30"/>
      <c r="T780" s="30"/>
    </row>
    <row r="781" spans="1:20" ht="45" customHeight="1" x14ac:dyDescent="0.3">
      <c r="A781" s="31">
        <v>769</v>
      </c>
      <c r="B781" s="32" t="s">
        <v>2655</v>
      </c>
      <c r="C781" s="32" t="s">
        <v>2700</v>
      </c>
      <c r="D781" s="32" t="s">
        <v>2701</v>
      </c>
      <c r="E781" s="32">
        <v>2022</v>
      </c>
      <c r="F781" s="32" t="s">
        <v>18</v>
      </c>
      <c r="G781" s="32" t="s">
        <v>2778</v>
      </c>
      <c r="H781" s="32" t="s">
        <v>2823</v>
      </c>
      <c r="I781" s="32" t="s">
        <v>2856</v>
      </c>
      <c r="J781" s="32">
        <v>6199</v>
      </c>
      <c r="K781" s="32">
        <f>6278+4484+1166+1166+2332+2332+2332+2332</f>
        <v>22422</v>
      </c>
      <c r="L781" s="32">
        <v>13298</v>
      </c>
      <c r="M781" s="32">
        <v>0</v>
      </c>
      <c r="N781" s="32">
        <v>3148</v>
      </c>
      <c r="O781" s="32">
        <v>0</v>
      </c>
      <c r="P781" s="32">
        <v>0</v>
      </c>
      <c r="Q781" s="44">
        <f t="shared" ref="Q781:Q844" si="24">SUM(J781:P781)</f>
        <v>45067</v>
      </c>
      <c r="R781" s="69">
        <f t="shared" si="23"/>
        <v>38306.949999999997</v>
      </c>
      <c r="S781" s="30"/>
      <c r="T781" s="30"/>
    </row>
    <row r="782" spans="1:20" ht="45" customHeight="1" x14ac:dyDescent="0.3">
      <c r="A782" s="36">
        <v>770</v>
      </c>
      <c r="B782" s="32" t="s">
        <v>2655</v>
      </c>
      <c r="C782" s="32" t="s">
        <v>2702</v>
      </c>
      <c r="D782" s="32" t="s">
        <v>2703</v>
      </c>
      <c r="E782" s="32">
        <v>1980</v>
      </c>
      <c r="F782" s="32" t="s">
        <v>18</v>
      </c>
      <c r="G782" s="32" t="s">
        <v>2779</v>
      </c>
      <c r="H782" s="32" t="s">
        <v>2779</v>
      </c>
      <c r="I782" s="32" t="s">
        <v>1050</v>
      </c>
      <c r="J782" s="32">
        <v>6199</v>
      </c>
      <c r="K782" s="32">
        <f>6278+4484+1346+2332+4484+2332+2332+2332+2332+3000+3000+4484+4484+2332+4484</f>
        <v>50036</v>
      </c>
      <c r="L782" s="32">
        <v>0</v>
      </c>
      <c r="M782" s="32">
        <v>0</v>
      </c>
      <c r="N782" s="32">
        <v>1793</v>
      </c>
      <c r="O782" s="32">
        <v>0</v>
      </c>
      <c r="P782" s="32">
        <v>0</v>
      </c>
      <c r="Q782" s="43">
        <f t="shared" si="24"/>
        <v>58028</v>
      </c>
      <c r="R782" s="69">
        <f t="shared" ref="R782:R845" si="25">Q782*85/100</f>
        <v>49323.8</v>
      </c>
      <c r="S782" s="30"/>
      <c r="T782" s="30"/>
    </row>
    <row r="783" spans="1:20" ht="45" customHeight="1" x14ac:dyDescent="0.3">
      <c r="A783" s="31">
        <v>771</v>
      </c>
      <c r="B783" s="32" t="s">
        <v>2655</v>
      </c>
      <c r="C783" s="32" t="s">
        <v>2704</v>
      </c>
      <c r="D783" s="32" t="s">
        <v>2705</v>
      </c>
      <c r="E783" s="32">
        <v>1968</v>
      </c>
      <c r="F783" s="32" t="s">
        <v>19</v>
      </c>
      <c r="G783" s="32" t="s">
        <v>2780</v>
      </c>
      <c r="H783" s="32" t="s">
        <v>2824</v>
      </c>
      <c r="I783" s="32" t="s">
        <v>1279</v>
      </c>
      <c r="J783" s="32">
        <v>6199</v>
      </c>
      <c r="K783" s="32">
        <v>0</v>
      </c>
      <c r="L783" s="32">
        <v>0</v>
      </c>
      <c r="M783" s="32">
        <v>0</v>
      </c>
      <c r="N783" s="32">
        <v>0</v>
      </c>
      <c r="O783" s="32">
        <v>0</v>
      </c>
      <c r="P783" s="32">
        <v>0</v>
      </c>
      <c r="Q783" s="43">
        <f t="shared" si="24"/>
        <v>6199</v>
      </c>
      <c r="R783" s="69">
        <f t="shared" si="25"/>
        <v>5269.15</v>
      </c>
      <c r="S783" s="30"/>
      <c r="T783" s="30"/>
    </row>
    <row r="784" spans="1:20" ht="45" customHeight="1" x14ac:dyDescent="0.3">
      <c r="A784" s="31">
        <v>772</v>
      </c>
      <c r="B784" s="32" t="s">
        <v>2655</v>
      </c>
      <c r="C784" s="32" t="s">
        <v>2706</v>
      </c>
      <c r="D784" s="32" t="s">
        <v>2663</v>
      </c>
      <c r="E784" s="32">
        <v>2008</v>
      </c>
      <c r="F784" s="32" t="s">
        <v>19</v>
      </c>
      <c r="G784" s="32" t="s">
        <v>2761</v>
      </c>
      <c r="H784" s="32" t="s">
        <v>2809</v>
      </c>
      <c r="I784" s="32" t="s">
        <v>2857</v>
      </c>
      <c r="J784" s="32">
        <v>3582</v>
      </c>
      <c r="K784" s="32">
        <v>0</v>
      </c>
      <c r="L784" s="32">
        <v>0</v>
      </c>
      <c r="M784" s="32">
        <v>0</v>
      </c>
      <c r="N784" s="32">
        <v>68032</v>
      </c>
      <c r="O784" s="32">
        <v>0</v>
      </c>
      <c r="P784" s="32">
        <v>0</v>
      </c>
      <c r="Q784" s="43">
        <f t="shared" si="24"/>
        <v>71614</v>
      </c>
      <c r="R784" s="69">
        <f t="shared" si="25"/>
        <v>60871.9</v>
      </c>
      <c r="S784" s="30"/>
      <c r="T784" s="30"/>
    </row>
    <row r="785" spans="1:20" ht="45" customHeight="1" x14ac:dyDescent="0.3">
      <c r="A785" s="36">
        <v>773</v>
      </c>
      <c r="B785" s="32" t="s">
        <v>2655</v>
      </c>
      <c r="C785" s="32" t="s">
        <v>2707</v>
      </c>
      <c r="D785" s="32" t="s">
        <v>2708</v>
      </c>
      <c r="E785" s="32">
        <v>2025</v>
      </c>
      <c r="F785" s="32" t="s">
        <v>19</v>
      </c>
      <c r="G785" s="32" t="s">
        <v>2781</v>
      </c>
      <c r="H785" s="32" t="s">
        <v>2825</v>
      </c>
      <c r="I785" s="32" t="s">
        <v>1050</v>
      </c>
      <c r="J785" s="32">
        <v>6199</v>
      </c>
      <c r="K785" s="32">
        <v>0</v>
      </c>
      <c r="L785" s="32">
        <v>0</v>
      </c>
      <c r="M785" s="32">
        <v>0</v>
      </c>
      <c r="N785" s="32">
        <v>0</v>
      </c>
      <c r="O785" s="32">
        <v>0</v>
      </c>
      <c r="P785" s="32">
        <v>0</v>
      </c>
      <c r="Q785" s="43">
        <f t="shared" si="24"/>
        <v>6199</v>
      </c>
      <c r="R785" s="69">
        <f t="shared" si="25"/>
        <v>5269.15</v>
      </c>
      <c r="S785" s="30"/>
      <c r="T785" s="30"/>
    </row>
    <row r="786" spans="1:20" ht="45" customHeight="1" x14ac:dyDescent="0.3">
      <c r="A786" s="31">
        <v>774</v>
      </c>
      <c r="B786" s="32" t="s">
        <v>2655</v>
      </c>
      <c r="C786" s="32" t="s">
        <v>2709</v>
      </c>
      <c r="D786" s="32" t="s">
        <v>142</v>
      </c>
      <c r="E786" s="32">
        <v>2025</v>
      </c>
      <c r="F786" s="32" t="s">
        <v>18</v>
      </c>
      <c r="G786" s="32" t="s">
        <v>2782</v>
      </c>
      <c r="H786" s="32" t="s">
        <v>204</v>
      </c>
      <c r="I786" s="32" t="s">
        <v>296</v>
      </c>
      <c r="J786" s="32">
        <v>6199</v>
      </c>
      <c r="K786" s="32">
        <v>0</v>
      </c>
      <c r="L786" s="32">
        <v>0</v>
      </c>
      <c r="M786" s="32">
        <v>0</v>
      </c>
      <c r="N786" s="32">
        <v>0</v>
      </c>
      <c r="O786" s="32">
        <v>0</v>
      </c>
      <c r="P786" s="32">
        <v>0</v>
      </c>
      <c r="Q786" s="43">
        <f t="shared" si="24"/>
        <v>6199</v>
      </c>
      <c r="R786" s="69">
        <f t="shared" si="25"/>
        <v>5269.15</v>
      </c>
      <c r="S786" s="30"/>
      <c r="T786" s="30"/>
    </row>
    <row r="787" spans="1:20" ht="45" customHeight="1" x14ac:dyDescent="0.3">
      <c r="A787" s="31">
        <v>775</v>
      </c>
      <c r="B787" s="32" t="s">
        <v>2655</v>
      </c>
      <c r="C787" s="32" t="s">
        <v>2710</v>
      </c>
      <c r="D787" s="32" t="s">
        <v>2711</v>
      </c>
      <c r="E787" s="32">
        <v>2020</v>
      </c>
      <c r="F787" s="32" t="s">
        <v>18</v>
      </c>
      <c r="G787" s="32" t="s">
        <v>2783</v>
      </c>
      <c r="H787" s="32" t="s">
        <v>2826</v>
      </c>
      <c r="I787" s="32" t="s">
        <v>2858</v>
      </c>
      <c r="J787" s="32">
        <v>6199</v>
      </c>
      <c r="K787" s="32">
        <f>6278+4484</f>
        <v>10762</v>
      </c>
      <c r="L787" s="32">
        <v>0</v>
      </c>
      <c r="M787" s="32">
        <v>0</v>
      </c>
      <c r="N787" s="32">
        <v>3148</v>
      </c>
      <c r="O787" s="32">
        <v>0</v>
      </c>
      <c r="P787" s="32">
        <v>0</v>
      </c>
      <c r="Q787" s="43">
        <f t="shared" si="24"/>
        <v>20109</v>
      </c>
      <c r="R787" s="69">
        <f t="shared" si="25"/>
        <v>17092.650000000001</v>
      </c>
      <c r="S787" s="30"/>
      <c r="T787" s="30"/>
    </row>
    <row r="788" spans="1:20" ht="45" customHeight="1" x14ac:dyDescent="0.3">
      <c r="A788" s="36">
        <v>776</v>
      </c>
      <c r="B788" s="32" t="s">
        <v>2655</v>
      </c>
      <c r="C788" s="32" t="s">
        <v>2712</v>
      </c>
      <c r="D788" s="32" t="s">
        <v>2701</v>
      </c>
      <c r="E788" s="32">
        <v>2022</v>
      </c>
      <c r="F788" s="32" t="s">
        <v>18</v>
      </c>
      <c r="G788" s="32" t="s">
        <v>2778</v>
      </c>
      <c r="H788" s="32" t="s">
        <v>2823</v>
      </c>
      <c r="I788" s="32" t="s">
        <v>2856</v>
      </c>
      <c r="J788" s="32">
        <v>3582</v>
      </c>
      <c r="K788" s="32">
        <v>0</v>
      </c>
      <c r="L788" s="32">
        <v>0</v>
      </c>
      <c r="M788" s="32">
        <v>0</v>
      </c>
      <c r="N788" s="32">
        <v>0</v>
      </c>
      <c r="O788" s="32">
        <v>0</v>
      </c>
      <c r="P788" s="32">
        <v>0</v>
      </c>
      <c r="Q788" s="44">
        <f t="shared" si="24"/>
        <v>3582</v>
      </c>
      <c r="R788" s="69">
        <f t="shared" si="25"/>
        <v>3044.7</v>
      </c>
      <c r="S788" s="30"/>
      <c r="T788" s="30"/>
    </row>
    <row r="789" spans="1:20" ht="45" customHeight="1" x14ac:dyDescent="0.3">
      <c r="A789" s="31">
        <v>777</v>
      </c>
      <c r="B789" s="32" t="s">
        <v>2655</v>
      </c>
      <c r="C789" s="32" t="s">
        <v>2713</v>
      </c>
      <c r="D789" s="32" t="s">
        <v>2714</v>
      </c>
      <c r="E789" s="32">
        <v>2024</v>
      </c>
      <c r="F789" s="32" t="s">
        <v>19</v>
      </c>
      <c r="G789" s="32" t="s">
        <v>2784</v>
      </c>
      <c r="H789" s="32" t="s">
        <v>2827</v>
      </c>
      <c r="I789" s="32" t="s">
        <v>272</v>
      </c>
      <c r="J789" s="32">
        <v>6199</v>
      </c>
      <c r="K789" s="32">
        <f>6278+4484+1346+2332+4484+2332+2332+2332+2332+2332</f>
        <v>30584</v>
      </c>
      <c r="L789" s="32">
        <v>0</v>
      </c>
      <c r="M789" s="32">
        <v>0</v>
      </c>
      <c r="N789" s="32">
        <v>3148</v>
      </c>
      <c r="O789" s="32">
        <v>0</v>
      </c>
      <c r="P789" s="32">
        <v>0</v>
      </c>
      <c r="Q789" s="43">
        <f t="shared" si="24"/>
        <v>39931</v>
      </c>
      <c r="R789" s="69">
        <f t="shared" si="25"/>
        <v>33941.35</v>
      </c>
      <c r="S789" s="30"/>
      <c r="T789" s="30"/>
    </row>
    <row r="790" spans="1:20" ht="45" customHeight="1" x14ac:dyDescent="0.3">
      <c r="A790" s="31">
        <v>778</v>
      </c>
      <c r="B790" s="32" t="s">
        <v>2655</v>
      </c>
      <c r="C790" s="32" t="s">
        <v>2715</v>
      </c>
      <c r="D790" s="32" t="s">
        <v>2716</v>
      </c>
      <c r="E790" s="32">
        <v>1992</v>
      </c>
      <c r="F790" s="32" t="s">
        <v>18</v>
      </c>
      <c r="G790" s="32" t="s">
        <v>2785</v>
      </c>
      <c r="H790" s="32" t="s">
        <v>2785</v>
      </c>
      <c r="I790" s="32" t="s">
        <v>1278</v>
      </c>
      <c r="J790" s="32">
        <v>3582</v>
      </c>
      <c r="K790" s="32">
        <v>0</v>
      </c>
      <c r="L790" s="32">
        <v>0</v>
      </c>
      <c r="M790" s="32">
        <v>0</v>
      </c>
      <c r="N790" s="32">
        <f>15443+42388+27126</f>
        <v>84957</v>
      </c>
      <c r="O790" s="32">
        <v>0</v>
      </c>
      <c r="P790" s="32">
        <v>0</v>
      </c>
      <c r="Q790" s="43">
        <f t="shared" si="24"/>
        <v>88539</v>
      </c>
      <c r="R790" s="69">
        <f t="shared" si="25"/>
        <v>75258.149999999994</v>
      </c>
      <c r="S790" s="30"/>
      <c r="T790" s="30"/>
    </row>
    <row r="791" spans="1:20" ht="45" customHeight="1" x14ac:dyDescent="0.3">
      <c r="A791" s="36">
        <v>779</v>
      </c>
      <c r="B791" s="32" t="s">
        <v>2655</v>
      </c>
      <c r="C791" s="32" t="s">
        <v>2717</v>
      </c>
      <c r="D791" s="32" t="s">
        <v>2718</v>
      </c>
      <c r="E791" s="32">
        <v>1969</v>
      </c>
      <c r="F791" s="32" t="s">
        <v>19</v>
      </c>
      <c r="G791" s="32" t="s">
        <v>2786</v>
      </c>
      <c r="H791" s="32" t="s">
        <v>2828</v>
      </c>
      <c r="I791" s="32" t="s">
        <v>300</v>
      </c>
      <c r="J791" s="32">
        <v>6199</v>
      </c>
      <c r="K791" s="32">
        <f>2332+2332+2332</f>
        <v>6996</v>
      </c>
      <c r="L791" s="32">
        <v>0</v>
      </c>
      <c r="M791" s="32">
        <v>0</v>
      </c>
      <c r="N791" s="32">
        <v>1793</v>
      </c>
      <c r="O791" s="32">
        <v>0</v>
      </c>
      <c r="P791" s="32">
        <v>0</v>
      </c>
      <c r="Q791" s="43">
        <f t="shared" si="24"/>
        <v>14988</v>
      </c>
      <c r="R791" s="69">
        <f t="shared" si="25"/>
        <v>12739.8</v>
      </c>
      <c r="S791" s="30"/>
      <c r="T791" s="30"/>
    </row>
    <row r="792" spans="1:20" ht="45" customHeight="1" x14ac:dyDescent="0.3">
      <c r="A792" s="31">
        <v>780</v>
      </c>
      <c r="B792" s="32" t="s">
        <v>2655</v>
      </c>
      <c r="C792" s="32" t="s">
        <v>2719</v>
      </c>
      <c r="D792" s="32" t="s">
        <v>2720</v>
      </c>
      <c r="E792" s="32">
        <v>2016</v>
      </c>
      <c r="F792" s="32" t="s">
        <v>19</v>
      </c>
      <c r="G792" s="32" t="s">
        <v>2787</v>
      </c>
      <c r="H792" s="32" t="s">
        <v>2829</v>
      </c>
      <c r="I792" s="32" t="s">
        <v>300</v>
      </c>
      <c r="J792" s="32">
        <v>3582</v>
      </c>
      <c r="K792" s="32">
        <v>0</v>
      </c>
      <c r="L792" s="32">
        <v>0</v>
      </c>
      <c r="M792" s="32">
        <v>0</v>
      </c>
      <c r="N792" s="32">
        <v>0</v>
      </c>
      <c r="O792" s="32">
        <v>0</v>
      </c>
      <c r="P792" s="32">
        <v>0</v>
      </c>
      <c r="Q792" s="43">
        <f t="shared" si="24"/>
        <v>3582</v>
      </c>
      <c r="R792" s="69">
        <f t="shared" si="25"/>
        <v>3044.7</v>
      </c>
      <c r="S792" s="30"/>
      <c r="T792" s="30"/>
    </row>
    <row r="793" spans="1:20" ht="45" customHeight="1" x14ac:dyDescent="0.3">
      <c r="A793" s="31">
        <v>781</v>
      </c>
      <c r="B793" s="32" t="s">
        <v>2655</v>
      </c>
      <c r="C793" s="32" t="s">
        <v>2721</v>
      </c>
      <c r="D793" s="32" t="s">
        <v>2722</v>
      </c>
      <c r="E793" s="32">
        <v>1995</v>
      </c>
      <c r="F793" s="32" t="s">
        <v>19</v>
      </c>
      <c r="G793" s="32" t="s">
        <v>2788</v>
      </c>
      <c r="H793" s="32" t="s">
        <v>2830</v>
      </c>
      <c r="I793" s="32" t="s">
        <v>1050</v>
      </c>
      <c r="J793" s="32">
        <v>6199</v>
      </c>
      <c r="K793" s="32">
        <v>0</v>
      </c>
      <c r="L793" s="32">
        <v>0</v>
      </c>
      <c r="M793" s="32">
        <v>0</v>
      </c>
      <c r="N793" s="32">
        <v>9871</v>
      </c>
      <c r="O793" s="32">
        <v>0</v>
      </c>
      <c r="P793" s="32">
        <v>0</v>
      </c>
      <c r="Q793" s="43">
        <f t="shared" si="24"/>
        <v>16070</v>
      </c>
      <c r="R793" s="69">
        <f t="shared" si="25"/>
        <v>13659.5</v>
      </c>
      <c r="S793" s="30"/>
      <c r="T793" s="30"/>
    </row>
    <row r="794" spans="1:20" s="41" customFormat="1" ht="45" customHeight="1" x14ac:dyDescent="0.3">
      <c r="A794" s="36">
        <v>782</v>
      </c>
      <c r="B794" s="38" t="s">
        <v>2655</v>
      </c>
      <c r="C794" s="38" t="s">
        <v>2723</v>
      </c>
      <c r="D794" s="38" t="s">
        <v>2724</v>
      </c>
      <c r="E794" s="38">
        <v>1986</v>
      </c>
      <c r="F794" s="38" t="s">
        <v>18</v>
      </c>
      <c r="G794" s="38" t="s">
        <v>2789</v>
      </c>
      <c r="H794" s="38" t="s">
        <v>2789</v>
      </c>
      <c r="I794" s="38" t="s">
        <v>300</v>
      </c>
      <c r="J794" s="38">
        <v>6199</v>
      </c>
      <c r="K794" s="38">
        <v>0</v>
      </c>
      <c r="L794" s="38">
        <v>0</v>
      </c>
      <c r="M794" s="38">
        <v>0</v>
      </c>
      <c r="N794" s="38">
        <v>0</v>
      </c>
      <c r="O794" s="38">
        <v>0</v>
      </c>
      <c r="P794" s="38">
        <v>0</v>
      </c>
      <c r="Q794" s="43">
        <f t="shared" si="24"/>
        <v>6199</v>
      </c>
      <c r="R794" s="69">
        <f t="shared" si="25"/>
        <v>5269.15</v>
      </c>
      <c r="S794" s="40"/>
      <c r="T794" s="40"/>
    </row>
    <row r="795" spans="1:20" ht="45" customHeight="1" x14ac:dyDescent="0.3">
      <c r="A795" s="31">
        <v>783</v>
      </c>
      <c r="B795" s="32" t="s">
        <v>2655</v>
      </c>
      <c r="C795" s="32" t="s">
        <v>2725</v>
      </c>
      <c r="D795" s="32" t="s">
        <v>2726</v>
      </c>
      <c r="E795" s="32">
        <v>2024</v>
      </c>
      <c r="F795" s="32" t="s">
        <v>19</v>
      </c>
      <c r="G795" s="32" t="s">
        <v>2790</v>
      </c>
      <c r="H795" s="32" t="s">
        <v>2831</v>
      </c>
      <c r="I795" s="32" t="s">
        <v>2859</v>
      </c>
      <c r="J795" s="32">
        <v>6199</v>
      </c>
      <c r="K795" s="32">
        <f>1346+6278+4484</f>
        <v>12108</v>
      </c>
      <c r="L795" s="32">
        <v>0</v>
      </c>
      <c r="M795" s="32">
        <v>0</v>
      </c>
      <c r="N795" s="32">
        <v>3148</v>
      </c>
      <c r="O795" s="32">
        <v>0</v>
      </c>
      <c r="P795" s="32">
        <v>0</v>
      </c>
      <c r="Q795" s="43">
        <f t="shared" si="24"/>
        <v>21455</v>
      </c>
      <c r="R795" s="69">
        <f t="shared" si="25"/>
        <v>18236.75</v>
      </c>
      <c r="S795" s="30"/>
      <c r="T795" s="30"/>
    </row>
    <row r="796" spans="1:20" ht="45" customHeight="1" x14ac:dyDescent="0.3">
      <c r="A796" s="31">
        <v>784</v>
      </c>
      <c r="B796" s="32" t="s">
        <v>2655</v>
      </c>
      <c r="C796" s="32" t="s">
        <v>2727</v>
      </c>
      <c r="D796" s="32" t="s">
        <v>2728</v>
      </c>
      <c r="E796" s="32">
        <v>1991</v>
      </c>
      <c r="F796" s="32" t="s">
        <v>19</v>
      </c>
      <c r="G796" s="32" t="s">
        <v>2791</v>
      </c>
      <c r="H796" s="32" t="s">
        <v>2791</v>
      </c>
      <c r="I796" s="32" t="s">
        <v>1280</v>
      </c>
      <c r="J796" s="32">
        <v>6199</v>
      </c>
      <c r="K796" s="32">
        <f>6278+1346+4484+1166+2332+2332+2332</f>
        <v>20270</v>
      </c>
      <c r="L796" s="32">
        <v>0</v>
      </c>
      <c r="M796" s="32">
        <v>0</v>
      </c>
      <c r="N796" s="32">
        <v>1793</v>
      </c>
      <c r="O796" s="32">
        <v>0</v>
      </c>
      <c r="P796" s="32">
        <v>0</v>
      </c>
      <c r="Q796" s="43">
        <f t="shared" si="24"/>
        <v>28262</v>
      </c>
      <c r="R796" s="69">
        <f t="shared" si="25"/>
        <v>24022.7</v>
      </c>
      <c r="S796" s="30"/>
      <c r="T796" s="30"/>
    </row>
    <row r="797" spans="1:20" s="41" customFormat="1" ht="45" customHeight="1" x14ac:dyDescent="0.3">
      <c r="A797" s="36">
        <v>785</v>
      </c>
      <c r="B797" s="38" t="s">
        <v>2655</v>
      </c>
      <c r="C797" s="38" t="s">
        <v>2729</v>
      </c>
      <c r="D797" s="38" t="s">
        <v>2730</v>
      </c>
      <c r="E797" s="38">
        <v>2015</v>
      </c>
      <c r="F797" s="38" t="s">
        <v>18</v>
      </c>
      <c r="G797" s="38" t="s">
        <v>2792</v>
      </c>
      <c r="H797" s="38" t="s">
        <v>2832</v>
      </c>
      <c r="I797" s="38" t="s">
        <v>300</v>
      </c>
      <c r="J797" s="38">
        <v>6199</v>
      </c>
      <c r="K797" s="38">
        <v>1166</v>
      </c>
      <c r="L797" s="38">
        <v>0</v>
      </c>
      <c r="M797" s="38">
        <v>0</v>
      </c>
      <c r="N797" s="38">
        <v>0</v>
      </c>
      <c r="O797" s="38">
        <v>0</v>
      </c>
      <c r="P797" s="38">
        <v>0</v>
      </c>
      <c r="Q797" s="43">
        <f t="shared" si="24"/>
        <v>7365</v>
      </c>
      <c r="R797" s="69">
        <f t="shared" si="25"/>
        <v>6260.25</v>
      </c>
      <c r="S797" s="40"/>
      <c r="T797" s="40"/>
    </row>
    <row r="798" spans="1:20" ht="45" customHeight="1" x14ac:dyDescent="0.3">
      <c r="A798" s="31">
        <v>786</v>
      </c>
      <c r="B798" s="32" t="s">
        <v>2655</v>
      </c>
      <c r="C798" s="32" t="s">
        <v>2731</v>
      </c>
      <c r="D798" s="32" t="s">
        <v>2732</v>
      </c>
      <c r="E798" s="32">
        <v>2019</v>
      </c>
      <c r="F798" s="32" t="s">
        <v>18</v>
      </c>
      <c r="G798" s="32" t="s">
        <v>2793</v>
      </c>
      <c r="H798" s="32" t="s">
        <v>2833</v>
      </c>
      <c r="I798" s="32" t="s">
        <v>1050</v>
      </c>
      <c r="J798" s="32">
        <v>6199</v>
      </c>
      <c r="K798" s="32">
        <f>1346+6278+4484</f>
        <v>12108</v>
      </c>
      <c r="L798" s="32">
        <v>0</v>
      </c>
      <c r="M798" s="32">
        <v>0</v>
      </c>
      <c r="N798" s="32">
        <v>3148</v>
      </c>
      <c r="O798" s="32">
        <v>0</v>
      </c>
      <c r="P798" s="32">
        <v>0</v>
      </c>
      <c r="Q798" s="43">
        <f t="shared" si="24"/>
        <v>21455</v>
      </c>
      <c r="R798" s="69">
        <f t="shared" si="25"/>
        <v>18236.75</v>
      </c>
      <c r="S798" s="30"/>
      <c r="T798" s="30"/>
    </row>
    <row r="799" spans="1:20" ht="45" customHeight="1" x14ac:dyDescent="0.3">
      <c r="A799" s="31">
        <v>787</v>
      </c>
      <c r="B799" s="32" t="s">
        <v>2655</v>
      </c>
      <c r="C799" s="32" t="s">
        <v>2733</v>
      </c>
      <c r="D799" s="32" t="s">
        <v>2734</v>
      </c>
      <c r="E799" s="32">
        <v>2014</v>
      </c>
      <c r="F799" s="32" t="s">
        <v>18</v>
      </c>
      <c r="G799" s="32" t="s">
        <v>2794</v>
      </c>
      <c r="H799" s="32" t="s">
        <v>2834</v>
      </c>
      <c r="I799" s="32" t="s">
        <v>2860</v>
      </c>
      <c r="J799" s="32">
        <v>6199</v>
      </c>
      <c r="K799" s="32">
        <v>0</v>
      </c>
      <c r="L799" s="32">
        <v>0</v>
      </c>
      <c r="M799" s="32">
        <v>0</v>
      </c>
      <c r="N799" s="32">
        <v>0</v>
      </c>
      <c r="O799" s="32">
        <v>0</v>
      </c>
      <c r="P799" s="32">
        <v>0</v>
      </c>
      <c r="Q799" s="43">
        <f t="shared" si="24"/>
        <v>6199</v>
      </c>
      <c r="R799" s="69">
        <f t="shared" si="25"/>
        <v>5269.15</v>
      </c>
      <c r="S799" s="30"/>
      <c r="T799" s="30"/>
    </row>
    <row r="800" spans="1:20" s="41" customFormat="1" ht="45" customHeight="1" x14ac:dyDescent="0.3">
      <c r="A800" s="36">
        <v>788</v>
      </c>
      <c r="B800" s="38" t="s">
        <v>2655</v>
      </c>
      <c r="C800" s="38" t="s">
        <v>2735</v>
      </c>
      <c r="D800" s="38" t="s">
        <v>2736</v>
      </c>
      <c r="E800" s="38">
        <v>2025</v>
      </c>
      <c r="F800" s="38" t="s">
        <v>18</v>
      </c>
      <c r="G800" s="38" t="s">
        <v>2795</v>
      </c>
      <c r="H800" s="38" t="s">
        <v>2835</v>
      </c>
      <c r="I800" s="38" t="s">
        <v>2861</v>
      </c>
      <c r="J800" s="38">
        <v>6199</v>
      </c>
      <c r="K800" s="38">
        <v>0</v>
      </c>
      <c r="L800" s="38">
        <v>0</v>
      </c>
      <c r="M800" s="38">
        <v>0</v>
      </c>
      <c r="N800" s="38">
        <v>0</v>
      </c>
      <c r="O800" s="38">
        <v>0</v>
      </c>
      <c r="P800" s="38">
        <v>0</v>
      </c>
      <c r="Q800" s="43">
        <f t="shared" si="24"/>
        <v>6199</v>
      </c>
      <c r="R800" s="69">
        <f t="shared" si="25"/>
        <v>5269.15</v>
      </c>
      <c r="S800" s="40"/>
      <c r="T800" s="40"/>
    </row>
    <row r="801" spans="1:20" s="41" customFormat="1" ht="45" customHeight="1" x14ac:dyDescent="0.3">
      <c r="A801" s="31">
        <v>789</v>
      </c>
      <c r="B801" s="38" t="s">
        <v>2655</v>
      </c>
      <c r="C801" s="38" t="s">
        <v>2737</v>
      </c>
      <c r="D801" s="38" t="s">
        <v>2738</v>
      </c>
      <c r="E801" s="38">
        <v>2020</v>
      </c>
      <c r="F801" s="38" t="s">
        <v>18</v>
      </c>
      <c r="G801" s="38" t="s">
        <v>2796</v>
      </c>
      <c r="H801" s="38" t="s">
        <v>2836</v>
      </c>
      <c r="I801" s="38" t="s">
        <v>1063</v>
      </c>
      <c r="J801" s="38">
        <v>6199</v>
      </c>
      <c r="K801" s="38">
        <v>0</v>
      </c>
      <c r="L801" s="38">
        <v>0</v>
      </c>
      <c r="M801" s="38">
        <v>0</v>
      </c>
      <c r="N801" s="38">
        <v>0</v>
      </c>
      <c r="O801" s="38">
        <v>0</v>
      </c>
      <c r="P801" s="38">
        <v>0</v>
      </c>
      <c r="Q801" s="43">
        <f t="shared" si="24"/>
        <v>6199</v>
      </c>
      <c r="R801" s="69">
        <f t="shared" si="25"/>
        <v>5269.15</v>
      </c>
      <c r="S801" s="40"/>
      <c r="T801" s="40"/>
    </row>
    <row r="802" spans="1:20" ht="45" customHeight="1" x14ac:dyDescent="0.3">
      <c r="A802" s="31">
        <v>790</v>
      </c>
      <c r="B802" s="32" t="s">
        <v>2655</v>
      </c>
      <c r="C802" s="32" t="s">
        <v>2739</v>
      </c>
      <c r="D802" s="32" t="s">
        <v>2740</v>
      </c>
      <c r="E802" s="32">
        <v>1979</v>
      </c>
      <c r="F802" s="32" t="s">
        <v>18</v>
      </c>
      <c r="G802" s="32" t="s">
        <v>2797</v>
      </c>
      <c r="H802" s="32" t="s">
        <v>2797</v>
      </c>
      <c r="I802" s="32" t="s">
        <v>557</v>
      </c>
      <c r="J802" s="32">
        <v>6199</v>
      </c>
      <c r="K802" s="32">
        <v>0</v>
      </c>
      <c r="L802" s="32">
        <v>0</v>
      </c>
      <c r="M802" s="32">
        <v>0</v>
      </c>
      <c r="N802" s="32">
        <v>0</v>
      </c>
      <c r="O802" s="32">
        <v>0</v>
      </c>
      <c r="P802" s="32">
        <v>0</v>
      </c>
      <c r="Q802" s="43">
        <f t="shared" si="24"/>
        <v>6199</v>
      </c>
      <c r="R802" s="69">
        <f t="shared" si="25"/>
        <v>5269.15</v>
      </c>
      <c r="S802" s="30"/>
      <c r="T802" s="30"/>
    </row>
    <row r="803" spans="1:20" ht="45" customHeight="1" x14ac:dyDescent="0.3">
      <c r="A803" s="36">
        <v>791</v>
      </c>
      <c r="B803" s="32" t="s">
        <v>2655</v>
      </c>
      <c r="C803" s="32" t="s">
        <v>2741</v>
      </c>
      <c r="D803" s="32" t="s">
        <v>2222</v>
      </c>
      <c r="E803" s="32">
        <v>1977</v>
      </c>
      <c r="F803" s="32" t="s">
        <v>19</v>
      </c>
      <c r="G803" s="32" t="s">
        <v>2350</v>
      </c>
      <c r="H803" s="32" t="s">
        <v>2350</v>
      </c>
      <c r="I803" s="32" t="s">
        <v>1464</v>
      </c>
      <c r="J803" s="32">
        <v>3793</v>
      </c>
      <c r="K803" s="32">
        <f>1346+6278+4484+2332+2332+2332</f>
        <v>19104</v>
      </c>
      <c r="L803" s="32">
        <v>0</v>
      </c>
      <c r="M803" s="32">
        <v>0</v>
      </c>
      <c r="N803" s="32">
        <v>1793</v>
      </c>
      <c r="O803" s="32">
        <v>0</v>
      </c>
      <c r="P803" s="32">
        <v>0</v>
      </c>
      <c r="Q803" s="43">
        <f t="shared" si="24"/>
        <v>24690</v>
      </c>
      <c r="R803" s="69">
        <f t="shared" si="25"/>
        <v>20986.5</v>
      </c>
      <c r="S803" s="30"/>
      <c r="T803" s="30"/>
    </row>
    <row r="804" spans="1:20" ht="45" customHeight="1" x14ac:dyDescent="0.3">
      <c r="A804" s="31">
        <v>792</v>
      </c>
      <c r="B804" s="32" t="s">
        <v>2655</v>
      </c>
      <c r="C804" s="32" t="s">
        <v>2742</v>
      </c>
      <c r="D804" s="32" t="s">
        <v>2743</v>
      </c>
      <c r="E804" s="32">
        <v>1994</v>
      </c>
      <c r="F804" s="32" t="s">
        <v>18</v>
      </c>
      <c r="G804" s="32" t="s">
        <v>2798</v>
      </c>
      <c r="H804" s="32" t="s">
        <v>2837</v>
      </c>
      <c r="I804" s="32" t="s">
        <v>1886</v>
      </c>
      <c r="J804" s="32">
        <v>6199</v>
      </c>
      <c r="K804" s="32">
        <f>1346+6278+4484+1166</f>
        <v>13274</v>
      </c>
      <c r="L804" s="32">
        <v>0</v>
      </c>
      <c r="M804" s="32">
        <v>0</v>
      </c>
      <c r="N804" s="32">
        <v>1793</v>
      </c>
      <c r="O804" s="32">
        <v>0</v>
      </c>
      <c r="P804" s="32">
        <v>0</v>
      </c>
      <c r="Q804" s="43">
        <f t="shared" si="24"/>
        <v>21266</v>
      </c>
      <c r="R804" s="69">
        <f t="shared" si="25"/>
        <v>18076.099999999999</v>
      </c>
      <c r="S804" s="30"/>
      <c r="T804" s="30"/>
    </row>
    <row r="805" spans="1:20" ht="45" customHeight="1" x14ac:dyDescent="0.3">
      <c r="A805" s="31">
        <v>793</v>
      </c>
      <c r="B805" s="32" t="s">
        <v>2655</v>
      </c>
      <c r="C805" s="32" t="s">
        <v>2744</v>
      </c>
      <c r="D805" s="32" t="s">
        <v>2745</v>
      </c>
      <c r="E805" s="32">
        <v>1981</v>
      </c>
      <c r="F805" s="32" t="s">
        <v>19</v>
      </c>
      <c r="G805" s="32" t="s">
        <v>2799</v>
      </c>
      <c r="H805" s="32" t="s">
        <v>2799</v>
      </c>
      <c r="I805" s="32" t="s">
        <v>2862</v>
      </c>
      <c r="J805" s="32">
        <v>6199</v>
      </c>
      <c r="K805" s="32">
        <f>6278+4484+3500+1166</f>
        <v>15428</v>
      </c>
      <c r="L805" s="32">
        <v>0</v>
      </c>
      <c r="M805" s="32">
        <v>0</v>
      </c>
      <c r="N805" s="32">
        <v>1793</v>
      </c>
      <c r="O805" s="32">
        <v>0</v>
      </c>
      <c r="P805" s="32">
        <v>0</v>
      </c>
      <c r="Q805" s="43">
        <f t="shared" si="24"/>
        <v>23420</v>
      </c>
      <c r="R805" s="69">
        <f t="shared" si="25"/>
        <v>19907</v>
      </c>
      <c r="S805" s="30"/>
      <c r="T805" s="30"/>
    </row>
    <row r="806" spans="1:20" ht="45" customHeight="1" x14ac:dyDescent="0.3">
      <c r="A806" s="36">
        <v>794</v>
      </c>
      <c r="B806" s="32" t="s">
        <v>2655</v>
      </c>
      <c r="C806" s="32" t="s">
        <v>2746</v>
      </c>
      <c r="D806" s="32" t="s">
        <v>2747</v>
      </c>
      <c r="E806" s="32">
        <v>1992</v>
      </c>
      <c r="F806" s="32" t="s">
        <v>19</v>
      </c>
      <c r="G806" s="32" t="s">
        <v>2800</v>
      </c>
      <c r="H806" s="32" t="s">
        <v>2838</v>
      </c>
      <c r="I806" s="32" t="s">
        <v>1277</v>
      </c>
      <c r="J806" s="32">
        <v>6199</v>
      </c>
      <c r="K806" s="32">
        <v>0</v>
      </c>
      <c r="L806" s="32">
        <v>0</v>
      </c>
      <c r="M806" s="32">
        <v>0</v>
      </c>
      <c r="N806" s="32">
        <v>0</v>
      </c>
      <c r="O806" s="32">
        <v>0</v>
      </c>
      <c r="P806" s="32">
        <v>0</v>
      </c>
      <c r="Q806" s="43">
        <f t="shared" si="24"/>
        <v>6199</v>
      </c>
      <c r="R806" s="69">
        <f t="shared" si="25"/>
        <v>5269.15</v>
      </c>
      <c r="S806" s="30"/>
      <c r="T806" s="30"/>
    </row>
    <row r="807" spans="1:20" ht="45" customHeight="1" x14ac:dyDescent="0.3">
      <c r="A807" s="31">
        <v>795</v>
      </c>
      <c r="B807" s="32" t="s">
        <v>2655</v>
      </c>
      <c r="C807" s="32" t="s">
        <v>2748</v>
      </c>
      <c r="D807" s="32" t="s">
        <v>2749</v>
      </c>
      <c r="E807" s="32">
        <v>1987</v>
      </c>
      <c r="F807" s="32" t="s">
        <v>18</v>
      </c>
      <c r="G807" s="32" t="s">
        <v>2801</v>
      </c>
      <c r="H807" s="32" t="s">
        <v>2801</v>
      </c>
      <c r="I807" s="32" t="s">
        <v>2863</v>
      </c>
      <c r="J807" s="32">
        <v>6199</v>
      </c>
      <c r="K807" s="32">
        <f>1346+6278+4484+2332+2332+2332+1166</f>
        <v>20270</v>
      </c>
      <c r="L807" s="32">
        <v>0</v>
      </c>
      <c r="M807" s="32">
        <v>0</v>
      </c>
      <c r="N807" s="32">
        <v>1793</v>
      </c>
      <c r="O807" s="32">
        <v>0</v>
      </c>
      <c r="P807" s="32">
        <v>0</v>
      </c>
      <c r="Q807" s="43">
        <f t="shared" si="24"/>
        <v>28262</v>
      </c>
      <c r="R807" s="69">
        <f t="shared" si="25"/>
        <v>24022.7</v>
      </c>
      <c r="S807" s="30"/>
      <c r="T807" s="30"/>
    </row>
    <row r="808" spans="1:20" ht="45" customHeight="1" x14ac:dyDescent="0.3">
      <c r="A808" s="31">
        <v>796</v>
      </c>
      <c r="B808" s="32" t="s">
        <v>2655</v>
      </c>
      <c r="C808" s="32" t="s">
        <v>2750</v>
      </c>
      <c r="D808" s="32" t="s">
        <v>2751</v>
      </c>
      <c r="E808" s="32">
        <v>2019</v>
      </c>
      <c r="F808" s="32" t="s">
        <v>19</v>
      </c>
      <c r="G808" s="32" t="s">
        <v>2802</v>
      </c>
      <c r="H808" s="32" t="s">
        <v>2839</v>
      </c>
      <c r="I808" s="32" t="s">
        <v>299</v>
      </c>
      <c r="J808" s="32">
        <v>6199</v>
      </c>
      <c r="K808" s="32">
        <v>0</v>
      </c>
      <c r="L808" s="32">
        <v>0</v>
      </c>
      <c r="M808" s="32">
        <v>0</v>
      </c>
      <c r="N808" s="32">
        <v>0</v>
      </c>
      <c r="O808" s="32">
        <v>0</v>
      </c>
      <c r="P808" s="32">
        <v>0</v>
      </c>
      <c r="Q808" s="43">
        <f t="shared" si="24"/>
        <v>6199</v>
      </c>
      <c r="R808" s="69">
        <f t="shared" si="25"/>
        <v>5269.15</v>
      </c>
      <c r="S808" s="30"/>
      <c r="T808" s="30"/>
    </row>
    <row r="809" spans="1:20" ht="45" customHeight="1" x14ac:dyDescent="0.3">
      <c r="A809" s="36">
        <v>797</v>
      </c>
      <c r="B809" s="32" t="s">
        <v>2655</v>
      </c>
      <c r="C809" s="32" t="s">
        <v>2752</v>
      </c>
      <c r="D809" s="32" t="s">
        <v>2753</v>
      </c>
      <c r="E809" s="32">
        <v>1982</v>
      </c>
      <c r="F809" s="32" t="s">
        <v>18</v>
      </c>
      <c r="G809" s="32" t="s">
        <v>2803</v>
      </c>
      <c r="H809" s="32" t="s">
        <v>2840</v>
      </c>
      <c r="I809" s="32" t="s">
        <v>2864</v>
      </c>
      <c r="J809" s="32">
        <v>6199</v>
      </c>
      <c r="K809" s="32">
        <v>0</v>
      </c>
      <c r="L809" s="32">
        <v>0</v>
      </c>
      <c r="M809" s="32">
        <v>0</v>
      </c>
      <c r="N809" s="32">
        <v>0</v>
      </c>
      <c r="O809" s="32">
        <v>0</v>
      </c>
      <c r="P809" s="32">
        <v>0</v>
      </c>
      <c r="Q809" s="43">
        <f t="shared" si="24"/>
        <v>6199</v>
      </c>
      <c r="R809" s="69">
        <f t="shared" si="25"/>
        <v>5269.15</v>
      </c>
      <c r="S809" s="30"/>
      <c r="T809" s="30"/>
    </row>
    <row r="810" spans="1:20" ht="45" customHeight="1" x14ac:dyDescent="0.3">
      <c r="A810" s="31">
        <v>798</v>
      </c>
      <c r="B810" s="32" t="s">
        <v>2655</v>
      </c>
      <c r="C810" s="32" t="s">
        <v>2754</v>
      </c>
      <c r="D810" s="32" t="s">
        <v>2755</v>
      </c>
      <c r="E810" s="32">
        <v>2023</v>
      </c>
      <c r="F810" s="32" t="s">
        <v>18</v>
      </c>
      <c r="G810" s="32" t="s">
        <v>2804</v>
      </c>
      <c r="H810" s="32" t="s">
        <v>2841</v>
      </c>
      <c r="I810" s="32" t="s">
        <v>1473</v>
      </c>
      <c r="J810" s="32">
        <v>6199</v>
      </c>
      <c r="K810" s="32">
        <f>1346+6278+4484</f>
        <v>12108</v>
      </c>
      <c r="L810" s="32">
        <v>0</v>
      </c>
      <c r="M810" s="32">
        <v>0</v>
      </c>
      <c r="N810" s="32">
        <v>3148</v>
      </c>
      <c r="O810" s="32">
        <v>0</v>
      </c>
      <c r="P810" s="32">
        <v>0</v>
      </c>
      <c r="Q810" s="43">
        <f t="shared" si="24"/>
        <v>21455</v>
      </c>
      <c r="R810" s="69">
        <f t="shared" si="25"/>
        <v>18236.75</v>
      </c>
      <c r="S810" s="30"/>
      <c r="T810" s="30"/>
    </row>
    <row r="811" spans="1:20" ht="45" customHeight="1" x14ac:dyDescent="0.3">
      <c r="A811" s="31">
        <v>799</v>
      </c>
      <c r="B811" s="32" t="s">
        <v>2655</v>
      </c>
      <c r="C811" s="32" t="s">
        <v>2756</v>
      </c>
      <c r="D811" s="32" t="s">
        <v>2757</v>
      </c>
      <c r="E811" s="32">
        <v>2025</v>
      </c>
      <c r="F811" s="32" t="s">
        <v>19</v>
      </c>
      <c r="G811" s="32" t="s">
        <v>2805</v>
      </c>
      <c r="H811" s="32" t="s">
        <v>2842</v>
      </c>
      <c r="I811" s="32" t="s">
        <v>2865</v>
      </c>
      <c r="J811" s="32">
        <v>3793</v>
      </c>
      <c r="K811" s="32">
        <f>1346+6278+4484+4484+2332+2332+2332+2332+2332+2332+6995+6995+6995+2332</f>
        <v>53901</v>
      </c>
      <c r="L811" s="32">
        <v>0</v>
      </c>
      <c r="M811" s="32">
        <v>0</v>
      </c>
      <c r="N811" s="32">
        <v>3148</v>
      </c>
      <c r="O811" s="32">
        <v>0</v>
      </c>
      <c r="P811" s="32">
        <v>0</v>
      </c>
      <c r="Q811" s="43">
        <f t="shared" si="24"/>
        <v>60842</v>
      </c>
      <c r="R811" s="69">
        <f t="shared" si="25"/>
        <v>51715.7</v>
      </c>
      <c r="S811" s="30"/>
      <c r="T811" s="30"/>
    </row>
    <row r="812" spans="1:20" ht="45" customHeight="1" x14ac:dyDescent="0.3">
      <c r="A812" s="36">
        <v>800</v>
      </c>
      <c r="B812" s="32" t="s">
        <v>2655</v>
      </c>
      <c r="C812" s="32" t="s">
        <v>2756</v>
      </c>
      <c r="D812" s="32" t="s">
        <v>2757</v>
      </c>
      <c r="E812" s="32">
        <v>2025</v>
      </c>
      <c r="F812" s="32" t="s">
        <v>19</v>
      </c>
      <c r="G812" s="32" t="s">
        <v>2805</v>
      </c>
      <c r="H812" s="32" t="s">
        <v>2842</v>
      </c>
      <c r="I812" s="32" t="s">
        <v>2865</v>
      </c>
      <c r="J812" s="32">
        <v>0</v>
      </c>
      <c r="K812" s="32">
        <v>0</v>
      </c>
      <c r="L812" s="32">
        <v>0</v>
      </c>
      <c r="M812" s="32">
        <v>17688</v>
      </c>
      <c r="N812" s="32">
        <f>4053+2088</f>
        <v>6141</v>
      </c>
      <c r="O812" s="32">
        <v>0</v>
      </c>
      <c r="P812" s="32">
        <f>360+56</f>
        <v>416</v>
      </c>
      <c r="Q812" s="43">
        <f t="shared" si="24"/>
        <v>24245</v>
      </c>
      <c r="R812" s="69">
        <f t="shared" si="25"/>
        <v>20608.25</v>
      </c>
      <c r="S812" s="30"/>
      <c r="T812" s="30"/>
    </row>
    <row r="813" spans="1:20" ht="45" customHeight="1" x14ac:dyDescent="0.3">
      <c r="A813" s="31">
        <v>801</v>
      </c>
      <c r="B813" s="32" t="s">
        <v>2655</v>
      </c>
      <c r="C813" s="32" t="s">
        <v>7241</v>
      </c>
      <c r="D813" s="34" t="s">
        <v>3711</v>
      </c>
      <c r="E813" s="32">
        <v>2022</v>
      </c>
      <c r="F813" s="32" t="s">
        <v>18</v>
      </c>
      <c r="G813" s="32" t="s">
        <v>3712</v>
      </c>
      <c r="H813" s="32" t="s">
        <v>3713</v>
      </c>
      <c r="I813" s="32" t="s">
        <v>299</v>
      </c>
      <c r="J813" s="32">
        <v>6199</v>
      </c>
      <c r="K813" s="32">
        <f>1346+6278+4484+4484+2332+2332+2332+2332+2332+2332+6995+6995+2332+6995</f>
        <v>53901</v>
      </c>
      <c r="L813" s="32">
        <v>0</v>
      </c>
      <c r="M813" s="32">
        <v>0</v>
      </c>
      <c r="N813" s="32">
        <f>3148+1178+4053+2088</f>
        <v>10467</v>
      </c>
      <c r="O813" s="32">
        <v>0</v>
      </c>
      <c r="P813" s="32">
        <f>720+1080+120+1200+360+56</f>
        <v>3536</v>
      </c>
      <c r="Q813" s="43">
        <f t="shared" si="24"/>
        <v>74103</v>
      </c>
      <c r="R813" s="69">
        <f t="shared" si="25"/>
        <v>62987.55</v>
      </c>
      <c r="S813" s="30"/>
      <c r="T813" s="30"/>
    </row>
    <row r="814" spans="1:20" ht="45" customHeight="1" x14ac:dyDescent="0.3">
      <c r="A814" s="31">
        <v>802</v>
      </c>
      <c r="B814" s="32" t="s">
        <v>2655</v>
      </c>
      <c r="C814" s="32" t="s">
        <v>7241</v>
      </c>
      <c r="D814" s="34" t="s">
        <v>3711</v>
      </c>
      <c r="E814" s="32">
        <v>2022</v>
      </c>
      <c r="F814" s="32" t="s">
        <v>18</v>
      </c>
      <c r="G814" s="32" t="s">
        <v>3712</v>
      </c>
      <c r="H814" s="32" t="s">
        <v>3713</v>
      </c>
      <c r="I814" s="32" t="s">
        <v>299</v>
      </c>
      <c r="J814" s="32">
        <v>0</v>
      </c>
      <c r="K814" s="32">
        <v>0</v>
      </c>
      <c r="L814" s="32">
        <v>0</v>
      </c>
      <c r="M814" s="32">
        <v>17688</v>
      </c>
      <c r="N814" s="32">
        <v>0</v>
      </c>
      <c r="O814" s="32">
        <v>0</v>
      </c>
      <c r="P814" s="32">
        <f>60+360+56</f>
        <v>476</v>
      </c>
      <c r="Q814" s="43">
        <f t="shared" si="24"/>
        <v>18164</v>
      </c>
      <c r="R814" s="69">
        <f t="shared" si="25"/>
        <v>15439.4</v>
      </c>
      <c r="S814" s="30"/>
      <c r="T814" s="30"/>
    </row>
    <row r="815" spans="1:20" ht="45" customHeight="1" x14ac:dyDescent="0.3">
      <c r="A815" s="36">
        <v>803</v>
      </c>
      <c r="B815" s="32" t="s">
        <v>2655</v>
      </c>
      <c r="C815" s="32" t="s">
        <v>7242</v>
      </c>
      <c r="D815" s="34" t="s">
        <v>2021</v>
      </c>
      <c r="E815" s="32">
        <v>2025</v>
      </c>
      <c r="F815" s="32" t="s">
        <v>19</v>
      </c>
      <c r="G815" s="32" t="s">
        <v>2080</v>
      </c>
      <c r="H815" s="32" t="s">
        <v>2114</v>
      </c>
      <c r="I815" s="32" t="s">
        <v>2141</v>
      </c>
      <c r="J815" s="32">
        <v>3793</v>
      </c>
      <c r="K815" s="32">
        <f>1346+6278+4484+2332+2332+2332+2332+2332+2332+6995+6995+2332+6995</f>
        <v>49417</v>
      </c>
      <c r="L815" s="32">
        <v>0</v>
      </c>
      <c r="M815" s="32">
        <v>0</v>
      </c>
      <c r="N815" s="32">
        <f>3148+1178+4053+2088</f>
        <v>10467</v>
      </c>
      <c r="O815" s="32">
        <v>0</v>
      </c>
      <c r="P815" s="32">
        <f>720+1080+374+360+56</f>
        <v>2590</v>
      </c>
      <c r="Q815" s="43">
        <f t="shared" si="24"/>
        <v>66267</v>
      </c>
      <c r="R815" s="69">
        <f t="shared" si="25"/>
        <v>56326.95</v>
      </c>
      <c r="S815" s="30"/>
      <c r="T815" s="30"/>
    </row>
    <row r="816" spans="1:20" ht="45" customHeight="1" x14ac:dyDescent="0.3">
      <c r="A816" s="31">
        <v>804</v>
      </c>
      <c r="B816" s="32" t="s">
        <v>2655</v>
      </c>
      <c r="C816" s="32" t="s">
        <v>7242</v>
      </c>
      <c r="D816" s="34" t="s">
        <v>2021</v>
      </c>
      <c r="E816" s="32">
        <v>2025</v>
      </c>
      <c r="F816" s="32" t="s">
        <v>19</v>
      </c>
      <c r="G816" s="32" t="s">
        <v>2080</v>
      </c>
      <c r="H816" s="32" t="s">
        <v>2114</v>
      </c>
      <c r="I816" s="32" t="s">
        <v>2141</v>
      </c>
      <c r="J816" s="32">
        <v>0</v>
      </c>
      <c r="K816" s="32">
        <v>0</v>
      </c>
      <c r="L816" s="32">
        <v>0</v>
      </c>
      <c r="M816" s="32">
        <v>17688</v>
      </c>
      <c r="N816" s="32">
        <v>0</v>
      </c>
      <c r="O816" s="32">
        <v>0</v>
      </c>
      <c r="P816" s="32">
        <f>360+56</f>
        <v>416</v>
      </c>
      <c r="Q816" s="43">
        <f t="shared" si="24"/>
        <v>18104</v>
      </c>
      <c r="R816" s="69">
        <f t="shared" si="25"/>
        <v>15388.4</v>
      </c>
      <c r="S816" s="30"/>
      <c r="T816" s="30"/>
    </row>
    <row r="817" spans="1:20" ht="45" customHeight="1" x14ac:dyDescent="0.3">
      <c r="A817" s="31">
        <v>805</v>
      </c>
      <c r="B817" s="32" t="s">
        <v>2655</v>
      </c>
      <c r="C817" s="32" t="s">
        <v>7243</v>
      </c>
      <c r="D817" s="34" t="s">
        <v>3707</v>
      </c>
      <c r="E817" s="32">
        <v>1975</v>
      </c>
      <c r="F817" s="32" t="s">
        <v>18</v>
      </c>
      <c r="G817" s="32" t="s">
        <v>2401</v>
      </c>
      <c r="H817" s="32" t="s">
        <v>2401</v>
      </c>
      <c r="I817" s="32" t="s">
        <v>278</v>
      </c>
      <c r="J817" s="32">
        <v>2900</v>
      </c>
      <c r="K817" s="32">
        <v>1166</v>
      </c>
      <c r="L817" s="32">
        <v>0</v>
      </c>
      <c r="M817" s="32">
        <v>17688</v>
      </c>
      <c r="N817" s="32">
        <v>0</v>
      </c>
      <c r="O817" s="32">
        <v>0</v>
      </c>
      <c r="P817" s="32">
        <v>0</v>
      </c>
      <c r="Q817" s="43">
        <f t="shared" si="24"/>
        <v>21754</v>
      </c>
      <c r="R817" s="69">
        <f t="shared" si="25"/>
        <v>18490.900000000001</v>
      </c>
      <c r="S817" s="30"/>
      <c r="T817" s="30"/>
    </row>
    <row r="818" spans="1:20" ht="45" customHeight="1" x14ac:dyDescent="0.3">
      <c r="A818" s="36">
        <v>806</v>
      </c>
      <c r="B818" s="32" t="s">
        <v>2655</v>
      </c>
      <c r="C818" s="32" t="s">
        <v>7244</v>
      </c>
      <c r="D818" s="34" t="s">
        <v>1777</v>
      </c>
      <c r="E818" s="32">
        <v>2021</v>
      </c>
      <c r="F818" s="32" t="s">
        <v>19</v>
      </c>
      <c r="G818" s="32" t="s">
        <v>1835</v>
      </c>
      <c r="H818" s="32" t="s">
        <v>1875</v>
      </c>
      <c r="I818" s="32" t="s">
        <v>1267</v>
      </c>
      <c r="J818" s="32">
        <v>2900</v>
      </c>
      <c r="K818" s="32">
        <v>0</v>
      </c>
      <c r="L818" s="32">
        <v>0</v>
      </c>
      <c r="M818" s="32">
        <v>0</v>
      </c>
      <c r="N818" s="32">
        <v>2088</v>
      </c>
      <c r="O818" s="32">
        <v>0</v>
      </c>
      <c r="P818" s="32">
        <f>360+56</f>
        <v>416</v>
      </c>
      <c r="Q818" s="43">
        <f t="shared" si="24"/>
        <v>5404</v>
      </c>
      <c r="R818" s="69">
        <f t="shared" si="25"/>
        <v>4593.3999999999996</v>
      </c>
      <c r="S818" s="30"/>
      <c r="T818" s="30"/>
    </row>
    <row r="819" spans="1:20" ht="45" customHeight="1" x14ac:dyDescent="0.3">
      <c r="A819" s="31">
        <v>807</v>
      </c>
      <c r="B819" s="32" t="s">
        <v>2655</v>
      </c>
      <c r="C819" s="32" t="s">
        <v>7245</v>
      </c>
      <c r="D819" s="34" t="s">
        <v>3697</v>
      </c>
      <c r="E819" s="32">
        <v>2020</v>
      </c>
      <c r="F819" s="32" t="s">
        <v>19</v>
      </c>
      <c r="G819" s="32" t="s">
        <v>3698</v>
      </c>
      <c r="H819" s="32" t="s">
        <v>2423</v>
      </c>
      <c r="I819" s="32" t="s">
        <v>1278</v>
      </c>
      <c r="J819" s="32">
        <v>2900</v>
      </c>
      <c r="K819" s="32">
        <v>0</v>
      </c>
      <c r="L819" s="32">
        <v>0</v>
      </c>
      <c r="M819" s="32">
        <v>0</v>
      </c>
      <c r="N819" s="32">
        <v>2088</v>
      </c>
      <c r="O819" s="32">
        <v>0</v>
      </c>
      <c r="P819" s="32">
        <f>360+56</f>
        <v>416</v>
      </c>
      <c r="Q819" s="43">
        <f t="shared" si="24"/>
        <v>5404</v>
      </c>
      <c r="R819" s="69">
        <f t="shared" si="25"/>
        <v>4593.3999999999996</v>
      </c>
      <c r="S819" s="30"/>
      <c r="T819" s="30"/>
    </row>
    <row r="820" spans="1:20" ht="45" customHeight="1" x14ac:dyDescent="0.3">
      <c r="A820" s="31">
        <v>808</v>
      </c>
      <c r="B820" s="32" t="s">
        <v>2655</v>
      </c>
      <c r="C820" s="32" t="s">
        <v>7246</v>
      </c>
      <c r="D820" s="34" t="s">
        <v>3700</v>
      </c>
      <c r="E820" s="32">
        <v>2021</v>
      </c>
      <c r="F820" s="32" t="s">
        <v>19</v>
      </c>
      <c r="G820" s="32" t="s">
        <v>3701</v>
      </c>
      <c r="H820" s="32" t="s">
        <v>3702</v>
      </c>
      <c r="I820" s="32" t="s">
        <v>3703</v>
      </c>
      <c r="J820" s="32">
        <v>2900</v>
      </c>
      <c r="K820" s="32">
        <v>0</v>
      </c>
      <c r="L820" s="32">
        <v>0</v>
      </c>
      <c r="M820" s="32">
        <v>0</v>
      </c>
      <c r="N820" s="32">
        <v>2088</v>
      </c>
      <c r="O820" s="32">
        <v>0</v>
      </c>
      <c r="P820" s="32">
        <f>360+56</f>
        <v>416</v>
      </c>
      <c r="Q820" s="43">
        <f t="shared" si="24"/>
        <v>5404</v>
      </c>
      <c r="R820" s="69">
        <f t="shared" si="25"/>
        <v>4593.3999999999996</v>
      </c>
      <c r="S820" s="30"/>
      <c r="T820" s="30"/>
    </row>
    <row r="821" spans="1:20" ht="45" customHeight="1" x14ac:dyDescent="0.3">
      <c r="A821" s="36">
        <v>809</v>
      </c>
      <c r="B821" s="32" t="s">
        <v>2655</v>
      </c>
      <c r="C821" s="32" t="s">
        <v>7247</v>
      </c>
      <c r="D821" s="34" t="s">
        <v>3708</v>
      </c>
      <c r="E821" s="32">
        <v>2020</v>
      </c>
      <c r="F821" s="32" t="s">
        <v>18</v>
      </c>
      <c r="G821" s="32" t="s">
        <v>3709</v>
      </c>
      <c r="H821" s="32" t="s">
        <v>3710</v>
      </c>
      <c r="I821" s="32" t="s">
        <v>25</v>
      </c>
      <c r="J821" s="32">
        <v>2900</v>
      </c>
      <c r="K821" s="32">
        <v>0</v>
      </c>
      <c r="L821" s="32">
        <v>0</v>
      </c>
      <c r="M821" s="32">
        <v>0</v>
      </c>
      <c r="N821" s="32">
        <v>2088</v>
      </c>
      <c r="O821" s="32">
        <v>0</v>
      </c>
      <c r="P821" s="32">
        <f>720+112</f>
        <v>832</v>
      </c>
      <c r="Q821" s="43">
        <f t="shared" si="24"/>
        <v>5820</v>
      </c>
      <c r="R821" s="69">
        <f t="shared" si="25"/>
        <v>4947</v>
      </c>
      <c r="S821" s="30"/>
      <c r="T821" s="30"/>
    </row>
    <row r="822" spans="1:20" ht="45" customHeight="1" x14ac:dyDescent="0.3">
      <c r="A822" s="31">
        <v>810</v>
      </c>
      <c r="B822" s="32" t="s">
        <v>2655</v>
      </c>
      <c r="C822" s="32" t="s">
        <v>7248</v>
      </c>
      <c r="D822" s="34" t="s">
        <v>2299</v>
      </c>
      <c r="E822" s="32">
        <v>2024</v>
      </c>
      <c r="F822" s="32" t="s">
        <v>19</v>
      </c>
      <c r="G822" s="32" t="s">
        <v>2387</v>
      </c>
      <c r="H822" s="32" t="s">
        <v>1452</v>
      </c>
      <c r="I822" s="32" t="s">
        <v>282</v>
      </c>
      <c r="J822" s="32">
        <v>2900</v>
      </c>
      <c r="K822" s="32">
        <v>0</v>
      </c>
      <c r="L822" s="32">
        <v>0</v>
      </c>
      <c r="M822" s="32">
        <v>17688</v>
      </c>
      <c r="N822" s="32">
        <v>2088</v>
      </c>
      <c r="O822" s="32">
        <v>0</v>
      </c>
      <c r="P822" s="32">
        <f>1080+168+720+120+374+1080</f>
        <v>3542</v>
      </c>
      <c r="Q822" s="43">
        <f t="shared" si="24"/>
        <v>26218</v>
      </c>
      <c r="R822" s="69">
        <f t="shared" si="25"/>
        <v>22285.3</v>
      </c>
      <c r="S822" s="30"/>
      <c r="T822" s="30"/>
    </row>
    <row r="823" spans="1:20" ht="45" customHeight="1" x14ac:dyDescent="0.3">
      <c r="A823" s="31">
        <v>811</v>
      </c>
      <c r="B823" s="32" t="s">
        <v>2655</v>
      </c>
      <c r="C823" s="32" t="s">
        <v>7249</v>
      </c>
      <c r="D823" s="34" t="s">
        <v>1914</v>
      </c>
      <c r="E823" s="32">
        <v>2016</v>
      </c>
      <c r="F823" s="32" t="s">
        <v>19</v>
      </c>
      <c r="G823" s="32" t="s">
        <v>2028</v>
      </c>
      <c r="H823" s="32" t="s">
        <v>2084</v>
      </c>
      <c r="I823" s="32" t="s">
        <v>2621</v>
      </c>
      <c r="J823" s="32">
        <v>0</v>
      </c>
      <c r="K823" s="32">
        <v>0</v>
      </c>
      <c r="L823" s="32">
        <v>0</v>
      </c>
      <c r="M823" s="32">
        <v>17688</v>
      </c>
      <c r="N823" s="32">
        <v>0</v>
      </c>
      <c r="O823" s="32">
        <v>0</v>
      </c>
      <c r="P823" s="32">
        <f>720+112</f>
        <v>832</v>
      </c>
      <c r="Q823" s="43">
        <f t="shared" si="24"/>
        <v>18520</v>
      </c>
      <c r="R823" s="69">
        <f t="shared" si="25"/>
        <v>15742</v>
      </c>
      <c r="S823" s="30"/>
      <c r="T823" s="30"/>
    </row>
    <row r="824" spans="1:20" ht="45" customHeight="1" x14ac:dyDescent="0.3">
      <c r="A824" s="36">
        <v>812</v>
      </c>
      <c r="B824" s="32" t="s">
        <v>2655</v>
      </c>
      <c r="C824" s="32" t="s">
        <v>7250</v>
      </c>
      <c r="D824" s="34" t="s">
        <v>2521</v>
      </c>
      <c r="E824" s="32">
        <v>2023</v>
      </c>
      <c r="F824" s="32" t="s">
        <v>18</v>
      </c>
      <c r="G824" s="32" t="s">
        <v>2569</v>
      </c>
      <c r="H824" s="32" t="s">
        <v>2600</v>
      </c>
      <c r="I824" s="32" t="s">
        <v>2628</v>
      </c>
      <c r="J824" s="32">
        <v>2900</v>
      </c>
      <c r="K824" s="32">
        <v>0</v>
      </c>
      <c r="L824" s="32">
        <v>0</v>
      </c>
      <c r="M824" s="32">
        <v>0</v>
      </c>
      <c r="N824" s="32">
        <v>2088</v>
      </c>
      <c r="O824" s="32">
        <v>0</v>
      </c>
      <c r="P824" s="32">
        <f>360+56</f>
        <v>416</v>
      </c>
      <c r="Q824" s="43">
        <f t="shared" si="24"/>
        <v>5404</v>
      </c>
      <c r="R824" s="69">
        <f t="shared" si="25"/>
        <v>4593.3999999999996</v>
      </c>
      <c r="S824" s="30"/>
      <c r="T824" s="30"/>
    </row>
    <row r="825" spans="1:20" ht="45" customHeight="1" x14ac:dyDescent="0.3">
      <c r="A825" s="31">
        <v>813</v>
      </c>
      <c r="B825" s="32" t="s">
        <v>2866</v>
      </c>
      <c r="C825" s="32" t="s">
        <v>2867</v>
      </c>
      <c r="D825" s="32" t="s">
        <v>2868</v>
      </c>
      <c r="E825" s="32">
        <v>1960</v>
      </c>
      <c r="F825" s="32" t="s">
        <v>18</v>
      </c>
      <c r="G825" s="32" t="s">
        <v>2990</v>
      </c>
      <c r="H825" s="32" t="s">
        <v>1403</v>
      </c>
      <c r="I825" s="32" t="s">
        <v>1257</v>
      </c>
      <c r="J825" s="32">
        <v>6199</v>
      </c>
      <c r="K825" s="32">
        <v>0</v>
      </c>
      <c r="L825" s="32">
        <v>0</v>
      </c>
      <c r="M825" s="32">
        <v>0</v>
      </c>
      <c r="N825" s="32">
        <v>0</v>
      </c>
      <c r="O825" s="32">
        <v>0</v>
      </c>
      <c r="P825" s="32">
        <v>0</v>
      </c>
      <c r="Q825" s="43">
        <f t="shared" si="24"/>
        <v>6199</v>
      </c>
      <c r="R825" s="69">
        <f t="shared" si="25"/>
        <v>5269.15</v>
      </c>
      <c r="S825" s="30"/>
      <c r="T825" s="30"/>
    </row>
    <row r="826" spans="1:20" ht="45" customHeight="1" x14ac:dyDescent="0.3">
      <c r="A826" s="31">
        <v>814</v>
      </c>
      <c r="B826" s="32" t="s">
        <v>2866</v>
      </c>
      <c r="C826" s="32" t="s">
        <v>2869</v>
      </c>
      <c r="D826" s="32" t="s">
        <v>2870</v>
      </c>
      <c r="E826" s="32">
        <v>2010</v>
      </c>
      <c r="F826" s="32" t="s">
        <v>18</v>
      </c>
      <c r="G826" s="32" t="s">
        <v>2991</v>
      </c>
      <c r="H826" s="32" t="s">
        <v>3047</v>
      </c>
      <c r="I826" s="32" t="s">
        <v>1257</v>
      </c>
      <c r="J826" s="32">
        <v>6199</v>
      </c>
      <c r="K826" s="32">
        <v>0</v>
      </c>
      <c r="L826" s="32">
        <v>0</v>
      </c>
      <c r="M826" s="32">
        <v>0</v>
      </c>
      <c r="N826" s="32">
        <v>0</v>
      </c>
      <c r="O826" s="32">
        <v>0</v>
      </c>
      <c r="P826" s="32">
        <v>0</v>
      </c>
      <c r="Q826" s="43">
        <f t="shared" si="24"/>
        <v>6199</v>
      </c>
      <c r="R826" s="69">
        <f t="shared" si="25"/>
        <v>5269.15</v>
      </c>
      <c r="S826" s="30"/>
      <c r="T826" s="30"/>
    </row>
    <row r="827" spans="1:20" ht="45" customHeight="1" x14ac:dyDescent="0.3">
      <c r="A827" s="36">
        <v>815</v>
      </c>
      <c r="B827" s="32" t="s">
        <v>2866</v>
      </c>
      <c r="C827" s="32" t="s">
        <v>2871</v>
      </c>
      <c r="D827" s="32" t="s">
        <v>2872</v>
      </c>
      <c r="E827" s="32">
        <v>1988</v>
      </c>
      <c r="F827" s="32" t="s">
        <v>18</v>
      </c>
      <c r="G827" s="32" t="s">
        <v>2992</v>
      </c>
      <c r="H827" s="32" t="s">
        <v>2992</v>
      </c>
      <c r="I827" s="32" t="s">
        <v>1081</v>
      </c>
      <c r="J827" s="32">
        <v>3582</v>
      </c>
      <c r="K827" s="32">
        <v>0</v>
      </c>
      <c r="L827" s="32">
        <v>0</v>
      </c>
      <c r="M827" s="32">
        <v>0</v>
      </c>
      <c r="N827" s="32">
        <v>41718</v>
      </c>
      <c r="O827" s="32">
        <v>0</v>
      </c>
      <c r="P827" s="32">
        <v>0</v>
      </c>
      <c r="Q827" s="43">
        <f t="shared" si="24"/>
        <v>45300</v>
      </c>
      <c r="R827" s="69">
        <f t="shared" si="25"/>
        <v>38505</v>
      </c>
      <c r="S827" s="30"/>
      <c r="T827" s="30"/>
    </row>
    <row r="828" spans="1:20" s="41" customFormat="1" ht="45" customHeight="1" x14ac:dyDescent="0.3">
      <c r="A828" s="31">
        <v>816</v>
      </c>
      <c r="B828" s="38" t="s">
        <v>2866</v>
      </c>
      <c r="C828" s="38" t="s">
        <v>2873</v>
      </c>
      <c r="D828" s="38" t="s">
        <v>2874</v>
      </c>
      <c r="E828" s="38">
        <v>2023</v>
      </c>
      <c r="F828" s="38" t="s">
        <v>18</v>
      </c>
      <c r="G828" s="38" t="s">
        <v>2993</v>
      </c>
      <c r="H828" s="38" t="s">
        <v>3048</v>
      </c>
      <c r="I828" s="38" t="s">
        <v>3082</v>
      </c>
      <c r="J828" s="38">
        <v>6199</v>
      </c>
      <c r="K828" s="38">
        <f>6278+4484+2332+1346+2332+2332+2332+2332+6995+6995+2332+6995+2332+4484+4484</f>
        <v>58385</v>
      </c>
      <c r="L828" s="38">
        <v>0</v>
      </c>
      <c r="M828" s="38">
        <v>0</v>
      </c>
      <c r="N828" s="38">
        <v>3148</v>
      </c>
      <c r="O828" s="38">
        <v>0</v>
      </c>
      <c r="P828" s="38">
        <v>0</v>
      </c>
      <c r="Q828" s="43">
        <f t="shared" si="24"/>
        <v>67732</v>
      </c>
      <c r="R828" s="69">
        <f t="shared" si="25"/>
        <v>57572.2</v>
      </c>
      <c r="S828" s="40"/>
      <c r="T828" s="40"/>
    </row>
    <row r="829" spans="1:20" ht="45" customHeight="1" x14ac:dyDescent="0.3">
      <c r="A829" s="31">
        <v>817</v>
      </c>
      <c r="B829" s="32" t="s">
        <v>2866</v>
      </c>
      <c r="C829" s="32" t="s">
        <v>2875</v>
      </c>
      <c r="D829" s="32" t="s">
        <v>2876</v>
      </c>
      <c r="E829" s="32">
        <v>2023</v>
      </c>
      <c r="F829" s="32" t="s">
        <v>18</v>
      </c>
      <c r="G829" s="32" t="s">
        <v>2994</v>
      </c>
      <c r="H829" s="32" t="s">
        <v>3049</v>
      </c>
      <c r="I829" s="32" t="s">
        <v>2843</v>
      </c>
      <c r="J829" s="32">
        <v>6199</v>
      </c>
      <c r="K829" s="32">
        <v>0</v>
      </c>
      <c r="L829" s="32">
        <v>0</v>
      </c>
      <c r="M829" s="32">
        <v>0</v>
      </c>
      <c r="N829" s="32">
        <v>0</v>
      </c>
      <c r="O829" s="32">
        <v>0</v>
      </c>
      <c r="P829" s="32">
        <v>0</v>
      </c>
      <c r="Q829" s="43">
        <f t="shared" si="24"/>
        <v>6199</v>
      </c>
      <c r="R829" s="69">
        <f t="shared" si="25"/>
        <v>5269.15</v>
      </c>
      <c r="S829" s="30"/>
      <c r="T829" s="30"/>
    </row>
    <row r="830" spans="1:20" ht="45" customHeight="1" x14ac:dyDescent="0.3">
      <c r="A830" s="36">
        <v>818</v>
      </c>
      <c r="B830" s="32" t="s">
        <v>2866</v>
      </c>
      <c r="C830" s="32" t="s">
        <v>2877</v>
      </c>
      <c r="D830" s="32" t="s">
        <v>2872</v>
      </c>
      <c r="E830" s="32">
        <v>1988</v>
      </c>
      <c r="F830" s="32" t="s">
        <v>18</v>
      </c>
      <c r="G830" s="32" t="s">
        <v>2992</v>
      </c>
      <c r="H830" s="32" t="s">
        <v>2992</v>
      </c>
      <c r="I830" s="32" t="s">
        <v>1081</v>
      </c>
      <c r="J830" s="32">
        <v>6199</v>
      </c>
      <c r="K830" s="32">
        <v>0</v>
      </c>
      <c r="L830" s="32">
        <v>0</v>
      </c>
      <c r="M830" s="32">
        <v>0</v>
      </c>
      <c r="N830" s="32">
        <v>0</v>
      </c>
      <c r="O830" s="32">
        <v>0</v>
      </c>
      <c r="P830" s="32">
        <v>0</v>
      </c>
      <c r="Q830" s="43">
        <f t="shared" si="24"/>
        <v>6199</v>
      </c>
      <c r="R830" s="69">
        <f t="shared" si="25"/>
        <v>5269.15</v>
      </c>
      <c r="S830" s="30"/>
      <c r="T830" s="30"/>
    </row>
    <row r="831" spans="1:20" ht="45" customHeight="1" x14ac:dyDescent="0.3">
      <c r="A831" s="31">
        <v>819</v>
      </c>
      <c r="B831" s="32" t="s">
        <v>2866</v>
      </c>
      <c r="C831" s="32" t="s">
        <v>2878</v>
      </c>
      <c r="D831" s="32" t="s">
        <v>2879</v>
      </c>
      <c r="E831" s="32">
        <v>1992</v>
      </c>
      <c r="F831" s="32" t="s">
        <v>19</v>
      </c>
      <c r="G831" s="32" t="s">
        <v>2995</v>
      </c>
      <c r="H831" s="32" t="s">
        <v>2995</v>
      </c>
      <c r="I831" s="32" t="s">
        <v>3083</v>
      </c>
      <c r="J831" s="32">
        <v>3582</v>
      </c>
      <c r="K831" s="32">
        <v>0</v>
      </c>
      <c r="L831" s="32">
        <v>0</v>
      </c>
      <c r="M831" s="32">
        <v>0</v>
      </c>
      <c r="N831" s="32">
        <f>34016+27380</f>
        <v>61396</v>
      </c>
      <c r="O831" s="32">
        <v>0</v>
      </c>
      <c r="P831" s="32">
        <v>0</v>
      </c>
      <c r="Q831" s="43">
        <f t="shared" si="24"/>
        <v>64978</v>
      </c>
      <c r="R831" s="69">
        <f t="shared" si="25"/>
        <v>55231.3</v>
      </c>
      <c r="S831" s="30"/>
      <c r="T831" s="30"/>
    </row>
    <row r="832" spans="1:20" s="41" customFormat="1" ht="45" customHeight="1" x14ac:dyDescent="0.3">
      <c r="A832" s="31">
        <v>820</v>
      </c>
      <c r="B832" s="38" t="s">
        <v>2866</v>
      </c>
      <c r="C832" s="38" t="s">
        <v>2880</v>
      </c>
      <c r="D832" s="38" t="s">
        <v>2881</v>
      </c>
      <c r="E832" s="38">
        <v>2022</v>
      </c>
      <c r="F832" s="38" t="s">
        <v>19</v>
      </c>
      <c r="G832" s="38" t="s">
        <v>2996</v>
      </c>
      <c r="H832" s="38" t="s">
        <v>1240</v>
      </c>
      <c r="I832" s="38" t="s">
        <v>1274</v>
      </c>
      <c r="J832" s="38">
        <v>6199</v>
      </c>
      <c r="K832" s="38">
        <f>6278+4484+2332+1346+2332+2332+2332+2332+6995+6995+2332+6995+4484+4484+2332+1166+2801</f>
        <v>62352</v>
      </c>
      <c r="L832" s="38">
        <v>0</v>
      </c>
      <c r="M832" s="38">
        <v>0</v>
      </c>
      <c r="N832" s="38">
        <v>3148</v>
      </c>
      <c r="O832" s="38">
        <v>0</v>
      </c>
      <c r="P832" s="38">
        <v>0</v>
      </c>
      <c r="Q832" s="43">
        <f t="shared" si="24"/>
        <v>71699</v>
      </c>
      <c r="R832" s="69">
        <f t="shared" si="25"/>
        <v>60944.15</v>
      </c>
      <c r="S832" s="40"/>
      <c r="T832" s="40"/>
    </row>
    <row r="833" spans="1:20" s="41" customFormat="1" ht="45" customHeight="1" x14ac:dyDescent="0.3">
      <c r="A833" s="36">
        <v>821</v>
      </c>
      <c r="B833" s="38" t="s">
        <v>2866</v>
      </c>
      <c r="C833" s="38" t="s">
        <v>2882</v>
      </c>
      <c r="D833" s="38" t="s">
        <v>2883</v>
      </c>
      <c r="E833" s="38">
        <v>2007</v>
      </c>
      <c r="F833" s="38" t="s">
        <v>18</v>
      </c>
      <c r="G833" s="38" t="s">
        <v>2997</v>
      </c>
      <c r="H833" s="38" t="s">
        <v>3050</v>
      </c>
      <c r="I833" s="38" t="s">
        <v>3084</v>
      </c>
      <c r="J833" s="38">
        <v>6199</v>
      </c>
      <c r="K833" s="38">
        <f>1166+2801</f>
        <v>3967</v>
      </c>
      <c r="L833" s="38">
        <v>0</v>
      </c>
      <c r="M833" s="38">
        <v>0</v>
      </c>
      <c r="N833" s="38">
        <v>0</v>
      </c>
      <c r="O833" s="38">
        <v>0</v>
      </c>
      <c r="P833" s="38">
        <v>0</v>
      </c>
      <c r="Q833" s="43">
        <f t="shared" si="24"/>
        <v>10166</v>
      </c>
      <c r="R833" s="69">
        <f t="shared" si="25"/>
        <v>8641.1</v>
      </c>
      <c r="S833" s="40"/>
      <c r="T833" s="40"/>
    </row>
    <row r="834" spans="1:20" ht="45" customHeight="1" x14ac:dyDescent="0.3">
      <c r="A834" s="31">
        <v>822</v>
      </c>
      <c r="B834" s="32" t="s">
        <v>2866</v>
      </c>
      <c r="C834" s="32" t="s">
        <v>2884</v>
      </c>
      <c r="D834" s="32" t="s">
        <v>2657</v>
      </c>
      <c r="E834" s="32">
        <v>2009</v>
      </c>
      <c r="F834" s="32" t="s">
        <v>19</v>
      </c>
      <c r="G834" s="32" t="s">
        <v>2758</v>
      </c>
      <c r="H834" s="32" t="s">
        <v>2806</v>
      </c>
      <c r="I834" s="32" t="s">
        <v>2843</v>
      </c>
      <c r="J834" s="32">
        <v>3793</v>
      </c>
      <c r="K834" s="32">
        <v>0</v>
      </c>
      <c r="L834" s="32">
        <v>0</v>
      </c>
      <c r="M834" s="32">
        <v>0</v>
      </c>
      <c r="N834" s="32">
        <f>3179+1178</f>
        <v>4357</v>
      </c>
      <c r="O834" s="32">
        <v>0</v>
      </c>
      <c r="P834" s="32">
        <f>720+720+374</f>
        <v>1814</v>
      </c>
      <c r="Q834" s="43">
        <f t="shared" si="24"/>
        <v>9964</v>
      </c>
      <c r="R834" s="69">
        <f t="shared" si="25"/>
        <v>8469.4</v>
      </c>
      <c r="S834" s="30"/>
      <c r="T834" s="30"/>
    </row>
    <row r="835" spans="1:20" s="41" customFormat="1" ht="45" customHeight="1" x14ac:dyDescent="0.3">
      <c r="A835" s="31">
        <v>823</v>
      </c>
      <c r="B835" s="38" t="s">
        <v>2866</v>
      </c>
      <c r="C835" s="38" t="s">
        <v>2885</v>
      </c>
      <c r="D835" s="38" t="s">
        <v>2886</v>
      </c>
      <c r="E835" s="38">
        <v>2023</v>
      </c>
      <c r="F835" s="38" t="s">
        <v>19</v>
      </c>
      <c r="G835" s="38" t="s">
        <v>2998</v>
      </c>
      <c r="H835" s="38" t="s">
        <v>3051</v>
      </c>
      <c r="I835" s="38" t="s">
        <v>3085</v>
      </c>
      <c r="J835" s="38">
        <v>6199</v>
      </c>
      <c r="K835" s="38">
        <f>6278+4484+2332+1346+2332+2332+2332+2332+6995+6995+2332+6995+2332+4484+4484</f>
        <v>58385</v>
      </c>
      <c r="L835" s="38">
        <v>0</v>
      </c>
      <c r="M835" s="38">
        <v>0</v>
      </c>
      <c r="N835" s="38">
        <v>3148</v>
      </c>
      <c r="O835" s="38">
        <v>0</v>
      </c>
      <c r="P835" s="38">
        <v>0</v>
      </c>
      <c r="Q835" s="43">
        <f t="shared" si="24"/>
        <v>67732</v>
      </c>
      <c r="R835" s="69">
        <f t="shared" si="25"/>
        <v>57572.2</v>
      </c>
      <c r="S835" s="40"/>
      <c r="T835" s="40"/>
    </row>
    <row r="836" spans="1:20" ht="45" customHeight="1" x14ac:dyDescent="0.3">
      <c r="A836" s="36">
        <v>824</v>
      </c>
      <c r="B836" s="32" t="s">
        <v>2866</v>
      </c>
      <c r="C836" s="32" t="s">
        <v>2887</v>
      </c>
      <c r="D836" s="32" t="s">
        <v>2888</v>
      </c>
      <c r="E836" s="32">
        <v>1977</v>
      </c>
      <c r="F836" s="32" t="s">
        <v>18</v>
      </c>
      <c r="G836" s="32" t="s">
        <v>2999</v>
      </c>
      <c r="H836" s="32" t="s">
        <v>2999</v>
      </c>
      <c r="I836" s="32" t="s">
        <v>3086</v>
      </c>
      <c r="J836" s="32">
        <v>6199</v>
      </c>
      <c r="K836" s="32">
        <f>6278+4484+6995+3228+2332+2332+2332+2332+2332+2332+3000+3000+4484+4484+2332+4484</f>
        <v>56761</v>
      </c>
      <c r="L836" s="32">
        <v>0</v>
      </c>
      <c r="M836" s="32">
        <v>0</v>
      </c>
      <c r="N836" s="32">
        <v>1793</v>
      </c>
      <c r="O836" s="32">
        <v>0</v>
      </c>
      <c r="P836" s="32">
        <v>0</v>
      </c>
      <c r="Q836" s="43">
        <f t="shared" si="24"/>
        <v>64753</v>
      </c>
      <c r="R836" s="69">
        <f t="shared" si="25"/>
        <v>55040.05</v>
      </c>
      <c r="S836" s="30"/>
      <c r="T836" s="30"/>
    </row>
    <row r="837" spans="1:20" ht="45" customHeight="1" x14ac:dyDescent="0.3">
      <c r="A837" s="31">
        <v>825</v>
      </c>
      <c r="B837" s="32" t="s">
        <v>2866</v>
      </c>
      <c r="C837" s="32" t="s">
        <v>2889</v>
      </c>
      <c r="D837" s="32" t="s">
        <v>2890</v>
      </c>
      <c r="E837" s="32">
        <v>1999</v>
      </c>
      <c r="F837" s="32" t="s">
        <v>18</v>
      </c>
      <c r="G837" s="32" t="s">
        <v>3000</v>
      </c>
      <c r="H837" s="32" t="s">
        <v>3000</v>
      </c>
      <c r="I837" s="32" t="s">
        <v>2134</v>
      </c>
      <c r="J837" s="32">
        <v>3582</v>
      </c>
      <c r="K837" s="32">
        <v>0</v>
      </c>
      <c r="L837" s="32">
        <v>0</v>
      </c>
      <c r="M837" s="32">
        <v>0</v>
      </c>
      <c r="N837" s="32">
        <f>15433+42388+27126</f>
        <v>84947</v>
      </c>
      <c r="O837" s="32">
        <v>0</v>
      </c>
      <c r="P837" s="32">
        <v>0</v>
      </c>
      <c r="Q837" s="43">
        <f t="shared" si="24"/>
        <v>88529</v>
      </c>
      <c r="R837" s="69">
        <f t="shared" si="25"/>
        <v>75249.649999999994</v>
      </c>
      <c r="S837" s="30"/>
      <c r="T837" s="30"/>
    </row>
    <row r="838" spans="1:20" ht="45" customHeight="1" x14ac:dyDescent="0.3">
      <c r="A838" s="31">
        <v>826</v>
      </c>
      <c r="B838" s="32" t="s">
        <v>2866</v>
      </c>
      <c r="C838" s="32" t="s">
        <v>2891</v>
      </c>
      <c r="D838" s="32" t="s">
        <v>2892</v>
      </c>
      <c r="E838" s="32">
        <v>1988</v>
      </c>
      <c r="F838" s="32" t="s">
        <v>19</v>
      </c>
      <c r="G838" s="32" t="s">
        <v>3001</v>
      </c>
      <c r="H838" s="32" t="s">
        <v>2825</v>
      </c>
      <c r="I838" s="32" t="s">
        <v>24</v>
      </c>
      <c r="J838" s="32">
        <v>3582</v>
      </c>
      <c r="K838" s="32">
        <v>0</v>
      </c>
      <c r="L838" s="32">
        <v>0</v>
      </c>
      <c r="M838" s="32">
        <v>0</v>
      </c>
      <c r="N838" s="32">
        <f>42388+27126</f>
        <v>69514</v>
      </c>
      <c r="O838" s="32">
        <v>0</v>
      </c>
      <c r="P838" s="32">
        <v>0</v>
      </c>
      <c r="Q838" s="43">
        <f t="shared" si="24"/>
        <v>73096</v>
      </c>
      <c r="R838" s="69">
        <f t="shared" si="25"/>
        <v>62131.6</v>
      </c>
      <c r="S838" s="30"/>
      <c r="T838" s="30"/>
    </row>
    <row r="839" spans="1:20" s="41" customFormat="1" ht="45" customHeight="1" x14ac:dyDescent="0.3">
      <c r="A839" s="36">
        <v>827</v>
      </c>
      <c r="B839" s="38" t="s">
        <v>2866</v>
      </c>
      <c r="C839" s="38" t="s">
        <v>2893</v>
      </c>
      <c r="D839" s="38" t="s">
        <v>2894</v>
      </c>
      <c r="E839" s="38">
        <v>2025</v>
      </c>
      <c r="F839" s="38" t="s">
        <v>19</v>
      </c>
      <c r="G839" s="38" t="s">
        <v>3002</v>
      </c>
      <c r="H839" s="38" t="s">
        <v>3052</v>
      </c>
      <c r="I839" s="38" t="s">
        <v>1064</v>
      </c>
      <c r="J839" s="38">
        <v>6199</v>
      </c>
      <c r="K839" s="38">
        <v>0</v>
      </c>
      <c r="L839" s="38">
        <v>13298</v>
      </c>
      <c r="M839" s="38">
        <v>0</v>
      </c>
      <c r="N839" s="38">
        <v>0</v>
      </c>
      <c r="O839" s="38">
        <v>0</v>
      </c>
      <c r="P839" s="38">
        <v>0</v>
      </c>
      <c r="Q839" s="43">
        <f t="shared" si="24"/>
        <v>19497</v>
      </c>
      <c r="R839" s="69">
        <f t="shared" si="25"/>
        <v>16572.45</v>
      </c>
      <c r="S839" s="40"/>
      <c r="T839" s="40"/>
    </row>
    <row r="840" spans="1:20" ht="45" customHeight="1" x14ac:dyDescent="0.3">
      <c r="A840" s="31">
        <v>828</v>
      </c>
      <c r="B840" s="32" t="s">
        <v>2866</v>
      </c>
      <c r="C840" s="32" t="s">
        <v>2895</v>
      </c>
      <c r="D840" s="32" t="s">
        <v>2896</v>
      </c>
      <c r="E840" s="32">
        <v>2024</v>
      </c>
      <c r="F840" s="32" t="s">
        <v>19</v>
      </c>
      <c r="G840" s="32" t="s">
        <v>3003</v>
      </c>
      <c r="H840" s="32" t="s">
        <v>3053</v>
      </c>
      <c r="I840" s="32" t="s">
        <v>3087</v>
      </c>
      <c r="J840" s="32">
        <v>6199</v>
      </c>
      <c r="K840" s="32">
        <f>1346+6278+4484+4484+2332+2332+2332+2332+2332+2332+6995+6995+2332+6995</f>
        <v>53901</v>
      </c>
      <c r="L840" s="32">
        <v>0</v>
      </c>
      <c r="M840" s="32">
        <v>0</v>
      </c>
      <c r="N840" s="32">
        <v>3148</v>
      </c>
      <c r="O840" s="32">
        <v>0</v>
      </c>
      <c r="P840" s="32">
        <v>0</v>
      </c>
      <c r="Q840" s="43">
        <f t="shared" si="24"/>
        <v>63248</v>
      </c>
      <c r="R840" s="69">
        <f t="shared" si="25"/>
        <v>53760.800000000003</v>
      </c>
      <c r="S840" s="30"/>
      <c r="T840" s="30"/>
    </row>
    <row r="841" spans="1:20" ht="45" customHeight="1" x14ac:dyDescent="0.3">
      <c r="A841" s="31">
        <v>829</v>
      </c>
      <c r="B841" s="32" t="s">
        <v>2866</v>
      </c>
      <c r="C841" s="32" t="s">
        <v>2897</v>
      </c>
      <c r="D841" s="32" t="s">
        <v>2898</v>
      </c>
      <c r="E841" s="32">
        <v>1988</v>
      </c>
      <c r="F841" s="32" t="s">
        <v>19</v>
      </c>
      <c r="G841" s="32" t="s">
        <v>3004</v>
      </c>
      <c r="H841" s="32" t="s">
        <v>3004</v>
      </c>
      <c r="I841" s="32" t="s">
        <v>3088</v>
      </c>
      <c r="J841" s="32">
        <v>6199</v>
      </c>
      <c r="K841" s="32">
        <f>6278+4484+6995+6995+3228+2332+2332+2243+3500+2332+2332+2332+3000+3000+4484+4484+2332+4484+2332+2332+2332</f>
        <v>74163</v>
      </c>
      <c r="L841" s="32">
        <v>20807</v>
      </c>
      <c r="M841" s="32">
        <v>0</v>
      </c>
      <c r="N841" s="32">
        <v>1793</v>
      </c>
      <c r="O841" s="32">
        <v>0</v>
      </c>
      <c r="P841" s="32">
        <v>0</v>
      </c>
      <c r="Q841" s="43">
        <f t="shared" si="24"/>
        <v>102962</v>
      </c>
      <c r="R841" s="69">
        <f t="shared" si="25"/>
        <v>87517.7</v>
      </c>
      <c r="S841" s="30"/>
      <c r="T841" s="30"/>
    </row>
    <row r="842" spans="1:20" s="41" customFormat="1" ht="45" customHeight="1" x14ac:dyDescent="0.3">
      <c r="A842" s="36">
        <v>830</v>
      </c>
      <c r="B842" s="38" t="s">
        <v>2866</v>
      </c>
      <c r="C842" s="38" t="s">
        <v>2899</v>
      </c>
      <c r="D842" s="38" t="s">
        <v>2900</v>
      </c>
      <c r="E842" s="38">
        <v>1951</v>
      </c>
      <c r="F842" s="38" t="s">
        <v>18</v>
      </c>
      <c r="G842" s="38" t="s">
        <v>3005</v>
      </c>
      <c r="H842" s="38" t="s">
        <v>3005</v>
      </c>
      <c r="I842" s="38" t="s">
        <v>253</v>
      </c>
      <c r="J842" s="38">
        <v>6199</v>
      </c>
      <c r="K842" s="38">
        <v>0</v>
      </c>
      <c r="L842" s="38">
        <v>13526</v>
      </c>
      <c r="M842" s="38">
        <v>0</v>
      </c>
      <c r="N842" s="38">
        <v>0</v>
      </c>
      <c r="O842" s="38">
        <v>0</v>
      </c>
      <c r="P842" s="38">
        <v>0</v>
      </c>
      <c r="Q842" s="43">
        <f t="shared" si="24"/>
        <v>19725</v>
      </c>
      <c r="R842" s="69">
        <f t="shared" si="25"/>
        <v>16766.25</v>
      </c>
      <c r="S842" s="40"/>
      <c r="T842" s="40"/>
    </row>
    <row r="843" spans="1:20" ht="45" customHeight="1" x14ac:dyDescent="0.3">
      <c r="A843" s="31">
        <v>831</v>
      </c>
      <c r="B843" s="32" t="s">
        <v>2866</v>
      </c>
      <c r="C843" s="32" t="s">
        <v>2901</v>
      </c>
      <c r="D843" s="32" t="s">
        <v>2902</v>
      </c>
      <c r="E843" s="32">
        <v>1989</v>
      </c>
      <c r="F843" s="32" t="s">
        <v>19</v>
      </c>
      <c r="G843" s="32" t="s">
        <v>3006</v>
      </c>
      <c r="H843" s="32" t="s">
        <v>3006</v>
      </c>
      <c r="I843" s="32" t="s">
        <v>1046</v>
      </c>
      <c r="J843" s="32">
        <v>6199</v>
      </c>
      <c r="K843" s="32">
        <f>6278+4484+6995+3228+6995+3500+1166+2332+2332+2243+2332+2332+2332+3000+3000</f>
        <v>52549</v>
      </c>
      <c r="L843" s="32">
        <v>20807</v>
      </c>
      <c r="M843" s="32">
        <v>0</v>
      </c>
      <c r="N843" s="32">
        <v>1793</v>
      </c>
      <c r="O843" s="32">
        <v>0</v>
      </c>
      <c r="P843" s="32">
        <v>0</v>
      </c>
      <c r="Q843" s="43">
        <f t="shared" si="24"/>
        <v>81348</v>
      </c>
      <c r="R843" s="69">
        <f t="shared" si="25"/>
        <v>69145.8</v>
      </c>
      <c r="S843" s="30"/>
      <c r="T843" s="30"/>
    </row>
    <row r="844" spans="1:20" s="41" customFormat="1" ht="45" customHeight="1" x14ac:dyDescent="0.3">
      <c r="A844" s="31">
        <v>832</v>
      </c>
      <c r="B844" s="38" t="s">
        <v>2866</v>
      </c>
      <c r="C844" s="38" t="s">
        <v>2903</v>
      </c>
      <c r="D844" s="38" t="s">
        <v>2904</v>
      </c>
      <c r="E844" s="38">
        <v>1980</v>
      </c>
      <c r="F844" s="38" t="s">
        <v>18</v>
      </c>
      <c r="G844" s="38" t="s">
        <v>2430</v>
      </c>
      <c r="H844" s="38" t="s">
        <v>2430</v>
      </c>
      <c r="I844" s="38" t="s">
        <v>1069</v>
      </c>
      <c r="J844" s="38">
        <v>6199</v>
      </c>
      <c r="K844" s="38">
        <v>0</v>
      </c>
      <c r="L844" s="38">
        <v>0</v>
      </c>
      <c r="M844" s="38">
        <v>0</v>
      </c>
      <c r="N844" s="38">
        <v>0</v>
      </c>
      <c r="O844" s="38">
        <v>0</v>
      </c>
      <c r="P844" s="38">
        <v>0</v>
      </c>
      <c r="Q844" s="43">
        <f t="shared" si="24"/>
        <v>6199</v>
      </c>
      <c r="R844" s="69">
        <f t="shared" si="25"/>
        <v>5269.15</v>
      </c>
      <c r="S844" s="40"/>
      <c r="T844" s="40"/>
    </row>
    <row r="845" spans="1:20" s="41" customFormat="1" ht="45" customHeight="1" x14ac:dyDescent="0.3">
      <c r="A845" s="36">
        <v>833</v>
      </c>
      <c r="B845" s="38" t="s">
        <v>2866</v>
      </c>
      <c r="C845" s="38" t="s">
        <v>2905</v>
      </c>
      <c r="D845" s="38" t="s">
        <v>2906</v>
      </c>
      <c r="E845" s="38">
        <v>2023</v>
      </c>
      <c r="F845" s="38" t="s">
        <v>18</v>
      </c>
      <c r="G845" s="38" t="s">
        <v>3007</v>
      </c>
      <c r="H845" s="38" t="s">
        <v>3054</v>
      </c>
      <c r="I845" s="38" t="s">
        <v>1888</v>
      </c>
      <c r="J845" s="38">
        <v>6199</v>
      </c>
      <c r="K845" s="38">
        <f>6278+4484+1346+2332+2332+2332+2332+2332+6995+6995+2332+6995+2332+4484+4484</f>
        <v>58385</v>
      </c>
      <c r="L845" s="38">
        <v>0</v>
      </c>
      <c r="M845" s="38">
        <v>0</v>
      </c>
      <c r="N845" s="38">
        <v>3148</v>
      </c>
      <c r="O845" s="38">
        <v>0</v>
      </c>
      <c r="P845" s="38">
        <v>0</v>
      </c>
      <c r="Q845" s="43">
        <f t="shared" ref="Q845:Q908" si="26">SUM(J845:P845)</f>
        <v>67732</v>
      </c>
      <c r="R845" s="69">
        <f t="shared" si="25"/>
        <v>57572.2</v>
      </c>
      <c r="S845" s="40"/>
      <c r="T845" s="40"/>
    </row>
    <row r="846" spans="1:20" s="41" customFormat="1" ht="45" customHeight="1" x14ac:dyDescent="0.3">
      <c r="A846" s="31">
        <v>834</v>
      </c>
      <c r="B846" s="38" t="s">
        <v>2866</v>
      </c>
      <c r="C846" s="38" t="s">
        <v>2907</v>
      </c>
      <c r="D846" s="38" t="s">
        <v>2908</v>
      </c>
      <c r="E846" s="38">
        <v>2022</v>
      </c>
      <c r="F846" s="38" t="s">
        <v>18</v>
      </c>
      <c r="G846" s="38" t="s">
        <v>3008</v>
      </c>
      <c r="H846" s="38" t="s">
        <v>3055</v>
      </c>
      <c r="I846" s="38" t="s">
        <v>2130</v>
      </c>
      <c r="J846" s="38">
        <v>6199</v>
      </c>
      <c r="K846" s="38">
        <f>6278+4484+2332+1346+2332+2332+2332+2332+6995+6995+2332+6995+2332+4484+4484</f>
        <v>58385</v>
      </c>
      <c r="L846" s="38">
        <v>0</v>
      </c>
      <c r="M846" s="38">
        <v>0</v>
      </c>
      <c r="N846" s="38">
        <v>3148</v>
      </c>
      <c r="O846" s="38">
        <v>0</v>
      </c>
      <c r="P846" s="38">
        <v>0</v>
      </c>
      <c r="Q846" s="43">
        <f t="shared" si="26"/>
        <v>67732</v>
      </c>
      <c r="R846" s="69">
        <f t="shared" ref="R846:R909" si="27">Q846*85/100</f>
        <v>57572.2</v>
      </c>
      <c r="S846" s="40"/>
      <c r="T846" s="40"/>
    </row>
    <row r="847" spans="1:20" ht="45" customHeight="1" x14ac:dyDescent="0.3">
      <c r="A847" s="31">
        <v>835</v>
      </c>
      <c r="B847" s="32" t="s">
        <v>2866</v>
      </c>
      <c r="C847" s="32" t="s">
        <v>2909</v>
      </c>
      <c r="D847" s="32" t="s">
        <v>2910</v>
      </c>
      <c r="E847" s="32">
        <v>2024</v>
      </c>
      <c r="F847" s="32" t="s">
        <v>18</v>
      </c>
      <c r="G847" s="32" t="s">
        <v>3009</v>
      </c>
      <c r="H847" s="32" t="s">
        <v>3056</v>
      </c>
      <c r="I847" s="32" t="s">
        <v>298</v>
      </c>
      <c r="J847" s="32">
        <v>6199</v>
      </c>
      <c r="K847" s="32">
        <v>0</v>
      </c>
      <c r="L847" s="32">
        <v>0</v>
      </c>
      <c r="M847" s="32">
        <v>0</v>
      </c>
      <c r="N847" s="32">
        <v>0</v>
      </c>
      <c r="O847" s="32">
        <v>0</v>
      </c>
      <c r="P847" s="32">
        <v>0</v>
      </c>
      <c r="Q847" s="43">
        <f t="shared" si="26"/>
        <v>6199</v>
      </c>
      <c r="R847" s="69">
        <f t="shared" si="27"/>
        <v>5269.15</v>
      </c>
      <c r="S847" s="30"/>
      <c r="T847" s="30"/>
    </row>
    <row r="848" spans="1:20" ht="45" customHeight="1" x14ac:dyDescent="0.3">
      <c r="A848" s="36">
        <v>836</v>
      </c>
      <c r="B848" s="32" t="s">
        <v>2866</v>
      </c>
      <c r="C848" s="32" t="s">
        <v>2911</v>
      </c>
      <c r="D848" s="32" t="s">
        <v>2912</v>
      </c>
      <c r="E848" s="32">
        <v>1991</v>
      </c>
      <c r="F848" s="32" t="s">
        <v>18</v>
      </c>
      <c r="G848" s="32" t="s">
        <v>3010</v>
      </c>
      <c r="H848" s="32" t="s">
        <v>3010</v>
      </c>
      <c r="I848" s="32" t="s">
        <v>570</v>
      </c>
      <c r="J848" s="32">
        <v>3582</v>
      </c>
      <c r="K848" s="32">
        <v>0</v>
      </c>
      <c r="L848" s="32">
        <v>0</v>
      </c>
      <c r="M848" s="32">
        <v>0</v>
      </c>
      <c r="N848" s="32">
        <v>0</v>
      </c>
      <c r="O848" s="32">
        <v>0</v>
      </c>
      <c r="P848" s="32">
        <v>0</v>
      </c>
      <c r="Q848" s="43">
        <f t="shared" si="26"/>
        <v>3582</v>
      </c>
      <c r="R848" s="69">
        <f t="shared" si="27"/>
        <v>3044.7</v>
      </c>
      <c r="S848" s="30"/>
      <c r="T848" s="30"/>
    </row>
    <row r="849" spans="1:20" ht="45" customHeight="1" x14ac:dyDescent="0.3">
      <c r="A849" s="31">
        <v>837</v>
      </c>
      <c r="B849" s="32" t="s">
        <v>2866</v>
      </c>
      <c r="C849" s="32" t="s">
        <v>2913</v>
      </c>
      <c r="D849" s="32" t="s">
        <v>2914</v>
      </c>
      <c r="E849" s="32">
        <v>2002</v>
      </c>
      <c r="F849" s="32" t="s">
        <v>19</v>
      </c>
      <c r="G849" s="32" t="s">
        <v>3011</v>
      </c>
      <c r="H849" s="32" t="s">
        <v>3057</v>
      </c>
      <c r="I849" s="32" t="s">
        <v>32</v>
      </c>
      <c r="J849" s="32">
        <v>6199</v>
      </c>
      <c r="K849" s="32">
        <v>0</v>
      </c>
      <c r="L849" s="32">
        <v>18406</v>
      </c>
      <c r="M849" s="32">
        <v>0</v>
      </c>
      <c r="N849" s="32">
        <v>0</v>
      </c>
      <c r="O849" s="32">
        <v>0</v>
      </c>
      <c r="P849" s="32">
        <v>0</v>
      </c>
      <c r="Q849" s="43">
        <f t="shared" si="26"/>
        <v>24605</v>
      </c>
      <c r="R849" s="69">
        <f t="shared" si="27"/>
        <v>20914.25</v>
      </c>
      <c r="S849" s="30"/>
      <c r="T849" s="30"/>
    </row>
    <row r="850" spans="1:20" ht="45" customHeight="1" x14ac:dyDescent="0.3">
      <c r="A850" s="31">
        <v>838</v>
      </c>
      <c r="B850" s="32" t="s">
        <v>2866</v>
      </c>
      <c r="C850" s="32" t="s">
        <v>2915</v>
      </c>
      <c r="D850" s="32" t="s">
        <v>2916</v>
      </c>
      <c r="E850" s="32">
        <v>2022</v>
      </c>
      <c r="F850" s="32" t="s">
        <v>19</v>
      </c>
      <c r="G850" s="32" t="s">
        <v>3012</v>
      </c>
      <c r="H850" s="32" t="s">
        <v>3058</v>
      </c>
      <c r="I850" s="32" t="s">
        <v>3089</v>
      </c>
      <c r="J850" s="32">
        <v>6199</v>
      </c>
      <c r="K850" s="32">
        <v>0</v>
      </c>
      <c r="L850" s="32">
        <v>0</v>
      </c>
      <c r="M850" s="32">
        <v>0</v>
      </c>
      <c r="N850" s="32">
        <v>0</v>
      </c>
      <c r="O850" s="32">
        <v>0</v>
      </c>
      <c r="P850" s="32">
        <v>0</v>
      </c>
      <c r="Q850" s="43">
        <f t="shared" si="26"/>
        <v>6199</v>
      </c>
      <c r="R850" s="69">
        <f t="shared" si="27"/>
        <v>5269.15</v>
      </c>
      <c r="S850" s="30"/>
      <c r="T850" s="30"/>
    </row>
    <row r="851" spans="1:20" ht="45" customHeight="1" x14ac:dyDescent="0.3">
      <c r="A851" s="36">
        <v>839</v>
      </c>
      <c r="B851" s="32" t="s">
        <v>2866</v>
      </c>
      <c r="C851" s="32" t="s">
        <v>2917</v>
      </c>
      <c r="D851" s="32" t="s">
        <v>2918</v>
      </c>
      <c r="E851" s="32">
        <v>2000</v>
      </c>
      <c r="F851" s="32" t="s">
        <v>19</v>
      </c>
      <c r="G851" s="32" t="s">
        <v>3013</v>
      </c>
      <c r="H851" s="32" t="s">
        <v>3059</v>
      </c>
      <c r="I851" s="32" t="s">
        <v>3090</v>
      </c>
      <c r="J851" s="32">
        <v>6199</v>
      </c>
      <c r="K851" s="32">
        <v>0</v>
      </c>
      <c r="L851" s="32">
        <v>0</v>
      </c>
      <c r="M851" s="32">
        <v>0</v>
      </c>
      <c r="N851" s="32">
        <f>9871+1681</f>
        <v>11552</v>
      </c>
      <c r="O851" s="32">
        <v>0</v>
      </c>
      <c r="P851" s="32">
        <v>2400</v>
      </c>
      <c r="Q851" s="43">
        <f t="shared" si="26"/>
        <v>20151</v>
      </c>
      <c r="R851" s="69">
        <f t="shared" si="27"/>
        <v>17128.349999999999</v>
      </c>
      <c r="S851" s="30"/>
      <c r="T851" s="30"/>
    </row>
    <row r="852" spans="1:20" ht="45" customHeight="1" x14ac:dyDescent="0.3">
      <c r="A852" s="31">
        <v>840</v>
      </c>
      <c r="B852" s="32" t="s">
        <v>2866</v>
      </c>
      <c r="C852" s="32" t="s">
        <v>2919</v>
      </c>
      <c r="D852" s="32" t="s">
        <v>2920</v>
      </c>
      <c r="E852" s="32">
        <v>2013</v>
      </c>
      <c r="F852" s="32" t="s">
        <v>19</v>
      </c>
      <c r="G852" s="32" t="s">
        <v>3014</v>
      </c>
      <c r="H852" s="32" t="s">
        <v>3060</v>
      </c>
      <c r="I852" s="32" t="s">
        <v>3091</v>
      </c>
      <c r="J852" s="32">
        <v>6199</v>
      </c>
      <c r="K852" s="32">
        <f>6278+4484+2332+2332+2332+6995+2332+2332+2332+1166+3500</f>
        <v>36415</v>
      </c>
      <c r="L852" s="32">
        <v>0</v>
      </c>
      <c r="M852" s="32">
        <v>0</v>
      </c>
      <c r="N852" s="32">
        <v>1793</v>
      </c>
      <c r="O852" s="32">
        <v>0</v>
      </c>
      <c r="P852" s="32">
        <v>0</v>
      </c>
      <c r="Q852" s="43">
        <f t="shared" si="26"/>
        <v>44407</v>
      </c>
      <c r="R852" s="69">
        <f t="shared" si="27"/>
        <v>37745.949999999997</v>
      </c>
      <c r="S852" s="30"/>
      <c r="T852" s="30"/>
    </row>
    <row r="853" spans="1:20" s="41" customFormat="1" ht="45" customHeight="1" x14ac:dyDescent="0.3">
      <c r="A853" s="31">
        <v>841</v>
      </c>
      <c r="B853" s="38" t="s">
        <v>2866</v>
      </c>
      <c r="C853" s="38" t="s">
        <v>2921</v>
      </c>
      <c r="D853" s="38" t="s">
        <v>2922</v>
      </c>
      <c r="E853" s="38">
        <v>2020</v>
      </c>
      <c r="F853" s="38" t="s">
        <v>19</v>
      </c>
      <c r="G853" s="38" t="s">
        <v>3015</v>
      </c>
      <c r="H853" s="38" t="s">
        <v>3061</v>
      </c>
      <c r="I853" s="38" t="s">
        <v>289</v>
      </c>
      <c r="J853" s="38">
        <v>6199</v>
      </c>
      <c r="K853" s="38">
        <f>1166+2801</f>
        <v>3967</v>
      </c>
      <c r="L853" s="38">
        <v>0</v>
      </c>
      <c r="M853" s="38">
        <v>0</v>
      </c>
      <c r="N853" s="38">
        <v>0</v>
      </c>
      <c r="O853" s="38">
        <v>0</v>
      </c>
      <c r="P853" s="38">
        <v>0</v>
      </c>
      <c r="Q853" s="43">
        <f t="shared" si="26"/>
        <v>10166</v>
      </c>
      <c r="R853" s="69">
        <f t="shared" si="27"/>
        <v>8641.1</v>
      </c>
      <c r="S853" s="40"/>
      <c r="T853" s="40"/>
    </row>
    <row r="854" spans="1:20" ht="45" customHeight="1" x14ac:dyDescent="0.3">
      <c r="A854" s="36">
        <v>842</v>
      </c>
      <c r="B854" s="32" t="s">
        <v>2866</v>
      </c>
      <c r="C854" s="32" t="s">
        <v>2923</v>
      </c>
      <c r="D854" s="32" t="s">
        <v>2924</v>
      </c>
      <c r="E854" s="32">
        <v>1996</v>
      </c>
      <c r="F854" s="32" t="s">
        <v>19</v>
      </c>
      <c r="G854" s="32" t="s">
        <v>3016</v>
      </c>
      <c r="H854" s="32" t="s">
        <v>3016</v>
      </c>
      <c r="I854" s="32" t="s">
        <v>1465</v>
      </c>
      <c r="J854" s="32">
        <v>6199</v>
      </c>
      <c r="K854" s="32">
        <v>0</v>
      </c>
      <c r="L854" s="32">
        <v>18406</v>
      </c>
      <c r="M854" s="32">
        <v>0</v>
      </c>
      <c r="N854" s="32">
        <v>0</v>
      </c>
      <c r="O854" s="32">
        <v>0</v>
      </c>
      <c r="P854" s="32">
        <v>0</v>
      </c>
      <c r="Q854" s="43">
        <f t="shared" si="26"/>
        <v>24605</v>
      </c>
      <c r="R854" s="69">
        <f t="shared" si="27"/>
        <v>20914.25</v>
      </c>
      <c r="S854" s="30"/>
      <c r="T854" s="30"/>
    </row>
    <row r="855" spans="1:20" ht="45" customHeight="1" x14ac:dyDescent="0.3">
      <c r="A855" s="31">
        <v>843</v>
      </c>
      <c r="B855" s="32" t="s">
        <v>2866</v>
      </c>
      <c r="C855" s="32" t="s">
        <v>2925</v>
      </c>
      <c r="D855" s="32" t="s">
        <v>2926</v>
      </c>
      <c r="E855" s="32">
        <v>2025</v>
      </c>
      <c r="F855" s="32" t="s">
        <v>18</v>
      </c>
      <c r="G855" s="32" t="s">
        <v>3017</v>
      </c>
      <c r="H855" s="32" t="s">
        <v>3062</v>
      </c>
      <c r="I855" s="32" t="s">
        <v>2141</v>
      </c>
      <c r="J855" s="32">
        <v>6199</v>
      </c>
      <c r="K855" s="32">
        <v>0</v>
      </c>
      <c r="L855" s="32">
        <v>0</v>
      </c>
      <c r="M855" s="32">
        <v>0</v>
      </c>
      <c r="N855" s="32">
        <v>0</v>
      </c>
      <c r="O855" s="32">
        <v>0</v>
      </c>
      <c r="P855" s="32">
        <v>0</v>
      </c>
      <c r="Q855" s="43">
        <f t="shared" si="26"/>
        <v>6199</v>
      </c>
      <c r="R855" s="69">
        <f t="shared" si="27"/>
        <v>5269.15</v>
      </c>
      <c r="S855" s="30"/>
      <c r="T855" s="30"/>
    </row>
    <row r="856" spans="1:20" ht="45" customHeight="1" x14ac:dyDescent="0.3">
      <c r="A856" s="31">
        <v>844</v>
      </c>
      <c r="B856" s="32" t="s">
        <v>2866</v>
      </c>
      <c r="C856" s="32" t="s">
        <v>2927</v>
      </c>
      <c r="D856" s="32" t="s">
        <v>2928</v>
      </c>
      <c r="E856" s="32">
        <v>2024</v>
      </c>
      <c r="F856" s="32" t="s">
        <v>19</v>
      </c>
      <c r="G856" s="32" t="s">
        <v>3018</v>
      </c>
      <c r="H856" s="32" t="s">
        <v>3063</v>
      </c>
      <c r="I856" s="32" t="s">
        <v>3092</v>
      </c>
      <c r="J856" s="32">
        <v>6199</v>
      </c>
      <c r="K856" s="32">
        <f>1346+6278+4484+4484+2332+2332+2332+2332+2332+2332+6995+6995+2332+6995</f>
        <v>53901</v>
      </c>
      <c r="L856" s="32">
        <v>0</v>
      </c>
      <c r="M856" s="32">
        <v>0</v>
      </c>
      <c r="N856" s="32">
        <v>3148</v>
      </c>
      <c r="O856" s="32">
        <v>0</v>
      </c>
      <c r="P856" s="32">
        <v>0</v>
      </c>
      <c r="Q856" s="43">
        <f t="shared" si="26"/>
        <v>63248</v>
      </c>
      <c r="R856" s="69">
        <f t="shared" si="27"/>
        <v>53760.800000000003</v>
      </c>
      <c r="S856" s="30"/>
      <c r="T856" s="30"/>
    </row>
    <row r="857" spans="1:20" ht="45" customHeight="1" x14ac:dyDescent="0.3">
      <c r="A857" s="36">
        <v>845</v>
      </c>
      <c r="B857" s="32" t="s">
        <v>2866</v>
      </c>
      <c r="C857" s="32" t="s">
        <v>2929</v>
      </c>
      <c r="D857" s="32" t="s">
        <v>2930</v>
      </c>
      <c r="E857" s="32">
        <v>2020</v>
      </c>
      <c r="F857" s="32" t="s">
        <v>19</v>
      </c>
      <c r="G857" s="32" t="s">
        <v>3019</v>
      </c>
      <c r="H857" s="32" t="s">
        <v>3064</v>
      </c>
      <c r="I857" s="32" t="s">
        <v>3093</v>
      </c>
      <c r="J857" s="32">
        <v>6199</v>
      </c>
      <c r="K857" s="32">
        <f>1346+6278+4484+4484+2332+2332+2332+2332+2332+6995+6995+2332+6995+2332+1166</f>
        <v>55067</v>
      </c>
      <c r="L857" s="32">
        <v>0</v>
      </c>
      <c r="M857" s="32">
        <v>0</v>
      </c>
      <c r="N857" s="32">
        <v>3148</v>
      </c>
      <c r="O857" s="32">
        <v>0</v>
      </c>
      <c r="P857" s="32">
        <v>0</v>
      </c>
      <c r="Q857" s="43">
        <f t="shared" si="26"/>
        <v>64414</v>
      </c>
      <c r="R857" s="69">
        <f t="shared" si="27"/>
        <v>54751.9</v>
      </c>
      <c r="S857" s="30"/>
      <c r="T857" s="30"/>
    </row>
    <row r="858" spans="1:20" ht="45" customHeight="1" x14ac:dyDescent="0.3">
      <c r="A858" s="31">
        <v>846</v>
      </c>
      <c r="B858" s="32" t="s">
        <v>2866</v>
      </c>
      <c r="C858" s="32" t="s">
        <v>2931</v>
      </c>
      <c r="D858" s="32" t="s">
        <v>2932</v>
      </c>
      <c r="E858" s="32">
        <v>1997</v>
      </c>
      <c r="F858" s="32" t="s">
        <v>19</v>
      </c>
      <c r="G858" s="32" t="s">
        <v>3020</v>
      </c>
      <c r="H858" s="32" t="s">
        <v>3065</v>
      </c>
      <c r="I858" s="32" t="s">
        <v>3094</v>
      </c>
      <c r="J858" s="32">
        <v>6199</v>
      </c>
      <c r="K858" s="32">
        <v>0</v>
      </c>
      <c r="L858" s="32">
        <v>0</v>
      </c>
      <c r="M858" s="32">
        <v>0</v>
      </c>
      <c r="N858" s="32">
        <v>0</v>
      </c>
      <c r="O858" s="32">
        <v>0</v>
      </c>
      <c r="P858" s="32">
        <v>0</v>
      </c>
      <c r="Q858" s="43">
        <f t="shared" si="26"/>
        <v>6199</v>
      </c>
      <c r="R858" s="69">
        <f t="shared" si="27"/>
        <v>5269.15</v>
      </c>
      <c r="S858" s="30"/>
      <c r="T858" s="30"/>
    </row>
    <row r="859" spans="1:20" s="41" customFormat="1" ht="45" customHeight="1" x14ac:dyDescent="0.3">
      <c r="A859" s="31">
        <v>847</v>
      </c>
      <c r="B859" s="38" t="s">
        <v>2866</v>
      </c>
      <c r="C859" s="38" t="s">
        <v>2933</v>
      </c>
      <c r="D859" s="38" t="s">
        <v>2934</v>
      </c>
      <c r="E859" s="38">
        <v>1995</v>
      </c>
      <c r="F859" s="38" t="s">
        <v>18</v>
      </c>
      <c r="G859" s="38" t="s">
        <v>3021</v>
      </c>
      <c r="H859" s="38" t="s">
        <v>3021</v>
      </c>
      <c r="I859" s="38" t="s">
        <v>549</v>
      </c>
      <c r="J859" s="38">
        <v>6199</v>
      </c>
      <c r="K859" s="38">
        <v>0</v>
      </c>
      <c r="L859" s="38">
        <f>17620+13298</f>
        <v>30918</v>
      </c>
      <c r="M859" s="38">
        <v>0</v>
      </c>
      <c r="N859" s="38">
        <v>0</v>
      </c>
      <c r="O859" s="38">
        <v>0</v>
      </c>
      <c r="P859" s="38">
        <v>0</v>
      </c>
      <c r="Q859" s="43">
        <f t="shared" si="26"/>
        <v>37117</v>
      </c>
      <c r="R859" s="69">
        <f t="shared" si="27"/>
        <v>31549.45</v>
      </c>
      <c r="S859" s="40"/>
      <c r="T859" s="40"/>
    </row>
    <row r="860" spans="1:20" s="41" customFormat="1" ht="45" customHeight="1" x14ac:dyDescent="0.3">
      <c r="A860" s="36">
        <v>848</v>
      </c>
      <c r="B860" s="38" t="s">
        <v>2866</v>
      </c>
      <c r="C860" s="38" t="s">
        <v>2935</v>
      </c>
      <c r="D860" s="38" t="s">
        <v>2936</v>
      </c>
      <c r="E860" s="38">
        <v>2016</v>
      </c>
      <c r="F860" s="38" t="s">
        <v>19</v>
      </c>
      <c r="G860" s="38" t="s">
        <v>3022</v>
      </c>
      <c r="H860" s="38" t="s">
        <v>3066</v>
      </c>
      <c r="I860" s="38" t="s">
        <v>3095</v>
      </c>
      <c r="J860" s="38">
        <v>6199</v>
      </c>
      <c r="K860" s="38">
        <v>0</v>
      </c>
      <c r="L860" s="38">
        <v>0</v>
      </c>
      <c r="M860" s="38">
        <v>0</v>
      </c>
      <c r="N860" s="38">
        <v>0</v>
      </c>
      <c r="O860" s="38">
        <v>0</v>
      </c>
      <c r="P860" s="38">
        <v>0</v>
      </c>
      <c r="Q860" s="43">
        <f t="shared" si="26"/>
        <v>6199</v>
      </c>
      <c r="R860" s="69">
        <f t="shared" si="27"/>
        <v>5269.15</v>
      </c>
      <c r="S860" s="40"/>
      <c r="T860" s="40"/>
    </row>
    <row r="861" spans="1:20" s="41" customFormat="1" ht="45" customHeight="1" x14ac:dyDescent="0.3">
      <c r="A861" s="31">
        <v>849</v>
      </c>
      <c r="B861" s="38" t="s">
        <v>2866</v>
      </c>
      <c r="C861" s="38" t="s">
        <v>2937</v>
      </c>
      <c r="D861" s="38" t="s">
        <v>2938</v>
      </c>
      <c r="E861" s="38">
        <v>1979</v>
      </c>
      <c r="F861" s="38" t="s">
        <v>18</v>
      </c>
      <c r="G861" s="38" t="s">
        <v>3023</v>
      </c>
      <c r="H861" s="38" t="s">
        <v>3023</v>
      </c>
      <c r="I861" s="38" t="s">
        <v>3096</v>
      </c>
      <c r="J861" s="38">
        <v>6199</v>
      </c>
      <c r="K861" s="38">
        <f>2332+2332+6995+3228+2332+4484+4484+2332+4484+6278+2332+2332+2332+2332+2332+6995</f>
        <v>57936</v>
      </c>
      <c r="L861" s="38">
        <v>0</v>
      </c>
      <c r="M861" s="38">
        <v>0</v>
      </c>
      <c r="N861" s="38">
        <v>1793</v>
      </c>
      <c r="O861" s="38">
        <v>0</v>
      </c>
      <c r="P861" s="38">
        <v>0</v>
      </c>
      <c r="Q861" s="43">
        <f t="shared" si="26"/>
        <v>65928</v>
      </c>
      <c r="R861" s="69">
        <f t="shared" si="27"/>
        <v>56038.8</v>
      </c>
      <c r="S861" s="40"/>
      <c r="T861" s="40"/>
    </row>
    <row r="862" spans="1:20" s="41" customFormat="1" ht="45" customHeight="1" x14ac:dyDescent="0.3">
      <c r="A862" s="31">
        <v>850</v>
      </c>
      <c r="B862" s="38" t="s">
        <v>2866</v>
      </c>
      <c r="C862" s="38" t="s">
        <v>2939</v>
      </c>
      <c r="D862" s="38" t="s">
        <v>2940</v>
      </c>
      <c r="E862" s="38">
        <v>2022</v>
      </c>
      <c r="F862" s="38" t="s">
        <v>18</v>
      </c>
      <c r="G862" s="38" t="s">
        <v>3024</v>
      </c>
      <c r="H862" s="38" t="s">
        <v>3067</v>
      </c>
      <c r="I862" s="38" t="s">
        <v>3097</v>
      </c>
      <c r="J862" s="38">
        <v>6199</v>
      </c>
      <c r="K862" s="38">
        <f>6278+4484+2332+1346+2332+2332+2332+2332+2332+4484+6995+6995+2332+6995</f>
        <v>53901</v>
      </c>
      <c r="L862" s="38">
        <v>0</v>
      </c>
      <c r="M862" s="38">
        <v>0</v>
      </c>
      <c r="N862" s="38">
        <v>3148</v>
      </c>
      <c r="O862" s="38">
        <v>0</v>
      </c>
      <c r="P862" s="38">
        <v>0</v>
      </c>
      <c r="Q862" s="43">
        <f t="shared" si="26"/>
        <v>63248</v>
      </c>
      <c r="R862" s="69">
        <f t="shared" si="27"/>
        <v>53760.800000000003</v>
      </c>
      <c r="S862" s="40"/>
      <c r="T862" s="40"/>
    </row>
    <row r="863" spans="1:20" s="41" customFormat="1" ht="45" customHeight="1" x14ac:dyDescent="0.3">
      <c r="A863" s="36">
        <v>851</v>
      </c>
      <c r="B863" s="38" t="s">
        <v>2866</v>
      </c>
      <c r="C863" s="38" t="s">
        <v>2941</v>
      </c>
      <c r="D863" s="38" t="s">
        <v>2942</v>
      </c>
      <c r="E863" s="38">
        <v>2020</v>
      </c>
      <c r="F863" s="38" t="s">
        <v>19</v>
      </c>
      <c r="G863" s="38" t="s">
        <v>3025</v>
      </c>
      <c r="H863" s="38" t="s">
        <v>3068</v>
      </c>
      <c r="I863" s="38" t="s">
        <v>1066</v>
      </c>
      <c r="J863" s="38">
        <v>6199</v>
      </c>
      <c r="K863" s="38">
        <f>6278+4484+2332+1346+2332+2332+2332+2332+6995+6995+2332+6995+4484+2332+1166+2801</f>
        <v>57868</v>
      </c>
      <c r="L863" s="38">
        <v>0</v>
      </c>
      <c r="M863" s="38">
        <v>0</v>
      </c>
      <c r="N863" s="38">
        <v>3148</v>
      </c>
      <c r="O863" s="38">
        <v>0</v>
      </c>
      <c r="P863" s="38">
        <v>0</v>
      </c>
      <c r="Q863" s="43">
        <f t="shared" si="26"/>
        <v>67215</v>
      </c>
      <c r="R863" s="69">
        <f t="shared" si="27"/>
        <v>57132.75</v>
      </c>
      <c r="S863" s="40"/>
      <c r="T863" s="40"/>
    </row>
    <row r="864" spans="1:20" ht="45" customHeight="1" x14ac:dyDescent="0.3">
      <c r="A864" s="31">
        <v>852</v>
      </c>
      <c r="B864" s="32" t="s">
        <v>2866</v>
      </c>
      <c r="C864" s="32" t="s">
        <v>2943</v>
      </c>
      <c r="D864" s="32" t="s">
        <v>2944</v>
      </c>
      <c r="E864" s="32">
        <v>1984</v>
      </c>
      <c r="F864" s="32" t="s">
        <v>19</v>
      </c>
      <c r="G864" s="32" t="s">
        <v>3026</v>
      </c>
      <c r="H864" s="32" t="s">
        <v>3026</v>
      </c>
      <c r="I864" s="32" t="s">
        <v>3098</v>
      </c>
      <c r="J864" s="32">
        <v>6199</v>
      </c>
      <c r="K864" s="32">
        <f>2332+2332+2243</f>
        <v>6907</v>
      </c>
      <c r="L864" s="32">
        <v>18406</v>
      </c>
      <c r="M864" s="32">
        <v>0</v>
      </c>
      <c r="N864" s="32">
        <v>0</v>
      </c>
      <c r="O864" s="32">
        <v>0</v>
      </c>
      <c r="P864" s="32">
        <v>0</v>
      </c>
      <c r="Q864" s="43">
        <f t="shared" si="26"/>
        <v>31512</v>
      </c>
      <c r="R864" s="69">
        <f t="shared" si="27"/>
        <v>26785.200000000001</v>
      </c>
      <c r="S864" s="30"/>
      <c r="T864" s="30"/>
    </row>
    <row r="865" spans="1:20" s="41" customFormat="1" ht="45" customHeight="1" x14ac:dyDescent="0.3">
      <c r="A865" s="31">
        <v>853</v>
      </c>
      <c r="B865" s="38" t="s">
        <v>2866</v>
      </c>
      <c r="C865" s="38" t="s">
        <v>2945</v>
      </c>
      <c r="D865" s="38" t="s">
        <v>135</v>
      </c>
      <c r="E865" s="38">
        <v>2025</v>
      </c>
      <c r="F865" s="38" t="s">
        <v>19</v>
      </c>
      <c r="G865" s="38" t="s">
        <v>196</v>
      </c>
      <c r="H865" s="38" t="s">
        <v>239</v>
      </c>
      <c r="I865" s="38" t="s">
        <v>290</v>
      </c>
      <c r="J865" s="38">
        <v>6199</v>
      </c>
      <c r="K865" s="38">
        <f>6278+4484+2332+1346+2332+2332+2332+2332+6995+6995+2332+6995+2332+4484</f>
        <v>53901</v>
      </c>
      <c r="L865" s="38">
        <v>0</v>
      </c>
      <c r="M865" s="38">
        <v>0</v>
      </c>
      <c r="N865" s="38">
        <f>3148+4053+2088</f>
        <v>9289</v>
      </c>
      <c r="O865" s="38">
        <v>0</v>
      </c>
      <c r="P865" s="38">
        <f>720+112+720+1080</f>
        <v>2632</v>
      </c>
      <c r="Q865" s="43">
        <f t="shared" si="26"/>
        <v>72021</v>
      </c>
      <c r="R865" s="69">
        <f t="shared" si="27"/>
        <v>61217.85</v>
      </c>
      <c r="S865" s="40"/>
      <c r="T865" s="40"/>
    </row>
    <row r="866" spans="1:20" s="41" customFormat="1" ht="45" customHeight="1" x14ac:dyDescent="0.3">
      <c r="A866" s="36">
        <v>854</v>
      </c>
      <c r="B866" s="38" t="s">
        <v>2866</v>
      </c>
      <c r="C866" s="38" t="s">
        <v>2945</v>
      </c>
      <c r="D866" s="38" t="s">
        <v>135</v>
      </c>
      <c r="E866" s="38">
        <v>2025</v>
      </c>
      <c r="F866" s="38" t="s">
        <v>2635</v>
      </c>
      <c r="G866" s="38" t="s">
        <v>196</v>
      </c>
      <c r="H866" s="38" t="s">
        <v>239</v>
      </c>
      <c r="I866" s="38" t="s">
        <v>290</v>
      </c>
      <c r="J866" s="38">
        <v>0</v>
      </c>
      <c r="K866" s="38">
        <v>0</v>
      </c>
      <c r="L866" s="38">
        <v>0</v>
      </c>
      <c r="M866" s="38">
        <v>17688</v>
      </c>
      <c r="N866" s="38">
        <v>0</v>
      </c>
      <c r="O866" s="38">
        <v>0</v>
      </c>
      <c r="P866" s="38">
        <v>0</v>
      </c>
      <c r="Q866" s="43">
        <f t="shared" si="26"/>
        <v>17688</v>
      </c>
      <c r="R866" s="69">
        <f t="shared" si="27"/>
        <v>15034.8</v>
      </c>
      <c r="S866" s="40"/>
      <c r="T866" s="40"/>
    </row>
    <row r="867" spans="1:20" s="41" customFormat="1" ht="45" customHeight="1" x14ac:dyDescent="0.3">
      <c r="A867" s="31">
        <v>855</v>
      </c>
      <c r="B867" s="38" t="s">
        <v>2866</v>
      </c>
      <c r="C867" s="38" t="s">
        <v>2946</v>
      </c>
      <c r="D867" s="38" t="s">
        <v>2947</v>
      </c>
      <c r="E867" s="38">
        <v>2012</v>
      </c>
      <c r="F867" s="38" t="s">
        <v>18</v>
      </c>
      <c r="G867" s="38" t="s">
        <v>3027</v>
      </c>
      <c r="H867" s="38" t="s">
        <v>3069</v>
      </c>
      <c r="I867" s="38" t="s">
        <v>3099</v>
      </c>
      <c r="J867" s="38">
        <v>6199</v>
      </c>
      <c r="K867" s="38">
        <v>0</v>
      </c>
      <c r="L867" s="38">
        <v>0</v>
      </c>
      <c r="M867" s="38">
        <v>0</v>
      </c>
      <c r="N867" s="38">
        <v>0</v>
      </c>
      <c r="O867" s="38">
        <v>0</v>
      </c>
      <c r="P867" s="38">
        <v>0</v>
      </c>
      <c r="Q867" s="43">
        <f t="shared" si="26"/>
        <v>6199</v>
      </c>
      <c r="R867" s="69">
        <f t="shared" si="27"/>
        <v>5269.15</v>
      </c>
      <c r="S867" s="40"/>
      <c r="T867" s="40"/>
    </row>
    <row r="868" spans="1:20" ht="45" customHeight="1" x14ac:dyDescent="0.3">
      <c r="A868" s="31">
        <v>856</v>
      </c>
      <c r="B868" s="32" t="s">
        <v>2866</v>
      </c>
      <c r="C868" s="32" t="s">
        <v>2948</v>
      </c>
      <c r="D868" s="32" t="s">
        <v>2949</v>
      </c>
      <c r="E868" s="32">
        <v>1989</v>
      </c>
      <c r="F868" s="32" t="s">
        <v>18</v>
      </c>
      <c r="G868" s="32" t="s">
        <v>3028</v>
      </c>
      <c r="H868" s="32" t="s">
        <v>3028</v>
      </c>
      <c r="I868" s="32" t="s">
        <v>1460</v>
      </c>
      <c r="J868" s="32">
        <v>3582</v>
      </c>
      <c r="K868" s="32">
        <v>0</v>
      </c>
      <c r="L868" s="32">
        <v>0</v>
      </c>
      <c r="M868" s="32">
        <v>0</v>
      </c>
      <c r="N868" s="32">
        <v>30886</v>
      </c>
      <c r="O868" s="32">
        <v>0</v>
      </c>
      <c r="P868" s="32">
        <v>0</v>
      </c>
      <c r="Q868" s="43">
        <f t="shared" si="26"/>
        <v>34468</v>
      </c>
      <c r="R868" s="69">
        <f t="shared" si="27"/>
        <v>29297.8</v>
      </c>
      <c r="S868" s="30"/>
      <c r="T868" s="30"/>
    </row>
    <row r="869" spans="1:20" s="41" customFormat="1" ht="45" customHeight="1" x14ac:dyDescent="0.3">
      <c r="A869" s="36">
        <v>857</v>
      </c>
      <c r="B869" s="38" t="s">
        <v>2866</v>
      </c>
      <c r="C869" s="38" t="s">
        <v>2950</v>
      </c>
      <c r="D869" s="38" t="s">
        <v>2951</v>
      </c>
      <c r="E869" s="38">
        <v>1978</v>
      </c>
      <c r="F869" s="38" t="s">
        <v>19</v>
      </c>
      <c r="G869" s="38" t="s">
        <v>3029</v>
      </c>
      <c r="H869" s="38" t="s">
        <v>3029</v>
      </c>
      <c r="I869" s="38" t="s">
        <v>1069</v>
      </c>
      <c r="J869" s="38">
        <v>6199</v>
      </c>
      <c r="K869" s="38"/>
      <c r="L869" s="38">
        <v>0</v>
      </c>
      <c r="M869" s="38">
        <v>0</v>
      </c>
      <c r="N869" s="38">
        <v>0</v>
      </c>
      <c r="O869" s="38">
        <v>0</v>
      </c>
      <c r="P869" s="38">
        <v>0</v>
      </c>
      <c r="Q869" s="43">
        <f t="shared" si="26"/>
        <v>6199</v>
      </c>
      <c r="R869" s="69">
        <f t="shared" si="27"/>
        <v>5269.15</v>
      </c>
      <c r="S869" s="40"/>
      <c r="T869" s="40"/>
    </row>
    <row r="870" spans="1:20" s="41" customFormat="1" ht="45" customHeight="1" x14ac:dyDescent="0.3">
      <c r="A870" s="31">
        <v>858</v>
      </c>
      <c r="B870" s="38" t="s">
        <v>2866</v>
      </c>
      <c r="C870" s="38" t="s">
        <v>2952</v>
      </c>
      <c r="D870" s="38" t="s">
        <v>2953</v>
      </c>
      <c r="E870" s="38">
        <v>2019</v>
      </c>
      <c r="F870" s="38" t="s">
        <v>18</v>
      </c>
      <c r="G870" s="38" t="s">
        <v>3030</v>
      </c>
      <c r="H870" s="38" t="s">
        <v>3070</v>
      </c>
      <c r="I870" s="38" t="s">
        <v>3100</v>
      </c>
      <c r="J870" s="38">
        <v>6199</v>
      </c>
      <c r="K870" s="38">
        <v>0</v>
      </c>
      <c r="L870" s="38">
        <v>0</v>
      </c>
      <c r="M870" s="38">
        <v>0</v>
      </c>
      <c r="N870" s="38">
        <v>0</v>
      </c>
      <c r="O870" s="38">
        <v>0</v>
      </c>
      <c r="P870" s="38">
        <v>0</v>
      </c>
      <c r="Q870" s="43">
        <f t="shared" si="26"/>
        <v>6199</v>
      </c>
      <c r="R870" s="69">
        <f t="shared" si="27"/>
        <v>5269.15</v>
      </c>
      <c r="S870" s="40"/>
      <c r="T870" s="40"/>
    </row>
    <row r="871" spans="1:20" ht="45" customHeight="1" x14ac:dyDescent="0.3">
      <c r="A871" s="31">
        <v>859</v>
      </c>
      <c r="B871" s="32" t="s">
        <v>2866</v>
      </c>
      <c r="C871" s="32" t="s">
        <v>2954</v>
      </c>
      <c r="D871" s="32" t="s">
        <v>2955</v>
      </c>
      <c r="E871" s="32">
        <v>2023</v>
      </c>
      <c r="F871" s="32" t="s">
        <v>18</v>
      </c>
      <c r="G871" s="32" t="s">
        <v>3031</v>
      </c>
      <c r="H871" s="32" t="s">
        <v>3071</v>
      </c>
      <c r="I871" s="32" t="s">
        <v>3101</v>
      </c>
      <c r="J871" s="32">
        <v>6199</v>
      </c>
      <c r="K871" s="32">
        <v>0</v>
      </c>
      <c r="L871" s="32">
        <v>0</v>
      </c>
      <c r="M871" s="32">
        <v>0</v>
      </c>
      <c r="N871" s="32">
        <v>0</v>
      </c>
      <c r="O871" s="32">
        <v>0</v>
      </c>
      <c r="P871" s="32">
        <v>0</v>
      </c>
      <c r="Q871" s="43">
        <f t="shared" si="26"/>
        <v>6199</v>
      </c>
      <c r="R871" s="69">
        <f t="shared" si="27"/>
        <v>5269.15</v>
      </c>
      <c r="S871" s="30"/>
      <c r="T871" s="30"/>
    </row>
    <row r="872" spans="1:20" ht="45" customHeight="1" x14ac:dyDescent="0.3">
      <c r="A872" s="36">
        <v>860</v>
      </c>
      <c r="B872" s="32" t="s">
        <v>2866</v>
      </c>
      <c r="C872" s="32" t="s">
        <v>2956</v>
      </c>
      <c r="D872" s="32" t="s">
        <v>2957</v>
      </c>
      <c r="E872" s="32">
        <v>1995</v>
      </c>
      <c r="F872" s="32" t="s">
        <v>19</v>
      </c>
      <c r="G872" s="32" t="s">
        <v>3032</v>
      </c>
      <c r="H872" s="32" t="s">
        <v>3032</v>
      </c>
      <c r="I872" s="32" t="s">
        <v>300</v>
      </c>
      <c r="J872" s="32">
        <v>6199</v>
      </c>
      <c r="K872" s="32">
        <v>0</v>
      </c>
      <c r="L872" s="32">
        <v>18406</v>
      </c>
      <c r="M872" s="32">
        <v>0</v>
      </c>
      <c r="N872" s="32">
        <v>0</v>
      </c>
      <c r="O872" s="32">
        <v>0</v>
      </c>
      <c r="P872" s="32">
        <v>0</v>
      </c>
      <c r="Q872" s="43">
        <f t="shared" si="26"/>
        <v>24605</v>
      </c>
      <c r="R872" s="69">
        <f t="shared" si="27"/>
        <v>20914.25</v>
      </c>
      <c r="S872" s="30"/>
      <c r="T872" s="30"/>
    </row>
    <row r="873" spans="1:20" ht="45" customHeight="1" x14ac:dyDescent="0.3">
      <c r="A873" s="31">
        <v>861</v>
      </c>
      <c r="B873" s="32" t="s">
        <v>2866</v>
      </c>
      <c r="C873" s="32" t="s">
        <v>2958</v>
      </c>
      <c r="D873" s="32" t="s">
        <v>2959</v>
      </c>
      <c r="E873" s="32">
        <v>2021</v>
      </c>
      <c r="F873" s="32" t="s">
        <v>19</v>
      </c>
      <c r="G873" s="32" t="s">
        <v>3033</v>
      </c>
      <c r="H873" s="32" t="s">
        <v>3072</v>
      </c>
      <c r="I873" s="32" t="s">
        <v>3102</v>
      </c>
      <c r="J873" s="32">
        <v>3582</v>
      </c>
      <c r="K873" s="32">
        <v>0</v>
      </c>
      <c r="L873" s="32">
        <v>0</v>
      </c>
      <c r="M873" s="32">
        <v>0</v>
      </c>
      <c r="N873" s="32">
        <v>0</v>
      </c>
      <c r="O873" s="32">
        <v>0</v>
      </c>
      <c r="P873" s="32">
        <v>0</v>
      </c>
      <c r="Q873" s="43">
        <f t="shared" si="26"/>
        <v>3582</v>
      </c>
      <c r="R873" s="69">
        <f t="shared" si="27"/>
        <v>3044.7</v>
      </c>
      <c r="S873" s="30"/>
      <c r="T873" s="30"/>
    </row>
    <row r="874" spans="1:20" ht="45" customHeight="1" x14ac:dyDescent="0.3">
      <c r="A874" s="31">
        <v>862</v>
      </c>
      <c r="B874" s="32" t="s">
        <v>2866</v>
      </c>
      <c r="C874" s="32" t="s">
        <v>2960</v>
      </c>
      <c r="D874" s="32" t="s">
        <v>2961</v>
      </c>
      <c r="E874" s="32">
        <v>2018</v>
      </c>
      <c r="F874" s="32" t="s">
        <v>19</v>
      </c>
      <c r="G874" s="32" t="s">
        <v>3034</v>
      </c>
      <c r="H874" s="32" t="s">
        <v>3073</v>
      </c>
      <c r="I874" s="32" t="s">
        <v>1279</v>
      </c>
      <c r="J874" s="32">
        <v>3582</v>
      </c>
      <c r="K874" s="32">
        <v>0</v>
      </c>
      <c r="L874" s="32">
        <v>0</v>
      </c>
      <c r="M874" s="32">
        <v>0</v>
      </c>
      <c r="N874" s="32">
        <v>0</v>
      </c>
      <c r="O874" s="32">
        <v>0</v>
      </c>
      <c r="P874" s="32">
        <v>0</v>
      </c>
      <c r="Q874" s="43">
        <f t="shared" si="26"/>
        <v>3582</v>
      </c>
      <c r="R874" s="69">
        <f t="shared" si="27"/>
        <v>3044.7</v>
      </c>
      <c r="S874" s="30"/>
      <c r="T874" s="30"/>
    </row>
    <row r="875" spans="1:20" ht="45" customHeight="1" x14ac:dyDescent="0.3">
      <c r="A875" s="36">
        <v>863</v>
      </c>
      <c r="B875" s="32" t="s">
        <v>2866</v>
      </c>
      <c r="C875" s="32" t="s">
        <v>2962</v>
      </c>
      <c r="D875" s="32" t="s">
        <v>2963</v>
      </c>
      <c r="E875" s="32">
        <v>2016</v>
      </c>
      <c r="F875" s="32" t="s">
        <v>18</v>
      </c>
      <c r="G875" s="32" t="s">
        <v>3035</v>
      </c>
      <c r="H875" s="32" t="s">
        <v>3074</v>
      </c>
      <c r="I875" s="32" t="s">
        <v>2124</v>
      </c>
      <c r="J875" s="32">
        <v>3582</v>
      </c>
      <c r="K875" s="32">
        <v>0</v>
      </c>
      <c r="L875" s="32">
        <v>0</v>
      </c>
      <c r="M875" s="32">
        <v>0</v>
      </c>
      <c r="N875" s="32">
        <v>0</v>
      </c>
      <c r="O875" s="32">
        <v>0</v>
      </c>
      <c r="P875" s="32">
        <v>0</v>
      </c>
      <c r="Q875" s="43">
        <f t="shared" si="26"/>
        <v>3582</v>
      </c>
      <c r="R875" s="69">
        <f t="shared" si="27"/>
        <v>3044.7</v>
      </c>
      <c r="S875" s="30"/>
      <c r="T875" s="30"/>
    </row>
    <row r="876" spans="1:20" ht="45" customHeight="1" x14ac:dyDescent="0.3">
      <c r="A876" s="31">
        <v>864</v>
      </c>
      <c r="B876" s="32" t="s">
        <v>2866</v>
      </c>
      <c r="C876" s="32" t="s">
        <v>2964</v>
      </c>
      <c r="D876" s="32" t="s">
        <v>2965</v>
      </c>
      <c r="E876" s="32">
        <v>1984</v>
      </c>
      <c r="F876" s="32" t="s">
        <v>19</v>
      </c>
      <c r="G876" s="32" t="s">
        <v>3036</v>
      </c>
      <c r="H876" s="32" t="s">
        <v>3036</v>
      </c>
      <c r="I876" s="32" t="s">
        <v>1279</v>
      </c>
      <c r="J876" s="32">
        <v>3582</v>
      </c>
      <c r="K876" s="32">
        <v>0</v>
      </c>
      <c r="L876" s="32">
        <v>0</v>
      </c>
      <c r="M876" s="32">
        <v>0</v>
      </c>
      <c r="N876" s="32">
        <v>0</v>
      </c>
      <c r="O876" s="32">
        <v>0</v>
      </c>
      <c r="P876" s="32">
        <v>0</v>
      </c>
      <c r="Q876" s="43">
        <f t="shared" si="26"/>
        <v>3582</v>
      </c>
      <c r="R876" s="69">
        <f t="shared" si="27"/>
        <v>3044.7</v>
      </c>
      <c r="S876" s="30"/>
      <c r="T876" s="30"/>
    </row>
    <row r="877" spans="1:20" ht="45" customHeight="1" x14ac:dyDescent="0.3">
      <c r="A877" s="31">
        <v>865</v>
      </c>
      <c r="B877" s="32" t="s">
        <v>2866</v>
      </c>
      <c r="C877" s="32" t="s">
        <v>2966</v>
      </c>
      <c r="D877" s="32" t="s">
        <v>2949</v>
      </c>
      <c r="E877" s="32">
        <v>1989</v>
      </c>
      <c r="F877" s="32" t="s">
        <v>18</v>
      </c>
      <c r="G877" s="32" t="s">
        <v>3028</v>
      </c>
      <c r="H877" s="32" t="s">
        <v>3028</v>
      </c>
      <c r="I877" s="32" t="s">
        <v>1460</v>
      </c>
      <c r="J877" s="32">
        <v>6199</v>
      </c>
      <c r="K877" s="32">
        <f>4484+6278+3228+2332+2332+2332+2332+2332</f>
        <v>25650</v>
      </c>
      <c r="L877" s="32">
        <v>0</v>
      </c>
      <c r="M877" s="32">
        <v>0</v>
      </c>
      <c r="N877" s="32">
        <v>1793</v>
      </c>
      <c r="O877" s="32">
        <v>0</v>
      </c>
      <c r="P877" s="32">
        <v>0</v>
      </c>
      <c r="Q877" s="43">
        <f t="shared" si="26"/>
        <v>33642</v>
      </c>
      <c r="R877" s="69">
        <f t="shared" si="27"/>
        <v>28595.7</v>
      </c>
      <c r="S877" s="30"/>
      <c r="T877" s="30"/>
    </row>
    <row r="878" spans="1:20" ht="45" customHeight="1" x14ac:dyDescent="0.3">
      <c r="A878" s="36">
        <v>866</v>
      </c>
      <c r="B878" s="32" t="s">
        <v>2866</v>
      </c>
      <c r="C878" s="32" t="s">
        <v>2967</v>
      </c>
      <c r="D878" s="32" t="s">
        <v>2968</v>
      </c>
      <c r="E878" s="32">
        <v>2019</v>
      </c>
      <c r="F878" s="32" t="s">
        <v>18</v>
      </c>
      <c r="G878" s="32" t="s">
        <v>3037</v>
      </c>
      <c r="H878" s="32" t="s">
        <v>3075</v>
      </c>
      <c r="I878" s="32" t="s">
        <v>1279</v>
      </c>
      <c r="J878" s="32">
        <v>3582</v>
      </c>
      <c r="K878" s="32">
        <v>0</v>
      </c>
      <c r="L878" s="32">
        <v>0</v>
      </c>
      <c r="M878" s="32">
        <v>0</v>
      </c>
      <c r="N878" s="32">
        <v>0</v>
      </c>
      <c r="O878" s="32">
        <v>0</v>
      </c>
      <c r="P878" s="32">
        <v>0</v>
      </c>
      <c r="Q878" s="43">
        <f t="shared" si="26"/>
        <v>3582</v>
      </c>
      <c r="R878" s="69">
        <f t="shared" si="27"/>
        <v>3044.7</v>
      </c>
      <c r="S878" s="30"/>
      <c r="T878" s="30"/>
    </row>
    <row r="879" spans="1:20" ht="45" customHeight="1" x14ac:dyDescent="0.3">
      <c r="A879" s="31">
        <v>867</v>
      </c>
      <c r="B879" s="32" t="s">
        <v>2866</v>
      </c>
      <c r="C879" s="32" t="s">
        <v>2969</v>
      </c>
      <c r="D879" s="32" t="s">
        <v>1364</v>
      </c>
      <c r="E879" s="32">
        <v>1977</v>
      </c>
      <c r="F879" s="32" t="s">
        <v>18</v>
      </c>
      <c r="G879" s="32" t="s">
        <v>1420</v>
      </c>
      <c r="H879" s="32" t="s">
        <v>1453</v>
      </c>
      <c r="I879" s="32" t="s">
        <v>1481</v>
      </c>
      <c r="J879" s="32">
        <v>3793</v>
      </c>
      <c r="K879" s="32">
        <v>0</v>
      </c>
      <c r="L879" s="32">
        <v>0</v>
      </c>
      <c r="M879" s="32">
        <v>0</v>
      </c>
      <c r="N879" s="32">
        <v>1681</v>
      </c>
      <c r="O879" s="32">
        <v>0</v>
      </c>
      <c r="P879" s="32">
        <f>240+56</f>
        <v>296</v>
      </c>
      <c r="Q879" s="43">
        <f t="shared" si="26"/>
        <v>5770</v>
      </c>
      <c r="R879" s="69">
        <f t="shared" si="27"/>
        <v>4904.5</v>
      </c>
      <c r="S879" s="30"/>
      <c r="T879" s="30"/>
    </row>
    <row r="880" spans="1:20" ht="45" customHeight="1" x14ac:dyDescent="0.3">
      <c r="A880" s="31">
        <v>868</v>
      </c>
      <c r="B880" s="32" t="s">
        <v>2866</v>
      </c>
      <c r="C880" s="32" t="s">
        <v>2970</v>
      </c>
      <c r="D880" s="32" t="s">
        <v>2971</v>
      </c>
      <c r="E880" s="32">
        <v>2023</v>
      </c>
      <c r="F880" s="32" t="s">
        <v>19</v>
      </c>
      <c r="G880" s="32" t="s">
        <v>3038</v>
      </c>
      <c r="H880" s="32" t="s">
        <v>3076</v>
      </c>
      <c r="I880" s="32" t="s">
        <v>3103</v>
      </c>
      <c r="J880" s="32">
        <v>6199</v>
      </c>
      <c r="K880" s="32">
        <f>6278+4484+1166+4484</f>
        <v>16412</v>
      </c>
      <c r="L880" s="32">
        <v>0</v>
      </c>
      <c r="M880" s="32">
        <v>0</v>
      </c>
      <c r="N880" s="32">
        <v>3148</v>
      </c>
      <c r="O880" s="32">
        <v>0</v>
      </c>
      <c r="P880" s="32">
        <v>0</v>
      </c>
      <c r="Q880" s="43">
        <f t="shared" si="26"/>
        <v>25759</v>
      </c>
      <c r="R880" s="69">
        <f t="shared" si="27"/>
        <v>21895.15</v>
      </c>
      <c r="S880" s="30"/>
      <c r="T880" s="30"/>
    </row>
    <row r="881" spans="1:20" ht="45" customHeight="1" x14ac:dyDescent="0.3">
      <c r="A881" s="36">
        <v>869</v>
      </c>
      <c r="B881" s="32" t="s">
        <v>2866</v>
      </c>
      <c r="C881" s="32" t="s">
        <v>2972</v>
      </c>
      <c r="D881" s="32" t="s">
        <v>2973</v>
      </c>
      <c r="E881" s="32">
        <v>1985</v>
      </c>
      <c r="F881" s="32" t="s">
        <v>18</v>
      </c>
      <c r="G881" s="32" t="s">
        <v>3039</v>
      </c>
      <c r="H881" s="32" t="s">
        <v>3039</v>
      </c>
      <c r="I881" s="32" t="s">
        <v>34</v>
      </c>
      <c r="J881" s="32">
        <v>6199</v>
      </c>
      <c r="K881" s="32">
        <v>0</v>
      </c>
      <c r="L881" s="32">
        <v>0</v>
      </c>
      <c r="M881" s="32">
        <v>0</v>
      </c>
      <c r="N881" s="32">
        <v>0</v>
      </c>
      <c r="O881" s="32">
        <v>0</v>
      </c>
      <c r="P881" s="32">
        <v>0</v>
      </c>
      <c r="Q881" s="43">
        <f t="shared" si="26"/>
        <v>6199</v>
      </c>
      <c r="R881" s="69">
        <f t="shared" si="27"/>
        <v>5269.15</v>
      </c>
      <c r="S881" s="30"/>
      <c r="T881" s="30"/>
    </row>
    <row r="882" spans="1:20" s="41" customFormat="1" ht="45" customHeight="1" x14ac:dyDescent="0.3">
      <c r="A882" s="31">
        <v>870</v>
      </c>
      <c r="B882" s="38" t="s">
        <v>2866</v>
      </c>
      <c r="C882" s="38" t="s">
        <v>2974</v>
      </c>
      <c r="D882" s="38" t="s">
        <v>2718</v>
      </c>
      <c r="E882" s="38">
        <v>1969</v>
      </c>
      <c r="F882" s="38" t="s">
        <v>19</v>
      </c>
      <c r="G882" s="38" t="s">
        <v>2786</v>
      </c>
      <c r="H882" s="38" t="s">
        <v>2828</v>
      </c>
      <c r="I882" s="38" t="s">
        <v>300</v>
      </c>
      <c r="J882" s="38">
        <v>0</v>
      </c>
      <c r="K882" s="38">
        <f>1346+6278+4484+2332+2332+2332+6995+6995+2332+6995+3228+4484</f>
        <v>50133</v>
      </c>
      <c r="L882" s="38">
        <v>0</v>
      </c>
      <c r="M882" s="38">
        <v>0</v>
      </c>
      <c r="N882" s="38">
        <f>3179+1178+1793</f>
        <v>6150</v>
      </c>
      <c r="O882" s="38">
        <v>0</v>
      </c>
      <c r="P882" s="38">
        <f>1200+720+360</f>
        <v>2280</v>
      </c>
      <c r="Q882" s="43">
        <f t="shared" si="26"/>
        <v>58563</v>
      </c>
      <c r="R882" s="69">
        <f t="shared" si="27"/>
        <v>49778.55</v>
      </c>
      <c r="S882" s="40"/>
      <c r="T882" s="40"/>
    </row>
    <row r="883" spans="1:20" s="41" customFormat="1" ht="45" customHeight="1" x14ac:dyDescent="0.3">
      <c r="A883" s="31">
        <v>871</v>
      </c>
      <c r="B883" s="38" t="s">
        <v>2866</v>
      </c>
      <c r="C883" s="38" t="s">
        <v>2974</v>
      </c>
      <c r="D883" s="38" t="s">
        <v>2718</v>
      </c>
      <c r="E883" s="38">
        <v>1969</v>
      </c>
      <c r="F883" s="38" t="s">
        <v>19</v>
      </c>
      <c r="G883" s="38" t="s">
        <v>2786</v>
      </c>
      <c r="H883" s="38" t="s">
        <v>2828</v>
      </c>
      <c r="I883" s="38" t="s">
        <v>300</v>
      </c>
      <c r="J883" s="38">
        <v>0</v>
      </c>
      <c r="K883" s="38">
        <v>0</v>
      </c>
      <c r="L883" s="38">
        <v>0</v>
      </c>
      <c r="M883" s="38">
        <v>17688</v>
      </c>
      <c r="N883" s="38">
        <v>1681</v>
      </c>
      <c r="O883" s="38">
        <v>0</v>
      </c>
      <c r="P883" s="38">
        <f>312+56</f>
        <v>368</v>
      </c>
      <c r="Q883" s="43">
        <f t="shared" si="26"/>
        <v>19737</v>
      </c>
      <c r="R883" s="69">
        <f t="shared" si="27"/>
        <v>16776.45</v>
      </c>
      <c r="S883" s="40"/>
      <c r="T883" s="40"/>
    </row>
    <row r="884" spans="1:20" ht="45" customHeight="1" x14ac:dyDescent="0.3">
      <c r="A884" s="36">
        <v>872</v>
      </c>
      <c r="B884" s="32" t="s">
        <v>2866</v>
      </c>
      <c r="C884" s="32" t="s">
        <v>2975</v>
      </c>
      <c r="D884" s="32" t="s">
        <v>2976</v>
      </c>
      <c r="E884" s="32">
        <v>2022</v>
      </c>
      <c r="F884" s="32" t="s">
        <v>19</v>
      </c>
      <c r="G884" s="32" t="s">
        <v>3040</v>
      </c>
      <c r="H884" s="32" t="s">
        <v>3077</v>
      </c>
      <c r="I884" s="32" t="s">
        <v>3104</v>
      </c>
      <c r="J884" s="32">
        <v>6199</v>
      </c>
      <c r="K884" s="32">
        <v>0</v>
      </c>
      <c r="L884" s="32">
        <v>0</v>
      </c>
      <c r="M884" s="32">
        <v>0</v>
      </c>
      <c r="N884" s="32">
        <v>0</v>
      </c>
      <c r="O884" s="32">
        <v>0</v>
      </c>
      <c r="P884" s="32">
        <v>0</v>
      </c>
      <c r="Q884" s="43">
        <f t="shared" si="26"/>
        <v>6199</v>
      </c>
      <c r="R884" s="69">
        <f t="shared" si="27"/>
        <v>5269.15</v>
      </c>
      <c r="S884" s="30"/>
      <c r="T884" s="30"/>
    </row>
    <row r="885" spans="1:20" ht="45" customHeight="1" x14ac:dyDescent="0.3">
      <c r="A885" s="31">
        <v>873</v>
      </c>
      <c r="B885" s="32" t="s">
        <v>2866</v>
      </c>
      <c r="C885" s="32" t="s">
        <v>2977</v>
      </c>
      <c r="D885" s="32" t="s">
        <v>2978</v>
      </c>
      <c r="E885" s="32">
        <v>2024</v>
      </c>
      <c r="F885" s="32" t="s">
        <v>19</v>
      </c>
      <c r="G885" s="32" t="s">
        <v>3041</v>
      </c>
      <c r="H885" s="32" t="s">
        <v>1045</v>
      </c>
      <c r="I885" s="32" t="s">
        <v>1083</v>
      </c>
      <c r="J885" s="32">
        <v>6199</v>
      </c>
      <c r="K885" s="32">
        <v>0</v>
      </c>
      <c r="L885" s="32">
        <v>0</v>
      </c>
      <c r="M885" s="32">
        <v>0</v>
      </c>
      <c r="N885" s="32">
        <v>0</v>
      </c>
      <c r="O885" s="32">
        <v>0</v>
      </c>
      <c r="P885" s="32">
        <v>0</v>
      </c>
      <c r="Q885" s="43">
        <f t="shared" si="26"/>
        <v>6199</v>
      </c>
      <c r="R885" s="69">
        <f t="shared" si="27"/>
        <v>5269.15</v>
      </c>
      <c r="S885" s="30"/>
      <c r="T885" s="30"/>
    </row>
    <row r="886" spans="1:20" ht="45" customHeight="1" x14ac:dyDescent="0.3">
      <c r="A886" s="31">
        <v>874</v>
      </c>
      <c r="B886" s="32" t="s">
        <v>2866</v>
      </c>
      <c r="C886" s="32" t="s">
        <v>2979</v>
      </c>
      <c r="D886" s="32" t="s">
        <v>2980</v>
      </c>
      <c r="E886" s="32">
        <v>1986</v>
      </c>
      <c r="F886" s="32" t="s">
        <v>18</v>
      </c>
      <c r="G886" s="32" t="s">
        <v>3042</v>
      </c>
      <c r="H886" s="32" t="s">
        <v>3042</v>
      </c>
      <c r="I886" s="32" t="s">
        <v>27</v>
      </c>
      <c r="J886" s="32">
        <v>6199</v>
      </c>
      <c r="K886" s="32">
        <f>6278+4484+1166</f>
        <v>11928</v>
      </c>
      <c r="L886" s="32">
        <v>0</v>
      </c>
      <c r="M886" s="32">
        <v>0</v>
      </c>
      <c r="N886" s="32">
        <v>1793</v>
      </c>
      <c r="O886" s="32">
        <v>0</v>
      </c>
      <c r="P886" s="32">
        <v>0</v>
      </c>
      <c r="Q886" s="43">
        <f t="shared" si="26"/>
        <v>19920</v>
      </c>
      <c r="R886" s="69">
        <f t="shared" si="27"/>
        <v>16932</v>
      </c>
      <c r="S886" s="30"/>
      <c r="T886" s="30"/>
    </row>
    <row r="887" spans="1:20" ht="45" customHeight="1" x14ac:dyDescent="0.3">
      <c r="A887" s="36">
        <v>875</v>
      </c>
      <c r="B887" s="32" t="s">
        <v>2866</v>
      </c>
      <c r="C887" s="32" t="s">
        <v>2981</v>
      </c>
      <c r="D887" s="32" t="s">
        <v>2982</v>
      </c>
      <c r="E887" s="32">
        <v>2019</v>
      </c>
      <c r="F887" s="32" t="s">
        <v>18</v>
      </c>
      <c r="G887" s="32" t="s">
        <v>3043</v>
      </c>
      <c r="H887" s="32" t="s">
        <v>3078</v>
      </c>
      <c r="I887" s="32" t="s">
        <v>3105</v>
      </c>
      <c r="J887" s="32">
        <v>6199</v>
      </c>
      <c r="K887" s="32">
        <v>0</v>
      </c>
      <c r="L887" s="32">
        <v>0</v>
      </c>
      <c r="M887" s="32">
        <v>0</v>
      </c>
      <c r="N887" s="32">
        <v>0</v>
      </c>
      <c r="O887" s="32">
        <v>0</v>
      </c>
      <c r="P887" s="32">
        <v>0</v>
      </c>
      <c r="Q887" s="43">
        <f t="shared" si="26"/>
        <v>6199</v>
      </c>
      <c r="R887" s="69">
        <f t="shared" si="27"/>
        <v>5269.15</v>
      </c>
      <c r="S887" s="30"/>
      <c r="T887" s="30"/>
    </row>
    <row r="888" spans="1:20" ht="45" customHeight="1" x14ac:dyDescent="0.3">
      <c r="A888" s="31">
        <v>876</v>
      </c>
      <c r="B888" s="32" t="s">
        <v>2866</v>
      </c>
      <c r="C888" s="32" t="s">
        <v>2983</v>
      </c>
      <c r="D888" s="32" t="s">
        <v>2984</v>
      </c>
      <c r="E888" s="32">
        <v>2023</v>
      </c>
      <c r="F888" s="32" t="s">
        <v>19</v>
      </c>
      <c r="G888" s="32" t="s">
        <v>3044</v>
      </c>
      <c r="H888" s="32" t="s">
        <v>3079</v>
      </c>
      <c r="I888" s="32" t="s">
        <v>3106</v>
      </c>
      <c r="J888" s="32">
        <v>6199</v>
      </c>
      <c r="K888" s="32">
        <f>1346+6278+4484+4484+2332+2332+2332+2332+2332+6995+2332+6995+2332+6995</f>
        <v>53901</v>
      </c>
      <c r="L888" s="32">
        <v>0</v>
      </c>
      <c r="M888" s="32">
        <v>0</v>
      </c>
      <c r="N888" s="32">
        <v>3148</v>
      </c>
      <c r="O888" s="32">
        <v>0</v>
      </c>
      <c r="P888" s="32">
        <v>0</v>
      </c>
      <c r="Q888" s="43">
        <f t="shared" si="26"/>
        <v>63248</v>
      </c>
      <c r="R888" s="69">
        <f t="shared" si="27"/>
        <v>53760.800000000003</v>
      </c>
      <c r="S888" s="30"/>
      <c r="T888" s="30"/>
    </row>
    <row r="889" spans="1:20" ht="45" customHeight="1" x14ac:dyDescent="0.3">
      <c r="A889" s="31">
        <v>877</v>
      </c>
      <c r="B889" s="32" t="s">
        <v>2866</v>
      </c>
      <c r="C889" s="32" t="s">
        <v>2985</v>
      </c>
      <c r="D889" s="32" t="s">
        <v>2986</v>
      </c>
      <c r="E889" s="32">
        <v>2009</v>
      </c>
      <c r="F889" s="32" t="s">
        <v>19</v>
      </c>
      <c r="G889" s="32" t="s">
        <v>3045</v>
      </c>
      <c r="H889" s="32" t="s">
        <v>3080</v>
      </c>
      <c r="I889" s="32" t="s">
        <v>3107</v>
      </c>
      <c r="J889" s="32">
        <v>6199</v>
      </c>
      <c r="K889" s="32">
        <f>1346+6278+4484+6995+2332+2332+2332+2801+1166+2332+2332+2332+6995+6995+2332+6995</f>
        <v>60379</v>
      </c>
      <c r="L889" s="32">
        <v>0</v>
      </c>
      <c r="M889" s="32">
        <v>0</v>
      </c>
      <c r="N889" s="32">
        <f>1793+3179+1178</f>
        <v>6150</v>
      </c>
      <c r="O889" s="32">
        <v>0</v>
      </c>
      <c r="P889" s="32">
        <f>720+144+720</f>
        <v>1584</v>
      </c>
      <c r="Q889" s="44">
        <f t="shared" si="26"/>
        <v>74312</v>
      </c>
      <c r="R889" s="69">
        <f t="shared" si="27"/>
        <v>63165.2</v>
      </c>
      <c r="S889" s="30"/>
      <c r="T889" s="30"/>
    </row>
    <row r="890" spans="1:20" ht="45" customHeight="1" x14ac:dyDescent="0.3">
      <c r="A890" s="36">
        <v>878</v>
      </c>
      <c r="B890" s="32" t="s">
        <v>2866</v>
      </c>
      <c r="C890" s="32" t="s">
        <v>2985</v>
      </c>
      <c r="D890" s="32" t="s">
        <v>2986</v>
      </c>
      <c r="E890" s="32">
        <v>2009</v>
      </c>
      <c r="F890" s="32" t="s">
        <v>19</v>
      </c>
      <c r="G890" s="32" t="s">
        <v>3045</v>
      </c>
      <c r="H890" s="32" t="s">
        <v>3080</v>
      </c>
      <c r="I890" s="32" t="s">
        <v>3107</v>
      </c>
      <c r="J890" s="32">
        <v>0</v>
      </c>
      <c r="K890" s="32">
        <v>0</v>
      </c>
      <c r="L890" s="32">
        <v>0</v>
      </c>
      <c r="M890" s="32">
        <v>17688</v>
      </c>
      <c r="N890" s="32">
        <v>0</v>
      </c>
      <c r="O890" s="32">
        <v>0</v>
      </c>
      <c r="P890" s="32">
        <v>0</v>
      </c>
      <c r="Q890" s="44">
        <f t="shared" si="26"/>
        <v>17688</v>
      </c>
      <c r="R890" s="69">
        <f t="shared" si="27"/>
        <v>15034.8</v>
      </c>
      <c r="S890" s="30"/>
      <c r="T890" s="30"/>
    </row>
    <row r="891" spans="1:20" ht="45" customHeight="1" x14ac:dyDescent="0.3">
      <c r="A891" s="31">
        <v>879</v>
      </c>
      <c r="B891" s="32" t="s">
        <v>2866</v>
      </c>
      <c r="C891" s="32" t="s">
        <v>2987</v>
      </c>
      <c r="D891" s="32" t="s">
        <v>426</v>
      </c>
      <c r="E891" s="32">
        <v>2024</v>
      </c>
      <c r="F891" s="32" t="s">
        <v>18</v>
      </c>
      <c r="G891" s="32" t="s">
        <v>492</v>
      </c>
      <c r="H891" s="32" t="s">
        <v>529</v>
      </c>
      <c r="I891" s="32" t="s">
        <v>577</v>
      </c>
      <c r="J891" s="32">
        <v>3793</v>
      </c>
      <c r="K891" s="32">
        <v>0</v>
      </c>
      <c r="L891" s="32">
        <v>0</v>
      </c>
      <c r="M891" s="32">
        <v>0</v>
      </c>
      <c r="N891" s="32">
        <v>0</v>
      </c>
      <c r="O891" s="32">
        <v>0</v>
      </c>
      <c r="P891" s="32">
        <v>0</v>
      </c>
      <c r="Q891" s="43">
        <f t="shared" si="26"/>
        <v>3793</v>
      </c>
      <c r="R891" s="69">
        <f t="shared" si="27"/>
        <v>3224.05</v>
      </c>
      <c r="S891" s="30"/>
      <c r="T891" s="30"/>
    </row>
    <row r="892" spans="1:20" ht="45" customHeight="1" x14ac:dyDescent="0.3">
      <c r="A892" s="31">
        <v>880</v>
      </c>
      <c r="B892" s="32" t="s">
        <v>2866</v>
      </c>
      <c r="C892" s="32" t="s">
        <v>2988</v>
      </c>
      <c r="D892" s="32" t="s">
        <v>2989</v>
      </c>
      <c r="E892" s="32">
        <v>1994</v>
      </c>
      <c r="F892" s="32" t="s">
        <v>19</v>
      </c>
      <c r="G892" s="32" t="s">
        <v>3046</v>
      </c>
      <c r="H892" s="32" t="s">
        <v>3081</v>
      </c>
      <c r="I892" s="32" t="s">
        <v>3108</v>
      </c>
      <c r="J892" s="32">
        <v>6199</v>
      </c>
      <c r="K892" s="32">
        <v>0</v>
      </c>
      <c r="L892" s="32">
        <v>0</v>
      </c>
      <c r="M892" s="32">
        <v>0</v>
      </c>
      <c r="N892" s="32">
        <v>0</v>
      </c>
      <c r="O892" s="32">
        <v>0</v>
      </c>
      <c r="P892" s="32">
        <v>0</v>
      </c>
      <c r="Q892" s="43">
        <f t="shared" si="26"/>
        <v>6199</v>
      </c>
      <c r="R892" s="69">
        <f t="shared" si="27"/>
        <v>5269.15</v>
      </c>
      <c r="S892" s="30"/>
      <c r="T892" s="30"/>
    </row>
    <row r="893" spans="1:20" ht="45" customHeight="1" x14ac:dyDescent="0.3">
      <c r="A893" s="36">
        <v>881</v>
      </c>
      <c r="B893" s="32" t="s">
        <v>2866</v>
      </c>
      <c r="C893" s="32" t="s">
        <v>7251</v>
      </c>
      <c r="D893" s="34" t="s">
        <v>2299</v>
      </c>
      <c r="E893" s="32">
        <v>2024</v>
      </c>
      <c r="F893" s="32" t="s">
        <v>19</v>
      </c>
      <c r="G893" s="32" t="s">
        <v>2387</v>
      </c>
      <c r="H893" s="32" t="s">
        <v>1452</v>
      </c>
      <c r="I893" s="32" t="s">
        <v>282</v>
      </c>
      <c r="J893" s="32">
        <v>2900</v>
      </c>
      <c r="K893" s="32">
        <v>0</v>
      </c>
      <c r="L893" s="32">
        <v>0</v>
      </c>
      <c r="M893" s="32">
        <v>0</v>
      </c>
      <c r="N893" s="32">
        <v>2088</v>
      </c>
      <c r="O893" s="32">
        <v>0</v>
      </c>
      <c r="P893" s="32">
        <f>1080+168</f>
        <v>1248</v>
      </c>
      <c r="Q893" s="43">
        <f t="shared" si="26"/>
        <v>6236</v>
      </c>
      <c r="R893" s="69">
        <f t="shared" si="27"/>
        <v>5300.6</v>
      </c>
      <c r="S893" s="30"/>
      <c r="T893" s="30"/>
    </row>
    <row r="894" spans="1:20" ht="45" customHeight="1" x14ac:dyDescent="0.3">
      <c r="A894" s="31">
        <v>882</v>
      </c>
      <c r="B894" s="32" t="s">
        <v>2866</v>
      </c>
      <c r="C894" s="32" t="s">
        <v>7252</v>
      </c>
      <c r="D894" s="34" t="s">
        <v>1914</v>
      </c>
      <c r="E894" s="32">
        <v>2016</v>
      </c>
      <c r="F894" s="32" t="s">
        <v>19</v>
      </c>
      <c r="G894" s="32" t="s">
        <v>2028</v>
      </c>
      <c r="H894" s="32" t="s">
        <v>2084</v>
      </c>
      <c r="I894" s="32" t="s">
        <v>2621</v>
      </c>
      <c r="J894" s="32">
        <v>2900</v>
      </c>
      <c r="K894" s="32">
        <v>0</v>
      </c>
      <c r="L894" s="32">
        <v>0</v>
      </c>
      <c r="M894" s="32">
        <v>0</v>
      </c>
      <c r="N894" s="32">
        <v>2088</v>
      </c>
      <c r="O894" s="32">
        <v>0</v>
      </c>
      <c r="P894" s="32">
        <f>720+112</f>
        <v>832</v>
      </c>
      <c r="Q894" s="43">
        <f t="shared" si="26"/>
        <v>5820</v>
      </c>
      <c r="R894" s="69">
        <f t="shared" si="27"/>
        <v>4947</v>
      </c>
      <c r="S894" s="30"/>
      <c r="T894" s="30"/>
    </row>
    <row r="895" spans="1:20" ht="45" customHeight="1" x14ac:dyDescent="0.3">
      <c r="A895" s="31">
        <v>883</v>
      </c>
      <c r="B895" s="32" t="s">
        <v>2866</v>
      </c>
      <c r="C895" s="32" t="s">
        <v>7253</v>
      </c>
      <c r="D895" s="34" t="s">
        <v>2757</v>
      </c>
      <c r="E895" s="32">
        <v>2025</v>
      </c>
      <c r="F895" s="32" t="s">
        <v>19</v>
      </c>
      <c r="G895" s="32" t="s">
        <v>2805</v>
      </c>
      <c r="H895" s="32" t="s">
        <v>2842</v>
      </c>
      <c r="I895" s="32" t="s">
        <v>2865</v>
      </c>
      <c r="J895" s="32">
        <v>2900</v>
      </c>
      <c r="K895" s="32">
        <v>0</v>
      </c>
      <c r="L895" s="32">
        <v>0</v>
      </c>
      <c r="M895" s="32">
        <v>0</v>
      </c>
      <c r="N895" s="32">
        <v>2088</v>
      </c>
      <c r="O895" s="32">
        <v>0</v>
      </c>
      <c r="P895" s="32">
        <f>360+56</f>
        <v>416</v>
      </c>
      <c r="Q895" s="43">
        <f t="shared" si="26"/>
        <v>5404</v>
      </c>
      <c r="R895" s="69">
        <f t="shared" si="27"/>
        <v>4593.3999999999996</v>
      </c>
      <c r="S895" s="30"/>
      <c r="T895" s="30"/>
    </row>
    <row r="896" spans="1:20" ht="45" customHeight="1" x14ac:dyDescent="0.3">
      <c r="A896" s="36">
        <v>884</v>
      </c>
      <c r="B896" s="32" t="s">
        <v>2866</v>
      </c>
      <c r="C896" s="32" t="s">
        <v>7254</v>
      </c>
      <c r="D896" s="34" t="s">
        <v>3711</v>
      </c>
      <c r="E896" s="32">
        <v>2022</v>
      </c>
      <c r="F896" s="32" t="s">
        <v>18</v>
      </c>
      <c r="G896" s="32" t="s">
        <v>3712</v>
      </c>
      <c r="H896" s="32" t="s">
        <v>3713</v>
      </c>
      <c r="I896" s="32" t="s">
        <v>1483</v>
      </c>
      <c r="J896" s="32">
        <v>0</v>
      </c>
      <c r="K896" s="32">
        <v>0</v>
      </c>
      <c r="L896" s="32">
        <v>0</v>
      </c>
      <c r="M896" s="32">
        <v>0</v>
      </c>
      <c r="N896" s="32">
        <v>0</v>
      </c>
      <c r="O896" s="32">
        <v>0</v>
      </c>
      <c r="P896" s="32">
        <f>1080+168+720+374</f>
        <v>2342</v>
      </c>
      <c r="Q896" s="43">
        <f t="shared" si="26"/>
        <v>2342</v>
      </c>
      <c r="R896" s="69">
        <f t="shared" si="27"/>
        <v>1990.7</v>
      </c>
      <c r="S896" s="30"/>
      <c r="T896" s="30"/>
    </row>
    <row r="897" spans="1:20" ht="45" customHeight="1" x14ac:dyDescent="0.3">
      <c r="A897" s="31">
        <v>885</v>
      </c>
      <c r="B897" s="32" t="s">
        <v>2866</v>
      </c>
      <c r="C897" s="32" t="s">
        <v>7255</v>
      </c>
      <c r="D897" s="34" t="s">
        <v>2021</v>
      </c>
      <c r="E897" s="32">
        <v>2025</v>
      </c>
      <c r="F897" s="32" t="s">
        <v>19</v>
      </c>
      <c r="G897" s="32" t="s">
        <v>2080</v>
      </c>
      <c r="H897" s="32" t="s">
        <v>2114</v>
      </c>
      <c r="I897" s="32" t="s">
        <v>2141</v>
      </c>
      <c r="J897" s="32">
        <v>2900</v>
      </c>
      <c r="K897" s="32">
        <v>0</v>
      </c>
      <c r="L897" s="32">
        <v>0</v>
      </c>
      <c r="M897" s="32">
        <v>17688</v>
      </c>
      <c r="N897" s="32">
        <v>2088</v>
      </c>
      <c r="O897" s="32">
        <v>0</v>
      </c>
      <c r="P897" s="32">
        <f>1080+168</f>
        <v>1248</v>
      </c>
      <c r="Q897" s="43">
        <f t="shared" si="26"/>
        <v>23924</v>
      </c>
      <c r="R897" s="69">
        <f t="shared" si="27"/>
        <v>20335.400000000001</v>
      </c>
      <c r="S897" s="30"/>
      <c r="T897" s="30"/>
    </row>
    <row r="898" spans="1:20" ht="45" customHeight="1" x14ac:dyDescent="0.3">
      <c r="A898" s="31">
        <v>886</v>
      </c>
      <c r="B898" s="32" t="s">
        <v>3109</v>
      </c>
      <c r="C898" s="32" t="s">
        <v>3110</v>
      </c>
      <c r="D898" s="32" t="s">
        <v>123</v>
      </c>
      <c r="E898" s="32">
        <v>2020</v>
      </c>
      <c r="F898" s="32" t="s">
        <v>18</v>
      </c>
      <c r="G898" s="32" t="s">
        <v>190</v>
      </c>
      <c r="H898" s="32" t="s">
        <v>156</v>
      </c>
      <c r="I898" s="32" t="s">
        <v>284</v>
      </c>
      <c r="J898" s="32">
        <v>0</v>
      </c>
      <c r="K898" s="32">
        <v>0</v>
      </c>
      <c r="L898" s="32">
        <v>0</v>
      </c>
      <c r="M898" s="32">
        <v>0</v>
      </c>
      <c r="N898" s="32">
        <v>38478</v>
      </c>
      <c r="O898" s="32">
        <v>0</v>
      </c>
      <c r="P898" s="32">
        <v>0</v>
      </c>
      <c r="Q898" s="43">
        <f t="shared" si="26"/>
        <v>38478</v>
      </c>
      <c r="R898" s="69">
        <f t="shared" si="27"/>
        <v>32706.3</v>
      </c>
      <c r="S898" s="30"/>
      <c r="T898" s="30"/>
    </row>
    <row r="899" spans="1:20" ht="45" customHeight="1" x14ac:dyDescent="0.3">
      <c r="A899" s="36">
        <v>887</v>
      </c>
      <c r="B899" s="32" t="s">
        <v>3109</v>
      </c>
      <c r="C899" s="32" t="s">
        <v>3111</v>
      </c>
      <c r="D899" s="32" t="s">
        <v>3112</v>
      </c>
      <c r="E899" s="32">
        <v>1987</v>
      </c>
      <c r="F899" s="32" t="s">
        <v>18</v>
      </c>
      <c r="G899" s="32" t="s">
        <v>3226</v>
      </c>
      <c r="H899" s="32" t="s">
        <v>3226</v>
      </c>
      <c r="I899" s="32" t="s">
        <v>35</v>
      </c>
      <c r="J899" s="32">
        <v>6199</v>
      </c>
      <c r="K899" s="32">
        <f>2332+2332+2243+6278+4484+1346+2332+2332+2332+2332+2332+2332+6995+6995+6995+2332+6995+3000+3000+6995+4484</f>
        <v>80798</v>
      </c>
      <c r="L899" s="32">
        <v>0</v>
      </c>
      <c r="M899" s="32">
        <v>0</v>
      </c>
      <c r="N899" s="32">
        <v>1793</v>
      </c>
      <c r="O899" s="32">
        <v>0</v>
      </c>
      <c r="P899" s="32">
        <v>0</v>
      </c>
      <c r="Q899" s="43">
        <f t="shared" si="26"/>
        <v>88790</v>
      </c>
      <c r="R899" s="69">
        <f t="shared" si="27"/>
        <v>75471.5</v>
      </c>
      <c r="S899" s="30"/>
      <c r="T899" s="30"/>
    </row>
    <row r="900" spans="1:20" ht="45" customHeight="1" x14ac:dyDescent="0.3">
      <c r="A900" s="31">
        <v>888</v>
      </c>
      <c r="B900" s="32" t="s">
        <v>3109</v>
      </c>
      <c r="C900" s="32" t="s">
        <v>3113</v>
      </c>
      <c r="D900" s="32" t="s">
        <v>2234</v>
      </c>
      <c r="E900" s="32">
        <v>1972</v>
      </c>
      <c r="F900" s="32" t="s">
        <v>18</v>
      </c>
      <c r="G900" s="32" t="s">
        <v>2356</v>
      </c>
      <c r="H900" s="32" t="s">
        <v>2356</v>
      </c>
      <c r="I900" s="32" t="s">
        <v>839</v>
      </c>
      <c r="J900" s="32">
        <v>3793</v>
      </c>
      <c r="K900" s="32">
        <v>0</v>
      </c>
      <c r="L900" s="32">
        <v>0</v>
      </c>
      <c r="M900" s="32">
        <v>0</v>
      </c>
      <c r="N900" s="32">
        <v>30758</v>
      </c>
      <c r="O900" s="32">
        <v>0</v>
      </c>
      <c r="P900" s="32">
        <v>0</v>
      </c>
      <c r="Q900" s="43">
        <f t="shared" si="26"/>
        <v>34551</v>
      </c>
      <c r="R900" s="69">
        <f t="shared" si="27"/>
        <v>29368.35</v>
      </c>
      <c r="S900" s="30"/>
      <c r="T900" s="30"/>
    </row>
    <row r="901" spans="1:20" ht="45" customHeight="1" x14ac:dyDescent="0.3">
      <c r="A901" s="31">
        <v>889</v>
      </c>
      <c r="B901" s="32" t="s">
        <v>3109</v>
      </c>
      <c r="C901" s="32" t="s">
        <v>3114</v>
      </c>
      <c r="D901" s="32" t="s">
        <v>3115</v>
      </c>
      <c r="E901" s="32">
        <v>2019</v>
      </c>
      <c r="F901" s="32" t="s">
        <v>19</v>
      </c>
      <c r="G901" s="32" t="s">
        <v>3227</v>
      </c>
      <c r="H901" s="32" t="s">
        <v>3278</v>
      </c>
      <c r="I901" s="32" t="s">
        <v>3306</v>
      </c>
      <c r="J901" s="32">
        <v>6199</v>
      </c>
      <c r="K901" s="32">
        <v>0</v>
      </c>
      <c r="L901" s="32">
        <v>0</v>
      </c>
      <c r="M901" s="32">
        <v>0</v>
      </c>
      <c r="N901" s="32">
        <f>15443+17918</f>
        <v>33361</v>
      </c>
      <c r="O901" s="32">
        <v>0</v>
      </c>
      <c r="P901" s="32">
        <v>0</v>
      </c>
      <c r="Q901" s="43">
        <f t="shared" si="26"/>
        <v>39560</v>
      </c>
      <c r="R901" s="69">
        <f t="shared" si="27"/>
        <v>33626</v>
      </c>
      <c r="S901" s="30"/>
      <c r="T901" s="30"/>
    </row>
    <row r="902" spans="1:20" ht="45" customHeight="1" x14ac:dyDescent="0.3">
      <c r="A902" s="36">
        <v>890</v>
      </c>
      <c r="B902" s="32" t="s">
        <v>3109</v>
      </c>
      <c r="C902" s="32" t="s">
        <v>3116</v>
      </c>
      <c r="D902" s="32" t="s">
        <v>55</v>
      </c>
      <c r="E902" s="32">
        <v>1983</v>
      </c>
      <c r="F902" s="32" t="s">
        <v>19</v>
      </c>
      <c r="G902" s="32" t="s">
        <v>156</v>
      </c>
      <c r="H902" s="32" t="s">
        <v>156</v>
      </c>
      <c r="I902" s="32" t="s">
        <v>255</v>
      </c>
      <c r="J902" s="32">
        <v>3793</v>
      </c>
      <c r="K902" s="32">
        <v>0</v>
      </c>
      <c r="L902" s="32">
        <v>0</v>
      </c>
      <c r="M902" s="32">
        <v>0</v>
      </c>
      <c r="N902" s="32">
        <v>0</v>
      </c>
      <c r="O902" s="32">
        <v>0</v>
      </c>
      <c r="P902" s="32">
        <v>0</v>
      </c>
      <c r="Q902" s="43">
        <f t="shared" si="26"/>
        <v>3793</v>
      </c>
      <c r="R902" s="69">
        <f t="shared" si="27"/>
        <v>3224.05</v>
      </c>
      <c r="S902" s="30"/>
      <c r="T902" s="30"/>
    </row>
    <row r="903" spans="1:20" ht="45" customHeight="1" x14ac:dyDescent="0.3">
      <c r="A903" s="31">
        <v>891</v>
      </c>
      <c r="B903" s="32" t="s">
        <v>3109</v>
      </c>
      <c r="C903" s="32" t="s">
        <v>3117</v>
      </c>
      <c r="D903" s="32" t="s">
        <v>3118</v>
      </c>
      <c r="E903" s="32">
        <v>2019</v>
      </c>
      <c r="F903" s="32" t="s">
        <v>19</v>
      </c>
      <c r="G903" s="32" t="s">
        <v>3228</v>
      </c>
      <c r="H903" s="32" t="s">
        <v>3279</v>
      </c>
      <c r="I903" s="32" t="s">
        <v>292</v>
      </c>
      <c r="J903" s="32">
        <v>6199</v>
      </c>
      <c r="K903" s="32">
        <v>0</v>
      </c>
      <c r="L903" s="32">
        <v>0</v>
      </c>
      <c r="M903" s="32">
        <v>0</v>
      </c>
      <c r="N903" s="32">
        <v>0</v>
      </c>
      <c r="O903" s="32">
        <v>0</v>
      </c>
      <c r="P903" s="32">
        <v>0</v>
      </c>
      <c r="Q903" s="43">
        <f t="shared" si="26"/>
        <v>6199</v>
      </c>
      <c r="R903" s="69">
        <f t="shared" si="27"/>
        <v>5269.15</v>
      </c>
      <c r="S903" s="30"/>
      <c r="T903" s="30"/>
    </row>
    <row r="904" spans="1:20" ht="45" customHeight="1" x14ac:dyDescent="0.3">
      <c r="A904" s="31">
        <v>892</v>
      </c>
      <c r="B904" s="32" t="s">
        <v>3109</v>
      </c>
      <c r="C904" s="32" t="s">
        <v>3119</v>
      </c>
      <c r="D904" s="32" t="s">
        <v>3120</v>
      </c>
      <c r="E904" s="32">
        <v>1989</v>
      </c>
      <c r="F904" s="32" t="s">
        <v>19</v>
      </c>
      <c r="G904" s="32" t="s">
        <v>3229</v>
      </c>
      <c r="H904" s="32" t="s">
        <v>3280</v>
      </c>
      <c r="I904" s="32" t="s">
        <v>3307</v>
      </c>
      <c r="J904" s="32">
        <v>6199</v>
      </c>
      <c r="K904" s="32">
        <v>0</v>
      </c>
      <c r="L904" s="32">
        <v>0</v>
      </c>
      <c r="M904" s="32">
        <v>0</v>
      </c>
      <c r="N904" s="32">
        <v>0</v>
      </c>
      <c r="O904" s="32">
        <v>0</v>
      </c>
      <c r="P904" s="32">
        <v>0</v>
      </c>
      <c r="Q904" s="43">
        <f t="shared" si="26"/>
        <v>6199</v>
      </c>
      <c r="R904" s="69">
        <f t="shared" si="27"/>
        <v>5269.15</v>
      </c>
      <c r="S904" s="30"/>
      <c r="T904" s="30"/>
    </row>
    <row r="905" spans="1:20" ht="45" customHeight="1" x14ac:dyDescent="0.3">
      <c r="A905" s="36">
        <v>893</v>
      </c>
      <c r="B905" s="32" t="s">
        <v>3109</v>
      </c>
      <c r="C905" s="32" t="s">
        <v>3121</v>
      </c>
      <c r="D905" s="32" t="s">
        <v>3122</v>
      </c>
      <c r="E905" s="32">
        <v>1973</v>
      </c>
      <c r="F905" s="32" t="s">
        <v>18</v>
      </c>
      <c r="G905" s="32" t="s">
        <v>3230</v>
      </c>
      <c r="H905" s="32" t="s">
        <v>3230</v>
      </c>
      <c r="I905" s="32" t="s">
        <v>1460</v>
      </c>
      <c r="J905" s="32">
        <v>6199</v>
      </c>
      <c r="K905" s="32">
        <v>2332</v>
      </c>
      <c r="L905" s="32">
        <v>0</v>
      </c>
      <c r="M905" s="32">
        <v>0</v>
      </c>
      <c r="N905" s="32">
        <v>1793</v>
      </c>
      <c r="O905" s="32">
        <v>0</v>
      </c>
      <c r="P905" s="32">
        <v>0</v>
      </c>
      <c r="Q905" s="43">
        <f t="shared" si="26"/>
        <v>10324</v>
      </c>
      <c r="R905" s="69">
        <f t="shared" si="27"/>
        <v>8775.4</v>
      </c>
      <c r="S905" s="30"/>
      <c r="T905" s="30"/>
    </row>
    <row r="906" spans="1:20" ht="45" customHeight="1" x14ac:dyDescent="0.3">
      <c r="A906" s="31">
        <v>894</v>
      </c>
      <c r="B906" s="32" t="s">
        <v>3109</v>
      </c>
      <c r="C906" s="32" t="s">
        <v>3123</v>
      </c>
      <c r="D906" s="32" t="s">
        <v>3124</v>
      </c>
      <c r="E906" s="32">
        <v>1948</v>
      </c>
      <c r="F906" s="32" t="s">
        <v>18</v>
      </c>
      <c r="G906" s="32" t="s">
        <v>3231</v>
      </c>
      <c r="H906" s="32" t="s">
        <v>3231</v>
      </c>
      <c r="I906" s="32" t="s">
        <v>824</v>
      </c>
      <c r="J906" s="32">
        <v>6199</v>
      </c>
      <c r="K906" s="32">
        <v>0</v>
      </c>
      <c r="L906" s="32">
        <v>0</v>
      </c>
      <c r="M906" s="32">
        <v>0</v>
      </c>
      <c r="N906" s="32">
        <v>0</v>
      </c>
      <c r="O906" s="32">
        <v>0</v>
      </c>
      <c r="P906" s="32">
        <v>0</v>
      </c>
      <c r="Q906" s="43">
        <f t="shared" si="26"/>
        <v>6199</v>
      </c>
      <c r="R906" s="69">
        <f t="shared" si="27"/>
        <v>5269.15</v>
      </c>
      <c r="S906" s="30"/>
      <c r="T906" s="30"/>
    </row>
    <row r="907" spans="1:20" ht="45" customHeight="1" x14ac:dyDescent="0.3">
      <c r="A907" s="31">
        <v>895</v>
      </c>
      <c r="B907" s="32" t="s">
        <v>3109</v>
      </c>
      <c r="C907" s="32" t="s">
        <v>3125</v>
      </c>
      <c r="D907" s="32" t="s">
        <v>636</v>
      </c>
      <c r="E907" s="32">
        <v>1964</v>
      </c>
      <c r="F907" s="32" t="s">
        <v>19</v>
      </c>
      <c r="G907" s="32" t="s">
        <v>746</v>
      </c>
      <c r="H907" s="32" t="s">
        <v>746</v>
      </c>
      <c r="I907" s="32" t="s">
        <v>839</v>
      </c>
      <c r="J907" s="32">
        <v>3793</v>
      </c>
      <c r="K907" s="32">
        <v>0</v>
      </c>
      <c r="L907" s="32">
        <v>0</v>
      </c>
      <c r="M907" s="32">
        <v>0</v>
      </c>
      <c r="N907" s="32">
        <v>0</v>
      </c>
      <c r="O907" s="32">
        <v>0</v>
      </c>
      <c r="P907" s="32">
        <v>0</v>
      </c>
      <c r="Q907" s="43">
        <f t="shared" si="26"/>
        <v>3793</v>
      </c>
      <c r="R907" s="69">
        <f t="shared" si="27"/>
        <v>3224.05</v>
      </c>
      <c r="S907" s="30"/>
      <c r="T907" s="30"/>
    </row>
    <row r="908" spans="1:20" ht="45" customHeight="1" x14ac:dyDescent="0.3">
      <c r="A908" s="36">
        <v>896</v>
      </c>
      <c r="B908" s="32" t="s">
        <v>3109</v>
      </c>
      <c r="C908" s="32" t="s">
        <v>3126</v>
      </c>
      <c r="D908" s="32" t="s">
        <v>3127</v>
      </c>
      <c r="E908" s="32">
        <v>2023</v>
      </c>
      <c r="F908" s="32" t="s">
        <v>18</v>
      </c>
      <c r="G908" s="32" t="s">
        <v>3232</v>
      </c>
      <c r="H908" s="32" t="s">
        <v>3281</v>
      </c>
      <c r="I908" s="32" t="s">
        <v>829</v>
      </c>
      <c r="J908" s="32">
        <v>6199</v>
      </c>
      <c r="K908" s="32">
        <v>0</v>
      </c>
      <c r="L908" s="32">
        <v>0</v>
      </c>
      <c r="M908" s="32">
        <v>0</v>
      </c>
      <c r="N908" s="32">
        <v>0</v>
      </c>
      <c r="O908" s="32">
        <v>0</v>
      </c>
      <c r="P908" s="32">
        <v>0</v>
      </c>
      <c r="Q908" s="43">
        <f t="shared" si="26"/>
        <v>6199</v>
      </c>
      <c r="R908" s="69">
        <f t="shared" si="27"/>
        <v>5269.15</v>
      </c>
      <c r="S908" s="30"/>
      <c r="T908" s="30"/>
    </row>
    <row r="909" spans="1:20" ht="45" customHeight="1" x14ac:dyDescent="0.3">
      <c r="A909" s="31">
        <v>897</v>
      </c>
      <c r="B909" s="32" t="s">
        <v>3109</v>
      </c>
      <c r="C909" s="32" t="s">
        <v>3128</v>
      </c>
      <c r="D909" s="32" t="s">
        <v>3129</v>
      </c>
      <c r="E909" s="32">
        <v>1976</v>
      </c>
      <c r="F909" s="32" t="s">
        <v>19</v>
      </c>
      <c r="G909" s="32" t="s">
        <v>3233</v>
      </c>
      <c r="H909" s="32" t="s">
        <v>3233</v>
      </c>
      <c r="I909" s="32" t="s">
        <v>284</v>
      </c>
      <c r="J909" s="32">
        <v>6199</v>
      </c>
      <c r="K909" s="32">
        <f>6278+2332+4484+4484</f>
        <v>17578</v>
      </c>
      <c r="L909" s="32">
        <v>0</v>
      </c>
      <c r="M909" s="32">
        <v>0</v>
      </c>
      <c r="N909" s="32">
        <v>1793</v>
      </c>
      <c r="O909" s="32">
        <v>0</v>
      </c>
      <c r="P909" s="32">
        <v>0</v>
      </c>
      <c r="Q909" s="43">
        <f t="shared" ref="Q909:Q972" si="28">SUM(J909:P909)</f>
        <v>25570</v>
      </c>
      <c r="R909" s="69">
        <f t="shared" si="27"/>
        <v>21734.5</v>
      </c>
      <c r="S909" s="30"/>
      <c r="T909" s="30"/>
    </row>
    <row r="910" spans="1:20" ht="45" customHeight="1" x14ac:dyDescent="0.3">
      <c r="A910" s="31">
        <v>898</v>
      </c>
      <c r="B910" s="32" t="s">
        <v>3109</v>
      </c>
      <c r="C910" s="32" t="s">
        <v>3130</v>
      </c>
      <c r="D910" s="32" t="s">
        <v>3131</v>
      </c>
      <c r="E910" s="32">
        <v>1999</v>
      </c>
      <c r="F910" s="32" t="s">
        <v>19</v>
      </c>
      <c r="G910" s="32" t="s">
        <v>3234</v>
      </c>
      <c r="H910" s="32" t="s">
        <v>3282</v>
      </c>
      <c r="I910" s="32" t="s">
        <v>3308</v>
      </c>
      <c r="J910" s="32">
        <v>6199</v>
      </c>
      <c r="K910" s="32">
        <f>6278+4484+2332+3228+3000+3000+2332+2332+2243+6995+3500+3500</f>
        <v>43224</v>
      </c>
      <c r="L910" s="32">
        <v>18406</v>
      </c>
      <c r="M910" s="32">
        <v>0</v>
      </c>
      <c r="N910" s="32">
        <v>1793</v>
      </c>
      <c r="O910" s="32">
        <v>0</v>
      </c>
      <c r="P910" s="32">
        <v>0</v>
      </c>
      <c r="Q910" s="43">
        <f t="shared" si="28"/>
        <v>69622</v>
      </c>
      <c r="R910" s="69">
        <f t="shared" ref="R910:R973" si="29">Q910*85/100</f>
        <v>59178.7</v>
      </c>
      <c r="S910" s="30"/>
      <c r="T910" s="30"/>
    </row>
    <row r="911" spans="1:20" s="41" customFormat="1" ht="45" customHeight="1" x14ac:dyDescent="0.3">
      <c r="A911" s="36">
        <v>899</v>
      </c>
      <c r="B911" s="38" t="s">
        <v>3109</v>
      </c>
      <c r="C911" s="38" t="s">
        <v>3132</v>
      </c>
      <c r="D911" s="38" t="s">
        <v>3133</v>
      </c>
      <c r="E911" s="38">
        <v>2025</v>
      </c>
      <c r="F911" s="38" t="s">
        <v>19</v>
      </c>
      <c r="G911" s="38" t="s">
        <v>3235</v>
      </c>
      <c r="H911" s="38" t="s">
        <v>3283</v>
      </c>
      <c r="I911" s="38" t="s">
        <v>829</v>
      </c>
      <c r="J911" s="38">
        <v>6199</v>
      </c>
      <c r="K911" s="38">
        <f>6278+4484+2332+1346+2332+2332+2332+2332+6995+6995+2332+6995+2332+4484</f>
        <v>53901</v>
      </c>
      <c r="L911" s="38">
        <v>0</v>
      </c>
      <c r="M911" s="38">
        <v>0</v>
      </c>
      <c r="N911" s="38">
        <f>3148+1178+4053+2088</f>
        <v>10467</v>
      </c>
      <c r="O911" s="38">
        <v>0</v>
      </c>
      <c r="P911" s="38">
        <f>720+1080+1200+360+56</f>
        <v>3416</v>
      </c>
      <c r="Q911" s="43">
        <f t="shared" si="28"/>
        <v>73983</v>
      </c>
      <c r="R911" s="69">
        <f t="shared" si="29"/>
        <v>62885.55</v>
      </c>
      <c r="S911" s="40"/>
      <c r="T911" s="40"/>
    </row>
    <row r="912" spans="1:20" s="41" customFormat="1" ht="45" customHeight="1" x14ac:dyDescent="0.3">
      <c r="A912" s="31">
        <v>900</v>
      </c>
      <c r="B912" s="38" t="s">
        <v>3109</v>
      </c>
      <c r="C912" s="38" t="s">
        <v>3132</v>
      </c>
      <c r="D912" s="38" t="s">
        <v>3133</v>
      </c>
      <c r="E912" s="38">
        <v>2025</v>
      </c>
      <c r="F912" s="38" t="s">
        <v>19</v>
      </c>
      <c r="G912" s="38" t="s">
        <v>3235</v>
      </c>
      <c r="H912" s="38" t="s">
        <v>3283</v>
      </c>
      <c r="I912" s="38" t="s">
        <v>829</v>
      </c>
      <c r="J912" s="38">
        <v>0</v>
      </c>
      <c r="K912" s="38">
        <v>0</v>
      </c>
      <c r="L912" s="38">
        <v>0</v>
      </c>
      <c r="M912" s="38">
        <v>17688</v>
      </c>
      <c r="N912" s="38">
        <v>2088</v>
      </c>
      <c r="O912" s="38">
        <v>0</v>
      </c>
      <c r="P912" s="38">
        <f>360+56</f>
        <v>416</v>
      </c>
      <c r="Q912" s="43">
        <f t="shared" si="28"/>
        <v>20192</v>
      </c>
      <c r="R912" s="69">
        <f t="shared" si="29"/>
        <v>17163.2</v>
      </c>
      <c r="S912" s="40"/>
      <c r="T912" s="40"/>
    </row>
    <row r="913" spans="1:20" s="41" customFormat="1" ht="45" customHeight="1" x14ac:dyDescent="0.3">
      <c r="A913" s="31">
        <v>901</v>
      </c>
      <c r="B913" s="38" t="s">
        <v>3109</v>
      </c>
      <c r="C913" s="38" t="s">
        <v>3134</v>
      </c>
      <c r="D913" s="38" t="s">
        <v>2724</v>
      </c>
      <c r="E913" s="38">
        <v>1986</v>
      </c>
      <c r="F913" s="38" t="s">
        <v>18</v>
      </c>
      <c r="G913" s="38" t="s">
        <v>2789</v>
      </c>
      <c r="H913" s="38" t="s">
        <v>2789</v>
      </c>
      <c r="I913" s="38" t="s">
        <v>300</v>
      </c>
      <c r="J913" s="38">
        <v>6199</v>
      </c>
      <c r="K913" s="38">
        <v>0</v>
      </c>
      <c r="L913" s="38">
        <v>0</v>
      </c>
      <c r="M913" s="38">
        <v>0</v>
      </c>
      <c r="N913" s="38">
        <v>0</v>
      </c>
      <c r="O913" s="38">
        <v>0</v>
      </c>
      <c r="P913" s="38">
        <v>0</v>
      </c>
      <c r="Q913" s="43">
        <f t="shared" si="28"/>
        <v>6199</v>
      </c>
      <c r="R913" s="69">
        <f t="shared" si="29"/>
        <v>5269.15</v>
      </c>
      <c r="S913" s="40"/>
      <c r="T913" s="40"/>
    </row>
    <row r="914" spans="1:20" ht="45" customHeight="1" x14ac:dyDescent="0.3">
      <c r="A914" s="36">
        <v>902</v>
      </c>
      <c r="B914" s="32" t="s">
        <v>3109</v>
      </c>
      <c r="C914" s="32" t="s">
        <v>3135</v>
      </c>
      <c r="D914" s="32" t="s">
        <v>3136</v>
      </c>
      <c r="E914" s="32">
        <v>1960</v>
      </c>
      <c r="F914" s="32" t="s">
        <v>18</v>
      </c>
      <c r="G914" s="32" t="s">
        <v>3236</v>
      </c>
      <c r="H914" s="32" t="s">
        <v>3284</v>
      </c>
      <c r="I914" s="32" t="s">
        <v>3309</v>
      </c>
      <c r="J914" s="32">
        <v>6199</v>
      </c>
      <c r="K914" s="32">
        <f>2332+2332+2801+4484+4484+2332+2332+2332+2332+6995</f>
        <v>32756</v>
      </c>
      <c r="L914" s="32">
        <v>0</v>
      </c>
      <c r="M914" s="32">
        <v>0</v>
      </c>
      <c r="N914" s="32">
        <v>1793</v>
      </c>
      <c r="O914" s="32">
        <v>0</v>
      </c>
      <c r="P914" s="32">
        <v>0</v>
      </c>
      <c r="Q914" s="43">
        <f t="shared" si="28"/>
        <v>40748</v>
      </c>
      <c r="R914" s="69">
        <f t="shared" si="29"/>
        <v>34635.800000000003</v>
      </c>
      <c r="S914" s="30"/>
      <c r="T914" s="30"/>
    </row>
    <row r="915" spans="1:20" ht="45" customHeight="1" x14ac:dyDescent="0.3">
      <c r="A915" s="31">
        <v>903</v>
      </c>
      <c r="B915" s="32" t="s">
        <v>3109</v>
      </c>
      <c r="C915" s="32" t="s">
        <v>3137</v>
      </c>
      <c r="D915" s="32" t="s">
        <v>3138</v>
      </c>
      <c r="E915" s="32">
        <v>2021</v>
      </c>
      <c r="F915" s="32" t="s">
        <v>18</v>
      </c>
      <c r="G915" s="32" t="s">
        <v>3237</v>
      </c>
      <c r="H915" s="32" t="s">
        <v>3285</v>
      </c>
      <c r="I915" s="32" t="s">
        <v>3310</v>
      </c>
      <c r="J915" s="32">
        <v>6199</v>
      </c>
      <c r="K915" s="32">
        <f>2801+1166</f>
        <v>3967</v>
      </c>
      <c r="L915" s="32">
        <v>0</v>
      </c>
      <c r="M915" s="32">
        <v>0</v>
      </c>
      <c r="N915" s="32">
        <v>0</v>
      </c>
      <c r="O915" s="32">
        <v>0</v>
      </c>
      <c r="P915" s="32">
        <v>0</v>
      </c>
      <c r="Q915" s="43">
        <f t="shared" si="28"/>
        <v>10166</v>
      </c>
      <c r="R915" s="69">
        <f t="shared" si="29"/>
        <v>8641.1</v>
      </c>
      <c r="S915" s="30"/>
      <c r="T915" s="30"/>
    </row>
    <row r="916" spans="1:20" ht="45" customHeight="1" x14ac:dyDescent="0.3">
      <c r="A916" s="31">
        <v>904</v>
      </c>
      <c r="B916" s="32" t="s">
        <v>3109</v>
      </c>
      <c r="C916" s="32" t="s">
        <v>3139</v>
      </c>
      <c r="D916" s="32" t="s">
        <v>3140</v>
      </c>
      <c r="E916" s="32">
        <v>2023</v>
      </c>
      <c r="F916" s="32" t="s">
        <v>18</v>
      </c>
      <c r="G916" s="32" t="s">
        <v>3238</v>
      </c>
      <c r="H916" s="32" t="s">
        <v>3286</v>
      </c>
      <c r="I916" s="32" t="s">
        <v>270</v>
      </c>
      <c r="J916" s="32">
        <v>6199</v>
      </c>
      <c r="K916" s="32">
        <f>6278+4484+2332+1346+2332+2332+2332+2332+6995+6995+2332+6995+2332+4484</f>
        <v>53901</v>
      </c>
      <c r="L916" s="32">
        <v>0</v>
      </c>
      <c r="M916" s="32">
        <v>0</v>
      </c>
      <c r="N916" s="32">
        <v>3148</v>
      </c>
      <c r="O916" s="32">
        <v>0</v>
      </c>
      <c r="P916" s="32">
        <v>0</v>
      </c>
      <c r="Q916" s="43">
        <f t="shared" si="28"/>
        <v>63248</v>
      </c>
      <c r="R916" s="69">
        <f t="shared" si="29"/>
        <v>53760.800000000003</v>
      </c>
      <c r="S916" s="30"/>
      <c r="T916" s="30"/>
    </row>
    <row r="917" spans="1:20" ht="45" customHeight="1" x14ac:dyDescent="0.3">
      <c r="A917" s="36">
        <v>905</v>
      </c>
      <c r="B917" s="32" t="s">
        <v>3109</v>
      </c>
      <c r="C917" s="32" t="s">
        <v>3141</v>
      </c>
      <c r="D917" s="32" t="s">
        <v>3142</v>
      </c>
      <c r="E917" s="32">
        <v>1979</v>
      </c>
      <c r="F917" s="32" t="s">
        <v>18</v>
      </c>
      <c r="G917" s="32" t="s">
        <v>3239</v>
      </c>
      <c r="H917" s="32" t="s">
        <v>3239</v>
      </c>
      <c r="I917" s="32" t="s">
        <v>3311</v>
      </c>
      <c r="J917" s="32">
        <v>6199</v>
      </c>
      <c r="K917" s="32">
        <v>0</v>
      </c>
      <c r="L917" s="32">
        <v>13298</v>
      </c>
      <c r="M917" s="32">
        <v>0</v>
      </c>
      <c r="N917" s="32">
        <v>0</v>
      </c>
      <c r="O917" s="32">
        <v>0</v>
      </c>
      <c r="P917" s="32">
        <v>0</v>
      </c>
      <c r="Q917" s="43">
        <f t="shared" si="28"/>
        <v>19497</v>
      </c>
      <c r="R917" s="69">
        <f t="shared" si="29"/>
        <v>16572.45</v>
      </c>
      <c r="S917" s="30"/>
      <c r="T917" s="30"/>
    </row>
    <row r="918" spans="1:20" ht="45" customHeight="1" x14ac:dyDescent="0.3">
      <c r="A918" s="31">
        <v>906</v>
      </c>
      <c r="B918" s="32" t="s">
        <v>3109</v>
      </c>
      <c r="C918" s="32" t="s">
        <v>3143</v>
      </c>
      <c r="D918" s="32" t="s">
        <v>3144</v>
      </c>
      <c r="E918" s="32">
        <v>2022</v>
      </c>
      <c r="F918" s="32" t="s">
        <v>19</v>
      </c>
      <c r="G918" s="32" t="s">
        <v>3240</v>
      </c>
      <c r="H918" s="32" t="s">
        <v>3287</v>
      </c>
      <c r="I918" s="32" t="s">
        <v>3312</v>
      </c>
      <c r="J918" s="32">
        <v>6199</v>
      </c>
      <c r="K918" s="32">
        <f>6278+4484+2332+1346+2332+2332+2332+2332+6995+6995+2332+6995+4484+2332</f>
        <v>53901</v>
      </c>
      <c r="L918" s="32">
        <v>0</v>
      </c>
      <c r="M918" s="32">
        <v>0</v>
      </c>
      <c r="N918" s="32">
        <f>3148+2088+4053</f>
        <v>9289</v>
      </c>
      <c r="O918" s="32">
        <v>0</v>
      </c>
      <c r="P918" s="32">
        <f>720+1080+360+56</f>
        <v>2216</v>
      </c>
      <c r="Q918" s="43">
        <f t="shared" si="28"/>
        <v>71605</v>
      </c>
      <c r="R918" s="69">
        <f t="shared" si="29"/>
        <v>60864.25</v>
      </c>
      <c r="S918" s="30"/>
      <c r="T918" s="30"/>
    </row>
    <row r="919" spans="1:20" ht="45" customHeight="1" x14ac:dyDescent="0.3">
      <c r="A919" s="31">
        <v>907</v>
      </c>
      <c r="B919" s="32" t="s">
        <v>3109</v>
      </c>
      <c r="C919" s="32" t="s">
        <v>3145</v>
      </c>
      <c r="D919" s="32" t="s">
        <v>3146</v>
      </c>
      <c r="E919" s="32">
        <v>2018</v>
      </c>
      <c r="F919" s="32" t="s">
        <v>19</v>
      </c>
      <c r="G919" s="32" t="s">
        <v>3241</v>
      </c>
      <c r="H919" s="32" t="s">
        <v>3288</v>
      </c>
      <c r="I919" s="32" t="s">
        <v>3313</v>
      </c>
      <c r="J919" s="32">
        <v>6199</v>
      </c>
      <c r="K919" s="32">
        <f>6278+4484+1346+4484+2332+2332+2332+2332+2332</f>
        <v>28252</v>
      </c>
      <c r="L919" s="32">
        <v>0</v>
      </c>
      <c r="M919" s="32">
        <v>0</v>
      </c>
      <c r="N919" s="32">
        <v>3148</v>
      </c>
      <c r="O919" s="32">
        <v>0</v>
      </c>
      <c r="P919" s="32">
        <v>0</v>
      </c>
      <c r="Q919" s="43">
        <f t="shared" si="28"/>
        <v>37599</v>
      </c>
      <c r="R919" s="69">
        <f t="shared" si="29"/>
        <v>31959.15</v>
      </c>
      <c r="S919" s="30"/>
      <c r="T919" s="30"/>
    </row>
    <row r="920" spans="1:20" ht="45" customHeight="1" x14ac:dyDescent="0.3">
      <c r="A920" s="36">
        <v>908</v>
      </c>
      <c r="B920" s="32" t="s">
        <v>3109</v>
      </c>
      <c r="C920" s="32" t="s">
        <v>3147</v>
      </c>
      <c r="D920" s="32" t="s">
        <v>3148</v>
      </c>
      <c r="E920" s="32">
        <v>2021</v>
      </c>
      <c r="F920" s="32" t="s">
        <v>18</v>
      </c>
      <c r="G920" s="32" t="s">
        <v>3242</v>
      </c>
      <c r="H920" s="32" t="s">
        <v>3289</v>
      </c>
      <c r="I920" s="32" t="s">
        <v>288</v>
      </c>
      <c r="J920" s="32">
        <v>6199</v>
      </c>
      <c r="K920" s="32">
        <v>0</v>
      </c>
      <c r="L920" s="32">
        <v>0</v>
      </c>
      <c r="M920" s="32">
        <v>0</v>
      </c>
      <c r="N920" s="32">
        <v>0</v>
      </c>
      <c r="O920" s="32">
        <v>0</v>
      </c>
      <c r="P920" s="32">
        <v>0</v>
      </c>
      <c r="Q920" s="43">
        <f t="shared" si="28"/>
        <v>6199</v>
      </c>
      <c r="R920" s="69">
        <f t="shared" si="29"/>
        <v>5269.15</v>
      </c>
      <c r="S920" s="30"/>
      <c r="T920" s="30"/>
    </row>
    <row r="921" spans="1:20" ht="45" customHeight="1" x14ac:dyDescent="0.3">
      <c r="A921" s="31">
        <v>909</v>
      </c>
      <c r="B921" s="32" t="s">
        <v>3109</v>
      </c>
      <c r="C921" s="32" t="s">
        <v>3149</v>
      </c>
      <c r="D921" s="32" t="s">
        <v>3150</v>
      </c>
      <c r="E921" s="32">
        <v>1992</v>
      </c>
      <c r="F921" s="32" t="s">
        <v>19</v>
      </c>
      <c r="G921" s="32" t="s">
        <v>3243</v>
      </c>
      <c r="H921" s="32" t="s">
        <v>3290</v>
      </c>
      <c r="I921" s="32" t="s">
        <v>3314</v>
      </c>
      <c r="J921" s="32">
        <v>6199</v>
      </c>
      <c r="K921" s="32">
        <v>0</v>
      </c>
      <c r="L921" s="32">
        <v>0</v>
      </c>
      <c r="M921" s="32">
        <v>0</v>
      </c>
      <c r="N921" s="32">
        <v>0</v>
      </c>
      <c r="O921" s="32">
        <v>0</v>
      </c>
      <c r="P921" s="32">
        <v>0</v>
      </c>
      <c r="Q921" s="43">
        <f t="shared" si="28"/>
        <v>6199</v>
      </c>
      <c r="R921" s="69">
        <f t="shared" si="29"/>
        <v>5269.15</v>
      </c>
      <c r="S921" s="30"/>
      <c r="T921" s="30"/>
    </row>
    <row r="922" spans="1:20" ht="45" customHeight="1" x14ac:dyDescent="0.3">
      <c r="A922" s="31">
        <v>910</v>
      </c>
      <c r="B922" s="32" t="s">
        <v>3109</v>
      </c>
      <c r="C922" s="32" t="s">
        <v>3151</v>
      </c>
      <c r="D922" s="32" t="s">
        <v>3152</v>
      </c>
      <c r="E922" s="32">
        <v>1987</v>
      </c>
      <c r="F922" s="32" t="s">
        <v>19</v>
      </c>
      <c r="G922" s="32" t="s">
        <v>3244</v>
      </c>
      <c r="H922" s="32" t="s">
        <v>3289</v>
      </c>
      <c r="I922" s="32" t="s">
        <v>288</v>
      </c>
      <c r="J922" s="32">
        <v>6199</v>
      </c>
      <c r="K922" s="32">
        <v>0</v>
      </c>
      <c r="L922" s="32">
        <v>0</v>
      </c>
      <c r="M922" s="32">
        <v>0</v>
      </c>
      <c r="N922" s="32">
        <v>0</v>
      </c>
      <c r="O922" s="32">
        <v>0</v>
      </c>
      <c r="P922" s="32">
        <v>0</v>
      </c>
      <c r="Q922" s="43">
        <f t="shared" si="28"/>
        <v>6199</v>
      </c>
      <c r="R922" s="69">
        <f t="shared" si="29"/>
        <v>5269.15</v>
      </c>
      <c r="S922" s="30"/>
      <c r="T922" s="30"/>
    </row>
    <row r="923" spans="1:20" ht="45" customHeight="1" x14ac:dyDescent="0.3">
      <c r="A923" s="36">
        <v>911</v>
      </c>
      <c r="B923" s="32" t="s">
        <v>3109</v>
      </c>
      <c r="C923" s="32" t="s">
        <v>3153</v>
      </c>
      <c r="D923" s="32" t="s">
        <v>3136</v>
      </c>
      <c r="E923" s="32">
        <v>1960</v>
      </c>
      <c r="F923" s="32" t="s">
        <v>18</v>
      </c>
      <c r="G923" s="32" t="s">
        <v>3236</v>
      </c>
      <c r="H923" s="32" t="s">
        <v>3284</v>
      </c>
      <c r="I923" s="32" t="s">
        <v>3309</v>
      </c>
      <c r="J923" s="32">
        <v>6199</v>
      </c>
      <c r="K923" s="32">
        <v>0</v>
      </c>
      <c r="L923" s="32">
        <v>0</v>
      </c>
      <c r="M923" s="32">
        <v>0</v>
      </c>
      <c r="N923" s="32">
        <f>30886+34016+27380</f>
        <v>92282</v>
      </c>
      <c r="O923" s="32">
        <v>0</v>
      </c>
      <c r="P923" s="32">
        <v>0</v>
      </c>
      <c r="Q923" s="44">
        <f t="shared" si="28"/>
        <v>98481</v>
      </c>
      <c r="R923" s="69">
        <f t="shared" si="29"/>
        <v>83708.850000000006</v>
      </c>
      <c r="S923" s="30"/>
      <c r="T923" s="30"/>
    </row>
    <row r="924" spans="1:20" s="41" customFormat="1" ht="45" customHeight="1" x14ac:dyDescent="0.3">
      <c r="A924" s="31">
        <v>912</v>
      </c>
      <c r="B924" s="38" t="s">
        <v>3109</v>
      </c>
      <c r="C924" s="38" t="s">
        <v>3154</v>
      </c>
      <c r="D924" s="38" t="s">
        <v>3155</v>
      </c>
      <c r="E924" s="38">
        <v>1994</v>
      </c>
      <c r="F924" s="38" t="s">
        <v>18</v>
      </c>
      <c r="G924" s="38" t="s">
        <v>3245</v>
      </c>
      <c r="H924" s="38" t="s">
        <v>3245</v>
      </c>
      <c r="I924" s="38" t="s">
        <v>260</v>
      </c>
      <c r="J924" s="38">
        <v>6199</v>
      </c>
      <c r="K924" s="38">
        <f>6278+4484+1346+2332+2332+2332+2332+2332+6995+6995+2332+6995+2332+2332+1166+2801+2243+6995+6995+2332</f>
        <v>74281</v>
      </c>
      <c r="L924" s="38">
        <v>0</v>
      </c>
      <c r="M924" s="38">
        <v>0</v>
      </c>
      <c r="N924" s="38">
        <v>1793</v>
      </c>
      <c r="O924" s="38">
        <v>0</v>
      </c>
      <c r="P924" s="38">
        <v>0</v>
      </c>
      <c r="Q924" s="43">
        <f t="shared" si="28"/>
        <v>82273</v>
      </c>
      <c r="R924" s="69">
        <f t="shared" si="29"/>
        <v>69932.05</v>
      </c>
      <c r="S924" s="40"/>
      <c r="T924" s="40"/>
    </row>
    <row r="925" spans="1:20" ht="45" customHeight="1" x14ac:dyDescent="0.3">
      <c r="A925" s="31">
        <v>913</v>
      </c>
      <c r="B925" s="32" t="s">
        <v>3109</v>
      </c>
      <c r="C925" s="32" t="s">
        <v>3156</v>
      </c>
      <c r="D925" s="32" t="s">
        <v>3157</v>
      </c>
      <c r="E925" s="32">
        <v>1996</v>
      </c>
      <c r="F925" s="32" t="s">
        <v>19</v>
      </c>
      <c r="G925" s="32" t="s">
        <v>3246</v>
      </c>
      <c r="H925" s="32" t="s">
        <v>3291</v>
      </c>
      <c r="I925" s="32" t="s">
        <v>570</v>
      </c>
      <c r="J925" s="32">
        <v>6199</v>
      </c>
      <c r="K925" s="32">
        <f>6278+3252</f>
        <v>9530</v>
      </c>
      <c r="L925" s="32">
        <v>17279</v>
      </c>
      <c r="M925" s="32">
        <v>0</v>
      </c>
      <c r="N925" s="32">
        <f>1793+1178+3179</f>
        <v>6150</v>
      </c>
      <c r="O925" s="32">
        <v>0</v>
      </c>
      <c r="P925" s="32">
        <f>1440+1320+1080+60+1200+720</f>
        <v>5820</v>
      </c>
      <c r="Q925" s="44">
        <f t="shared" si="28"/>
        <v>44978</v>
      </c>
      <c r="R925" s="69">
        <f t="shared" si="29"/>
        <v>38231.300000000003</v>
      </c>
      <c r="S925" s="30"/>
      <c r="T925" s="30"/>
    </row>
    <row r="926" spans="1:20" ht="45" customHeight="1" x14ac:dyDescent="0.3">
      <c r="A926" s="36">
        <v>914</v>
      </c>
      <c r="B926" s="32" t="s">
        <v>3109</v>
      </c>
      <c r="C926" s="32" t="s">
        <v>3158</v>
      </c>
      <c r="D926" s="32" t="s">
        <v>3159</v>
      </c>
      <c r="E926" s="32">
        <v>2011</v>
      </c>
      <c r="F926" s="32" t="s">
        <v>19</v>
      </c>
      <c r="G926" s="32" t="s">
        <v>3247</v>
      </c>
      <c r="H926" s="32" t="s">
        <v>3292</v>
      </c>
      <c r="I926" s="32" t="s">
        <v>3315</v>
      </c>
      <c r="J926" s="32">
        <v>6199</v>
      </c>
      <c r="K926" s="32">
        <f>1166+2801+2332+2332</f>
        <v>8631</v>
      </c>
      <c r="L926" s="32">
        <v>0</v>
      </c>
      <c r="M926" s="32">
        <v>0</v>
      </c>
      <c r="N926" s="32">
        <v>0</v>
      </c>
      <c r="O926" s="32">
        <v>0</v>
      </c>
      <c r="P926" s="32">
        <v>0</v>
      </c>
      <c r="Q926" s="43">
        <f t="shared" si="28"/>
        <v>14830</v>
      </c>
      <c r="R926" s="69">
        <f t="shared" si="29"/>
        <v>12605.5</v>
      </c>
      <c r="S926" s="30"/>
      <c r="T926" s="30"/>
    </row>
    <row r="927" spans="1:20" ht="45" customHeight="1" x14ac:dyDescent="0.3">
      <c r="A927" s="31">
        <v>915</v>
      </c>
      <c r="B927" s="32" t="s">
        <v>3109</v>
      </c>
      <c r="C927" s="32" t="s">
        <v>3160</v>
      </c>
      <c r="D927" s="32" t="s">
        <v>3161</v>
      </c>
      <c r="E927" s="32">
        <v>1995</v>
      </c>
      <c r="F927" s="32" t="s">
        <v>19</v>
      </c>
      <c r="G927" s="32" t="s">
        <v>3248</v>
      </c>
      <c r="H927" s="32" t="s">
        <v>3293</v>
      </c>
      <c r="I927" s="32" t="s">
        <v>3316</v>
      </c>
      <c r="J927" s="32">
        <v>3582</v>
      </c>
      <c r="K927" s="32">
        <v>0</v>
      </c>
      <c r="L927" s="32">
        <v>0</v>
      </c>
      <c r="M927" s="32">
        <v>0</v>
      </c>
      <c r="N927" s="32">
        <f>34016+27380</f>
        <v>61396</v>
      </c>
      <c r="O927" s="32">
        <v>0</v>
      </c>
      <c r="P927" s="32">
        <v>0</v>
      </c>
      <c r="Q927" s="43">
        <f t="shared" si="28"/>
        <v>64978</v>
      </c>
      <c r="R927" s="69">
        <f t="shared" si="29"/>
        <v>55231.3</v>
      </c>
      <c r="S927" s="30"/>
      <c r="T927" s="30"/>
    </row>
    <row r="928" spans="1:20" ht="45" customHeight="1" x14ac:dyDescent="0.3">
      <c r="A928" s="31">
        <v>916</v>
      </c>
      <c r="B928" s="32" t="s">
        <v>3109</v>
      </c>
      <c r="C928" s="32" t="s">
        <v>3162</v>
      </c>
      <c r="D928" s="32" t="s">
        <v>3163</v>
      </c>
      <c r="E928" s="32">
        <v>2020</v>
      </c>
      <c r="F928" s="32" t="s">
        <v>19</v>
      </c>
      <c r="G928" s="32" t="s">
        <v>3249</v>
      </c>
      <c r="H928" s="32" t="s">
        <v>1452</v>
      </c>
      <c r="I928" s="32" t="s">
        <v>282</v>
      </c>
      <c r="J928" s="32">
        <v>6199</v>
      </c>
      <c r="K928" s="32">
        <f>6278+4484+1346+2332+2332+2332+2332+4484+1166+3000+3000+6995+6995+2332+6995</f>
        <v>56403</v>
      </c>
      <c r="L928" s="32">
        <v>0</v>
      </c>
      <c r="M928" s="32">
        <v>0</v>
      </c>
      <c r="N928" s="32">
        <v>3148</v>
      </c>
      <c r="O928" s="32">
        <v>0</v>
      </c>
      <c r="P928" s="32">
        <v>0</v>
      </c>
      <c r="Q928" s="43">
        <f t="shared" si="28"/>
        <v>65750</v>
      </c>
      <c r="R928" s="69">
        <f t="shared" si="29"/>
        <v>55887.5</v>
      </c>
      <c r="S928" s="30"/>
      <c r="T928" s="30"/>
    </row>
    <row r="929" spans="1:20" ht="45" customHeight="1" x14ac:dyDescent="0.3">
      <c r="A929" s="36">
        <v>917</v>
      </c>
      <c r="B929" s="32" t="s">
        <v>3109</v>
      </c>
      <c r="C929" s="32" t="s">
        <v>3164</v>
      </c>
      <c r="D929" s="32" t="s">
        <v>3165</v>
      </c>
      <c r="E929" s="32">
        <v>1986</v>
      </c>
      <c r="F929" s="32" t="s">
        <v>18</v>
      </c>
      <c r="G929" s="32" t="s">
        <v>1452</v>
      </c>
      <c r="H929" s="32" t="s">
        <v>1452</v>
      </c>
      <c r="I929" s="32" t="s">
        <v>282</v>
      </c>
      <c r="J929" s="32">
        <v>6199</v>
      </c>
      <c r="K929" s="32">
        <f>1166+2801</f>
        <v>3967</v>
      </c>
      <c r="L929" s="32">
        <v>0</v>
      </c>
      <c r="M929" s="32">
        <v>0</v>
      </c>
      <c r="N929" s="32">
        <v>0</v>
      </c>
      <c r="O929" s="32">
        <v>0</v>
      </c>
      <c r="P929" s="32">
        <v>0</v>
      </c>
      <c r="Q929" s="43">
        <f t="shared" si="28"/>
        <v>10166</v>
      </c>
      <c r="R929" s="69">
        <f t="shared" si="29"/>
        <v>8641.1</v>
      </c>
      <c r="S929" s="30"/>
      <c r="T929" s="30"/>
    </row>
    <row r="930" spans="1:20" ht="45" customHeight="1" x14ac:dyDescent="0.3">
      <c r="A930" s="31">
        <v>918</v>
      </c>
      <c r="B930" s="32" t="s">
        <v>3109</v>
      </c>
      <c r="C930" s="32" t="s">
        <v>3166</v>
      </c>
      <c r="D930" s="32" t="s">
        <v>3167</v>
      </c>
      <c r="E930" s="32">
        <v>1954</v>
      </c>
      <c r="F930" s="32" t="s">
        <v>19</v>
      </c>
      <c r="G930" s="32" t="s">
        <v>3250</v>
      </c>
      <c r="H930" s="32" t="s">
        <v>3294</v>
      </c>
      <c r="I930" s="32" t="s">
        <v>276</v>
      </c>
      <c r="J930" s="32">
        <v>6199</v>
      </c>
      <c r="K930" s="32">
        <v>0</v>
      </c>
      <c r="L930" s="32">
        <v>0</v>
      </c>
      <c r="M930" s="32">
        <v>0</v>
      </c>
      <c r="N930" s="32">
        <v>0</v>
      </c>
      <c r="O930" s="32">
        <v>0</v>
      </c>
      <c r="P930" s="32">
        <v>0</v>
      </c>
      <c r="Q930" s="43">
        <f t="shared" si="28"/>
        <v>6199</v>
      </c>
      <c r="R930" s="69">
        <f t="shared" si="29"/>
        <v>5269.15</v>
      </c>
      <c r="S930" s="30"/>
      <c r="T930" s="30"/>
    </row>
    <row r="931" spans="1:20" ht="45" customHeight="1" x14ac:dyDescent="0.3">
      <c r="A931" s="31">
        <v>919</v>
      </c>
      <c r="B931" s="32" t="s">
        <v>3109</v>
      </c>
      <c r="C931" s="32" t="s">
        <v>3168</v>
      </c>
      <c r="D931" s="32" t="s">
        <v>3169</v>
      </c>
      <c r="E931" s="32">
        <v>1985</v>
      </c>
      <c r="F931" s="32" t="s">
        <v>19</v>
      </c>
      <c r="G931" s="32" t="s">
        <v>3251</v>
      </c>
      <c r="H931" s="32" t="s">
        <v>3251</v>
      </c>
      <c r="I931" s="32" t="s">
        <v>565</v>
      </c>
      <c r="J931" s="32">
        <v>6199</v>
      </c>
      <c r="K931" s="32">
        <v>1166</v>
      </c>
      <c r="L931" s="32">
        <v>0</v>
      </c>
      <c r="M931" s="32">
        <v>0</v>
      </c>
      <c r="N931" s="32">
        <v>0</v>
      </c>
      <c r="O931" s="32">
        <v>0</v>
      </c>
      <c r="P931" s="32">
        <v>0</v>
      </c>
      <c r="Q931" s="43">
        <f t="shared" si="28"/>
        <v>7365</v>
      </c>
      <c r="R931" s="69">
        <f t="shared" si="29"/>
        <v>6260.25</v>
      </c>
      <c r="S931" s="30"/>
      <c r="T931" s="30"/>
    </row>
    <row r="932" spans="1:20" ht="45" customHeight="1" x14ac:dyDescent="0.3">
      <c r="A932" s="36">
        <v>920</v>
      </c>
      <c r="B932" s="32" t="s">
        <v>3109</v>
      </c>
      <c r="C932" s="32" t="s">
        <v>3170</v>
      </c>
      <c r="D932" s="32" t="s">
        <v>3171</v>
      </c>
      <c r="E932" s="32">
        <v>1999</v>
      </c>
      <c r="F932" s="32" t="s">
        <v>19</v>
      </c>
      <c r="G932" s="32" t="s">
        <v>3252</v>
      </c>
      <c r="H932" s="32" t="s">
        <v>3252</v>
      </c>
      <c r="I932" s="32" t="s">
        <v>254</v>
      </c>
      <c r="J932" s="32">
        <v>6199</v>
      </c>
      <c r="K932" s="32">
        <f>1166+2801</f>
        <v>3967</v>
      </c>
      <c r="L932" s="32">
        <v>0</v>
      </c>
      <c r="M932" s="32">
        <v>0</v>
      </c>
      <c r="N932" s="32">
        <v>0</v>
      </c>
      <c r="O932" s="32">
        <v>0</v>
      </c>
      <c r="P932" s="32">
        <v>0</v>
      </c>
      <c r="Q932" s="43">
        <f t="shared" si="28"/>
        <v>10166</v>
      </c>
      <c r="R932" s="69">
        <f t="shared" si="29"/>
        <v>8641.1</v>
      </c>
      <c r="S932" s="30"/>
      <c r="T932" s="30"/>
    </row>
    <row r="933" spans="1:20" ht="45" customHeight="1" x14ac:dyDescent="0.3">
      <c r="A933" s="31">
        <v>921</v>
      </c>
      <c r="B933" s="32" t="s">
        <v>3109</v>
      </c>
      <c r="C933" s="32" t="s">
        <v>3172</v>
      </c>
      <c r="D933" s="32" t="s">
        <v>3173</v>
      </c>
      <c r="E933" s="32">
        <v>1981</v>
      </c>
      <c r="F933" s="32" t="s">
        <v>19</v>
      </c>
      <c r="G933" s="32" t="s">
        <v>3253</v>
      </c>
      <c r="H933" s="32" t="s">
        <v>3253</v>
      </c>
      <c r="I933" s="32" t="s">
        <v>3317</v>
      </c>
      <c r="J933" s="32">
        <v>6199</v>
      </c>
      <c r="K933" s="32">
        <f>2332+4484+4484+13452</f>
        <v>24752</v>
      </c>
      <c r="L933" s="32">
        <v>0</v>
      </c>
      <c r="M933" s="32">
        <v>0</v>
      </c>
      <c r="N933" s="32">
        <v>1793</v>
      </c>
      <c r="O933" s="32">
        <v>0</v>
      </c>
      <c r="P933" s="32">
        <v>0</v>
      </c>
      <c r="Q933" s="43">
        <f t="shared" si="28"/>
        <v>32744</v>
      </c>
      <c r="R933" s="69">
        <f t="shared" si="29"/>
        <v>27832.400000000001</v>
      </c>
      <c r="S933" s="30"/>
      <c r="T933" s="30"/>
    </row>
    <row r="934" spans="1:20" ht="45" customHeight="1" x14ac:dyDescent="0.3">
      <c r="A934" s="31">
        <v>922</v>
      </c>
      <c r="B934" s="32" t="s">
        <v>3109</v>
      </c>
      <c r="C934" s="32" t="s">
        <v>3174</v>
      </c>
      <c r="D934" s="32" t="s">
        <v>3175</v>
      </c>
      <c r="E934" s="32">
        <v>1990</v>
      </c>
      <c r="F934" s="32" t="s">
        <v>18</v>
      </c>
      <c r="G934" s="32" t="s">
        <v>3254</v>
      </c>
      <c r="H934" s="32" t="s">
        <v>3254</v>
      </c>
      <c r="I934" s="32" t="s">
        <v>580</v>
      </c>
      <c r="J934" s="32">
        <v>6199</v>
      </c>
      <c r="K934" s="32">
        <v>0</v>
      </c>
      <c r="L934" s="32">
        <v>0</v>
      </c>
      <c r="M934" s="32">
        <v>0</v>
      </c>
      <c r="N934" s="32">
        <v>0</v>
      </c>
      <c r="O934" s="32">
        <v>0</v>
      </c>
      <c r="P934" s="32">
        <v>0</v>
      </c>
      <c r="Q934" s="43">
        <f t="shared" si="28"/>
        <v>6199</v>
      </c>
      <c r="R934" s="69">
        <f t="shared" si="29"/>
        <v>5269.15</v>
      </c>
      <c r="S934" s="30"/>
      <c r="T934" s="30"/>
    </row>
    <row r="935" spans="1:20" ht="45" customHeight="1" x14ac:dyDescent="0.3">
      <c r="A935" s="36">
        <v>923</v>
      </c>
      <c r="B935" s="32" t="s">
        <v>3109</v>
      </c>
      <c r="C935" s="32" t="s">
        <v>3176</v>
      </c>
      <c r="D935" s="32" t="s">
        <v>336</v>
      </c>
      <c r="E935" s="32">
        <v>1998</v>
      </c>
      <c r="F935" s="32" t="s">
        <v>19</v>
      </c>
      <c r="G935" s="32" t="s">
        <v>449</v>
      </c>
      <c r="H935" s="32" t="s">
        <v>449</v>
      </c>
      <c r="I935" s="32" t="s">
        <v>546</v>
      </c>
      <c r="J935" s="32">
        <v>3793</v>
      </c>
      <c r="K935" s="32">
        <v>0</v>
      </c>
      <c r="L935" s="32">
        <v>18406</v>
      </c>
      <c r="M935" s="32">
        <v>0</v>
      </c>
      <c r="N935" s="32">
        <v>0</v>
      </c>
      <c r="O935" s="32">
        <v>0</v>
      </c>
      <c r="P935" s="32">
        <v>0</v>
      </c>
      <c r="Q935" s="43">
        <f t="shared" si="28"/>
        <v>22199</v>
      </c>
      <c r="R935" s="69">
        <f t="shared" si="29"/>
        <v>18869.150000000001</v>
      </c>
      <c r="S935" s="30"/>
      <c r="T935" s="30"/>
    </row>
    <row r="936" spans="1:20" ht="45" customHeight="1" x14ac:dyDescent="0.3">
      <c r="A936" s="31">
        <v>924</v>
      </c>
      <c r="B936" s="32" t="s">
        <v>3109</v>
      </c>
      <c r="C936" s="32" t="s">
        <v>3177</v>
      </c>
      <c r="D936" s="32" t="s">
        <v>76</v>
      </c>
      <c r="E936" s="32">
        <v>1981</v>
      </c>
      <c r="F936" s="32" t="s">
        <v>19</v>
      </c>
      <c r="G936" s="32" t="s">
        <v>167</v>
      </c>
      <c r="H936" s="32" t="s">
        <v>223</v>
      </c>
      <c r="I936" s="32" t="s">
        <v>266</v>
      </c>
      <c r="J936" s="32">
        <v>3582</v>
      </c>
      <c r="K936" s="32">
        <v>0</v>
      </c>
      <c r="L936" s="32">
        <v>0</v>
      </c>
      <c r="M936" s="32">
        <v>0</v>
      </c>
      <c r="N936" s="32">
        <v>40376</v>
      </c>
      <c r="O936" s="32">
        <v>0</v>
      </c>
      <c r="P936" s="32">
        <v>0</v>
      </c>
      <c r="Q936" s="43">
        <f t="shared" si="28"/>
        <v>43958</v>
      </c>
      <c r="R936" s="69">
        <f t="shared" si="29"/>
        <v>37364.300000000003</v>
      </c>
      <c r="S936" s="30"/>
      <c r="T936" s="30"/>
    </row>
    <row r="937" spans="1:20" ht="45" customHeight="1" x14ac:dyDescent="0.3">
      <c r="A937" s="31">
        <v>925</v>
      </c>
      <c r="B937" s="32" t="s">
        <v>3109</v>
      </c>
      <c r="C937" s="32" t="s">
        <v>3178</v>
      </c>
      <c r="D937" s="32" t="s">
        <v>3179</v>
      </c>
      <c r="E937" s="32">
        <v>1985</v>
      </c>
      <c r="F937" s="32" t="s">
        <v>19</v>
      </c>
      <c r="G937" s="32" t="s">
        <v>3255</v>
      </c>
      <c r="H937" s="32" t="s">
        <v>3255</v>
      </c>
      <c r="I937" s="32" t="s">
        <v>3318</v>
      </c>
      <c r="J937" s="32">
        <v>6199</v>
      </c>
      <c r="K937" s="32">
        <v>0</v>
      </c>
      <c r="L937" s="32">
        <v>18406</v>
      </c>
      <c r="M937" s="32">
        <v>0</v>
      </c>
      <c r="N937" s="32">
        <v>0</v>
      </c>
      <c r="O937" s="32">
        <v>0</v>
      </c>
      <c r="P937" s="32">
        <v>0</v>
      </c>
      <c r="Q937" s="43">
        <f t="shared" si="28"/>
        <v>24605</v>
      </c>
      <c r="R937" s="69">
        <f t="shared" si="29"/>
        <v>20914.25</v>
      </c>
      <c r="S937" s="30"/>
      <c r="T937" s="30"/>
    </row>
    <row r="938" spans="1:20" ht="45" customHeight="1" x14ac:dyDescent="0.3">
      <c r="A938" s="36">
        <v>926</v>
      </c>
      <c r="B938" s="32" t="s">
        <v>3109</v>
      </c>
      <c r="C938" s="32" t="s">
        <v>3180</v>
      </c>
      <c r="D938" s="32" t="s">
        <v>3181</v>
      </c>
      <c r="E938" s="32">
        <v>1974</v>
      </c>
      <c r="F938" s="32" t="s">
        <v>19</v>
      </c>
      <c r="G938" s="32" t="s">
        <v>3256</v>
      </c>
      <c r="H938" s="32" t="s">
        <v>3295</v>
      </c>
      <c r="I938" s="32" t="s">
        <v>34</v>
      </c>
      <c r="J938" s="32">
        <v>6199</v>
      </c>
      <c r="K938" s="32">
        <v>0</v>
      </c>
      <c r="L938" s="32">
        <v>0</v>
      </c>
      <c r="M938" s="32">
        <v>0</v>
      </c>
      <c r="N938" s="32">
        <f>15443+20859</f>
        <v>36302</v>
      </c>
      <c r="O938" s="32">
        <v>0</v>
      </c>
      <c r="P938" s="32">
        <v>0</v>
      </c>
      <c r="Q938" s="43">
        <f t="shared" si="28"/>
        <v>42501</v>
      </c>
      <c r="R938" s="69">
        <f t="shared" si="29"/>
        <v>36125.85</v>
      </c>
      <c r="S938" s="30"/>
      <c r="T938" s="30"/>
    </row>
    <row r="939" spans="1:20" ht="45" customHeight="1" x14ac:dyDescent="0.3">
      <c r="A939" s="31">
        <v>927</v>
      </c>
      <c r="B939" s="32" t="s">
        <v>3109</v>
      </c>
      <c r="C939" s="32" t="s">
        <v>3182</v>
      </c>
      <c r="D939" s="32" t="s">
        <v>3183</v>
      </c>
      <c r="E939" s="32">
        <v>1980</v>
      </c>
      <c r="F939" s="32" t="s">
        <v>18</v>
      </c>
      <c r="G939" s="32" t="s">
        <v>3257</v>
      </c>
      <c r="H939" s="32" t="s">
        <v>3257</v>
      </c>
      <c r="I939" s="32" t="s">
        <v>1277</v>
      </c>
      <c r="J939" s="32">
        <v>6199</v>
      </c>
      <c r="K939" s="32">
        <f>2801+1166+13452</f>
        <v>17419</v>
      </c>
      <c r="L939" s="32">
        <v>17620</v>
      </c>
      <c r="M939" s="32">
        <v>0</v>
      </c>
      <c r="N939" s="32">
        <v>1793</v>
      </c>
      <c r="O939" s="32">
        <v>0</v>
      </c>
      <c r="P939" s="32">
        <v>0</v>
      </c>
      <c r="Q939" s="43">
        <f t="shared" si="28"/>
        <v>43031</v>
      </c>
      <c r="R939" s="69">
        <f t="shared" si="29"/>
        <v>36576.35</v>
      </c>
      <c r="S939" s="30"/>
      <c r="T939" s="30"/>
    </row>
    <row r="940" spans="1:20" s="41" customFormat="1" ht="45" customHeight="1" x14ac:dyDescent="0.3">
      <c r="A940" s="31">
        <v>928</v>
      </c>
      <c r="B940" s="38" t="s">
        <v>3109</v>
      </c>
      <c r="C940" s="38" t="s">
        <v>3184</v>
      </c>
      <c r="D940" s="38" t="s">
        <v>3185</v>
      </c>
      <c r="E940" s="38">
        <v>1983</v>
      </c>
      <c r="F940" s="38" t="s">
        <v>18</v>
      </c>
      <c r="G940" s="38" t="s">
        <v>3258</v>
      </c>
      <c r="H940" s="38" t="s">
        <v>3258</v>
      </c>
      <c r="I940" s="38" t="s">
        <v>565</v>
      </c>
      <c r="J940" s="38">
        <v>6199</v>
      </c>
      <c r="K940" s="38">
        <v>0</v>
      </c>
      <c r="L940" s="38">
        <v>0</v>
      </c>
      <c r="M940" s="38">
        <v>0</v>
      </c>
      <c r="N940" s="38">
        <v>0</v>
      </c>
      <c r="O940" s="38">
        <v>0</v>
      </c>
      <c r="P940" s="38">
        <v>0</v>
      </c>
      <c r="Q940" s="43">
        <f t="shared" si="28"/>
        <v>6199</v>
      </c>
      <c r="R940" s="69">
        <f t="shared" si="29"/>
        <v>5269.15</v>
      </c>
      <c r="S940" s="40"/>
      <c r="T940" s="40"/>
    </row>
    <row r="941" spans="1:20" ht="45" customHeight="1" x14ac:dyDescent="0.3">
      <c r="A941" s="36">
        <v>929</v>
      </c>
      <c r="B941" s="32" t="s">
        <v>3109</v>
      </c>
      <c r="C941" s="32" t="s">
        <v>3186</v>
      </c>
      <c r="D941" s="32" t="s">
        <v>3187</v>
      </c>
      <c r="E941" s="32">
        <v>1992</v>
      </c>
      <c r="F941" s="32" t="s">
        <v>19</v>
      </c>
      <c r="G941" s="32" t="s">
        <v>3259</v>
      </c>
      <c r="H941" s="32" t="s">
        <v>3259</v>
      </c>
      <c r="I941" s="32" t="s">
        <v>3319</v>
      </c>
      <c r="J941" s="32">
        <v>6199</v>
      </c>
      <c r="K941" s="32">
        <f>6278+4484+2332+2332+2332+2243+3000+3000+3228+6995+3500+3500</f>
        <v>43224</v>
      </c>
      <c r="L941" s="32">
        <v>18406</v>
      </c>
      <c r="M941" s="32">
        <v>0</v>
      </c>
      <c r="N941" s="32">
        <v>1793</v>
      </c>
      <c r="O941" s="32">
        <v>0</v>
      </c>
      <c r="P941" s="32">
        <v>0</v>
      </c>
      <c r="Q941" s="43">
        <f t="shared" si="28"/>
        <v>69622</v>
      </c>
      <c r="R941" s="69">
        <f t="shared" si="29"/>
        <v>59178.7</v>
      </c>
      <c r="S941" s="30"/>
      <c r="T941" s="30"/>
    </row>
    <row r="942" spans="1:20" ht="45" customHeight="1" x14ac:dyDescent="0.3">
      <c r="A942" s="31">
        <v>930</v>
      </c>
      <c r="B942" s="32" t="s">
        <v>3109</v>
      </c>
      <c r="C942" s="32" t="s">
        <v>3188</v>
      </c>
      <c r="D942" s="32" t="s">
        <v>3189</v>
      </c>
      <c r="E942" s="32">
        <v>2021</v>
      </c>
      <c r="F942" s="32" t="s">
        <v>18</v>
      </c>
      <c r="G942" s="32" t="s">
        <v>3260</v>
      </c>
      <c r="H942" s="32" t="s">
        <v>2379</v>
      </c>
      <c r="I942" s="32" t="s">
        <v>544</v>
      </c>
      <c r="J942" s="32">
        <v>6199</v>
      </c>
      <c r="K942" s="32">
        <f>6278+4484+1346+4484+2332+2332+2332+2332+2332</f>
        <v>28252</v>
      </c>
      <c r="L942" s="32">
        <v>0</v>
      </c>
      <c r="M942" s="32">
        <v>0</v>
      </c>
      <c r="N942" s="32">
        <v>3148</v>
      </c>
      <c r="O942" s="32">
        <v>0</v>
      </c>
      <c r="P942" s="32">
        <v>0</v>
      </c>
      <c r="Q942" s="43">
        <f t="shared" si="28"/>
        <v>37599</v>
      </c>
      <c r="R942" s="69">
        <f t="shared" si="29"/>
        <v>31959.15</v>
      </c>
      <c r="S942" s="30"/>
      <c r="T942" s="30"/>
    </row>
    <row r="943" spans="1:20" ht="45" customHeight="1" x14ac:dyDescent="0.3">
      <c r="A943" s="31">
        <v>931</v>
      </c>
      <c r="B943" s="32" t="s">
        <v>3109</v>
      </c>
      <c r="C943" s="32" t="s">
        <v>3190</v>
      </c>
      <c r="D943" s="32" t="s">
        <v>3191</v>
      </c>
      <c r="E943" s="32">
        <v>1989</v>
      </c>
      <c r="F943" s="32" t="s">
        <v>19</v>
      </c>
      <c r="G943" s="32" t="s">
        <v>3261</v>
      </c>
      <c r="H943" s="32" t="s">
        <v>3296</v>
      </c>
      <c r="I943" s="32" t="s">
        <v>3320</v>
      </c>
      <c r="J943" s="32">
        <v>6199</v>
      </c>
      <c r="K943" s="32">
        <v>0</v>
      </c>
      <c r="L943" s="32">
        <v>0</v>
      </c>
      <c r="M943" s="32">
        <v>0</v>
      </c>
      <c r="N943" s="32">
        <v>0</v>
      </c>
      <c r="O943" s="32">
        <v>0</v>
      </c>
      <c r="P943" s="32">
        <v>0</v>
      </c>
      <c r="Q943" s="43">
        <f t="shared" si="28"/>
        <v>6199</v>
      </c>
      <c r="R943" s="69">
        <f t="shared" si="29"/>
        <v>5269.15</v>
      </c>
      <c r="S943" s="30"/>
      <c r="T943" s="30"/>
    </row>
    <row r="944" spans="1:20" ht="45" customHeight="1" x14ac:dyDescent="0.3">
      <c r="A944" s="36">
        <v>932</v>
      </c>
      <c r="B944" s="32" t="s">
        <v>3109</v>
      </c>
      <c r="C944" s="32" t="s">
        <v>3192</v>
      </c>
      <c r="D944" s="32" t="s">
        <v>3193</v>
      </c>
      <c r="E944" s="32">
        <v>1965</v>
      </c>
      <c r="F944" s="32" t="s">
        <v>18</v>
      </c>
      <c r="G944" s="32" t="s">
        <v>3262</v>
      </c>
      <c r="H944" s="32" t="s">
        <v>3262</v>
      </c>
      <c r="I944" s="32" t="s">
        <v>3321</v>
      </c>
      <c r="J944" s="32">
        <v>6199</v>
      </c>
      <c r="K944" s="32">
        <v>0</v>
      </c>
      <c r="L944" s="32">
        <v>0</v>
      </c>
      <c r="M944" s="32">
        <v>0</v>
      </c>
      <c r="N944" s="32">
        <v>0</v>
      </c>
      <c r="O944" s="32">
        <v>0</v>
      </c>
      <c r="P944" s="32">
        <v>0</v>
      </c>
      <c r="Q944" s="43">
        <f t="shared" si="28"/>
        <v>6199</v>
      </c>
      <c r="R944" s="69">
        <f t="shared" si="29"/>
        <v>5269.15</v>
      </c>
      <c r="S944" s="30"/>
      <c r="T944" s="30"/>
    </row>
    <row r="945" spans="1:20" ht="45" customHeight="1" x14ac:dyDescent="0.3">
      <c r="A945" s="31">
        <v>933</v>
      </c>
      <c r="B945" s="32" t="s">
        <v>3109</v>
      </c>
      <c r="C945" s="32" t="s">
        <v>3194</v>
      </c>
      <c r="D945" s="32" t="s">
        <v>3195</v>
      </c>
      <c r="E945" s="32">
        <v>1991</v>
      </c>
      <c r="F945" s="32" t="s">
        <v>19</v>
      </c>
      <c r="G945" s="32" t="s">
        <v>1872</v>
      </c>
      <c r="H945" s="32" t="s">
        <v>1872</v>
      </c>
      <c r="I945" s="32" t="s">
        <v>1886</v>
      </c>
      <c r="J945" s="32">
        <v>6199</v>
      </c>
      <c r="K945" s="32">
        <v>0</v>
      </c>
      <c r="L945" s="32">
        <v>18406</v>
      </c>
      <c r="M945" s="32">
        <v>0</v>
      </c>
      <c r="N945" s="32">
        <v>0</v>
      </c>
      <c r="O945" s="32">
        <v>0</v>
      </c>
      <c r="P945" s="32">
        <v>0</v>
      </c>
      <c r="Q945" s="43">
        <f t="shared" si="28"/>
        <v>24605</v>
      </c>
      <c r="R945" s="69">
        <f t="shared" si="29"/>
        <v>20914.25</v>
      </c>
      <c r="S945" s="30"/>
      <c r="T945" s="30"/>
    </row>
    <row r="946" spans="1:20" ht="45" customHeight="1" x14ac:dyDescent="0.3">
      <c r="A946" s="31">
        <v>934</v>
      </c>
      <c r="B946" s="32" t="s">
        <v>3109</v>
      </c>
      <c r="C946" s="32" t="s">
        <v>3196</v>
      </c>
      <c r="D946" s="32" t="s">
        <v>3197</v>
      </c>
      <c r="E946" s="32">
        <v>2023</v>
      </c>
      <c r="F946" s="32" t="s">
        <v>19</v>
      </c>
      <c r="G946" s="32" t="s">
        <v>3263</v>
      </c>
      <c r="H946" s="32" t="s">
        <v>3297</v>
      </c>
      <c r="I946" s="32" t="s">
        <v>826</v>
      </c>
      <c r="J946" s="32">
        <v>6199</v>
      </c>
      <c r="K946" s="32">
        <f>6278+4484+1346+4484+2332+2332+2332+2332+2332+2332+6995+6995+2332+6995</f>
        <v>53901</v>
      </c>
      <c r="L946" s="32">
        <v>0</v>
      </c>
      <c r="M946" s="32">
        <v>0</v>
      </c>
      <c r="N946" s="32">
        <v>3148</v>
      </c>
      <c r="O946" s="32">
        <v>0</v>
      </c>
      <c r="P946" s="32">
        <v>0</v>
      </c>
      <c r="Q946" s="43">
        <f t="shared" si="28"/>
        <v>63248</v>
      </c>
      <c r="R946" s="69">
        <f t="shared" si="29"/>
        <v>53760.800000000003</v>
      </c>
      <c r="S946" s="30"/>
      <c r="T946" s="30"/>
    </row>
    <row r="947" spans="1:20" ht="45" customHeight="1" x14ac:dyDescent="0.3">
      <c r="A947" s="36">
        <v>935</v>
      </c>
      <c r="B947" s="32" t="s">
        <v>3109</v>
      </c>
      <c r="C947" s="32" t="s">
        <v>3198</v>
      </c>
      <c r="D947" s="32" t="s">
        <v>3199</v>
      </c>
      <c r="E947" s="32">
        <v>1991</v>
      </c>
      <c r="F947" s="32" t="s">
        <v>19</v>
      </c>
      <c r="G947" s="32" t="s">
        <v>3264</v>
      </c>
      <c r="H947" s="32" t="s">
        <v>3298</v>
      </c>
      <c r="I947" s="32" t="s">
        <v>826</v>
      </c>
      <c r="J947" s="32">
        <v>6199</v>
      </c>
      <c r="K947" s="32">
        <v>0</v>
      </c>
      <c r="L947" s="32">
        <v>0</v>
      </c>
      <c r="M947" s="32">
        <v>0</v>
      </c>
      <c r="N947" s="32">
        <v>0</v>
      </c>
      <c r="O947" s="32">
        <v>0</v>
      </c>
      <c r="P947" s="32">
        <v>0</v>
      </c>
      <c r="Q947" s="43">
        <f t="shared" si="28"/>
        <v>6199</v>
      </c>
      <c r="R947" s="69">
        <f t="shared" si="29"/>
        <v>5269.15</v>
      </c>
      <c r="S947" s="30"/>
      <c r="T947" s="30"/>
    </row>
    <row r="948" spans="1:20" s="41" customFormat="1" ht="45" customHeight="1" x14ac:dyDescent="0.3">
      <c r="A948" s="31">
        <v>936</v>
      </c>
      <c r="B948" s="38" t="s">
        <v>3109</v>
      </c>
      <c r="C948" s="38" t="s">
        <v>3200</v>
      </c>
      <c r="D948" s="38" t="s">
        <v>3201</v>
      </c>
      <c r="E948" s="38">
        <v>1995</v>
      </c>
      <c r="F948" s="38" t="s">
        <v>18</v>
      </c>
      <c r="G948" s="38" t="s">
        <v>3265</v>
      </c>
      <c r="H948" s="38" t="s">
        <v>3265</v>
      </c>
      <c r="I948" s="38" t="s">
        <v>32</v>
      </c>
      <c r="J948" s="38">
        <v>3582</v>
      </c>
      <c r="K948" s="38">
        <v>0</v>
      </c>
      <c r="L948" s="38">
        <v>0</v>
      </c>
      <c r="M948" s="38">
        <v>0</v>
      </c>
      <c r="N948" s="38">
        <v>0</v>
      </c>
      <c r="O948" s="38">
        <v>0</v>
      </c>
      <c r="P948" s="38">
        <v>0</v>
      </c>
      <c r="Q948" s="43">
        <f t="shared" si="28"/>
        <v>3582</v>
      </c>
      <c r="R948" s="69">
        <f t="shared" si="29"/>
        <v>3044.7</v>
      </c>
      <c r="S948" s="40"/>
      <c r="T948" s="40"/>
    </row>
    <row r="949" spans="1:20" ht="45" customHeight="1" x14ac:dyDescent="0.3">
      <c r="A949" s="31">
        <v>937</v>
      </c>
      <c r="B949" s="32" t="s">
        <v>3109</v>
      </c>
      <c r="C949" s="32" t="s">
        <v>3202</v>
      </c>
      <c r="D949" s="32" t="s">
        <v>1139</v>
      </c>
      <c r="E949" s="32">
        <v>1989</v>
      </c>
      <c r="F949" s="32" t="s">
        <v>19</v>
      </c>
      <c r="G949" s="32" t="s">
        <v>3266</v>
      </c>
      <c r="H949" s="32" t="s">
        <v>817</v>
      </c>
      <c r="I949" s="32" t="s">
        <v>1272</v>
      </c>
      <c r="J949" s="32">
        <v>3793</v>
      </c>
      <c r="K949" s="32">
        <v>0</v>
      </c>
      <c r="L949" s="32">
        <v>0</v>
      </c>
      <c r="M949" s="32">
        <v>0</v>
      </c>
      <c r="N949" s="32">
        <v>0</v>
      </c>
      <c r="O949" s="32">
        <v>0</v>
      </c>
      <c r="P949" s="32">
        <v>0</v>
      </c>
      <c r="Q949" s="44">
        <f t="shared" si="28"/>
        <v>3793</v>
      </c>
      <c r="R949" s="69">
        <f t="shared" si="29"/>
        <v>3224.05</v>
      </c>
      <c r="S949" s="30"/>
      <c r="T949" s="30"/>
    </row>
    <row r="950" spans="1:20" ht="45" customHeight="1" x14ac:dyDescent="0.3">
      <c r="A950" s="36">
        <v>938</v>
      </c>
      <c r="B950" s="32" t="s">
        <v>3109</v>
      </c>
      <c r="C950" s="32" t="s">
        <v>3203</v>
      </c>
      <c r="D950" s="32" t="s">
        <v>3204</v>
      </c>
      <c r="E950" s="32">
        <v>2023</v>
      </c>
      <c r="F950" s="32" t="s">
        <v>19</v>
      </c>
      <c r="G950" s="32" t="s">
        <v>3267</v>
      </c>
      <c r="H950" s="32" t="s">
        <v>3299</v>
      </c>
      <c r="I950" s="32" t="s">
        <v>3322</v>
      </c>
      <c r="J950" s="32">
        <v>6199</v>
      </c>
      <c r="K950" s="32">
        <v>0</v>
      </c>
      <c r="L950" s="32">
        <v>0</v>
      </c>
      <c r="M950" s="32">
        <v>0</v>
      </c>
      <c r="N950" s="32">
        <v>0</v>
      </c>
      <c r="O950" s="32">
        <v>0</v>
      </c>
      <c r="P950" s="32">
        <v>0</v>
      </c>
      <c r="Q950" s="43">
        <f t="shared" si="28"/>
        <v>6199</v>
      </c>
      <c r="R950" s="69">
        <f t="shared" si="29"/>
        <v>5269.15</v>
      </c>
      <c r="S950" s="30"/>
      <c r="T950" s="30"/>
    </row>
    <row r="951" spans="1:20" ht="45" customHeight="1" x14ac:dyDescent="0.3">
      <c r="A951" s="31">
        <v>939</v>
      </c>
      <c r="B951" s="32" t="s">
        <v>3109</v>
      </c>
      <c r="C951" s="32" t="s">
        <v>3205</v>
      </c>
      <c r="D951" s="32" t="s">
        <v>3206</v>
      </c>
      <c r="E951" s="32">
        <v>1989</v>
      </c>
      <c r="F951" s="32" t="s">
        <v>19</v>
      </c>
      <c r="G951" s="32" t="s">
        <v>3268</v>
      </c>
      <c r="H951" s="32" t="s">
        <v>3268</v>
      </c>
      <c r="I951" s="32" t="s">
        <v>3323</v>
      </c>
      <c r="J951" s="32">
        <v>6199</v>
      </c>
      <c r="K951" s="32">
        <v>0</v>
      </c>
      <c r="L951" s="32">
        <v>0</v>
      </c>
      <c r="M951" s="32">
        <v>0</v>
      </c>
      <c r="N951" s="32">
        <v>0</v>
      </c>
      <c r="O951" s="32">
        <v>0</v>
      </c>
      <c r="P951" s="32">
        <v>0</v>
      </c>
      <c r="Q951" s="43">
        <f t="shared" si="28"/>
        <v>6199</v>
      </c>
      <c r="R951" s="69">
        <f t="shared" si="29"/>
        <v>5269.15</v>
      </c>
      <c r="S951" s="30"/>
      <c r="T951" s="30"/>
    </row>
    <row r="952" spans="1:20" ht="45" customHeight="1" x14ac:dyDescent="0.3">
      <c r="A952" s="31">
        <v>940</v>
      </c>
      <c r="B952" s="32" t="s">
        <v>3109</v>
      </c>
      <c r="C952" s="32" t="s">
        <v>3207</v>
      </c>
      <c r="D952" s="32" t="s">
        <v>3208</v>
      </c>
      <c r="E952" s="32">
        <v>1990</v>
      </c>
      <c r="F952" s="32" t="s">
        <v>18</v>
      </c>
      <c r="G952" s="32" t="s">
        <v>3269</v>
      </c>
      <c r="H952" s="32" t="s">
        <v>3269</v>
      </c>
      <c r="I952" s="32" t="s">
        <v>3324</v>
      </c>
      <c r="J952" s="32">
        <v>6199</v>
      </c>
      <c r="K952" s="32">
        <f>2332+2332+2243</f>
        <v>6907</v>
      </c>
      <c r="L952" s="32">
        <v>0</v>
      </c>
      <c r="M952" s="32">
        <v>0</v>
      </c>
      <c r="N952" s="32">
        <v>0</v>
      </c>
      <c r="O952" s="32">
        <v>0</v>
      </c>
      <c r="P952" s="32">
        <v>0</v>
      </c>
      <c r="Q952" s="43">
        <f t="shared" si="28"/>
        <v>13106</v>
      </c>
      <c r="R952" s="69">
        <f t="shared" si="29"/>
        <v>11140.1</v>
      </c>
      <c r="S952" s="30"/>
      <c r="T952" s="30"/>
    </row>
    <row r="953" spans="1:20" s="41" customFormat="1" ht="45" customHeight="1" x14ac:dyDescent="0.3">
      <c r="A953" s="36">
        <v>941</v>
      </c>
      <c r="B953" s="38" t="s">
        <v>3109</v>
      </c>
      <c r="C953" s="38" t="s">
        <v>3209</v>
      </c>
      <c r="D953" s="38" t="s">
        <v>3181</v>
      </c>
      <c r="E953" s="38">
        <v>1974</v>
      </c>
      <c r="F953" s="38" t="s">
        <v>19</v>
      </c>
      <c r="G953" s="38" t="s">
        <v>3256</v>
      </c>
      <c r="H953" s="38" t="s">
        <v>3295</v>
      </c>
      <c r="I953" s="38" t="s">
        <v>34</v>
      </c>
      <c r="J953" s="38">
        <v>6199</v>
      </c>
      <c r="K953" s="38">
        <v>0</v>
      </c>
      <c r="L953" s="38">
        <v>0</v>
      </c>
      <c r="M953" s="38">
        <v>0</v>
      </c>
      <c r="N953" s="38">
        <v>0</v>
      </c>
      <c r="O953" s="38">
        <v>0</v>
      </c>
      <c r="P953" s="38">
        <v>0</v>
      </c>
      <c r="Q953" s="43">
        <f t="shared" si="28"/>
        <v>6199</v>
      </c>
      <c r="R953" s="69">
        <f t="shared" si="29"/>
        <v>5269.15</v>
      </c>
      <c r="S953" s="40"/>
      <c r="T953" s="40"/>
    </row>
    <row r="954" spans="1:20" ht="45" customHeight="1" x14ac:dyDescent="0.3">
      <c r="A954" s="31">
        <v>942</v>
      </c>
      <c r="B954" s="32" t="s">
        <v>3109</v>
      </c>
      <c r="C954" s="32" t="s">
        <v>3210</v>
      </c>
      <c r="D954" s="32" t="s">
        <v>3211</v>
      </c>
      <c r="E954" s="32">
        <v>1974</v>
      </c>
      <c r="F954" s="32" t="s">
        <v>19</v>
      </c>
      <c r="G954" s="32" t="s">
        <v>3270</v>
      </c>
      <c r="H954" s="32" t="s">
        <v>3300</v>
      </c>
      <c r="I954" s="32" t="s">
        <v>253</v>
      </c>
      <c r="J954" s="32">
        <v>6199</v>
      </c>
      <c r="K954" s="32">
        <f>1166+2801+2332+2332+2243</f>
        <v>10874</v>
      </c>
      <c r="L954" s="32">
        <v>0</v>
      </c>
      <c r="M954" s="32">
        <v>0</v>
      </c>
      <c r="N954" s="32">
        <v>0</v>
      </c>
      <c r="O954" s="32">
        <v>0</v>
      </c>
      <c r="P954" s="32">
        <v>0</v>
      </c>
      <c r="Q954" s="44">
        <f t="shared" si="28"/>
        <v>17073</v>
      </c>
      <c r="R954" s="69">
        <f t="shared" si="29"/>
        <v>14512.05</v>
      </c>
      <c r="S954" s="30"/>
      <c r="T954" s="30"/>
    </row>
    <row r="955" spans="1:20" ht="45" customHeight="1" x14ac:dyDescent="0.3">
      <c r="A955" s="31">
        <v>943</v>
      </c>
      <c r="B955" s="32" t="s">
        <v>3109</v>
      </c>
      <c r="C955" s="32" t="s">
        <v>3212</v>
      </c>
      <c r="D955" s="32" t="s">
        <v>3213</v>
      </c>
      <c r="E955" s="32">
        <v>2021</v>
      </c>
      <c r="F955" s="32" t="s">
        <v>18</v>
      </c>
      <c r="G955" s="32" t="s">
        <v>3271</v>
      </c>
      <c r="H955" s="32" t="s">
        <v>3301</v>
      </c>
      <c r="I955" s="32" t="s">
        <v>27</v>
      </c>
      <c r="J955" s="32">
        <v>6199</v>
      </c>
      <c r="K955" s="32">
        <f>6278+4484+1346</f>
        <v>12108</v>
      </c>
      <c r="L955" s="32">
        <v>0</v>
      </c>
      <c r="M955" s="32">
        <v>0</v>
      </c>
      <c r="N955" s="32">
        <v>3148</v>
      </c>
      <c r="O955" s="32">
        <v>0</v>
      </c>
      <c r="P955" s="32">
        <v>0</v>
      </c>
      <c r="Q955" s="43">
        <f t="shared" si="28"/>
        <v>21455</v>
      </c>
      <c r="R955" s="69">
        <f t="shared" si="29"/>
        <v>18236.75</v>
      </c>
      <c r="S955" s="30"/>
      <c r="T955" s="30"/>
    </row>
    <row r="956" spans="1:20" ht="45" customHeight="1" x14ac:dyDescent="0.3">
      <c r="A956" s="36">
        <v>944</v>
      </c>
      <c r="B956" s="32" t="s">
        <v>3109</v>
      </c>
      <c r="C956" s="32" t="s">
        <v>3214</v>
      </c>
      <c r="D956" s="32" t="s">
        <v>3215</v>
      </c>
      <c r="E956" s="32">
        <v>2021</v>
      </c>
      <c r="F956" s="32" t="s">
        <v>19</v>
      </c>
      <c r="G956" s="32" t="s">
        <v>3272</v>
      </c>
      <c r="H956" s="32" t="s">
        <v>3302</v>
      </c>
      <c r="I956" s="32" t="s">
        <v>3325</v>
      </c>
      <c r="J956" s="32">
        <v>6199</v>
      </c>
      <c r="K956" s="32">
        <f>6278+4484+1346+4484+2332+2332+2332+2332+2332</f>
        <v>28252</v>
      </c>
      <c r="L956" s="32">
        <v>0</v>
      </c>
      <c r="M956" s="32">
        <v>0</v>
      </c>
      <c r="N956" s="32">
        <v>3148</v>
      </c>
      <c r="O956" s="32">
        <v>0</v>
      </c>
      <c r="P956" s="32">
        <v>0</v>
      </c>
      <c r="Q956" s="43">
        <f t="shared" si="28"/>
        <v>37599</v>
      </c>
      <c r="R956" s="69">
        <f t="shared" si="29"/>
        <v>31959.15</v>
      </c>
      <c r="S956" s="30"/>
      <c r="T956" s="30"/>
    </row>
    <row r="957" spans="1:20" ht="45" customHeight="1" x14ac:dyDescent="0.3">
      <c r="A957" s="31">
        <v>945</v>
      </c>
      <c r="B957" s="32" t="s">
        <v>3109</v>
      </c>
      <c r="C957" s="32" t="s">
        <v>3216</v>
      </c>
      <c r="D957" s="32" t="s">
        <v>3217</v>
      </c>
      <c r="E957" s="32">
        <v>1986</v>
      </c>
      <c r="F957" s="32" t="s">
        <v>18</v>
      </c>
      <c r="G957" s="32" t="s">
        <v>3273</v>
      </c>
      <c r="H957" s="32" t="s">
        <v>3303</v>
      </c>
      <c r="I957" s="32" t="s">
        <v>3326</v>
      </c>
      <c r="J957" s="32">
        <v>6199</v>
      </c>
      <c r="K957" s="32">
        <v>0</v>
      </c>
      <c r="L957" s="32">
        <v>13298</v>
      </c>
      <c r="M957" s="32">
        <v>0</v>
      </c>
      <c r="N957" s="32">
        <v>0</v>
      </c>
      <c r="O957" s="32">
        <v>0</v>
      </c>
      <c r="P957" s="32">
        <v>0</v>
      </c>
      <c r="Q957" s="43">
        <f t="shared" si="28"/>
        <v>19497</v>
      </c>
      <c r="R957" s="69">
        <f t="shared" si="29"/>
        <v>16572.45</v>
      </c>
      <c r="S957" s="30"/>
      <c r="T957" s="30"/>
    </row>
    <row r="958" spans="1:20" ht="45" customHeight="1" x14ac:dyDescent="0.3">
      <c r="A958" s="31">
        <v>946</v>
      </c>
      <c r="B958" s="32" t="s">
        <v>3109</v>
      </c>
      <c r="C958" s="32" t="s">
        <v>3218</v>
      </c>
      <c r="D958" s="32" t="s">
        <v>3219</v>
      </c>
      <c r="E958" s="32">
        <v>2019</v>
      </c>
      <c r="F958" s="32" t="s">
        <v>18</v>
      </c>
      <c r="G958" s="32" t="s">
        <v>3274</v>
      </c>
      <c r="H958" s="32" t="s">
        <v>3304</v>
      </c>
      <c r="I958" s="32" t="s">
        <v>1257</v>
      </c>
      <c r="J958" s="32">
        <v>6199</v>
      </c>
      <c r="K958" s="32">
        <f>6278+4484+1346+4484+2332+1166+2332+2332+2332+2332+2332+6995+6995+2332+6995+3000+3000</f>
        <v>61067</v>
      </c>
      <c r="L958" s="32">
        <v>0</v>
      </c>
      <c r="M958" s="32">
        <v>0</v>
      </c>
      <c r="N958" s="32">
        <v>3148</v>
      </c>
      <c r="O958" s="32">
        <v>0</v>
      </c>
      <c r="P958" s="32">
        <v>0</v>
      </c>
      <c r="Q958" s="43">
        <f t="shared" si="28"/>
        <v>70414</v>
      </c>
      <c r="R958" s="69">
        <f t="shared" si="29"/>
        <v>59851.9</v>
      </c>
      <c r="S958" s="30"/>
      <c r="T958" s="30"/>
    </row>
    <row r="959" spans="1:20" ht="45" customHeight="1" x14ac:dyDescent="0.3">
      <c r="A959" s="36">
        <v>947</v>
      </c>
      <c r="B959" s="32" t="s">
        <v>3109</v>
      </c>
      <c r="C959" s="32" t="s">
        <v>3220</v>
      </c>
      <c r="D959" s="32" t="s">
        <v>3221</v>
      </c>
      <c r="E959" s="32">
        <v>1983</v>
      </c>
      <c r="F959" s="32" t="s">
        <v>18</v>
      </c>
      <c r="G959" s="32" t="s">
        <v>3275</v>
      </c>
      <c r="H959" s="32" t="s">
        <v>3275</v>
      </c>
      <c r="I959" s="32" t="s">
        <v>3327</v>
      </c>
      <c r="J959" s="32">
        <v>6199</v>
      </c>
      <c r="K959" s="32">
        <v>1166</v>
      </c>
      <c r="L959" s="32">
        <v>0</v>
      </c>
      <c r="M959" s="32">
        <v>0</v>
      </c>
      <c r="N959" s="32">
        <v>0</v>
      </c>
      <c r="O959" s="32">
        <v>0</v>
      </c>
      <c r="P959" s="32">
        <v>0</v>
      </c>
      <c r="Q959" s="43">
        <f t="shared" si="28"/>
        <v>7365</v>
      </c>
      <c r="R959" s="69">
        <f t="shared" si="29"/>
        <v>6260.25</v>
      </c>
      <c r="S959" s="30"/>
      <c r="T959" s="30"/>
    </row>
    <row r="960" spans="1:20" ht="45" customHeight="1" x14ac:dyDescent="0.3">
      <c r="A960" s="31">
        <v>948</v>
      </c>
      <c r="B960" s="32" t="s">
        <v>3109</v>
      </c>
      <c r="C960" s="32" t="s">
        <v>3222</v>
      </c>
      <c r="D960" s="32" t="s">
        <v>3223</v>
      </c>
      <c r="E960" s="32">
        <v>1981</v>
      </c>
      <c r="F960" s="32" t="s">
        <v>18</v>
      </c>
      <c r="G960" s="32" t="s">
        <v>3276</v>
      </c>
      <c r="H960" s="32" t="s">
        <v>3276</v>
      </c>
      <c r="I960" s="32" t="s">
        <v>3095</v>
      </c>
      <c r="J960" s="32">
        <v>6199</v>
      </c>
      <c r="K960" s="32">
        <v>0</v>
      </c>
      <c r="L960" s="32">
        <v>0</v>
      </c>
      <c r="M960" s="32">
        <v>0</v>
      </c>
      <c r="N960" s="32">
        <v>0</v>
      </c>
      <c r="O960" s="32">
        <v>0</v>
      </c>
      <c r="P960" s="32">
        <v>0</v>
      </c>
      <c r="Q960" s="43">
        <f t="shared" si="28"/>
        <v>6199</v>
      </c>
      <c r="R960" s="69">
        <f t="shared" si="29"/>
        <v>5269.15</v>
      </c>
      <c r="S960" s="30"/>
      <c r="T960" s="30"/>
    </row>
    <row r="961" spans="1:20" ht="45" customHeight="1" x14ac:dyDescent="0.3">
      <c r="A961" s="31">
        <v>949</v>
      </c>
      <c r="B961" s="32" t="s">
        <v>3109</v>
      </c>
      <c r="C961" s="32" t="s">
        <v>3224</v>
      </c>
      <c r="D961" s="32" t="s">
        <v>3225</v>
      </c>
      <c r="E961" s="32">
        <v>2020</v>
      </c>
      <c r="F961" s="32" t="s">
        <v>18</v>
      </c>
      <c r="G961" s="32" t="s">
        <v>3277</v>
      </c>
      <c r="H961" s="32" t="s">
        <v>3305</v>
      </c>
      <c r="I961" s="32" t="s">
        <v>2446</v>
      </c>
      <c r="J961" s="32">
        <v>6199</v>
      </c>
      <c r="K961" s="32">
        <v>0</v>
      </c>
      <c r="L961" s="32">
        <v>0</v>
      </c>
      <c r="M961" s="32">
        <v>0</v>
      </c>
      <c r="N961" s="32">
        <v>0</v>
      </c>
      <c r="O961" s="32">
        <v>0</v>
      </c>
      <c r="P961" s="32">
        <v>0</v>
      </c>
      <c r="Q961" s="43">
        <f t="shared" si="28"/>
        <v>6199</v>
      </c>
      <c r="R961" s="69">
        <f t="shared" si="29"/>
        <v>5269.15</v>
      </c>
      <c r="S961" s="30"/>
      <c r="T961" s="30"/>
    </row>
    <row r="962" spans="1:20" ht="45" customHeight="1" x14ac:dyDescent="0.3">
      <c r="A962" s="36">
        <v>950</v>
      </c>
      <c r="B962" s="32" t="s">
        <v>3109</v>
      </c>
      <c r="C962" s="32" t="s">
        <v>7256</v>
      </c>
      <c r="D962" s="34" t="s">
        <v>135</v>
      </c>
      <c r="E962" s="32">
        <v>2025</v>
      </c>
      <c r="F962" s="32" t="s">
        <v>19</v>
      </c>
      <c r="G962" s="32" t="s">
        <v>196</v>
      </c>
      <c r="H962" s="32" t="s">
        <v>239</v>
      </c>
      <c r="I962" s="32" t="s">
        <v>290</v>
      </c>
      <c r="J962" s="32">
        <v>2900</v>
      </c>
      <c r="K962" s="32">
        <v>0</v>
      </c>
      <c r="L962" s="32">
        <v>0</v>
      </c>
      <c r="M962" s="32">
        <v>17688</v>
      </c>
      <c r="N962" s="32">
        <v>2088</v>
      </c>
      <c r="O962" s="32">
        <v>0</v>
      </c>
      <c r="P962" s="32">
        <f>720+112</f>
        <v>832</v>
      </c>
      <c r="Q962" s="43">
        <f t="shared" si="28"/>
        <v>23508</v>
      </c>
      <c r="R962" s="69">
        <f t="shared" si="29"/>
        <v>19981.8</v>
      </c>
      <c r="S962" s="30"/>
      <c r="T962" s="30"/>
    </row>
    <row r="963" spans="1:20" ht="45" customHeight="1" x14ac:dyDescent="0.3">
      <c r="A963" s="31">
        <v>951</v>
      </c>
      <c r="B963" s="32" t="s">
        <v>3109</v>
      </c>
      <c r="C963" s="32" t="s">
        <v>7257</v>
      </c>
      <c r="D963" s="34" t="s">
        <v>2718</v>
      </c>
      <c r="E963" s="32">
        <v>1969</v>
      </c>
      <c r="F963" s="32" t="s">
        <v>19</v>
      </c>
      <c r="G963" s="32" t="s">
        <v>2786</v>
      </c>
      <c r="H963" s="32" t="s">
        <v>2828</v>
      </c>
      <c r="I963" s="32" t="s">
        <v>300</v>
      </c>
      <c r="J963" s="32">
        <v>2900</v>
      </c>
      <c r="K963" s="32">
        <v>0</v>
      </c>
      <c r="L963" s="32">
        <v>0</v>
      </c>
      <c r="M963" s="32">
        <v>17688</v>
      </c>
      <c r="N963" s="32">
        <v>2088</v>
      </c>
      <c r="O963" s="32">
        <v>0</v>
      </c>
      <c r="P963" s="32">
        <f>624+112</f>
        <v>736</v>
      </c>
      <c r="Q963" s="43">
        <f t="shared" si="28"/>
        <v>23412</v>
      </c>
      <c r="R963" s="69">
        <f t="shared" si="29"/>
        <v>19900.2</v>
      </c>
      <c r="S963" s="30"/>
      <c r="T963" s="30"/>
    </row>
    <row r="964" spans="1:20" ht="45" customHeight="1" x14ac:dyDescent="0.3">
      <c r="A964" s="31">
        <v>952</v>
      </c>
      <c r="B964" s="32" t="s">
        <v>3109</v>
      </c>
      <c r="C964" s="32" t="s">
        <v>7258</v>
      </c>
      <c r="D964" s="34" t="s">
        <v>2986</v>
      </c>
      <c r="E964" s="32">
        <v>2009</v>
      </c>
      <c r="F964" s="32" t="s">
        <v>19</v>
      </c>
      <c r="G964" s="32" t="s">
        <v>3045</v>
      </c>
      <c r="H964" s="32" t="s">
        <v>3080</v>
      </c>
      <c r="I964" s="32" t="s">
        <v>3107</v>
      </c>
      <c r="J964" s="32">
        <v>2900</v>
      </c>
      <c r="K964" s="32">
        <v>0</v>
      </c>
      <c r="L964" s="32">
        <v>0</v>
      </c>
      <c r="M964" s="32">
        <v>0</v>
      </c>
      <c r="N964" s="32">
        <v>1178</v>
      </c>
      <c r="O964" s="32">
        <v>0</v>
      </c>
      <c r="P964" s="32">
        <f>660+144+720</f>
        <v>1524</v>
      </c>
      <c r="Q964" s="43">
        <f t="shared" si="28"/>
        <v>5602</v>
      </c>
      <c r="R964" s="69">
        <f t="shared" si="29"/>
        <v>4761.7</v>
      </c>
      <c r="S964" s="30"/>
      <c r="T964" s="30"/>
    </row>
    <row r="965" spans="1:20" ht="45" customHeight="1" x14ac:dyDescent="0.3">
      <c r="A965" s="36">
        <v>953</v>
      </c>
      <c r="B965" s="32" t="s">
        <v>3109</v>
      </c>
      <c r="C965" s="32" t="s">
        <v>7259</v>
      </c>
      <c r="D965" s="34" t="s">
        <v>2021</v>
      </c>
      <c r="E965" s="32">
        <v>2025</v>
      </c>
      <c r="F965" s="32" t="s">
        <v>19</v>
      </c>
      <c r="G965" s="32" t="s">
        <v>2080</v>
      </c>
      <c r="H965" s="32" t="s">
        <v>2114</v>
      </c>
      <c r="I965" s="32" t="s">
        <v>3941</v>
      </c>
      <c r="J965" s="32">
        <v>2900</v>
      </c>
      <c r="K965" s="32">
        <v>0</v>
      </c>
      <c r="L965" s="32">
        <v>0</v>
      </c>
      <c r="M965" s="32">
        <v>0</v>
      </c>
      <c r="N965" s="32">
        <v>2088</v>
      </c>
      <c r="O965" s="32">
        <v>0</v>
      </c>
      <c r="P965" s="32">
        <f>360+56</f>
        <v>416</v>
      </c>
      <c r="Q965" s="43">
        <f t="shared" si="28"/>
        <v>5404</v>
      </c>
      <c r="R965" s="69">
        <f t="shared" si="29"/>
        <v>4593.3999999999996</v>
      </c>
      <c r="S965" s="30"/>
      <c r="T965" s="30"/>
    </row>
    <row r="966" spans="1:20" ht="45" customHeight="1" x14ac:dyDescent="0.3">
      <c r="A966" s="31">
        <v>954</v>
      </c>
      <c r="B966" s="32" t="s">
        <v>3328</v>
      </c>
      <c r="C966" s="32" t="s">
        <v>3329</v>
      </c>
      <c r="D966" s="32" t="s">
        <v>3330</v>
      </c>
      <c r="E966" s="32">
        <v>2021</v>
      </c>
      <c r="F966" s="32" t="s">
        <v>19</v>
      </c>
      <c r="G966" s="32" t="s">
        <v>3421</v>
      </c>
      <c r="H966" s="32" t="s">
        <v>2841</v>
      </c>
      <c r="I966" s="32" t="s">
        <v>1473</v>
      </c>
      <c r="J966" s="32">
        <v>6199</v>
      </c>
      <c r="K966" s="32">
        <f>6278+4484+1346+4484+2332+2332+2332+2332+2332+2332+6995+6995+2332+6995+2332+2332</f>
        <v>58565</v>
      </c>
      <c r="L966" s="32">
        <v>0</v>
      </c>
      <c r="M966" s="32">
        <v>0</v>
      </c>
      <c r="N966" s="32">
        <v>3148</v>
      </c>
      <c r="O966" s="32">
        <v>0</v>
      </c>
      <c r="P966" s="32">
        <v>0</v>
      </c>
      <c r="Q966" s="37">
        <f t="shared" si="28"/>
        <v>67912</v>
      </c>
      <c r="R966" s="69">
        <f t="shared" si="29"/>
        <v>57725.2</v>
      </c>
      <c r="S966" s="30"/>
      <c r="T966" s="30"/>
    </row>
    <row r="967" spans="1:20" ht="45" customHeight="1" x14ac:dyDescent="0.3">
      <c r="A967" s="31">
        <v>955</v>
      </c>
      <c r="B967" s="32" t="s">
        <v>3328</v>
      </c>
      <c r="C967" s="32" t="s">
        <v>3331</v>
      </c>
      <c r="D967" s="32" t="s">
        <v>3332</v>
      </c>
      <c r="E967" s="32">
        <v>1988</v>
      </c>
      <c r="F967" s="32" t="s">
        <v>18</v>
      </c>
      <c r="G967" s="32" t="s">
        <v>3422</v>
      </c>
      <c r="H967" s="32" t="s">
        <v>3422</v>
      </c>
      <c r="I967" s="32" t="s">
        <v>1279</v>
      </c>
      <c r="J967" s="32">
        <v>6199</v>
      </c>
      <c r="K967" s="32">
        <f>2332+2332+1166</f>
        <v>5830</v>
      </c>
      <c r="L967" s="32">
        <v>20807</v>
      </c>
      <c r="M967" s="32">
        <v>0</v>
      </c>
      <c r="N967" s="32">
        <v>0</v>
      </c>
      <c r="O967" s="32">
        <v>0</v>
      </c>
      <c r="P967" s="32">
        <v>0</v>
      </c>
      <c r="Q967" s="37">
        <f t="shared" si="28"/>
        <v>32836</v>
      </c>
      <c r="R967" s="69">
        <f t="shared" si="29"/>
        <v>27910.6</v>
      </c>
      <c r="S967" s="30"/>
      <c r="T967" s="30"/>
    </row>
    <row r="968" spans="1:20" ht="45" customHeight="1" x14ac:dyDescent="0.3">
      <c r="A968" s="36">
        <v>956</v>
      </c>
      <c r="B968" s="32" t="s">
        <v>3328</v>
      </c>
      <c r="C968" s="32" t="s">
        <v>3333</v>
      </c>
      <c r="D968" s="32" t="s">
        <v>3334</v>
      </c>
      <c r="E968" s="32">
        <v>1992</v>
      </c>
      <c r="F968" s="32" t="s">
        <v>18</v>
      </c>
      <c r="G968" s="32" t="s">
        <v>3423</v>
      </c>
      <c r="H968" s="32" t="s">
        <v>3423</v>
      </c>
      <c r="I968" s="32" t="s">
        <v>2457</v>
      </c>
      <c r="J968" s="32">
        <v>6199</v>
      </c>
      <c r="K968" s="32">
        <v>0</v>
      </c>
      <c r="L968" s="32">
        <v>0</v>
      </c>
      <c r="M968" s="32">
        <v>0</v>
      </c>
      <c r="N968" s="32">
        <f>30886+34016+27380</f>
        <v>92282</v>
      </c>
      <c r="O968" s="32">
        <v>0</v>
      </c>
      <c r="P968" s="32">
        <v>0</v>
      </c>
      <c r="Q968" s="37">
        <f t="shared" si="28"/>
        <v>98481</v>
      </c>
      <c r="R968" s="69">
        <f t="shared" si="29"/>
        <v>83708.850000000006</v>
      </c>
      <c r="S968" s="30"/>
      <c r="T968" s="30"/>
    </row>
    <row r="969" spans="1:20" ht="45" customHeight="1" x14ac:dyDescent="0.3">
      <c r="A969" s="31">
        <v>957</v>
      </c>
      <c r="B969" s="32" t="s">
        <v>3328</v>
      </c>
      <c r="C969" s="32" t="s">
        <v>3335</v>
      </c>
      <c r="D969" s="32" t="s">
        <v>74</v>
      </c>
      <c r="E969" s="32">
        <v>1993</v>
      </c>
      <c r="F969" s="32" t="s">
        <v>18</v>
      </c>
      <c r="G969" s="32" t="s">
        <v>166</v>
      </c>
      <c r="H969" s="32" t="s">
        <v>222</v>
      </c>
      <c r="I969" s="32" t="s">
        <v>265</v>
      </c>
      <c r="J969" s="32">
        <v>6199</v>
      </c>
      <c r="K969" s="32">
        <v>0</v>
      </c>
      <c r="L969" s="32">
        <v>0</v>
      </c>
      <c r="M969" s="32">
        <v>0</v>
      </c>
      <c r="N969" s="32">
        <f>34016+27380</f>
        <v>61396</v>
      </c>
      <c r="O969" s="32">
        <v>0</v>
      </c>
      <c r="P969" s="32">
        <v>0</v>
      </c>
      <c r="Q969" s="37">
        <f t="shared" si="28"/>
        <v>67595</v>
      </c>
      <c r="R969" s="69">
        <f t="shared" si="29"/>
        <v>57455.75</v>
      </c>
      <c r="S969" s="30"/>
      <c r="T969" s="30"/>
    </row>
    <row r="970" spans="1:20" ht="45" customHeight="1" x14ac:dyDescent="0.3">
      <c r="A970" s="31">
        <v>958</v>
      </c>
      <c r="B970" s="32" t="s">
        <v>3328</v>
      </c>
      <c r="C970" s="32" t="s">
        <v>3336</v>
      </c>
      <c r="D970" s="32" t="s">
        <v>62</v>
      </c>
      <c r="E970" s="32">
        <v>1988</v>
      </c>
      <c r="F970" s="32" t="s">
        <v>18</v>
      </c>
      <c r="G970" s="32" t="s">
        <v>160</v>
      </c>
      <c r="H970" s="32" t="s">
        <v>160</v>
      </c>
      <c r="I970" s="32" t="s">
        <v>259</v>
      </c>
      <c r="J970" s="32">
        <v>6199</v>
      </c>
      <c r="K970" s="32">
        <v>0</v>
      </c>
      <c r="L970" s="32">
        <v>0</v>
      </c>
      <c r="M970" s="32">
        <v>0</v>
      </c>
      <c r="N970" s="32">
        <v>15443</v>
      </c>
      <c r="O970" s="32">
        <v>0</v>
      </c>
      <c r="P970" s="32">
        <v>0</v>
      </c>
      <c r="Q970" s="37">
        <f t="shared" si="28"/>
        <v>21642</v>
      </c>
      <c r="R970" s="69">
        <f t="shared" si="29"/>
        <v>18395.7</v>
      </c>
      <c r="S970" s="30"/>
      <c r="T970" s="30"/>
    </row>
    <row r="971" spans="1:20" ht="45" customHeight="1" x14ac:dyDescent="0.3">
      <c r="A971" s="36">
        <v>959</v>
      </c>
      <c r="B971" s="32" t="s">
        <v>3328</v>
      </c>
      <c r="C971" s="32" t="s">
        <v>3337</v>
      </c>
      <c r="D971" s="32" t="s">
        <v>3338</v>
      </c>
      <c r="E971" s="32">
        <v>1991</v>
      </c>
      <c r="F971" s="32" t="s">
        <v>19</v>
      </c>
      <c r="G971" s="32" t="s">
        <v>3424</v>
      </c>
      <c r="H971" s="32" t="s">
        <v>3424</v>
      </c>
      <c r="I971" s="32" t="s">
        <v>2130</v>
      </c>
      <c r="J971" s="32">
        <v>6199</v>
      </c>
      <c r="K971" s="32">
        <f>6278+4484+1346+2332+2332+2332+2332+2332</f>
        <v>23768</v>
      </c>
      <c r="L971" s="32">
        <v>0</v>
      </c>
      <c r="M971" s="32">
        <v>0</v>
      </c>
      <c r="N971" s="32">
        <v>3179</v>
      </c>
      <c r="O971" s="32">
        <v>0</v>
      </c>
      <c r="P971" s="32">
        <f>1200+660</f>
        <v>1860</v>
      </c>
      <c r="Q971" s="37">
        <f t="shared" si="28"/>
        <v>35006</v>
      </c>
      <c r="R971" s="69">
        <f t="shared" si="29"/>
        <v>29755.1</v>
      </c>
      <c r="S971" s="30"/>
      <c r="T971" s="30"/>
    </row>
    <row r="972" spans="1:20" s="41" customFormat="1" ht="45" customHeight="1" x14ac:dyDescent="0.3">
      <c r="A972" s="31">
        <v>960</v>
      </c>
      <c r="B972" s="38" t="s">
        <v>3328</v>
      </c>
      <c r="C972" s="38" t="s">
        <v>3339</v>
      </c>
      <c r="D972" s="38" t="s">
        <v>3340</v>
      </c>
      <c r="E972" s="38">
        <v>1990</v>
      </c>
      <c r="F972" s="38" t="s">
        <v>18</v>
      </c>
      <c r="G972" s="38" t="s">
        <v>3425</v>
      </c>
      <c r="H972" s="38" t="s">
        <v>3464</v>
      </c>
      <c r="I972" s="38" t="s">
        <v>2127</v>
      </c>
      <c r="J972" s="38">
        <v>6199</v>
      </c>
      <c r="K972" s="38">
        <f>2332+4484+2332+6995+6278+4484+2332+1346+2332+2332+2332+2332+4484+4484+2332+4484+6995+6995+3228</f>
        <v>72913</v>
      </c>
      <c r="L972" s="38">
        <v>17279</v>
      </c>
      <c r="M972" s="38">
        <v>0</v>
      </c>
      <c r="N972" s="38">
        <v>1793</v>
      </c>
      <c r="O972" s="38">
        <v>0</v>
      </c>
      <c r="P972" s="38">
        <v>0</v>
      </c>
      <c r="Q972" s="37">
        <f t="shared" si="28"/>
        <v>98184</v>
      </c>
      <c r="R972" s="69">
        <f t="shared" si="29"/>
        <v>83456.399999999994</v>
      </c>
      <c r="S972" s="40"/>
      <c r="T972" s="40"/>
    </row>
    <row r="973" spans="1:20" ht="45" customHeight="1" x14ac:dyDescent="0.3">
      <c r="A973" s="31">
        <v>961</v>
      </c>
      <c r="B973" s="32" t="s">
        <v>3328</v>
      </c>
      <c r="C973" s="32" t="s">
        <v>3341</v>
      </c>
      <c r="D973" s="32" t="s">
        <v>3342</v>
      </c>
      <c r="E973" s="32">
        <v>2020</v>
      </c>
      <c r="F973" s="32" t="s">
        <v>19</v>
      </c>
      <c r="G973" s="32" t="s">
        <v>3426</v>
      </c>
      <c r="H973" s="32" t="s">
        <v>3465</v>
      </c>
      <c r="I973" s="32" t="s">
        <v>32</v>
      </c>
      <c r="J973" s="32">
        <v>6199</v>
      </c>
      <c r="K973" s="32">
        <v>0</v>
      </c>
      <c r="L973" s="32">
        <v>0</v>
      </c>
      <c r="M973" s="32">
        <v>0</v>
      </c>
      <c r="N973" s="32">
        <v>0</v>
      </c>
      <c r="O973" s="32">
        <v>0</v>
      </c>
      <c r="P973" s="32">
        <v>0</v>
      </c>
      <c r="Q973" s="37">
        <f t="shared" ref="Q973:Q1036" si="30">SUM(J973:P973)</f>
        <v>6199</v>
      </c>
      <c r="R973" s="69">
        <f t="shared" si="29"/>
        <v>5269.15</v>
      </c>
      <c r="S973" s="30"/>
      <c r="T973" s="30"/>
    </row>
    <row r="974" spans="1:20" ht="45" customHeight="1" x14ac:dyDescent="0.3">
      <c r="A974" s="36">
        <v>962</v>
      </c>
      <c r="B974" s="32" t="s">
        <v>3328</v>
      </c>
      <c r="C974" s="32" t="s">
        <v>3343</v>
      </c>
      <c r="D974" s="32" t="s">
        <v>3344</v>
      </c>
      <c r="E974" s="32">
        <v>1981</v>
      </c>
      <c r="F974" s="32" t="s">
        <v>19</v>
      </c>
      <c r="G974" s="32" t="s">
        <v>3427</v>
      </c>
      <c r="H974" s="32" t="s">
        <v>3427</v>
      </c>
      <c r="I974" s="32" t="s">
        <v>300</v>
      </c>
      <c r="J974" s="32">
        <v>6199</v>
      </c>
      <c r="K974" s="32">
        <f>6278+1346+2332+4484+2332+2332+2332+2332+6995+2332+6995</f>
        <v>40090</v>
      </c>
      <c r="L974" s="32">
        <v>0</v>
      </c>
      <c r="M974" s="32">
        <v>0</v>
      </c>
      <c r="N974" s="32">
        <f>24937+1793+1681</f>
        <v>28411</v>
      </c>
      <c r="O974" s="32">
        <v>0</v>
      </c>
      <c r="P974" s="32">
        <v>60</v>
      </c>
      <c r="Q974" s="35">
        <f t="shared" si="30"/>
        <v>74760</v>
      </c>
      <c r="R974" s="69">
        <f t="shared" ref="R974:R1037" si="31">Q974*85/100</f>
        <v>63546</v>
      </c>
      <c r="S974" s="30"/>
      <c r="T974" s="30"/>
    </row>
    <row r="975" spans="1:20" ht="45" customHeight="1" x14ac:dyDescent="0.3">
      <c r="A975" s="31">
        <v>963</v>
      </c>
      <c r="B975" s="32" t="s">
        <v>3328</v>
      </c>
      <c r="C975" s="32" t="s">
        <v>3343</v>
      </c>
      <c r="D975" s="32" t="s">
        <v>3344</v>
      </c>
      <c r="E975" s="32">
        <v>1981</v>
      </c>
      <c r="F975" s="32" t="s">
        <v>19</v>
      </c>
      <c r="G975" s="32" t="s">
        <v>3427</v>
      </c>
      <c r="H975" s="32" t="s">
        <v>3427</v>
      </c>
      <c r="I975" s="32" t="s">
        <v>300</v>
      </c>
      <c r="J975" s="32">
        <v>0</v>
      </c>
      <c r="K975" s="32">
        <v>0</v>
      </c>
      <c r="L975" s="32">
        <v>0</v>
      </c>
      <c r="M975" s="32">
        <v>17688</v>
      </c>
      <c r="N975" s="32">
        <f>1178+1681+3179</f>
        <v>6038</v>
      </c>
      <c r="O975" s="32">
        <v>0</v>
      </c>
      <c r="P975" s="32">
        <f>312+56+720+120+374+1200</f>
        <v>2782</v>
      </c>
      <c r="Q975" s="35">
        <f t="shared" si="30"/>
        <v>26508</v>
      </c>
      <c r="R975" s="69">
        <f t="shared" si="31"/>
        <v>22531.8</v>
      </c>
      <c r="S975" s="30"/>
      <c r="T975" s="30"/>
    </row>
    <row r="976" spans="1:20" ht="45" customHeight="1" x14ac:dyDescent="0.3">
      <c r="A976" s="31">
        <v>964</v>
      </c>
      <c r="B976" s="32" t="s">
        <v>3328</v>
      </c>
      <c r="C976" s="32" t="s">
        <v>3345</v>
      </c>
      <c r="D976" s="32" t="s">
        <v>3346</v>
      </c>
      <c r="E976" s="32">
        <v>2019</v>
      </c>
      <c r="F976" s="32" t="s">
        <v>19</v>
      </c>
      <c r="G976" s="32" t="s">
        <v>3428</v>
      </c>
      <c r="H976" s="32" t="s">
        <v>3466</v>
      </c>
      <c r="I976" s="32" t="s">
        <v>3495</v>
      </c>
      <c r="J976" s="32">
        <v>6199</v>
      </c>
      <c r="K976" s="32">
        <f>6278+4484+2332+1346+2332+2332+2332+2332+6995+6995+2332+6995+2332+4484</f>
        <v>53901</v>
      </c>
      <c r="L976" s="32">
        <v>0</v>
      </c>
      <c r="M976" s="32">
        <v>0</v>
      </c>
      <c r="N976" s="32">
        <v>3148</v>
      </c>
      <c r="O976" s="32">
        <v>0</v>
      </c>
      <c r="P976" s="32">
        <v>0</v>
      </c>
      <c r="Q976" s="37">
        <f t="shared" si="30"/>
        <v>63248</v>
      </c>
      <c r="R976" s="69">
        <f t="shared" si="31"/>
        <v>53760.800000000003</v>
      </c>
      <c r="S976" s="30"/>
      <c r="T976" s="30"/>
    </row>
    <row r="977" spans="1:20" ht="45" customHeight="1" x14ac:dyDescent="0.3">
      <c r="A977" s="36">
        <v>965</v>
      </c>
      <c r="B977" s="32" t="s">
        <v>3328</v>
      </c>
      <c r="C977" s="32" t="s">
        <v>3347</v>
      </c>
      <c r="D977" s="32" t="s">
        <v>3348</v>
      </c>
      <c r="E977" s="32">
        <v>2007</v>
      </c>
      <c r="F977" s="32" t="s">
        <v>19</v>
      </c>
      <c r="G977" s="32" t="s">
        <v>3429</v>
      </c>
      <c r="H977" s="32" t="s">
        <v>3467</v>
      </c>
      <c r="I977" s="32" t="s">
        <v>3496</v>
      </c>
      <c r="J977" s="32">
        <v>6199</v>
      </c>
      <c r="K977" s="32">
        <v>0</v>
      </c>
      <c r="L977" s="32">
        <v>0</v>
      </c>
      <c r="M977" s="32">
        <v>0</v>
      </c>
      <c r="N977" s="32">
        <f>15443+20188</f>
        <v>35631</v>
      </c>
      <c r="O977" s="32">
        <v>0</v>
      </c>
      <c r="P977" s="32">
        <v>0</v>
      </c>
      <c r="Q977" s="37">
        <f t="shared" si="30"/>
        <v>41830</v>
      </c>
      <c r="R977" s="69">
        <f t="shared" si="31"/>
        <v>35555.5</v>
      </c>
      <c r="S977" s="30"/>
      <c r="T977" s="30"/>
    </row>
    <row r="978" spans="1:20" ht="45" customHeight="1" x14ac:dyDescent="0.3">
      <c r="A978" s="31">
        <v>966</v>
      </c>
      <c r="B978" s="32" t="s">
        <v>3328</v>
      </c>
      <c r="C978" s="32" t="s">
        <v>3349</v>
      </c>
      <c r="D978" s="32" t="s">
        <v>3350</v>
      </c>
      <c r="E978" s="32">
        <v>2022</v>
      </c>
      <c r="F978" s="32" t="s">
        <v>19</v>
      </c>
      <c r="G978" s="32" t="s">
        <v>3430</v>
      </c>
      <c r="H978" s="32" t="s">
        <v>3468</v>
      </c>
      <c r="I978" s="32" t="s">
        <v>1279</v>
      </c>
      <c r="J978" s="32">
        <v>6199</v>
      </c>
      <c r="K978" s="32">
        <f>6278+4484+1346+4484+2332+1166+2332+2332+2332+2332</f>
        <v>29418</v>
      </c>
      <c r="L978" s="32">
        <v>0</v>
      </c>
      <c r="M978" s="32">
        <v>0</v>
      </c>
      <c r="N978" s="32">
        <v>3148</v>
      </c>
      <c r="O978" s="32">
        <v>0</v>
      </c>
      <c r="P978" s="32">
        <v>0</v>
      </c>
      <c r="Q978" s="37">
        <f t="shared" si="30"/>
        <v>38765</v>
      </c>
      <c r="R978" s="69">
        <f t="shared" si="31"/>
        <v>32950.25</v>
      </c>
      <c r="S978" s="30"/>
      <c r="T978" s="30"/>
    </row>
    <row r="979" spans="1:20" ht="45" customHeight="1" x14ac:dyDescent="0.3">
      <c r="A979" s="31">
        <v>967</v>
      </c>
      <c r="B979" s="32" t="s">
        <v>3328</v>
      </c>
      <c r="C979" s="32" t="s">
        <v>3351</v>
      </c>
      <c r="D979" s="32" t="s">
        <v>3352</v>
      </c>
      <c r="E979" s="32">
        <v>2018</v>
      </c>
      <c r="F979" s="32" t="s">
        <v>19</v>
      </c>
      <c r="G979" s="32" t="s">
        <v>3431</v>
      </c>
      <c r="H979" s="32" t="s">
        <v>3469</v>
      </c>
      <c r="I979" s="32" t="s">
        <v>1484</v>
      </c>
      <c r="J979" s="32">
        <v>6199</v>
      </c>
      <c r="K979" s="32">
        <f>6278+4484+2332+1346+2332+2332+2332+2332+6995+6995+2332+6995+2332+4484</f>
        <v>53901</v>
      </c>
      <c r="L979" s="32">
        <v>0</v>
      </c>
      <c r="M979" s="32">
        <v>0</v>
      </c>
      <c r="N979" s="32">
        <v>3148</v>
      </c>
      <c r="O979" s="32">
        <v>0</v>
      </c>
      <c r="P979" s="32">
        <v>0</v>
      </c>
      <c r="Q979" s="37">
        <f t="shared" si="30"/>
        <v>63248</v>
      </c>
      <c r="R979" s="69">
        <f t="shared" si="31"/>
        <v>53760.800000000003</v>
      </c>
      <c r="S979" s="30"/>
      <c r="T979" s="30"/>
    </row>
    <row r="980" spans="1:20" ht="45" customHeight="1" x14ac:dyDescent="0.3">
      <c r="A980" s="36">
        <v>968</v>
      </c>
      <c r="B980" s="32" t="s">
        <v>3328</v>
      </c>
      <c r="C980" s="32" t="s">
        <v>3353</v>
      </c>
      <c r="D980" s="32" t="s">
        <v>3354</v>
      </c>
      <c r="E980" s="32">
        <v>2021</v>
      </c>
      <c r="F980" s="32" t="s">
        <v>19</v>
      </c>
      <c r="G980" s="32" t="s">
        <v>3432</v>
      </c>
      <c r="H980" s="32" t="s">
        <v>3470</v>
      </c>
      <c r="I980" s="32" t="s">
        <v>1480</v>
      </c>
      <c r="J980" s="32">
        <v>6199</v>
      </c>
      <c r="K980" s="32">
        <f>1166+2801</f>
        <v>3967</v>
      </c>
      <c r="L980" s="32">
        <v>0</v>
      </c>
      <c r="M980" s="32">
        <v>0</v>
      </c>
      <c r="N980" s="32">
        <v>0</v>
      </c>
      <c r="O980" s="32">
        <v>0</v>
      </c>
      <c r="P980" s="32">
        <v>0</v>
      </c>
      <c r="Q980" s="37">
        <f t="shared" si="30"/>
        <v>10166</v>
      </c>
      <c r="R980" s="69">
        <f t="shared" si="31"/>
        <v>8641.1</v>
      </c>
      <c r="S980" s="30"/>
      <c r="T980" s="30"/>
    </row>
    <row r="981" spans="1:20" ht="45" customHeight="1" x14ac:dyDescent="0.3">
      <c r="A981" s="31">
        <v>969</v>
      </c>
      <c r="B981" s="32" t="s">
        <v>3328</v>
      </c>
      <c r="C981" s="32" t="s">
        <v>3355</v>
      </c>
      <c r="D981" s="32" t="s">
        <v>3356</v>
      </c>
      <c r="E981" s="32">
        <v>2015</v>
      </c>
      <c r="F981" s="32" t="s">
        <v>19</v>
      </c>
      <c r="G981" s="32" t="s">
        <v>3433</v>
      </c>
      <c r="H981" s="32" t="s">
        <v>3471</v>
      </c>
      <c r="I981" s="32" t="s">
        <v>3497</v>
      </c>
      <c r="J981" s="32">
        <v>6199</v>
      </c>
      <c r="K981" s="32">
        <v>0</v>
      </c>
      <c r="L981" s="32">
        <v>0</v>
      </c>
      <c r="M981" s="32">
        <v>0</v>
      </c>
      <c r="N981" s="32">
        <v>30886</v>
      </c>
      <c r="O981" s="32">
        <v>0</v>
      </c>
      <c r="P981" s="32">
        <v>0</v>
      </c>
      <c r="Q981" s="37">
        <f t="shared" si="30"/>
        <v>37085</v>
      </c>
      <c r="R981" s="69">
        <f t="shared" si="31"/>
        <v>31522.25</v>
      </c>
      <c r="S981" s="30"/>
      <c r="T981" s="30"/>
    </row>
    <row r="982" spans="1:20" ht="45" customHeight="1" x14ac:dyDescent="0.3">
      <c r="A982" s="31">
        <v>970</v>
      </c>
      <c r="B982" s="32" t="s">
        <v>3328</v>
      </c>
      <c r="C982" s="32" t="s">
        <v>3357</v>
      </c>
      <c r="D982" s="32" t="s">
        <v>3358</v>
      </c>
      <c r="E982" s="32">
        <v>2020</v>
      </c>
      <c r="F982" s="32" t="s">
        <v>18</v>
      </c>
      <c r="G982" s="32" t="s">
        <v>3434</v>
      </c>
      <c r="H982" s="32" t="s">
        <v>3472</v>
      </c>
      <c r="I982" s="32" t="s">
        <v>1483</v>
      </c>
      <c r="J982" s="32">
        <v>6199</v>
      </c>
      <c r="K982" s="32">
        <v>0</v>
      </c>
      <c r="L982" s="32">
        <v>0</v>
      </c>
      <c r="M982" s="32">
        <v>0</v>
      </c>
      <c r="N982" s="32">
        <f>15443+60787+13563</f>
        <v>89793</v>
      </c>
      <c r="O982" s="32">
        <v>0</v>
      </c>
      <c r="P982" s="32">
        <v>0</v>
      </c>
      <c r="Q982" s="37">
        <f t="shared" si="30"/>
        <v>95992</v>
      </c>
      <c r="R982" s="69">
        <f t="shared" si="31"/>
        <v>81593.2</v>
      </c>
      <c r="S982" s="30"/>
      <c r="T982" s="30"/>
    </row>
    <row r="983" spans="1:20" ht="45" customHeight="1" x14ac:dyDescent="0.3">
      <c r="A983" s="36">
        <v>971</v>
      </c>
      <c r="B983" s="32" t="s">
        <v>3328</v>
      </c>
      <c r="C983" s="32" t="s">
        <v>3359</v>
      </c>
      <c r="D983" s="32" t="s">
        <v>1934</v>
      </c>
      <c r="E983" s="32">
        <v>1995</v>
      </c>
      <c r="F983" s="32" t="s">
        <v>19</v>
      </c>
      <c r="G983" s="32" t="s">
        <v>2038</v>
      </c>
      <c r="H983" s="32" t="s">
        <v>2090</v>
      </c>
      <c r="I983" s="32" t="s">
        <v>2121</v>
      </c>
      <c r="J983" s="32">
        <v>3793</v>
      </c>
      <c r="K983" s="32">
        <v>0</v>
      </c>
      <c r="L983" s="32">
        <v>0</v>
      </c>
      <c r="M983" s="32">
        <v>0</v>
      </c>
      <c r="N983" s="32">
        <v>0</v>
      </c>
      <c r="O983" s="32">
        <v>0</v>
      </c>
      <c r="P983" s="32">
        <v>0</v>
      </c>
      <c r="Q983" s="37">
        <f t="shared" si="30"/>
        <v>3793</v>
      </c>
      <c r="R983" s="69">
        <f t="shared" si="31"/>
        <v>3224.05</v>
      </c>
      <c r="S983" s="30"/>
      <c r="T983" s="30"/>
    </row>
    <row r="984" spans="1:20" ht="45" customHeight="1" x14ac:dyDescent="0.3">
      <c r="A984" s="31">
        <v>972</v>
      </c>
      <c r="B984" s="32" t="s">
        <v>3328</v>
      </c>
      <c r="C984" s="32" t="s">
        <v>3360</v>
      </c>
      <c r="D984" s="32" t="s">
        <v>3361</v>
      </c>
      <c r="E984" s="32">
        <v>2019</v>
      </c>
      <c r="F984" s="32" t="s">
        <v>19</v>
      </c>
      <c r="G984" s="32" t="s">
        <v>3435</v>
      </c>
      <c r="H984" s="32" t="s">
        <v>3473</v>
      </c>
      <c r="I984" s="32" t="s">
        <v>1257</v>
      </c>
      <c r="J984" s="32">
        <v>6199</v>
      </c>
      <c r="K984" s="32">
        <f>6278+4484+2332+1346+2332+2332+2332+2332+2332+4484+6995+6995+2332+6995</f>
        <v>53901</v>
      </c>
      <c r="L984" s="32">
        <v>0</v>
      </c>
      <c r="M984" s="32">
        <v>0</v>
      </c>
      <c r="N984" s="32">
        <v>3148</v>
      </c>
      <c r="O984" s="32">
        <v>0</v>
      </c>
      <c r="P984" s="32">
        <v>0</v>
      </c>
      <c r="Q984" s="37">
        <f t="shared" si="30"/>
        <v>63248</v>
      </c>
      <c r="R984" s="69">
        <f t="shared" si="31"/>
        <v>53760.800000000003</v>
      </c>
      <c r="S984" s="30"/>
      <c r="T984" s="30"/>
    </row>
    <row r="985" spans="1:20" ht="45" customHeight="1" x14ac:dyDescent="0.3">
      <c r="A985" s="31">
        <v>973</v>
      </c>
      <c r="B985" s="32" t="s">
        <v>3328</v>
      </c>
      <c r="C985" s="32" t="s">
        <v>3362</v>
      </c>
      <c r="D985" s="32" t="s">
        <v>3363</v>
      </c>
      <c r="E985" s="32">
        <v>2022</v>
      </c>
      <c r="F985" s="32" t="s">
        <v>19</v>
      </c>
      <c r="G985" s="32" t="s">
        <v>3436</v>
      </c>
      <c r="H985" s="32" t="s">
        <v>3474</v>
      </c>
      <c r="I985" s="32" t="s">
        <v>556</v>
      </c>
      <c r="J985" s="32">
        <v>6199</v>
      </c>
      <c r="K985" s="32">
        <v>1166</v>
      </c>
      <c r="L985" s="32">
        <v>0</v>
      </c>
      <c r="M985" s="32">
        <v>0</v>
      </c>
      <c r="N985" s="32">
        <v>0</v>
      </c>
      <c r="O985" s="32">
        <v>0</v>
      </c>
      <c r="P985" s="32">
        <v>0</v>
      </c>
      <c r="Q985" s="37">
        <f t="shared" si="30"/>
        <v>7365</v>
      </c>
      <c r="R985" s="69">
        <f t="shared" si="31"/>
        <v>6260.25</v>
      </c>
      <c r="S985" s="30"/>
      <c r="T985" s="30" t="s">
        <v>3706</v>
      </c>
    </row>
    <row r="986" spans="1:20" ht="45" customHeight="1" x14ac:dyDescent="0.3">
      <c r="A986" s="36">
        <v>974</v>
      </c>
      <c r="B986" s="32" t="s">
        <v>3328</v>
      </c>
      <c r="C986" s="32" t="s">
        <v>3364</v>
      </c>
      <c r="D986" s="32" t="s">
        <v>3365</v>
      </c>
      <c r="E986" s="32">
        <v>2019</v>
      </c>
      <c r="F986" s="32" t="s">
        <v>19</v>
      </c>
      <c r="G986" s="32" t="s">
        <v>3437</v>
      </c>
      <c r="H986" s="32" t="s">
        <v>3475</v>
      </c>
      <c r="I986" s="32" t="s">
        <v>3498</v>
      </c>
      <c r="J986" s="32">
        <v>6199</v>
      </c>
      <c r="K986" s="32">
        <v>0</v>
      </c>
      <c r="L986" s="32">
        <v>13526</v>
      </c>
      <c r="M986" s="32">
        <v>0</v>
      </c>
      <c r="N986" s="32">
        <v>33882</v>
      </c>
      <c r="O986" s="32">
        <v>0</v>
      </c>
      <c r="P986" s="32">
        <v>0</v>
      </c>
      <c r="Q986" s="37">
        <f t="shared" si="30"/>
        <v>53607</v>
      </c>
      <c r="R986" s="69">
        <f t="shared" si="31"/>
        <v>45565.95</v>
      </c>
      <c r="S986" s="30"/>
      <c r="T986" s="30"/>
    </row>
    <row r="987" spans="1:20" ht="45" customHeight="1" x14ac:dyDescent="0.3">
      <c r="A987" s="31">
        <v>975</v>
      </c>
      <c r="B987" s="32" t="s">
        <v>3328</v>
      </c>
      <c r="C987" s="32" t="s">
        <v>3366</v>
      </c>
      <c r="D987" s="32" t="s">
        <v>3367</v>
      </c>
      <c r="E987" s="32">
        <v>2011</v>
      </c>
      <c r="F987" s="32" t="s">
        <v>19</v>
      </c>
      <c r="G987" s="32" t="s">
        <v>3438</v>
      </c>
      <c r="H987" s="32" t="s">
        <v>3476</v>
      </c>
      <c r="I987" s="32" t="s">
        <v>2120</v>
      </c>
      <c r="J987" s="32">
        <v>6199</v>
      </c>
      <c r="K987" s="32">
        <v>0</v>
      </c>
      <c r="L987" s="32">
        <v>0</v>
      </c>
      <c r="M987" s="32">
        <v>0</v>
      </c>
      <c r="N987" s="32">
        <v>0</v>
      </c>
      <c r="O987" s="32">
        <v>0</v>
      </c>
      <c r="P987" s="32">
        <v>0</v>
      </c>
      <c r="Q987" s="37">
        <f t="shared" si="30"/>
        <v>6199</v>
      </c>
      <c r="R987" s="69">
        <f t="shared" si="31"/>
        <v>5269.15</v>
      </c>
      <c r="S987" s="30"/>
      <c r="T987" s="30"/>
    </row>
    <row r="988" spans="1:20" ht="45" customHeight="1" x14ac:dyDescent="0.3">
      <c r="A988" s="31">
        <v>976</v>
      </c>
      <c r="B988" s="32" t="s">
        <v>3328</v>
      </c>
      <c r="C988" s="32" t="s">
        <v>3368</v>
      </c>
      <c r="D988" s="32" t="s">
        <v>3369</v>
      </c>
      <c r="E988" s="32">
        <v>2020</v>
      </c>
      <c r="F988" s="32" t="s">
        <v>19</v>
      </c>
      <c r="G988" s="32" t="s">
        <v>3439</v>
      </c>
      <c r="H988" s="32" t="s">
        <v>3477</v>
      </c>
      <c r="I988" s="32" t="s">
        <v>1262</v>
      </c>
      <c r="J988" s="32">
        <v>6199</v>
      </c>
      <c r="K988" s="32">
        <v>0</v>
      </c>
      <c r="L988" s="32">
        <v>0</v>
      </c>
      <c r="M988" s="32">
        <v>0</v>
      </c>
      <c r="N988" s="32">
        <f>15443+17918</f>
        <v>33361</v>
      </c>
      <c r="O988" s="32">
        <v>0</v>
      </c>
      <c r="P988" s="32">
        <v>0</v>
      </c>
      <c r="Q988" s="37">
        <f t="shared" si="30"/>
        <v>39560</v>
      </c>
      <c r="R988" s="69">
        <f t="shared" si="31"/>
        <v>33626</v>
      </c>
      <c r="S988" s="30"/>
      <c r="T988" s="30"/>
    </row>
    <row r="989" spans="1:20" ht="45" customHeight="1" x14ac:dyDescent="0.3">
      <c r="A989" s="36">
        <v>977</v>
      </c>
      <c r="B989" s="32" t="s">
        <v>3328</v>
      </c>
      <c r="C989" s="32" t="s">
        <v>3370</v>
      </c>
      <c r="D989" s="32" t="s">
        <v>3371</v>
      </c>
      <c r="E989" s="32">
        <v>2018</v>
      </c>
      <c r="F989" s="32" t="s">
        <v>19</v>
      </c>
      <c r="G989" s="32" t="s">
        <v>3440</v>
      </c>
      <c r="H989" s="32" t="s">
        <v>1844</v>
      </c>
      <c r="I989" s="32" t="s">
        <v>565</v>
      </c>
      <c r="J989" s="32">
        <v>6199</v>
      </c>
      <c r="K989" s="32">
        <v>0</v>
      </c>
      <c r="L989" s="32">
        <v>0</v>
      </c>
      <c r="M989" s="32">
        <v>0</v>
      </c>
      <c r="N989" s="32">
        <v>0</v>
      </c>
      <c r="O989" s="32">
        <v>0</v>
      </c>
      <c r="P989" s="32">
        <v>0</v>
      </c>
      <c r="Q989" s="37">
        <f t="shared" si="30"/>
        <v>6199</v>
      </c>
      <c r="R989" s="69">
        <f t="shared" si="31"/>
        <v>5269.15</v>
      </c>
      <c r="S989" s="30"/>
      <c r="T989" s="30"/>
    </row>
    <row r="990" spans="1:20" ht="45" customHeight="1" x14ac:dyDescent="0.3">
      <c r="A990" s="31">
        <v>978</v>
      </c>
      <c r="B990" s="32" t="s">
        <v>3328</v>
      </c>
      <c r="C990" s="32" t="s">
        <v>3372</v>
      </c>
      <c r="D990" s="32" t="s">
        <v>3373</v>
      </c>
      <c r="E990" s="32">
        <v>2021</v>
      </c>
      <c r="F990" s="32" t="s">
        <v>18</v>
      </c>
      <c r="G990" s="32" t="s">
        <v>3441</v>
      </c>
      <c r="H990" s="32" t="s">
        <v>3478</v>
      </c>
      <c r="I990" s="32" t="s">
        <v>3499</v>
      </c>
      <c r="J990" s="32">
        <v>6199</v>
      </c>
      <c r="K990" s="32">
        <f>6278+4484+1346+4484+2332+2332+2332+2332+2332</f>
        <v>28252</v>
      </c>
      <c r="L990" s="32">
        <v>0</v>
      </c>
      <c r="M990" s="32">
        <v>0</v>
      </c>
      <c r="N990" s="32">
        <v>3148</v>
      </c>
      <c r="O990" s="32">
        <v>0</v>
      </c>
      <c r="P990" s="32">
        <v>0</v>
      </c>
      <c r="Q990" s="37">
        <f t="shared" si="30"/>
        <v>37599</v>
      </c>
      <c r="R990" s="69">
        <f t="shared" si="31"/>
        <v>31959.15</v>
      </c>
      <c r="S990" s="30"/>
      <c r="T990" s="30"/>
    </row>
    <row r="991" spans="1:20" ht="45" customHeight="1" x14ac:dyDescent="0.3">
      <c r="A991" s="31">
        <v>979</v>
      </c>
      <c r="B991" s="32" t="s">
        <v>3328</v>
      </c>
      <c r="C991" s="32" t="s">
        <v>3374</v>
      </c>
      <c r="D991" s="32" t="s">
        <v>3375</v>
      </c>
      <c r="E991" s="32">
        <v>2021</v>
      </c>
      <c r="F991" s="32" t="s">
        <v>19</v>
      </c>
      <c r="G991" s="32" t="s">
        <v>3442</v>
      </c>
      <c r="H991" s="32" t="s">
        <v>3479</v>
      </c>
      <c r="I991" s="32" t="s">
        <v>1046</v>
      </c>
      <c r="J991" s="32">
        <v>6199</v>
      </c>
      <c r="K991" s="32">
        <v>0</v>
      </c>
      <c r="L991" s="32">
        <v>0</v>
      </c>
      <c r="M991" s="32">
        <v>0</v>
      </c>
      <c r="N991" s="32">
        <v>0</v>
      </c>
      <c r="O991" s="32">
        <v>0</v>
      </c>
      <c r="P991" s="32">
        <v>0</v>
      </c>
      <c r="Q991" s="35">
        <f t="shared" si="30"/>
        <v>6199</v>
      </c>
      <c r="R991" s="69">
        <f t="shared" si="31"/>
        <v>5269.15</v>
      </c>
      <c r="S991" s="30"/>
      <c r="T991" s="30"/>
    </row>
    <row r="992" spans="1:20" ht="45" customHeight="1" x14ac:dyDescent="0.3">
      <c r="A992" s="36">
        <v>980</v>
      </c>
      <c r="B992" s="32" t="s">
        <v>3328</v>
      </c>
      <c r="C992" s="32" t="s">
        <v>3376</v>
      </c>
      <c r="D992" s="32" t="s">
        <v>3377</v>
      </c>
      <c r="E992" s="32">
        <v>2022</v>
      </c>
      <c r="F992" s="32" t="s">
        <v>18</v>
      </c>
      <c r="G992" s="32" t="s">
        <v>3443</v>
      </c>
      <c r="H992" s="32" t="s">
        <v>3480</v>
      </c>
      <c r="I992" s="32" t="s">
        <v>3500</v>
      </c>
      <c r="J992" s="32">
        <v>6199</v>
      </c>
      <c r="K992" s="32">
        <f>6278+4484+1346+4484+2332+2332+2332+2332+2332</f>
        <v>28252</v>
      </c>
      <c r="L992" s="32">
        <v>0</v>
      </c>
      <c r="M992" s="32">
        <v>0</v>
      </c>
      <c r="N992" s="32">
        <v>3148</v>
      </c>
      <c r="O992" s="32">
        <v>0</v>
      </c>
      <c r="P992" s="32">
        <v>0</v>
      </c>
      <c r="Q992" s="37">
        <f t="shared" si="30"/>
        <v>37599</v>
      </c>
      <c r="R992" s="69">
        <f t="shared" si="31"/>
        <v>31959.15</v>
      </c>
      <c r="S992" s="30"/>
      <c r="T992" s="30"/>
    </row>
    <row r="993" spans="1:20" ht="45" customHeight="1" x14ac:dyDescent="0.3">
      <c r="A993" s="31">
        <v>981</v>
      </c>
      <c r="B993" s="32" t="s">
        <v>3328</v>
      </c>
      <c r="C993" s="32" t="s">
        <v>3378</v>
      </c>
      <c r="D993" s="32" t="s">
        <v>3379</v>
      </c>
      <c r="E993" s="32">
        <v>1973</v>
      </c>
      <c r="F993" s="32" t="s">
        <v>19</v>
      </c>
      <c r="G993" s="32" t="s">
        <v>3444</v>
      </c>
      <c r="H993" s="32" t="s">
        <v>3481</v>
      </c>
      <c r="I993" s="32" t="s">
        <v>2119</v>
      </c>
      <c r="J993" s="32">
        <v>6199</v>
      </c>
      <c r="K993" s="32">
        <v>0</v>
      </c>
      <c r="L993" s="32">
        <v>0</v>
      </c>
      <c r="M993" s="32">
        <v>0</v>
      </c>
      <c r="N993" s="32">
        <v>0</v>
      </c>
      <c r="O993" s="32">
        <v>0</v>
      </c>
      <c r="P993" s="32">
        <v>0</v>
      </c>
      <c r="Q993" s="37">
        <f t="shared" si="30"/>
        <v>6199</v>
      </c>
      <c r="R993" s="69">
        <f t="shared" si="31"/>
        <v>5269.15</v>
      </c>
      <c r="S993" s="30"/>
      <c r="T993" s="30"/>
    </row>
    <row r="994" spans="1:20" ht="45" customHeight="1" x14ac:dyDescent="0.3">
      <c r="A994" s="31">
        <v>982</v>
      </c>
      <c r="B994" s="32" t="s">
        <v>3328</v>
      </c>
      <c r="C994" s="32" t="s">
        <v>3380</v>
      </c>
      <c r="D994" s="32" t="s">
        <v>3381</v>
      </c>
      <c r="E994" s="32">
        <v>2018</v>
      </c>
      <c r="F994" s="32" t="s">
        <v>18</v>
      </c>
      <c r="G994" s="32" t="s">
        <v>3445</v>
      </c>
      <c r="H994" s="32" t="s">
        <v>3482</v>
      </c>
      <c r="I994" s="32" t="s">
        <v>2455</v>
      </c>
      <c r="J994" s="32">
        <v>6199</v>
      </c>
      <c r="K994" s="32">
        <f>6278+4484+1346+4484+2332+2332+2332+2332+2332+6995+6995+2332+6995+2332</f>
        <v>53901</v>
      </c>
      <c r="L994" s="32">
        <v>0</v>
      </c>
      <c r="M994" s="32">
        <v>0</v>
      </c>
      <c r="N994" s="32">
        <v>3148</v>
      </c>
      <c r="O994" s="32">
        <v>0</v>
      </c>
      <c r="P994" s="32">
        <v>0</v>
      </c>
      <c r="Q994" s="37">
        <f t="shared" si="30"/>
        <v>63248</v>
      </c>
      <c r="R994" s="69">
        <f t="shared" si="31"/>
        <v>53760.800000000003</v>
      </c>
      <c r="S994" s="30"/>
      <c r="T994" s="30"/>
    </row>
    <row r="995" spans="1:20" ht="45" customHeight="1" x14ac:dyDescent="0.3">
      <c r="A995" s="36">
        <v>983</v>
      </c>
      <c r="B995" s="32" t="s">
        <v>3328</v>
      </c>
      <c r="C995" s="32" t="s">
        <v>3382</v>
      </c>
      <c r="D995" s="32" t="s">
        <v>3383</v>
      </c>
      <c r="E995" s="32">
        <v>1955</v>
      </c>
      <c r="F995" s="32" t="s">
        <v>18</v>
      </c>
      <c r="G995" s="32" t="s">
        <v>3446</v>
      </c>
      <c r="H995" s="32" t="s">
        <v>3446</v>
      </c>
      <c r="I995" s="32" t="s">
        <v>253</v>
      </c>
      <c r="J995" s="32">
        <v>6199</v>
      </c>
      <c r="K995" s="32">
        <v>0</v>
      </c>
      <c r="L995" s="32">
        <v>0</v>
      </c>
      <c r="M995" s="32">
        <v>0</v>
      </c>
      <c r="N995" s="32">
        <v>0</v>
      </c>
      <c r="O995" s="32">
        <v>0</v>
      </c>
      <c r="P995" s="32">
        <v>0</v>
      </c>
      <c r="Q995" s="37">
        <f t="shared" si="30"/>
        <v>6199</v>
      </c>
      <c r="R995" s="69">
        <f t="shared" si="31"/>
        <v>5269.15</v>
      </c>
      <c r="S995" s="30"/>
      <c r="T995" s="30"/>
    </row>
    <row r="996" spans="1:20" ht="45" customHeight="1" x14ac:dyDescent="0.3">
      <c r="A996" s="31">
        <v>984</v>
      </c>
      <c r="B996" s="32" t="s">
        <v>3328</v>
      </c>
      <c r="C996" s="32" t="s">
        <v>3384</v>
      </c>
      <c r="D996" s="32" t="s">
        <v>3385</v>
      </c>
      <c r="E996" s="32">
        <v>1994</v>
      </c>
      <c r="F996" s="32" t="s">
        <v>19</v>
      </c>
      <c r="G996" s="32" t="s">
        <v>3447</v>
      </c>
      <c r="H996" s="32" t="s">
        <v>3447</v>
      </c>
      <c r="I996" s="32" t="s">
        <v>3501</v>
      </c>
      <c r="J996" s="32">
        <v>6199</v>
      </c>
      <c r="K996" s="32">
        <v>0</v>
      </c>
      <c r="L996" s="32">
        <v>0</v>
      </c>
      <c r="M996" s="32">
        <v>0</v>
      </c>
      <c r="N996" s="32">
        <v>9871</v>
      </c>
      <c r="O996" s="32">
        <v>0</v>
      </c>
      <c r="P996" s="32">
        <v>0</v>
      </c>
      <c r="Q996" s="37">
        <f t="shared" si="30"/>
        <v>16070</v>
      </c>
      <c r="R996" s="69">
        <f t="shared" si="31"/>
        <v>13659.5</v>
      </c>
      <c r="S996" s="30"/>
      <c r="T996" s="30"/>
    </row>
    <row r="997" spans="1:20" ht="45" customHeight="1" x14ac:dyDescent="0.3">
      <c r="A997" s="31">
        <v>985</v>
      </c>
      <c r="B997" s="32" t="s">
        <v>3328</v>
      </c>
      <c r="C997" s="32" t="s">
        <v>3386</v>
      </c>
      <c r="D997" s="32" t="s">
        <v>1153</v>
      </c>
      <c r="E997" s="32">
        <v>1989</v>
      </c>
      <c r="F997" s="32" t="s">
        <v>19</v>
      </c>
      <c r="G997" s="32" t="s">
        <v>1207</v>
      </c>
      <c r="H997" s="32" t="s">
        <v>1207</v>
      </c>
      <c r="I997" s="32" t="s">
        <v>1278</v>
      </c>
      <c r="J997" s="32">
        <v>3793</v>
      </c>
      <c r="K997" s="32">
        <f>2332+2332+2243</f>
        <v>6907</v>
      </c>
      <c r="L997" s="32">
        <v>0</v>
      </c>
      <c r="M997" s="32">
        <v>0</v>
      </c>
      <c r="N997" s="32">
        <v>0</v>
      </c>
      <c r="O997" s="32">
        <v>0</v>
      </c>
      <c r="P997" s="32">
        <v>0</v>
      </c>
      <c r="Q997" s="37">
        <f t="shared" si="30"/>
        <v>10700</v>
      </c>
      <c r="R997" s="69">
        <f t="shared" si="31"/>
        <v>9095</v>
      </c>
      <c r="S997" s="30"/>
      <c r="T997" s="30"/>
    </row>
    <row r="998" spans="1:20" ht="45" customHeight="1" x14ac:dyDescent="0.3">
      <c r="A998" s="36">
        <v>986</v>
      </c>
      <c r="B998" s="32" t="s">
        <v>3328</v>
      </c>
      <c r="C998" s="32" t="s">
        <v>3387</v>
      </c>
      <c r="D998" s="32" t="s">
        <v>3388</v>
      </c>
      <c r="E998" s="32">
        <v>1988</v>
      </c>
      <c r="F998" s="32" t="s">
        <v>19</v>
      </c>
      <c r="G998" s="32" t="s">
        <v>3448</v>
      </c>
      <c r="H998" s="32" t="s">
        <v>3448</v>
      </c>
      <c r="I998" s="32" t="s">
        <v>1263</v>
      </c>
      <c r="J998" s="32">
        <v>6199</v>
      </c>
      <c r="K998" s="32">
        <v>0</v>
      </c>
      <c r="L998" s="32">
        <v>0</v>
      </c>
      <c r="M998" s="32">
        <v>0</v>
      </c>
      <c r="N998" s="32">
        <v>0</v>
      </c>
      <c r="O998" s="32">
        <v>0</v>
      </c>
      <c r="P998" s="32">
        <v>0</v>
      </c>
      <c r="Q998" s="37">
        <f t="shared" si="30"/>
        <v>6199</v>
      </c>
      <c r="R998" s="69">
        <f t="shared" si="31"/>
        <v>5269.15</v>
      </c>
      <c r="S998" s="30"/>
      <c r="T998" s="30"/>
    </row>
    <row r="999" spans="1:20" ht="45" customHeight="1" x14ac:dyDescent="0.3">
      <c r="A999" s="31">
        <v>987</v>
      </c>
      <c r="B999" s="32" t="s">
        <v>3328</v>
      </c>
      <c r="C999" s="32" t="s">
        <v>3389</v>
      </c>
      <c r="D999" s="32" t="s">
        <v>3390</v>
      </c>
      <c r="E999" s="32">
        <v>2013</v>
      </c>
      <c r="F999" s="32" t="s">
        <v>19</v>
      </c>
      <c r="G999" s="32" t="s">
        <v>3449</v>
      </c>
      <c r="H999" s="32" t="s">
        <v>3483</v>
      </c>
      <c r="I999" s="32" t="s">
        <v>1263</v>
      </c>
      <c r="J999" s="32">
        <v>6199</v>
      </c>
      <c r="K999" s="32">
        <v>0</v>
      </c>
      <c r="L999" s="32">
        <v>15868</v>
      </c>
      <c r="M999" s="32">
        <v>0</v>
      </c>
      <c r="N999" s="32">
        <v>0</v>
      </c>
      <c r="O999" s="32">
        <v>0</v>
      </c>
      <c r="P999" s="32">
        <v>0</v>
      </c>
      <c r="Q999" s="37">
        <f t="shared" si="30"/>
        <v>22067</v>
      </c>
      <c r="R999" s="69">
        <f t="shared" si="31"/>
        <v>18756.95</v>
      </c>
      <c r="S999" s="30"/>
      <c r="T999" s="30"/>
    </row>
    <row r="1000" spans="1:20" ht="45" customHeight="1" x14ac:dyDescent="0.3">
      <c r="A1000" s="31">
        <v>988</v>
      </c>
      <c r="B1000" s="32" t="s">
        <v>3328</v>
      </c>
      <c r="C1000" s="32" t="s">
        <v>3391</v>
      </c>
      <c r="D1000" s="32" t="s">
        <v>3392</v>
      </c>
      <c r="E1000" s="32">
        <v>1987</v>
      </c>
      <c r="F1000" s="32" t="s">
        <v>19</v>
      </c>
      <c r="G1000" s="32" t="s">
        <v>3450</v>
      </c>
      <c r="H1000" s="32" t="s">
        <v>3484</v>
      </c>
      <c r="I1000" s="32" t="s">
        <v>3502</v>
      </c>
      <c r="J1000" s="32">
        <v>6199</v>
      </c>
      <c r="K1000" s="32">
        <v>0</v>
      </c>
      <c r="L1000" s="32">
        <v>0</v>
      </c>
      <c r="M1000" s="32">
        <v>0</v>
      </c>
      <c r="N1000" s="32">
        <v>0</v>
      </c>
      <c r="O1000" s="32">
        <v>0</v>
      </c>
      <c r="P1000" s="32">
        <v>0</v>
      </c>
      <c r="Q1000" s="37">
        <f t="shared" si="30"/>
        <v>6199</v>
      </c>
      <c r="R1000" s="69">
        <f t="shared" si="31"/>
        <v>5269.15</v>
      </c>
      <c r="S1000" s="30"/>
      <c r="T1000" s="30"/>
    </row>
    <row r="1001" spans="1:20" ht="45" customHeight="1" x14ac:dyDescent="0.3">
      <c r="A1001" s="36">
        <v>989</v>
      </c>
      <c r="B1001" s="32" t="s">
        <v>3328</v>
      </c>
      <c r="C1001" s="32" t="s">
        <v>3393</v>
      </c>
      <c r="D1001" s="32" t="s">
        <v>3394</v>
      </c>
      <c r="E1001" s="32">
        <v>1991</v>
      </c>
      <c r="F1001" s="32" t="s">
        <v>19</v>
      </c>
      <c r="G1001" s="32" t="s">
        <v>3451</v>
      </c>
      <c r="H1001" s="32" t="s">
        <v>3485</v>
      </c>
      <c r="I1001" s="32" t="s">
        <v>3503</v>
      </c>
      <c r="J1001" s="32">
        <v>6199</v>
      </c>
      <c r="K1001" s="32">
        <f>2332+2332+2243</f>
        <v>6907</v>
      </c>
      <c r="L1001" s="32">
        <v>0</v>
      </c>
      <c r="M1001" s="32">
        <v>0</v>
      </c>
      <c r="N1001" s="32">
        <v>0</v>
      </c>
      <c r="O1001" s="32">
        <v>0</v>
      </c>
      <c r="P1001" s="32">
        <v>0</v>
      </c>
      <c r="Q1001" s="37">
        <f t="shared" si="30"/>
        <v>13106</v>
      </c>
      <c r="R1001" s="69">
        <f t="shared" si="31"/>
        <v>11140.1</v>
      </c>
      <c r="S1001" s="30"/>
      <c r="T1001" s="30"/>
    </row>
    <row r="1002" spans="1:20" ht="45" customHeight="1" x14ac:dyDescent="0.3">
      <c r="A1002" s="31">
        <v>990</v>
      </c>
      <c r="B1002" s="32" t="s">
        <v>3328</v>
      </c>
      <c r="C1002" s="32" t="s">
        <v>3395</v>
      </c>
      <c r="D1002" s="32" t="s">
        <v>3396</v>
      </c>
      <c r="E1002" s="32">
        <v>1988</v>
      </c>
      <c r="F1002" s="32" t="s">
        <v>19</v>
      </c>
      <c r="G1002" s="32" t="s">
        <v>1663</v>
      </c>
      <c r="H1002" s="32" t="s">
        <v>1663</v>
      </c>
      <c r="I1002" s="32" t="s">
        <v>290</v>
      </c>
      <c r="J1002" s="32">
        <v>6199</v>
      </c>
      <c r="K1002" s="32">
        <v>0</v>
      </c>
      <c r="L1002" s="32">
        <v>0</v>
      </c>
      <c r="M1002" s="32">
        <v>0</v>
      </c>
      <c r="N1002" s="32">
        <v>0</v>
      </c>
      <c r="O1002" s="32">
        <v>0</v>
      </c>
      <c r="P1002" s="32">
        <v>0</v>
      </c>
      <c r="Q1002" s="37">
        <f t="shared" si="30"/>
        <v>6199</v>
      </c>
      <c r="R1002" s="69">
        <f t="shared" si="31"/>
        <v>5269.15</v>
      </c>
      <c r="S1002" s="30"/>
      <c r="T1002" s="30"/>
    </row>
    <row r="1003" spans="1:20" ht="45" customHeight="1" x14ac:dyDescent="0.3">
      <c r="A1003" s="31">
        <v>991</v>
      </c>
      <c r="B1003" s="32" t="s">
        <v>3328</v>
      </c>
      <c r="C1003" s="32" t="s">
        <v>3397</v>
      </c>
      <c r="D1003" s="32" t="s">
        <v>3398</v>
      </c>
      <c r="E1003" s="32">
        <v>1993</v>
      </c>
      <c r="F1003" s="32" t="s">
        <v>19</v>
      </c>
      <c r="G1003" s="32" t="s">
        <v>3452</v>
      </c>
      <c r="H1003" s="32" t="s">
        <v>3452</v>
      </c>
      <c r="I1003" s="32" t="s">
        <v>3504</v>
      </c>
      <c r="J1003" s="32">
        <v>6199</v>
      </c>
      <c r="K1003" s="32">
        <f>2332+2332+2243</f>
        <v>6907</v>
      </c>
      <c r="L1003" s="32">
        <v>0</v>
      </c>
      <c r="M1003" s="32">
        <v>0</v>
      </c>
      <c r="N1003" s="32">
        <v>0</v>
      </c>
      <c r="O1003" s="32">
        <v>0</v>
      </c>
      <c r="P1003" s="32">
        <v>0</v>
      </c>
      <c r="Q1003" s="37">
        <f t="shared" si="30"/>
        <v>13106</v>
      </c>
      <c r="R1003" s="69">
        <f t="shared" si="31"/>
        <v>11140.1</v>
      </c>
      <c r="S1003" s="30"/>
      <c r="T1003" s="30"/>
    </row>
    <row r="1004" spans="1:20" ht="45" customHeight="1" x14ac:dyDescent="0.3">
      <c r="A1004" s="36">
        <v>992</v>
      </c>
      <c r="B1004" s="32" t="s">
        <v>3328</v>
      </c>
      <c r="C1004" s="32" t="s">
        <v>3399</v>
      </c>
      <c r="D1004" s="32" t="s">
        <v>3400</v>
      </c>
      <c r="E1004" s="32">
        <v>1986</v>
      </c>
      <c r="F1004" s="32" t="s">
        <v>19</v>
      </c>
      <c r="G1004" s="32" t="s">
        <v>3453</v>
      </c>
      <c r="H1004" s="32" t="s">
        <v>3486</v>
      </c>
      <c r="I1004" s="32" t="s">
        <v>262</v>
      </c>
      <c r="J1004" s="32">
        <v>6199</v>
      </c>
      <c r="K1004" s="32">
        <f>2332+2332+2243</f>
        <v>6907</v>
      </c>
      <c r="L1004" s="32">
        <v>0</v>
      </c>
      <c r="M1004" s="32">
        <v>0</v>
      </c>
      <c r="N1004" s="32">
        <v>0</v>
      </c>
      <c r="O1004" s="32">
        <v>0</v>
      </c>
      <c r="P1004" s="32">
        <v>0</v>
      </c>
      <c r="Q1004" s="37">
        <f t="shared" si="30"/>
        <v>13106</v>
      </c>
      <c r="R1004" s="69">
        <f t="shared" si="31"/>
        <v>11140.1</v>
      </c>
      <c r="S1004" s="30"/>
      <c r="T1004" s="30"/>
    </row>
    <row r="1005" spans="1:20" ht="45" customHeight="1" x14ac:dyDescent="0.3">
      <c r="A1005" s="31">
        <v>993</v>
      </c>
      <c r="B1005" s="32" t="s">
        <v>3328</v>
      </c>
      <c r="C1005" s="32" t="s">
        <v>3401</v>
      </c>
      <c r="D1005" s="32" t="s">
        <v>3402</v>
      </c>
      <c r="E1005" s="32">
        <v>2016</v>
      </c>
      <c r="F1005" s="32" t="s">
        <v>19</v>
      </c>
      <c r="G1005" s="32" t="s">
        <v>3454</v>
      </c>
      <c r="H1005" s="32" t="s">
        <v>3487</v>
      </c>
      <c r="I1005" s="32" t="s">
        <v>3505</v>
      </c>
      <c r="J1005" s="32">
        <v>6199</v>
      </c>
      <c r="K1005" s="32">
        <f>1166+2801</f>
        <v>3967</v>
      </c>
      <c r="L1005" s="32">
        <v>0</v>
      </c>
      <c r="M1005" s="32">
        <v>0</v>
      </c>
      <c r="N1005" s="32">
        <v>0</v>
      </c>
      <c r="O1005" s="32">
        <v>0</v>
      </c>
      <c r="P1005" s="32">
        <v>0</v>
      </c>
      <c r="Q1005" s="37">
        <f t="shared" si="30"/>
        <v>10166</v>
      </c>
      <c r="R1005" s="69">
        <f t="shared" si="31"/>
        <v>8641.1</v>
      </c>
      <c r="S1005" s="30"/>
      <c r="T1005" s="30"/>
    </row>
    <row r="1006" spans="1:20" ht="45" customHeight="1" x14ac:dyDescent="0.3">
      <c r="A1006" s="31">
        <v>994</v>
      </c>
      <c r="B1006" s="32" t="s">
        <v>3328</v>
      </c>
      <c r="C1006" s="32" t="s">
        <v>3403</v>
      </c>
      <c r="D1006" s="32" t="s">
        <v>3404</v>
      </c>
      <c r="E1006" s="32">
        <v>2019</v>
      </c>
      <c r="F1006" s="32" t="s">
        <v>18</v>
      </c>
      <c r="G1006" s="32" t="s">
        <v>3455</v>
      </c>
      <c r="H1006" s="32" t="s">
        <v>3488</v>
      </c>
      <c r="I1006" s="32" t="s">
        <v>3313</v>
      </c>
      <c r="J1006" s="32">
        <v>6199</v>
      </c>
      <c r="K1006" s="32">
        <f>6278+4484+1346+4484+2332+2332+1166+2332+2332+2332+2332+6995+6995+2332+6995+3000+3000</f>
        <v>61067</v>
      </c>
      <c r="L1006" s="32">
        <v>0</v>
      </c>
      <c r="M1006" s="32">
        <v>0</v>
      </c>
      <c r="N1006" s="32">
        <v>3148</v>
      </c>
      <c r="O1006" s="32">
        <v>0</v>
      </c>
      <c r="P1006" s="32">
        <v>0</v>
      </c>
      <c r="Q1006" s="37">
        <f t="shared" si="30"/>
        <v>70414</v>
      </c>
      <c r="R1006" s="69">
        <f t="shared" si="31"/>
        <v>59851.9</v>
      </c>
      <c r="S1006" s="30"/>
      <c r="T1006" s="30"/>
    </row>
    <row r="1007" spans="1:20" ht="45" customHeight="1" x14ac:dyDescent="0.3">
      <c r="A1007" s="36">
        <v>995</v>
      </c>
      <c r="B1007" s="32" t="s">
        <v>3328</v>
      </c>
      <c r="C1007" s="32" t="s">
        <v>3405</v>
      </c>
      <c r="D1007" s="32" t="s">
        <v>3406</v>
      </c>
      <c r="E1007" s="32">
        <v>1994</v>
      </c>
      <c r="F1007" s="32" t="s">
        <v>19</v>
      </c>
      <c r="G1007" s="32" t="s">
        <v>3456</v>
      </c>
      <c r="H1007" s="32" t="s">
        <v>3489</v>
      </c>
      <c r="I1007" s="32" t="s">
        <v>3506</v>
      </c>
      <c r="J1007" s="32">
        <v>6199</v>
      </c>
      <c r="K1007" s="32">
        <f>2332+2332+2243</f>
        <v>6907</v>
      </c>
      <c r="L1007" s="32">
        <v>0</v>
      </c>
      <c r="M1007" s="32">
        <v>0</v>
      </c>
      <c r="N1007" s="32">
        <v>0</v>
      </c>
      <c r="O1007" s="32">
        <v>0</v>
      </c>
      <c r="P1007" s="32">
        <v>0</v>
      </c>
      <c r="Q1007" s="37">
        <f t="shared" si="30"/>
        <v>13106</v>
      </c>
      <c r="R1007" s="69">
        <f t="shared" si="31"/>
        <v>11140.1</v>
      </c>
      <c r="S1007" s="30"/>
      <c r="T1007" s="30"/>
    </row>
    <row r="1008" spans="1:20" ht="45" customHeight="1" x14ac:dyDescent="0.3">
      <c r="A1008" s="31">
        <v>996</v>
      </c>
      <c r="B1008" s="32" t="s">
        <v>3328</v>
      </c>
      <c r="C1008" s="32" t="s">
        <v>3407</v>
      </c>
      <c r="D1008" s="32" t="s">
        <v>3408</v>
      </c>
      <c r="E1008" s="32">
        <v>2023</v>
      </c>
      <c r="F1008" s="32" t="s">
        <v>18</v>
      </c>
      <c r="G1008" s="32" t="s">
        <v>3457</v>
      </c>
      <c r="H1008" s="32" t="s">
        <v>3490</v>
      </c>
      <c r="I1008" s="32" t="s">
        <v>1257</v>
      </c>
      <c r="J1008" s="32">
        <v>6199</v>
      </c>
      <c r="K1008" s="32">
        <v>0</v>
      </c>
      <c r="L1008" s="32">
        <v>0</v>
      </c>
      <c r="M1008" s="32">
        <v>0</v>
      </c>
      <c r="N1008" s="32">
        <v>0</v>
      </c>
      <c r="O1008" s="32">
        <v>0</v>
      </c>
      <c r="P1008" s="32">
        <v>0</v>
      </c>
      <c r="Q1008" s="37">
        <f t="shared" si="30"/>
        <v>6199</v>
      </c>
      <c r="R1008" s="69">
        <f t="shared" si="31"/>
        <v>5269.15</v>
      </c>
      <c r="S1008" s="30"/>
      <c r="T1008" s="30"/>
    </row>
    <row r="1009" spans="1:20" ht="45" customHeight="1" x14ac:dyDescent="0.3">
      <c r="A1009" s="31">
        <v>997</v>
      </c>
      <c r="B1009" s="32" t="s">
        <v>3328</v>
      </c>
      <c r="C1009" s="32" t="s">
        <v>3409</v>
      </c>
      <c r="D1009" s="32" t="s">
        <v>3410</v>
      </c>
      <c r="E1009" s="32">
        <v>1968</v>
      </c>
      <c r="F1009" s="32" t="s">
        <v>19</v>
      </c>
      <c r="G1009" s="32" t="s">
        <v>3458</v>
      </c>
      <c r="H1009" s="32" t="s">
        <v>3458</v>
      </c>
      <c r="I1009" s="32" t="s">
        <v>1066</v>
      </c>
      <c r="J1009" s="32">
        <v>6199</v>
      </c>
      <c r="K1009" s="32">
        <v>0</v>
      </c>
      <c r="L1009" s="32">
        <v>0</v>
      </c>
      <c r="M1009" s="32">
        <v>0</v>
      </c>
      <c r="N1009" s="32">
        <v>0</v>
      </c>
      <c r="O1009" s="32">
        <v>0</v>
      </c>
      <c r="P1009" s="32">
        <v>0</v>
      </c>
      <c r="Q1009" s="37">
        <f t="shared" si="30"/>
        <v>6199</v>
      </c>
      <c r="R1009" s="69">
        <f t="shared" si="31"/>
        <v>5269.15</v>
      </c>
      <c r="S1009" s="30"/>
      <c r="T1009" s="30"/>
    </row>
    <row r="1010" spans="1:20" ht="45" customHeight="1" x14ac:dyDescent="0.3">
      <c r="A1010" s="36">
        <v>998</v>
      </c>
      <c r="B1010" s="32" t="s">
        <v>3328</v>
      </c>
      <c r="C1010" s="32" t="s">
        <v>3411</v>
      </c>
      <c r="D1010" s="32" t="s">
        <v>3412</v>
      </c>
      <c r="E1010" s="32">
        <v>2023</v>
      </c>
      <c r="F1010" s="32" t="s">
        <v>18</v>
      </c>
      <c r="G1010" s="32" t="s">
        <v>3459</v>
      </c>
      <c r="H1010" s="32" t="s">
        <v>3491</v>
      </c>
      <c r="I1010" s="32" t="s">
        <v>1046</v>
      </c>
      <c r="J1010" s="32">
        <v>6199</v>
      </c>
      <c r="K1010" s="32">
        <v>0</v>
      </c>
      <c r="L1010" s="32">
        <v>0</v>
      </c>
      <c r="M1010" s="32">
        <v>0</v>
      </c>
      <c r="N1010" s="32">
        <v>0</v>
      </c>
      <c r="O1010" s="32">
        <v>0</v>
      </c>
      <c r="P1010" s="32">
        <v>0</v>
      </c>
      <c r="Q1010" s="37">
        <f t="shared" si="30"/>
        <v>6199</v>
      </c>
      <c r="R1010" s="69">
        <f t="shared" si="31"/>
        <v>5269.15</v>
      </c>
      <c r="S1010" s="30"/>
      <c r="T1010" s="30"/>
    </row>
    <row r="1011" spans="1:20" ht="45" customHeight="1" x14ac:dyDescent="0.3">
      <c r="A1011" s="31">
        <v>999</v>
      </c>
      <c r="B1011" s="32" t="s">
        <v>3328</v>
      </c>
      <c r="C1011" s="32" t="s">
        <v>3413</v>
      </c>
      <c r="D1011" s="32" t="s">
        <v>3414</v>
      </c>
      <c r="E1011" s="32">
        <v>2003</v>
      </c>
      <c r="F1011" s="32" t="s">
        <v>19</v>
      </c>
      <c r="G1011" s="32" t="s">
        <v>3460</v>
      </c>
      <c r="H1011" s="32" t="s">
        <v>3460</v>
      </c>
      <c r="I1011" s="32" t="s">
        <v>3507</v>
      </c>
      <c r="J1011" s="32">
        <v>6199</v>
      </c>
      <c r="K1011" s="32">
        <f>3587+2332+2332</f>
        <v>8251</v>
      </c>
      <c r="L1011" s="32">
        <v>9422</v>
      </c>
      <c r="M1011" s="32">
        <v>0</v>
      </c>
      <c r="N1011" s="32">
        <v>0</v>
      </c>
      <c r="O1011" s="32">
        <v>0</v>
      </c>
      <c r="P1011" s="32">
        <v>0</v>
      </c>
      <c r="Q1011" s="37">
        <f t="shared" si="30"/>
        <v>23872</v>
      </c>
      <c r="R1011" s="69">
        <f t="shared" si="31"/>
        <v>20291.2</v>
      </c>
      <c r="S1011" s="30"/>
      <c r="T1011" s="30"/>
    </row>
    <row r="1012" spans="1:20" ht="45" customHeight="1" x14ac:dyDescent="0.3">
      <c r="A1012" s="31">
        <v>1000</v>
      </c>
      <c r="B1012" s="32" t="s">
        <v>3328</v>
      </c>
      <c r="C1012" s="32" t="s">
        <v>3415</v>
      </c>
      <c r="D1012" s="32" t="s">
        <v>3416</v>
      </c>
      <c r="E1012" s="32">
        <v>2020</v>
      </c>
      <c r="F1012" s="32" t="s">
        <v>18</v>
      </c>
      <c r="G1012" s="32" t="s">
        <v>3461</v>
      </c>
      <c r="H1012" s="32" t="s">
        <v>3492</v>
      </c>
      <c r="I1012" s="32" t="s">
        <v>3508</v>
      </c>
      <c r="J1012" s="32">
        <v>6199</v>
      </c>
      <c r="K1012" s="32">
        <v>0</v>
      </c>
      <c r="L1012" s="32">
        <v>0</v>
      </c>
      <c r="M1012" s="32">
        <v>0</v>
      </c>
      <c r="N1012" s="32">
        <v>0</v>
      </c>
      <c r="O1012" s="32">
        <v>0</v>
      </c>
      <c r="P1012" s="32">
        <v>0</v>
      </c>
      <c r="Q1012" s="37">
        <f t="shared" si="30"/>
        <v>6199</v>
      </c>
      <c r="R1012" s="69">
        <f t="shared" si="31"/>
        <v>5269.15</v>
      </c>
      <c r="S1012" s="30"/>
      <c r="T1012" s="30"/>
    </row>
    <row r="1013" spans="1:20" ht="45" customHeight="1" x14ac:dyDescent="0.3">
      <c r="A1013" s="36">
        <v>1001</v>
      </c>
      <c r="B1013" s="32" t="s">
        <v>3328</v>
      </c>
      <c r="C1013" s="32" t="s">
        <v>3417</v>
      </c>
      <c r="D1013" s="32" t="s">
        <v>3418</v>
      </c>
      <c r="E1013" s="32">
        <v>2025</v>
      </c>
      <c r="F1013" s="32" t="s">
        <v>18</v>
      </c>
      <c r="G1013" s="32" t="s">
        <v>3462</v>
      </c>
      <c r="H1013" s="32" t="s">
        <v>3493</v>
      </c>
      <c r="I1013" s="32" t="s">
        <v>1473</v>
      </c>
      <c r="J1013" s="32">
        <v>6199</v>
      </c>
      <c r="K1013" s="32">
        <f>6278+4484+1346+2332+2332+2332+2332+2332+6995+6995+2332+6995+4484+2332</f>
        <v>53901</v>
      </c>
      <c r="L1013" s="32">
        <v>0</v>
      </c>
      <c r="M1013" s="32">
        <v>0</v>
      </c>
      <c r="N1013" s="32">
        <v>3148</v>
      </c>
      <c r="O1013" s="32">
        <v>0</v>
      </c>
      <c r="P1013" s="32">
        <v>0</v>
      </c>
      <c r="Q1013" s="37">
        <f t="shared" si="30"/>
        <v>63248</v>
      </c>
      <c r="R1013" s="69">
        <f t="shared" si="31"/>
        <v>53760.800000000003</v>
      </c>
      <c r="S1013" s="30"/>
      <c r="T1013" s="30"/>
    </row>
    <row r="1014" spans="1:20" ht="45" customHeight="1" x14ac:dyDescent="0.3">
      <c r="A1014" s="31">
        <v>1002</v>
      </c>
      <c r="B1014" s="32" t="s">
        <v>3328</v>
      </c>
      <c r="C1014" s="32" t="s">
        <v>3419</v>
      </c>
      <c r="D1014" s="32" t="s">
        <v>3420</v>
      </c>
      <c r="E1014" s="32">
        <v>1990</v>
      </c>
      <c r="F1014" s="32" t="s">
        <v>19</v>
      </c>
      <c r="G1014" s="32" t="s">
        <v>3463</v>
      </c>
      <c r="H1014" s="32" t="s">
        <v>3494</v>
      </c>
      <c r="I1014" s="32" t="s">
        <v>2466</v>
      </c>
      <c r="J1014" s="32">
        <v>6199</v>
      </c>
      <c r="K1014" s="32">
        <v>0</v>
      </c>
      <c r="L1014" s="32">
        <v>0</v>
      </c>
      <c r="M1014" s="32">
        <v>0</v>
      </c>
      <c r="N1014" s="32">
        <v>0</v>
      </c>
      <c r="O1014" s="32">
        <v>0</v>
      </c>
      <c r="P1014" s="32">
        <v>0</v>
      </c>
      <c r="Q1014" s="37">
        <f t="shared" si="30"/>
        <v>6199</v>
      </c>
      <c r="R1014" s="69">
        <f t="shared" si="31"/>
        <v>5269.15</v>
      </c>
      <c r="S1014" s="30"/>
      <c r="T1014" s="30"/>
    </row>
    <row r="1015" spans="1:20" ht="45" customHeight="1" x14ac:dyDescent="0.3">
      <c r="A1015" s="31">
        <v>1003</v>
      </c>
      <c r="B1015" s="32" t="s">
        <v>3328</v>
      </c>
      <c r="C1015" s="32" t="s">
        <v>7260</v>
      </c>
      <c r="D1015" s="34" t="s">
        <v>3133</v>
      </c>
      <c r="E1015" s="32">
        <v>2025</v>
      </c>
      <c r="F1015" s="32" t="s">
        <v>19</v>
      </c>
      <c r="G1015" s="32" t="s">
        <v>3235</v>
      </c>
      <c r="H1015" s="32" t="s">
        <v>3283</v>
      </c>
      <c r="I1015" s="32" t="s">
        <v>829</v>
      </c>
      <c r="J1015" s="32">
        <v>2900</v>
      </c>
      <c r="K1015" s="32">
        <v>0</v>
      </c>
      <c r="L1015" s="32">
        <v>0</v>
      </c>
      <c r="M1015" s="32">
        <v>17688</v>
      </c>
      <c r="N1015" s="32">
        <v>2088</v>
      </c>
      <c r="O1015" s="32">
        <v>0</v>
      </c>
      <c r="P1015" s="32">
        <f>1080+168</f>
        <v>1248</v>
      </c>
      <c r="Q1015" s="37">
        <f t="shared" si="30"/>
        <v>23924</v>
      </c>
      <c r="R1015" s="69">
        <f t="shared" si="31"/>
        <v>20335.400000000001</v>
      </c>
      <c r="S1015" s="30"/>
      <c r="T1015" s="30"/>
    </row>
    <row r="1016" spans="1:20" ht="45" customHeight="1" x14ac:dyDescent="0.3">
      <c r="A1016" s="36">
        <v>1004</v>
      </c>
      <c r="B1016" s="32" t="s">
        <v>3328</v>
      </c>
      <c r="C1016" s="32" t="s">
        <v>7261</v>
      </c>
      <c r="D1016" s="34" t="s">
        <v>135</v>
      </c>
      <c r="E1016" s="32">
        <v>2025</v>
      </c>
      <c r="F1016" s="32" t="s">
        <v>19</v>
      </c>
      <c r="G1016" s="32" t="s">
        <v>196</v>
      </c>
      <c r="H1016" s="32" t="s">
        <v>239</v>
      </c>
      <c r="I1016" s="32" t="s">
        <v>290</v>
      </c>
      <c r="J1016" s="32">
        <v>2900</v>
      </c>
      <c r="K1016" s="32">
        <v>0</v>
      </c>
      <c r="L1016" s="32">
        <v>0</v>
      </c>
      <c r="M1016" s="32">
        <v>0</v>
      </c>
      <c r="N1016" s="32">
        <v>2088</v>
      </c>
      <c r="O1016" s="32">
        <v>0</v>
      </c>
      <c r="P1016" s="32">
        <f>720+112</f>
        <v>832</v>
      </c>
      <c r="Q1016" s="37">
        <f t="shared" si="30"/>
        <v>5820</v>
      </c>
      <c r="R1016" s="69">
        <f t="shared" si="31"/>
        <v>4947</v>
      </c>
      <c r="S1016" s="30"/>
      <c r="T1016" s="30"/>
    </row>
    <row r="1017" spans="1:20" ht="45" customHeight="1" x14ac:dyDescent="0.3">
      <c r="A1017" s="31">
        <v>1005</v>
      </c>
      <c r="B1017" s="32" t="s">
        <v>3328</v>
      </c>
      <c r="C1017" s="32" t="s">
        <v>7262</v>
      </c>
      <c r="D1017" s="34" t="s">
        <v>2718</v>
      </c>
      <c r="E1017" s="32">
        <v>1969</v>
      </c>
      <c r="F1017" s="32" t="s">
        <v>19</v>
      </c>
      <c r="G1017" s="32" t="s">
        <v>2786</v>
      </c>
      <c r="H1017" s="32" t="s">
        <v>2828</v>
      </c>
      <c r="I1017" s="32" t="s">
        <v>300</v>
      </c>
      <c r="J1017" s="32">
        <v>2900</v>
      </c>
      <c r="K1017" s="32">
        <v>0</v>
      </c>
      <c r="L1017" s="32">
        <v>0</v>
      </c>
      <c r="M1017" s="32">
        <v>0</v>
      </c>
      <c r="N1017" s="32">
        <v>1681</v>
      </c>
      <c r="O1017" s="32">
        <v>0</v>
      </c>
      <c r="P1017" s="32">
        <f>312+56</f>
        <v>368</v>
      </c>
      <c r="Q1017" s="37">
        <f t="shared" si="30"/>
        <v>4949</v>
      </c>
      <c r="R1017" s="69">
        <f t="shared" si="31"/>
        <v>4206.6499999999996</v>
      </c>
      <c r="S1017" s="30"/>
      <c r="T1017" s="30"/>
    </row>
    <row r="1018" spans="1:20" ht="45" customHeight="1" x14ac:dyDescent="0.3">
      <c r="A1018" s="31">
        <v>1006</v>
      </c>
      <c r="B1018" s="32" t="s">
        <v>3509</v>
      </c>
      <c r="C1018" s="32" t="s">
        <v>3510</v>
      </c>
      <c r="D1018" s="32" t="s">
        <v>3511</v>
      </c>
      <c r="E1018" s="32">
        <v>2022</v>
      </c>
      <c r="F1018" s="32" t="s">
        <v>19</v>
      </c>
      <c r="G1018" s="32" t="s">
        <v>3619</v>
      </c>
      <c r="H1018" s="32" t="s">
        <v>3587</v>
      </c>
      <c r="I1018" s="32" t="s">
        <v>3668</v>
      </c>
      <c r="J1018" s="32">
        <v>6199</v>
      </c>
      <c r="K1018" s="32">
        <v>0</v>
      </c>
      <c r="L1018" s="32">
        <v>0</v>
      </c>
      <c r="M1018" s="32">
        <v>0</v>
      </c>
      <c r="N1018" s="32">
        <v>0</v>
      </c>
      <c r="O1018" s="32">
        <v>0</v>
      </c>
      <c r="P1018" s="32">
        <v>0</v>
      </c>
      <c r="Q1018" s="37">
        <f t="shared" si="30"/>
        <v>6199</v>
      </c>
      <c r="R1018" s="69">
        <f t="shared" si="31"/>
        <v>5269.15</v>
      </c>
      <c r="S1018" s="30"/>
      <c r="T1018" s="30"/>
    </row>
    <row r="1019" spans="1:20" ht="45" customHeight="1" x14ac:dyDescent="0.3">
      <c r="A1019" s="36">
        <v>1007</v>
      </c>
      <c r="B1019" s="32" t="s">
        <v>3509</v>
      </c>
      <c r="C1019" s="32" t="s">
        <v>3512</v>
      </c>
      <c r="D1019" s="32" t="s">
        <v>1743</v>
      </c>
      <c r="E1019" s="32">
        <v>2025</v>
      </c>
      <c r="F1019" s="32" t="s">
        <v>18</v>
      </c>
      <c r="G1019" s="32" t="s">
        <v>1818</v>
      </c>
      <c r="H1019" s="32" t="s">
        <v>1862</v>
      </c>
      <c r="I1019" s="32" t="s">
        <v>1890</v>
      </c>
      <c r="J1019" s="32">
        <v>6199</v>
      </c>
      <c r="K1019" s="32">
        <v>0</v>
      </c>
      <c r="L1019" s="32">
        <v>0</v>
      </c>
      <c r="M1019" s="32">
        <v>0</v>
      </c>
      <c r="N1019" s="32">
        <v>0</v>
      </c>
      <c r="O1019" s="32">
        <v>0</v>
      </c>
      <c r="P1019" s="32">
        <v>0</v>
      </c>
      <c r="Q1019" s="37">
        <f t="shared" si="30"/>
        <v>6199</v>
      </c>
      <c r="R1019" s="69">
        <f t="shared" si="31"/>
        <v>5269.15</v>
      </c>
      <c r="S1019" s="30"/>
      <c r="T1019" s="30"/>
    </row>
    <row r="1020" spans="1:20" ht="45" customHeight="1" x14ac:dyDescent="0.3">
      <c r="A1020" s="31">
        <v>1008</v>
      </c>
      <c r="B1020" s="32" t="s">
        <v>3509</v>
      </c>
      <c r="C1020" s="32" t="s">
        <v>3513</v>
      </c>
      <c r="D1020" s="32" t="s">
        <v>3514</v>
      </c>
      <c r="E1020" s="32">
        <v>1995</v>
      </c>
      <c r="F1020" s="32" t="s">
        <v>19</v>
      </c>
      <c r="G1020" s="32" t="s">
        <v>3620</v>
      </c>
      <c r="H1020" s="32" t="s">
        <v>3620</v>
      </c>
      <c r="I1020" s="32" t="s">
        <v>3500</v>
      </c>
      <c r="J1020" s="32">
        <v>6199</v>
      </c>
      <c r="K1020" s="32">
        <v>0</v>
      </c>
      <c r="L1020" s="32">
        <v>0</v>
      </c>
      <c r="M1020" s="32">
        <v>0</v>
      </c>
      <c r="N1020" s="32">
        <f>34016+27380</f>
        <v>61396</v>
      </c>
      <c r="O1020" s="32">
        <v>0</v>
      </c>
      <c r="P1020" s="32">
        <v>0</v>
      </c>
      <c r="Q1020" s="37">
        <f t="shared" si="30"/>
        <v>67595</v>
      </c>
      <c r="R1020" s="69">
        <f t="shared" si="31"/>
        <v>57455.75</v>
      </c>
      <c r="S1020" s="30"/>
      <c r="T1020" s="30"/>
    </row>
    <row r="1021" spans="1:20" s="41" customFormat="1" ht="45" customHeight="1" x14ac:dyDescent="0.3">
      <c r="A1021" s="31">
        <v>1009</v>
      </c>
      <c r="B1021" s="38" t="s">
        <v>3509</v>
      </c>
      <c r="C1021" s="38" t="s">
        <v>3515</v>
      </c>
      <c r="D1021" s="38" t="s">
        <v>3516</v>
      </c>
      <c r="E1021" s="38">
        <v>2017</v>
      </c>
      <c r="F1021" s="38" t="s">
        <v>19</v>
      </c>
      <c r="G1021" s="38" t="s">
        <v>3621</v>
      </c>
      <c r="H1021" s="38" t="s">
        <v>3588</v>
      </c>
      <c r="I1021" s="38" t="s">
        <v>2846</v>
      </c>
      <c r="J1021" s="38">
        <v>6199</v>
      </c>
      <c r="K1021" s="38">
        <f>6278+4484+1346+2332+2332+2332+2332+2332+4484+6995+6995+2332+6995+1166</f>
        <v>52735</v>
      </c>
      <c r="L1021" s="38">
        <v>0</v>
      </c>
      <c r="M1021" s="38">
        <v>0</v>
      </c>
      <c r="N1021" s="38">
        <f>2088+1178+4053+3148</f>
        <v>10467</v>
      </c>
      <c r="O1021" s="38">
        <v>0</v>
      </c>
      <c r="P1021" s="38">
        <f>720+660+720+112+792</f>
        <v>3004</v>
      </c>
      <c r="Q1021" s="37">
        <f t="shared" si="30"/>
        <v>72405</v>
      </c>
      <c r="R1021" s="69">
        <f t="shared" si="31"/>
        <v>61544.25</v>
      </c>
      <c r="S1021" s="40"/>
      <c r="T1021" s="40"/>
    </row>
    <row r="1022" spans="1:20" s="41" customFormat="1" ht="45" customHeight="1" x14ac:dyDescent="0.3">
      <c r="A1022" s="36">
        <v>1010</v>
      </c>
      <c r="B1022" s="38" t="s">
        <v>3509</v>
      </c>
      <c r="C1022" s="38" t="s">
        <v>3515</v>
      </c>
      <c r="D1022" s="38" t="s">
        <v>3516</v>
      </c>
      <c r="E1022" s="38">
        <v>2017</v>
      </c>
      <c r="F1022" s="38" t="s">
        <v>19</v>
      </c>
      <c r="G1022" s="38" t="s">
        <v>3621</v>
      </c>
      <c r="H1022" s="38" t="s">
        <v>3588</v>
      </c>
      <c r="I1022" s="38" t="s">
        <v>2846</v>
      </c>
      <c r="J1022" s="38">
        <v>0</v>
      </c>
      <c r="K1022" s="38">
        <v>0</v>
      </c>
      <c r="L1022" s="38">
        <v>0</v>
      </c>
      <c r="M1022" s="38">
        <v>17688</v>
      </c>
      <c r="N1022" s="38">
        <f>2088+1178</f>
        <v>3266</v>
      </c>
      <c r="O1022" s="38">
        <v>0</v>
      </c>
      <c r="P1022" s="38">
        <f>720+112+792</f>
        <v>1624</v>
      </c>
      <c r="Q1022" s="37">
        <f t="shared" si="30"/>
        <v>22578</v>
      </c>
      <c r="R1022" s="69">
        <f t="shared" si="31"/>
        <v>19191.3</v>
      </c>
      <c r="S1022" s="40"/>
      <c r="T1022" s="40"/>
    </row>
    <row r="1023" spans="1:20" ht="45" customHeight="1" x14ac:dyDescent="0.3">
      <c r="A1023" s="31">
        <v>1011</v>
      </c>
      <c r="B1023" s="32" t="s">
        <v>3509</v>
      </c>
      <c r="C1023" s="32" t="s">
        <v>3517</v>
      </c>
      <c r="D1023" s="32" t="s">
        <v>3518</v>
      </c>
      <c r="E1023" s="32">
        <v>1990</v>
      </c>
      <c r="F1023" s="32" t="s">
        <v>18</v>
      </c>
      <c r="G1023" s="32" t="s">
        <v>3622</v>
      </c>
      <c r="H1023" s="32" t="s">
        <v>3622</v>
      </c>
      <c r="I1023" s="32" t="s">
        <v>3319</v>
      </c>
      <c r="J1023" s="32">
        <v>6199</v>
      </c>
      <c r="K1023" s="32">
        <v>0</v>
      </c>
      <c r="L1023" s="32">
        <v>0</v>
      </c>
      <c r="M1023" s="32">
        <v>0</v>
      </c>
      <c r="N1023" s="32">
        <v>1681</v>
      </c>
      <c r="O1023" s="32">
        <v>0</v>
      </c>
      <c r="P1023" s="32">
        <v>60</v>
      </c>
      <c r="Q1023" s="37">
        <f t="shared" si="30"/>
        <v>7940</v>
      </c>
      <c r="R1023" s="69">
        <f t="shared" si="31"/>
        <v>6749</v>
      </c>
      <c r="S1023" s="30"/>
      <c r="T1023" s="30"/>
    </row>
    <row r="1024" spans="1:20" ht="45" customHeight="1" x14ac:dyDescent="0.3">
      <c r="A1024" s="31">
        <v>1012</v>
      </c>
      <c r="B1024" s="32" t="s">
        <v>3509</v>
      </c>
      <c r="C1024" s="32" t="s">
        <v>3519</v>
      </c>
      <c r="D1024" s="32" t="s">
        <v>3520</v>
      </c>
      <c r="E1024" s="32">
        <v>2024</v>
      </c>
      <c r="F1024" s="32" t="s">
        <v>19</v>
      </c>
      <c r="G1024" s="32" t="s">
        <v>3623</v>
      </c>
      <c r="H1024" s="32" t="s">
        <v>3589</v>
      </c>
      <c r="I1024" s="32" t="s">
        <v>288</v>
      </c>
      <c r="J1024" s="32">
        <v>6199</v>
      </c>
      <c r="K1024" s="32">
        <v>0</v>
      </c>
      <c r="L1024" s="32">
        <v>0</v>
      </c>
      <c r="M1024" s="32">
        <v>0</v>
      </c>
      <c r="N1024" s="32">
        <v>0</v>
      </c>
      <c r="O1024" s="32">
        <v>0</v>
      </c>
      <c r="P1024" s="32">
        <v>0</v>
      </c>
      <c r="Q1024" s="37">
        <f t="shared" si="30"/>
        <v>6199</v>
      </c>
      <c r="R1024" s="69">
        <f t="shared" si="31"/>
        <v>5269.15</v>
      </c>
      <c r="S1024" s="30"/>
      <c r="T1024" s="30"/>
    </row>
    <row r="1025" spans="1:20" ht="45" customHeight="1" x14ac:dyDescent="0.3">
      <c r="A1025" s="36">
        <v>1013</v>
      </c>
      <c r="B1025" s="32" t="s">
        <v>3509</v>
      </c>
      <c r="C1025" s="32" t="s">
        <v>3521</v>
      </c>
      <c r="D1025" s="32" t="s">
        <v>3522</v>
      </c>
      <c r="E1025" s="32">
        <v>2025</v>
      </c>
      <c r="F1025" s="32" t="s">
        <v>18</v>
      </c>
      <c r="G1025" s="32" t="s">
        <v>3624</v>
      </c>
      <c r="H1025" s="32" t="s">
        <v>3590</v>
      </c>
      <c r="I1025" s="32" t="s">
        <v>3669</v>
      </c>
      <c r="J1025" s="32">
        <v>6199</v>
      </c>
      <c r="K1025" s="32">
        <f>6278+4484+2332+1346+2332+2332+2332+6995+6995+6995+2332+4484+2332+2332</f>
        <v>53901</v>
      </c>
      <c r="L1025" s="32">
        <v>0</v>
      </c>
      <c r="M1025" s="32">
        <v>0</v>
      </c>
      <c r="N1025" s="32">
        <v>3148</v>
      </c>
      <c r="O1025" s="32">
        <v>0</v>
      </c>
      <c r="P1025" s="32">
        <v>0</v>
      </c>
      <c r="Q1025" s="37">
        <f t="shared" si="30"/>
        <v>63248</v>
      </c>
      <c r="R1025" s="69">
        <f t="shared" si="31"/>
        <v>53760.800000000003</v>
      </c>
      <c r="S1025" s="30"/>
      <c r="T1025" s="30"/>
    </row>
    <row r="1026" spans="1:20" ht="45" customHeight="1" x14ac:dyDescent="0.3">
      <c r="A1026" s="31">
        <v>1014</v>
      </c>
      <c r="B1026" s="32" t="s">
        <v>3509</v>
      </c>
      <c r="C1026" s="32" t="s">
        <v>3523</v>
      </c>
      <c r="D1026" s="32" t="s">
        <v>3524</v>
      </c>
      <c r="E1026" s="32">
        <v>1982</v>
      </c>
      <c r="F1026" s="32" t="s">
        <v>19</v>
      </c>
      <c r="G1026" s="32" t="s">
        <v>3625</v>
      </c>
      <c r="H1026" s="32" t="s">
        <v>3625</v>
      </c>
      <c r="I1026" s="32" t="s">
        <v>278</v>
      </c>
      <c r="J1026" s="32">
        <v>6199</v>
      </c>
      <c r="K1026" s="32">
        <v>0</v>
      </c>
      <c r="L1026" s="32">
        <v>13298</v>
      </c>
      <c r="M1026" s="32">
        <v>0</v>
      </c>
      <c r="N1026" s="32">
        <v>0</v>
      </c>
      <c r="O1026" s="32">
        <v>0</v>
      </c>
      <c r="P1026" s="32">
        <v>0</v>
      </c>
      <c r="Q1026" s="37">
        <f t="shared" si="30"/>
        <v>19497</v>
      </c>
      <c r="R1026" s="69">
        <f t="shared" si="31"/>
        <v>16572.45</v>
      </c>
      <c r="S1026" s="30"/>
      <c r="T1026" s="30"/>
    </row>
    <row r="1027" spans="1:20" s="41" customFormat="1" ht="45" customHeight="1" x14ac:dyDescent="0.3">
      <c r="A1027" s="31">
        <v>1015</v>
      </c>
      <c r="B1027" s="38" t="s">
        <v>3509</v>
      </c>
      <c r="C1027" s="38" t="s">
        <v>3525</v>
      </c>
      <c r="D1027" s="38" t="s">
        <v>3526</v>
      </c>
      <c r="E1027" s="38">
        <v>2008</v>
      </c>
      <c r="F1027" s="38" t="s">
        <v>19</v>
      </c>
      <c r="G1027" s="38" t="s">
        <v>3626</v>
      </c>
      <c r="H1027" s="38" t="s">
        <v>189</v>
      </c>
      <c r="I1027" s="38" t="s">
        <v>1480</v>
      </c>
      <c r="J1027" s="38">
        <v>6199</v>
      </c>
      <c r="K1027" s="38">
        <f>6278+4484+1346+4484+1166+2332+2332+2332+2332+3000+3000+6995+6995+2332+2332</f>
        <v>51740</v>
      </c>
      <c r="L1027" s="38">
        <v>0</v>
      </c>
      <c r="M1027" s="38">
        <v>0</v>
      </c>
      <c r="N1027" s="38">
        <f>1793+1178+3179+1681</f>
        <v>7831</v>
      </c>
      <c r="O1027" s="38">
        <v>0</v>
      </c>
      <c r="P1027" s="38">
        <f>720+660+144+720+120+374+60+312+56+396</f>
        <v>3562</v>
      </c>
      <c r="Q1027" s="37">
        <f t="shared" si="30"/>
        <v>69332</v>
      </c>
      <c r="R1027" s="69">
        <f t="shared" si="31"/>
        <v>58932.2</v>
      </c>
      <c r="S1027" s="40"/>
      <c r="T1027" s="40"/>
    </row>
    <row r="1028" spans="1:20" s="41" customFormat="1" ht="45" customHeight="1" x14ac:dyDescent="0.3">
      <c r="A1028" s="36">
        <v>1016</v>
      </c>
      <c r="B1028" s="38" t="s">
        <v>3509</v>
      </c>
      <c r="C1028" s="38" t="s">
        <v>3525</v>
      </c>
      <c r="D1028" s="38" t="s">
        <v>3526</v>
      </c>
      <c r="E1028" s="38">
        <v>2008</v>
      </c>
      <c r="F1028" s="38" t="s">
        <v>2635</v>
      </c>
      <c r="G1028" s="38" t="s">
        <v>3626</v>
      </c>
      <c r="H1028" s="38" t="s">
        <v>189</v>
      </c>
      <c r="I1028" s="38" t="s">
        <v>1480</v>
      </c>
      <c r="J1028" s="38">
        <v>0</v>
      </c>
      <c r="K1028" s="38">
        <v>0</v>
      </c>
      <c r="L1028" s="38">
        <v>0</v>
      </c>
      <c r="M1028" s="38">
        <v>17688</v>
      </c>
      <c r="N1028" s="38">
        <f>2088+1178</f>
        <v>3266</v>
      </c>
      <c r="O1028" s="38">
        <v>0</v>
      </c>
      <c r="P1028" s="38">
        <f>56+396+312</f>
        <v>764</v>
      </c>
      <c r="Q1028" s="37">
        <f t="shared" si="30"/>
        <v>21718</v>
      </c>
      <c r="R1028" s="69">
        <f t="shared" si="31"/>
        <v>18460.3</v>
      </c>
      <c r="S1028" s="40"/>
      <c r="T1028" s="40"/>
    </row>
    <row r="1029" spans="1:20" ht="45" customHeight="1" x14ac:dyDescent="0.3">
      <c r="A1029" s="31">
        <v>1017</v>
      </c>
      <c r="B1029" s="32" t="s">
        <v>3509</v>
      </c>
      <c r="C1029" s="32" t="s">
        <v>3527</v>
      </c>
      <c r="D1029" s="32" t="s">
        <v>3528</v>
      </c>
      <c r="E1029" s="32">
        <v>1984</v>
      </c>
      <c r="F1029" s="32" t="s">
        <v>18</v>
      </c>
      <c r="G1029" s="32" t="s">
        <v>3627</v>
      </c>
      <c r="H1029" s="32" t="s">
        <v>3627</v>
      </c>
      <c r="I1029" s="32" t="s">
        <v>3670</v>
      </c>
      <c r="J1029" s="32">
        <v>6199</v>
      </c>
      <c r="K1029" s="32">
        <v>0</v>
      </c>
      <c r="L1029" s="32">
        <v>0</v>
      </c>
      <c r="M1029" s="32">
        <v>0</v>
      </c>
      <c r="N1029" s="32">
        <v>0</v>
      </c>
      <c r="O1029" s="32">
        <v>0</v>
      </c>
      <c r="P1029" s="32">
        <v>0</v>
      </c>
      <c r="Q1029" s="37">
        <f t="shared" si="30"/>
        <v>6199</v>
      </c>
      <c r="R1029" s="69">
        <f t="shared" si="31"/>
        <v>5269.15</v>
      </c>
      <c r="S1029" s="30"/>
      <c r="T1029" s="30"/>
    </row>
    <row r="1030" spans="1:20" ht="45" customHeight="1" x14ac:dyDescent="0.3">
      <c r="A1030" s="31">
        <v>1018</v>
      </c>
      <c r="B1030" s="32" t="s">
        <v>3509</v>
      </c>
      <c r="C1030" s="32" t="s">
        <v>3529</v>
      </c>
      <c r="D1030" s="32" t="s">
        <v>3530</v>
      </c>
      <c r="E1030" s="32">
        <v>2021</v>
      </c>
      <c r="F1030" s="32" t="s">
        <v>18</v>
      </c>
      <c r="G1030" s="32" t="s">
        <v>3628</v>
      </c>
      <c r="H1030" s="32" t="s">
        <v>3591</v>
      </c>
      <c r="I1030" s="32" t="s">
        <v>3671</v>
      </c>
      <c r="J1030" s="32">
        <v>6199</v>
      </c>
      <c r="K1030" s="32">
        <v>0</v>
      </c>
      <c r="L1030" s="32">
        <v>0</v>
      </c>
      <c r="M1030" s="32">
        <v>0</v>
      </c>
      <c r="N1030" s="32">
        <v>0</v>
      </c>
      <c r="O1030" s="32">
        <v>0</v>
      </c>
      <c r="P1030" s="32">
        <v>0</v>
      </c>
      <c r="Q1030" s="37">
        <f t="shared" si="30"/>
        <v>6199</v>
      </c>
      <c r="R1030" s="69">
        <f t="shared" si="31"/>
        <v>5269.15</v>
      </c>
      <c r="S1030" s="30"/>
      <c r="T1030" s="30"/>
    </row>
    <row r="1031" spans="1:20" ht="45" customHeight="1" x14ac:dyDescent="0.3">
      <c r="A1031" s="36">
        <v>1019</v>
      </c>
      <c r="B1031" s="32" t="s">
        <v>3509</v>
      </c>
      <c r="C1031" s="32" t="s">
        <v>3531</v>
      </c>
      <c r="D1031" s="32" t="s">
        <v>3532</v>
      </c>
      <c r="E1031" s="32">
        <v>1987</v>
      </c>
      <c r="F1031" s="32" t="s">
        <v>19</v>
      </c>
      <c r="G1031" s="32" t="s">
        <v>3629</v>
      </c>
      <c r="H1031" s="32" t="s">
        <v>3629</v>
      </c>
      <c r="I1031" s="32" t="s">
        <v>3672</v>
      </c>
      <c r="J1031" s="32">
        <v>6199</v>
      </c>
      <c r="K1031" s="32">
        <f>2332+2332+2243+1346</f>
        <v>8253</v>
      </c>
      <c r="L1031" s="32">
        <v>0</v>
      </c>
      <c r="M1031" s="32">
        <v>0</v>
      </c>
      <c r="N1031" s="32">
        <v>0</v>
      </c>
      <c r="O1031" s="32">
        <v>0</v>
      </c>
      <c r="P1031" s="32">
        <v>0</v>
      </c>
      <c r="Q1031" s="37">
        <f t="shared" si="30"/>
        <v>14452</v>
      </c>
      <c r="R1031" s="69">
        <f t="shared" si="31"/>
        <v>12284.2</v>
      </c>
      <c r="S1031" s="30"/>
      <c r="T1031" s="30"/>
    </row>
    <row r="1032" spans="1:20" ht="45" customHeight="1" x14ac:dyDescent="0.3">
      <c r="A1032" s="31">
        <v>1020</v>
      </c>
      <c r="B1032" s="32" t="s">
        <v>3509</v>
      </c>
      <c r="C1032" s="32" t="s">
        <v>3533</v>
      </c>
      <c r="D1032" s="32" t="s">
        <v>3534</v>
      </c>
      <c r="E1032" s="32">
        <v>2023</v>
      </c>
      <c r="F1032" s="32" t="s">
        <v>19</v>
      </c>
      <c r="G1032" s="32" t="s">
        <v>3630</v>
      </c>
      <c r="H1032" s="32" t="s">
        <v>3592</v>
      </c>
      <c r="I1032" s="32" t="s">
        <v>34</v>
      </c>
      <c r="J1032" s="32">
        <v>6199</v>
      </c>
      <c r="K1032" s="32">
        <f>6278+4484+1346+4484+2332+2332+2332+2332+2332+2332+6995+6995+2332+6995</f>
        <v>53901</v>
      </c>
      <c r="L1032" s="32">
        <v>0</v>
      </c>
      <c r="M1032" s="32">
        <v>0</v>
      </c>
      <c r="N1032" s="32">
        <v>3148</v>
      </c>
      <c r="O1032" s="32">
        <v>0</v>
      </c>
      <c r="P1032" s="32">
        <v>0</v>
      </c>
      <c r="Q1032" s="37">
        <f t="shared" si="30"/>
        <v>63248</v>
      </c>
      <c r="R1032" s="69">
        <f t="shared" si="31"/>
        <v>53760.800000000003</v>
      </c>
      <c r="S1032" s="30"/>
      <c r="T1032" s="30"/>
    </row>
    <row r="1033" spans="1:20" ht="45" customHeight="1" x14ac:dyDescent="0.3">
      <c r="A1033" s="31">
        <v>1021</v>
      </c>
      <c r="B1033" s="32" t="s">
        <v>3509</v>
      </c>
      <c r="C1033" s="32" t="s">
        <v>3535</v>
      </c>
      <c r="D1033" s="32" t="s">
        <v>3536</v>
      </c>
      <c r="E1033" s="32">
        <v>2021</v>
      </c>
      <c r="F1033" s="32" t="s">
        <v>18</v>
      </c>
      <c r="G1033" s="32" t="s">
        <v>3631</v>
      </c>
      <c r="H1033" s="32" t="s">
        <v>3593</v>
      </c>
      <c r="I1033" s="32" t="s">
        <v>1070</v>
      </c>
      <c r="J1033" s="32">
        <v>6199</v>
      </c>
      <c r="K1033" s="32">
        <f>6278+4484+1346+4484+2332+2332+2332+2332+2332+2332+6995+6995+2332+6995</f>
        <v>53901</v>
      </c>
      <c r="L1033" s="32">
        <v>0</v>
      </c>
      <c r="M1033" s="32">
        <v>0</v>
      </c>
      <c r="N1033" s="32">
        <v>3148</v>
      </c>
      <c r="O1033" s="32">
        <v>0</v>
      </c>
      <c r="P1033" s="32">
        <v>0</v>
      </c>
      <c r="Q1033" s="37">
        <f t="shared" si="30"/>
        <v>63248</v>
      </c>
      <c r="R1033" s="69">
        <f t="shared" si="31"/>
        <v>53760.800000000003</v>
      </c>
      <c r="S1033" s="30"/>
      <c r="T1033" s="30"/>
    </row>
    <row r="1034" spans="1:20" ht="45" customHeight="1" x14ac:dyDescent="0.3">
      <c r="A1034" s="36">
        <v>1022</v>
      </c>
      <c r="B1034" s="32" t="s">
        <v>3509</v>
      </c>
      <c r="C1034" s="32" t="s">
        <v>3537</v>
      </c>
      <c r="D1034" s="32" t="s">
        <v>3538</v>
      </c>
      <c r="E1034" s="32">
        <v>1978</v>
      </c>
      <c r="F1034" s="32" t="s">
        <v>19</v>
      </c>
      <c r="G1034" s="32" t="s">
        <v>3632</v>
      </c>
      <c r="H1034" s="32" t="s">
        <v>3594</v>
      </c>
      <c r="I1034" s="32" t="s">
        <v>35</v>
      </c>
      <c r="J1034" s="32">
        <v>6199</v>
      </c>
      <c r="K1034" s="32">
        <v>0</v>
      </c>
      <c r="L1034" s="32">
        <v>0</v>
      </c>
      <c r="M1034" s="32">
        <v>0</v>
      </c>
      <c r="N1034" s="32">
        <v>0</v>
      </c>
      <c r="O1034" s="32">
        <v>0</v>
      </c>
      <c r="P1034" s="32">
        <v>0</v>
      </c>
      <c r="Q1034" s="37">
        <f t="shared" si="30"/>
        <v>6199</v>
      </c>
      <c r="R1034" s="69">
        <f t="shared" si="31"/>
        <v>5269.15</v>
      </c>
      <c r="S1034" s="30"/>
      <c r="T1034" s="30"/>
    </row>
    <row r="1035" spans="1:20" ht="45" customHeight="1" x14ac:dyDescent="0.3">
      <c r="A1035" s="31">
        <v>1023</v>
      </c>
      <c r="B1035" s="32" t="s">
        <v>3509</v>
      </c>
      <c r="C1035" s="32" t="s">
        <v>3539</v>
      </c>
      <c r="D1035" s="32" t="s">
        <v>3540</v>
      </c>
      <c r="E1035" s="32">
        <v>2001</v>
      </c>
      <c r="F1035" s="32" t="s">
        <v>18</v>
      </c>
      <c r="G1035" s="32" t="s">
        <v>3633</v>
      </c>
      <c r="H1035" s="32" t="s">
        <v>3633</v>
      </c>
      <c r="I1035" s="32" t="s">
        <v>34</v>
      </c>
      <c r="J1035" s="32">
        <v>6199</v>
      </c>
      <c r="K1035" s="32">
        <f>6278+4484+1346+2332+2332+2332+2332+2332+2332+3000+3000+3228+6995</f>
        <v>42323</v>
      </c>
      <c r="L1035" s="32">
        <v>0</v>
      </c>
      <c r="M1035" s="32">
        <v>0</v>
      </c>
      <c r="N1035" s="32">
        <v>1793</v>
      </c>
      <c r="O1035" s="32">
        <v>0</v>
      </c>
      <c r="P1035" s="32">
        <v>0</v>
      </c>
      <c r="Q1035" s="37">
        <f t="shared" si="30"/>
        <v>50315</v>
      </c>
      <c r="R1035" s="69">
        <f t="shared" si="31"/>
        <v>42767.75</v>
      </c>
      <c r="S1035" s="30"/>
      <c r="T1035" s="30"/>
    </row>
    <row r="1036" spans="1:20" ht="45" customHeight="1" x14ac:dyDescent="0.3">
      <c r="A1036" s="31">
        <v>1024</v>
      </c>
      <c r="B1036" s="32" t="s">
        <v>3509</v>
      </c>
      <c r="C1036" s="32" t="s">
        <v>3541</v>
      </c>
      <c r="D1036" s="32" t="s">
        <v>3542</v>
      </c>
      <c r="E1036" s="32">
        <v>2020</v>
      </c>
      <c r="F1036" s="32" t="s">
        <v>19</v>
      </c>
      <c r="G1036" s="32" t="s">
        <v>3634</v>
      </c>
      <c r="H1036" s="32" t="s">
        <v>3595</v>
      </c>
      <c r="I1036" s="32" t="s">
        <v>3673</v>
      </c>
      <c r="J1036" s="32">
        <v>6199</v>
      </c>
      <c r="K1036" s="32">
        <v>0</v>
      </c>
      <c r="L1036" s="32">
        <v>0</v>
      </c>
      <c r="M1036" s="32">
        <v>0</v>
      </c>
      <c r="N1036" s="32">
        <f>46329+35836</f>
        <v>82165</v>
      </c>
      <c r="O1036" s="32">
        <v>0</v>
      </c>
      <c r="P1036" s="32">
        <v>0</v>
      </c>
      <c r="Q1036" s="37">
        <f t="shared" si="30"/>
        <v>88364</v>
      </c>
      <c r="R1036" s="69">
        <f t="shared" si="31"/>
        <v>75109.399999999994</v>
      </c>
      <c r="S1036" s="30"/>
      <c r="T1036" s="30"/>
    </row>
    <row r="1037" spans="1:20" ht="45" customHeight="1" x14ac:dyDescent="0.3">
      <c r="A1037" s="36">
        <v>1025</v>
      </c>
      <c r="B1037" s="32" t="s">
        <v>3509</v>
      </c>
      <c r="C1037" s="32" t="s">
        <v>3543</v>
      </c>
      <c r="D1037" s="32" t="s">
        <v>3544</v>
      </c>
      <c r="E1037" s="32">
        <v>2014</v>
      </c>
      <c r="F1037" s="32" t="s">
        <v>18</v>
      </c>
      <c r="G1037" s="32" t="s">
        <v>3635</v>
      </c>
      <c r="H1037" s="32" t="s">
        <v>3281</v>
      </c>
      <c r="I1037" s="32" t="s">
        <v>2846</v>
      </c>
      <c r="J1037" s="32">
        <v>6199</v>
      </c>
      <c r="K1037" s="32">
        <v>0</v>
      </c>
      <c r="L1037" s="32">
        <v>0</v>
      </c>
      <c r="M1037" s="32">
        <v>0</v>
      </c>
      <c r="N1037" s="32">
        <v>0</v>
      </c>
      <c r="O1037" s="32">
        <v>0</v>
      </c>
      <c r="P1037" s="32">
        <v>0</v>
      </c>
      <c r="Q1037" s="37">
        <f t="shared" ref="Q1037:Q1100" si="32">SUM(J1037:P1037)</f>
        <v>6199</v>
      </c>
      <c r="R1037" s="69">
        <f t="shared" si="31"/>
        <v>5269.15</v>
      </c>
      <c r="S1037" s="30"/>
      <c r="T1037" s="30"/>
    </row>
    <row r="1038" spans="1:20" ht="45" customHeight="1" x14ac:dyDescent="0.3">
      <c r="A1038" s="31">
        <v>1026</v>
      </c>
      <c r="B1038" s="32" t="s">
        <v>3509</v>
      </c>
      <c r="C1038" s="32" t="s">
        <v>3545</v>
      </c>
      <c r="D1038" s="32" t="s">
        <v>1747</v>
      </c>
      <c r="E1038" s="32">
        <v>2023</v>
      </c>
      <c r="F1038" s="32" t="s">
        <v>19</v>
      </c>
      <c r="G1038" s="32" t="s">
        <v>1820</v>
      </c>
      <c r="H1038" s="32" t="s">
        <v>1864</v>
      </c>
      <c r="I1038" s="32" t="s">
        <v>1892</v>
      </c>
      <c r="J1038" s="32">
        <v>3793</v>
      </c>
      <c r="K1038" s="32">
        <v>0</v>
      </c>
      <c r="L1038" s="32">
        <v>0</v>
      </c>
      <c r="M1038" s="32">
        <v>0</v>
      </c>
      <c r="N1038" s="32">
        <v>0</v>
      </c>
      <c r="O1038" s="32">
        <v>0</v>
      </c>
      <c r="P1038" s="32">
        <v>0</v>
      </c>
      <c r="Q1038" s="37">
        <f t="shared" si="32"/>
        <v>3793</v>
      </c>
      <c r="R1038" s="69">
        <f t="shared" ref="R1038:R1101" si="33">Q1038*85/100</f>
        <v>3224.05</v>
      </c>
      <c r="S1038" s="30"/>
      <c r="T1038" s="30"/>
    </row>
    <row r="1039" spans="1:20" ht="45" customHeight="1" x14ac:dyDescent="0.3">
      <c r="A1039" s="31">
        <v>1027</v>
      </c>
      <c r="B1039" s="32" t="s">
        <v>3509</v>
      </c>
      <c r="C1039" s="32" t="s">
        <v>3546</v>
      </c>
      <c r="D1039" s="32" t="s">
        <v>3547</v>
      </c>
      <c r="E1039" s="32">
        <v>1983</v>
      </c>
      <c r="F1039" s="32" t="s">
        <v>19</v>
      </c>
      <c r="G1039" s="32" t="s">
        <v>3636</v>
      </c>
      <c r="H1039" s="32" t="s">
        <v>3636</v>
      </c>
      <c r="I1039" s="32" t="s">
        <v>3674</v>
      </c>
      <c r="J1039" s="32">
        <v>6199</v>
      </c>
      <c r="K1039" s="32">
        <f>2332+2332+2243+6278+2332+2332+2332+2332+2332</f>
        <v>24845</v>
      </c>
      <c r="L1039" s="32">
        <v>17279</v>
      </c>
      <c r="M1039" s="32">
        <v>0</v>
      </c>
      <c r="N1039" s="32">
        <v>1793</v>
      </c>
      <c r="O1039" s="32">
        <v>0</v>
      </c>
      <c r="P1039" s="32">
        <v>0</v>
      </c>
      <c r="Q1039" s="37">
        <f t="shared" si="32"/>
        <v>50116</v>
      </c>
      <c r="R1039" s="69">
        <f t="shared" si="33"/>
        <v>42598.6</v>
      </c>
      <c r="S1039" s="30"/>
      <c r="T1039" s="30"/>
    </row>
    <row r="1040" spans="1:20" ht="45" customHeight="1" x14ac:dyDescent="0.3">
      <c r="A1040" s="36">
        <v>1028</v>
      </c>
      <c r="B1040" s="32" t="s">
        <v>3509</v>
      </c>
      <c r="C1040" s="32" t="s">
        <v>3548</v>
      </c>
      <c r="D1040" s="32" t="s">
        <v>3549</v>
      </c>
      <c r="E1040" s="32">
        <v>1998</v>
      </c>
      <c r="F1040" s="32" t="s">
        <v>19</v>
      </c>
      <c r="G1040" s="32" t="s">
        <v>3637</v>
      </c>
      <c r="H1040" s="32" t="s">
        <v>3637</v>
      </c>
      <c r="I1040" s="32" t="s">
        <v>3675</v>
      </c>
      <c r="J1040" s="32">
        <v>6199</v>
      </c>
      <c r="K1040" s="32">
        <v>0</v>
      </c>
      <c r="L1040" s="32">
        <v>18406</v>
      </c>
      <c r="M1040" s="32">
        <v>0</v>
      </c>
      <c r="N1040" s="32">
        <v>0</v>
      </c>
      <c r="O1040" s="32">
        <v>0</v>
      </c>
      <c r="P1040" s="32">
        <v>0</v>
      </c>
      <c r="Q1040" s="37">
        <f t="shared" si="32"/>
        <v>24605</v>
      </c>
      <c r="R1040" s="69">
        <f t="shared" si="33"/>
        <v>20914.25</v>
      </c>
      <c r="S1040" s="30"/>
      <c r="T1040" s="30"/>
    </row>
    <row r="1041" spans="1:20" s="41" customFormat="1" ht="45" customHeight="1" x14ac:dyDescent="0.3">
      <c r="A1041" s="31">
        <v>1029</v>
      </c>
      <c r="B1041" s="38" t="s">
        <v>3509</v>
      </c>
      <c r="C1041" s="38" t="s">
        <v>3550</v>
      </c>
      <c r="D1041" s="38" t="s">
        <v>2253</v>
      </c>
      <c r="E1041" s="38">
        <v>2022</v>
      </c>
      <c r="F1041" s="38" t="s">
        <v>18</v>
      </c>
      <c r="G1041" s="38" t="s">
        <v>2365</v>
      </c>
      <c r="H1041" s="38" t="s">
        <v>2420</v>
      </c>
      <c r="I1041" s="38" t="s">
        <v>34</v>
      </c>
      <c r="J1041" s="38">
        <v>6199</v>
      </c>
      <c r="K1041" s="38">
        <v>0</v>
      </c>
      <c r="L1041" s="38">
        <v>0</v>
      </c>
      <c r="M1041" s="38">
        <v>0</v>
      </c>
      <c r="N1041" s="38">
        <f>15443+121574+27126</f>
        <v>164143</v>
      </c>
      <c r="O1041" s="38">
        <v>0</v>
      </c>
      <c r="P1041" s="38">
        <v>0</v>
      </c>
      <c r="Q1041" s="37">
        <f t="shared" si="32"/>
        <v>170342</v>
      </c>
      <c r="R1041" s="69">
        <f t="shared" si="33"/>
        <v>144790.70000000001</v>
      </c>
      <c r="S1041" s="40"/>
      <c r="T1041" s="40"/>
    </row>
    <row r="1042" spans="1:20" ht="45" customHeight="1" x14ac:dyDescent="0.3">
      <c r="A1042" s="31">
        <v>1030</v>
      </c>
      <c r="B1042" s="32" t="s">
        <v>3509</v>
      </c>
      <c r="C1042" s="32" t="s">
        <v>3551</v>
      </c>
      <c r="D1042" s="32" t="s">
        <v>3552</v>
      </c>
      <c r="E1042" s="32">
        <v>1999</v>
      </c>
      <c r="F1042" s="32" t="s">
        <v>19</v>
      </c>
      <c r="G1042" s="32" t="s">
        <v>3638</v>
      </c>
      <c r="H1042" s="32" t="s">
        <v>3638</v>
      </c>
      <c r="I1042" s="32" t="s">
        <v>3676</v>
      </c>
      <c r="J1042" s="32">
        <v>6199</v>
      </c>
      <c r="K1042" s="32">
        <f>2332+2332+2243+1166</f>
        <v>8073</v>
      </c>
      <c r="L1042" s="32">
        <v>0</v>
      </c>
      <c r="M1042" s="32">
        <v>0</v>
      </c>
      <c r="N1042" s="32">
        <v>0</v>
      </c>
      <c r="O1042" s="32">
        <v>0</v>
      </c>
      <c r="P1042" s="32">
        <v>0</v>
      </c>
      <c r="Q1042" s="37">
        <f t="shared" si="32"/>
        <v>14272</v>
      </c>
      <c r="R1042" s="69">
        <f t="shared" si="33"/>
        <v>12131.2</v>
      </c>
      <c r="S1042" s="30"/>
      <c r="T1042" s="30"/>
    </row>
    <row r="1043" spans="1:20" s="41" customFormat="1" ht="45" customHeight="1" x14ac:dyDescent="0.3">
      <c r="A1043" s="36">
        <v>1031</v>
      </c>
      <c r="B1043" s="38" t="s">
        <v>3509</v>
      </c>
      <c r="C1043" s="38" t="s">
        <v>3553</v>
      </c>
      <c r="D1043" s="38" t="s">
        <v>3554</v>
      </c>
      <c r="E1043" s="38">
        <v>2023</v>
      </c>
      <c r="F1043" s="38" t="s">
        <v>19</v>
      </c>
      <c r="G1043" s="38" t="s">
        <v>3639</v>
      </c>
      <c r="H1043" s="38" t="s">
        <v>3596</v>
      </c>
      <c r="I1043" s="38" t="s">
        <v>3677</v>
      </c>
      <c r="J1043" s="38">
        <v>6199</v>
      </c>
      <c r="K1043" s="38">
        <v>0</v>
      </c>
      <c r="L1043" s="38">
        <v>0</v>
      </c>
      <c r="M1043" s="38">
        <v>0</v>
      </c>
      <c r="N1043" s="38">
        <v>0</v>
      </c>
      <c r="O1043" s="38">
        <v>0</v>
      </c>
      <c r="P1043" s="38">
        <v>0</v>
      </c>
      <c r="Q1043" s="37">
        <f t="shared" si="32"/>
        <v>6199</v>
      </c>
      <c r="R1043" s="69">
        <f t="shared" si="33"/>
        <v>5269.15</v>
      </c>
      <c r="S1043" s="40"/>
      <c r="T1043" s="40"/>
    </row>
    <row r="1044" spans="1:20" ht="45" customHeight="1" x14ac:dyDescent="0.3">
      <c r="A1044" s="31">
        <v>1032</v>
      </c>
      <c r="B1044" s="32" t="s">
        <v>3509</v>
      </c>
      <c r="C1044" s="32" t="s">
        <v>3555</v>
      </c>
      <c r="D1044" s="32" t="s">
        <v>3556</v>
      </c>
      <c r="E1044" s="32">
        <v>2024</v>
      </c>
      <c r="F1044" s="32" t="s">
        <v>18</v>
      </c>
      <c r="G1044" s="32" t="s">
        <v>3640</v>
      </c>
      <c r="H1044" s="32" t="s">
        <v>3597</v>
      </c>
      <c r="I1044" s="32" t="s">
        <v>1075</v>
      </c>
      <c r="J1044" s="32">
        <v>6199</v>
      </c>
      <c r="K1044" s="32">
        <v>0</v>
      </c>
      <c r="L1044" s="32">
        <v>0</v>
      </c>
      <c r="M1044" s="32">
        <v>0</v>
      </c>
      <c r="N1044" s="32">
        <v>0</v>
      </c>
      <c r="O1044" s="32">
        <v>0</v>
      </c>
      <c r="P1044" s="32">
        <v>0</v>
      </c>
      <c r="Q1044" s="37">
        <f t="shared" si="32"/>
        <v>6199</v>
      </c>
      <c r="R1044" s="69">
        <f t="shared" si="33"/>
        <v>5269.15</v>
      </c>
      <c r="S1044" s="30"/>
      <c r="T1044" s="30"/>
    </row>
    <row r="1045" spans="1:20" s="41" customFormat="1" ht="45" customHeight="1" x14ac:dyDescent="0.3">
      <c r="A1045" s="31">
        <v>1033</v>
      </c>
      <c r="B1045" s="38" t="s">
        <v>3509</v>
      </c>
      <c r="C1045" s="38" t="s">
        <v>3557</v>
      </c>
      <c r="D1045" s="38" t="s">
        <v>1580</v>
      </c>
      <c r="E1045" s="38">
        <v>1989</v>
      </c>
      <c r="F1045" s="38" t="s">
        <v>18</v>
      </c>
      <c r="G1045" s="38" t="s">
        <v>1644</v>
      </c>
      <c r="H1045" s="38" t="s">
        <v>1676</v>
      </c>
      <c r="I1045" s="38" t="s">
        <v>1706</v>
      </c>
      <c r="J1045" s="38">
        <v>3793</v>
      </c>
      <c r="K1045" s="38">
        <v>0</v>
      </c>
      <c r="L1045" s="38">
        <v>0</v>
      </c>
      <c r="M1045" s="38">
        <v>0</v>
      </c>
      <c r="N1045" s="38">
        <f>34016+27380</f>
        <v>61396</v>
      </c>
      <c r="O1045" s="38">
        <v>0</v>
      </c>
      <c r="P1045" s="38">
        <v>0</v>
      </c>
      <c r="Q1045" s="37">
        <f t="shared" si="32"/>
        <v>65189</v>
      </c>
      <c r="R1045" s="69">
        <f t="shared" si="33"/>
        <v>55410.65</v>
      </c>
      <c r="S1045" s="40"/>
      <c r="T1045" s="40"/>
    </row>
    <row r="1046" spans="1:20" ht="45" customHeight="1" x14ac:dyDescent="0.3">
      <c r="A1046" s="36">
        <v>1034</v>
      </c>
      <c r="B1046" s="32" t="s">
        <v>3509</v>
      </c>
      <c r="C1046" s="32" t="s">
        <v>3558</v>
      </c>
      <c r="D1046" s="32" t="s">
        <v>3410</v>
      </c>
      <c r="E1046" s="32">
        <v>1968</v>
      </c>
      <c r="F1046" s="32" t="s">
        <v>19</v>
      </c>
      <c r="G1046" s="32" t="s">
        <v>3458</v>
      </c>
      <c r="H1046" s="32" t="s">
        <v>3458</v>
      </c>
      <c r="I1046" s="32" t="s">
        <v>1066</v>
      </c>
      <c r="J1046" s="32">
        <v>0</v>
      </c>
      <c r="K1046" s="32">
        <f>2332+2332+2243</f>
        <v>6907</v>
      </c>
      <c r="L1046" s="32">
        <v>0</v>
      </c>
      <c r="M1046" s="32">
        <v>0</v>
      </c>
      <c r="N1046" s="32">
        <v>0</v>
      </c>
      <c r="O1046" s="32">
        <v>0</v>
      </c>
      <c r="P1046" s="32">
        <v>0</v>
      </c>
      <c r="Q1046" s="37">
        <f t="shared" si="32"/>
        <v>6907</v>
      </c>
      <c r="R1046" s="69">
        <f t="shared" si="33"/>
        <v>5870.95</v>
      </c>
      <c r="S1046" s="30"/>
      <c r="T1046" s="30"/>
    </row>
    <row r="1047" spans="1:20" ht="45" customHeight="1" x14ac:dyDescent="0.3">
      <c r="A1047" s="31">
        <v>1035</v>
      </c>
      <c r="B1047" s="32" t="s">
        <v>3509</v>
      </c>
      <c r="C1047" s="32" t="s">
        <v>3559</v>
      </c>
      <c r="D1047" s="32" t="s">
        <v>3560</v>
      </c>
      <c r="E1047" s="32">
        <v>2014</v>
      </c>
      <c r="F1047" s="32" t="s">
        <v>18</v>
      </c>
      <c r="G1047" s="32" t="s">
        <v>3641</v>
      </c>
      <c r="H1047" s="32" t="s">
        <v>3598</v>
      </c>
      <c r="I1047" s="32" t="s">
        <v>300</v>
      </c>
      <c r="J1047" s="32">
        <v>6199</v>
      </c>
      <c r="K1047" s="32">
        <f>6278+4484+2332+1346+2332+2332+2332+2332+6995+6995+2332+6995+2332+4484</f>
        <v>53901</v>
      </c>
      <c r="L1047" s="32">
        <v>0</v>
      </c>
      <c r="M1047" s="32">
        <v>0</v>
      </c>
      <c r="N1047" s="32">
        <v>3148</v>
      </c>
      <c r="O1047" s="32">
        <v>0</v>
      </c>
      <c r="P1047" s="32">
        <v>0</v>
      </c>
      <c r="Q1047" s="37">
        <f t="shared" si="32"/>
        <v>63248</v>
      </c>
      <c r="R1047" s="69">
        <f t="shared" si="33"/>
        <v>53760.800000000003</v>
      </c>
      <c r="S1047" s="30"/>
      <c r="T1047" s="30"/>
    </row>
    <row r="1048" spans="1:20" ht="45" customHeight="1" x14ac:dyDescent="0.3">
      <c r="A1048" s="31">
        <v>1036</v>
      </c>
      <c r="B1048" s="32" t="s">
        <v>3509</v>
      </c>
      <c r="C1048" s="32" t="s">
        <v>3561</v>
      </c>
      <c r="D1048" s="32" t="s">
        <v>3562</v>
      </c>
      <c r="E1048" s="32">
        <v>1979</v>
      </c>
      <c r="F1048" s="32" t="s">
        <v>18</v>
      </c>
      <c r="G1048" s="32" t="s">
        <v>3642</v>
      </c>
      <c r="H1048" s="32" t="s">
        <v>3642</v>
      </c>
      <c r="I1048" s="32" t="s">
        <v>3497</v>
      </c>
      <c r="J1048" s="32">
        <v>6199</v>
      </c>
      <c r="K1048" s="32">
        <v>1166</v>
      </c>
      <c r="L1048" s="32">
        <v>0</v>
      </c>
      <c r="M1048" s="32">
        <v>0</v>
      </c>
      <c r="N1048" s="32">
        <v>0</v>
      </c>
      <c r="O1048" s="32">
        <v>0</v>
      </c>
      <c r="P1048" s="32">
        <v>0</v>
      </c>
      <c r="Q1048" s="37">
        <f t="shared" si="32"/>
        <v>7365</v>
      </c>
      <c r="R1048" s="69">
        <f t="shared" si="33"/>
        <v>6260.25</v>
      </c>
      <c r="S1048" s="30"/>
      <c r="T1048" s="30"/>
    </row>
    <row r="1049" spans="1:20" s="41" customFormat="1" ht="45" customHeight="1" x14ac:dyDescent="0.3">
      <c r="A1049" s="36">
        <v>1037</v>
      </c>
      <c r="B1049" s="38" t="s">
        <v>3509</v>
      </c>
      <c r="C1049" s="38" t="s">
        <v>7364</v>
      </c>
      <c r="D1049" s="38" t="s">
        <v>3563</v>
      </c>
      <c r="E1049" s="38">
        <v>2025</v>
      </c>
      <c r="F1049" s="38" t="s">
        <v>19</v>
      </c>
      <c r="G1049" s="38" t="s">
        <v>3643</v>
      </c>
      <c r="H1049" s="38" t="s">
        <v>3599</v>
      </c>
      <c r="I1049" s="38" t="s">
        <v>2622</v>
      </c>
      <c r="J1049" s="38">
        <v>6199</v>
      </c>
      <c r="K1049" s="38">
        <f>6278+4484+1346</f>
        <v>12108</v>
      </c>
      <c r="L1049" s="38">
        <v>0</v>
      </c>
      <c r="M1049" s="38">
        <v>0</v>
      </c>
      <c r="N1049" s="38">
        <v>3148</v>
      </c>
      <c r="O1049" s="38">
        <v>0</v>
      </c>
      <c r="P1049" s="38">
        <v>0</v>
      </c>
      <c r="Q1049" s="37">
        <f t="shared" si="32"/>
        <v>21455</v>
      </c>
      <c r="R1049" s="69">
        <f t="shared" si="33"/>
        <v>18236.75</v>
      </c>
      <c r="S1049" s="40"/>
      <c r="T1049" s="40"/>
    </row>
    <row r="1050" spans="1:20" ht="45" customHeight="1" x14ac:dyDescent="0.3">
      <c r="A1050" s="31">
        <v>1038</v>
      </c>
      <c r="B1050" s="32" t="s">
        <v>3509</v>
      </c>
      <c r="C1050" s="32" t="s">
        <v>7365</v>
      </c>
      <c r="D1050" s="32" t="s">
        <v>424</v>
      </c>
      <c r="E1050" s="32">
        <v>2020</v>
      </c>
      <c r="F1050" s="32" t="s">
        <v>19</v>
      </c>
      <c r="G1050" s="32" t="s">
        <v>3644</v>
      </c>
      <c r="H1050" s="32" t="s">
        <v>3600</v>
      </c>
      <c r="I1050" s="32" t="s">
        <v>3679</v>
      </c>
      <c r="J1050" s="32">
        <v>6199</v>
      </c>
      <c r="K1050" s="32">
        <v>0</v>
      </c>
      <c r="L1050" s="32">
        <v>0</v>
      </c>
      <c r="M1050" s="32">
        <v>0</v>
      </c>
      <c r="N1050" s="32">
        <v>30758</v>
      </c>
      <c r="O1050" s="32">
        <v>0</v>
      </c>
      <c r="P1050" s="32">
        <v>0</v>
      </c>
      <c r="Q1050" s="37">
        <f t="shared" si="32"/>
        <v>36957</v>
      </c>
      <c r="R1050" s="69">
        <f t="shared" si="33"/>
        <v>31413.45</v>
      </c>
      <c r="S1050" s="30"/>
      <c r="T1050" s="30"/>
    </row>
    <row r="1051" spans="1:20" ht="45" customHeight="1" x14ac:dyDescent="0.3">
      <c r="A1051" s="31">
        <v>1039</v>
      </c>
      <c r="B1051" s="32" t="s">
        <v>3509</v>
      </c>
      <c r="C1051" s="32" t="s">
        <v>7366</v>
      </c>
      <c r="D1051" s="32" t="s">
        <v>3564</v>
      </c>
      <c r="E1051" s="32">
        <v>2007</v>
      </c>
      <c r="F1051" s="32" t="s">
        <v>18</v>
      </c>
      <c r="G1051" s="32" t="s">
        <v>3645</v>
      </c>
      <c r="H1051" s="32" t="s">
        <v>3601</v>
      </c>
      <c r="I1051" s="32" t="s">
        <v>3680</v>
      </c>
      <c r="J1051" s="32">
        <v>6199</v>
      </c>
      <c r="K1051" s="32">
        <v>0</v>
      </c>
      <c r="L1051" s="32">
        <v>0</v>
      </c>
      <c r="M1051" s="32">
        <v>0</v>
      </c>
      <c r="N1051" s="32">
        <v>0</v>
      </c>
      <c r="O1051" s="32">
        <v>0</v>
      </c>
      <c r="P1051" s="32">
        <v>0</v>
      </c>
      <c r="Q1051" s="37">
        <f t="shared" si="32"/>
        <v>6199</v>
      </c>
      <c r="R1051" s="69">
        <f t="shared" si="33"/>
        <v>5269.15</v>
      </c>
      <c r="S1051" s="30"/>
      <c r="T1051" s="30"/>
    </row>
    <row r="1052" spans="1:20" ht="45" customHeight="1" x14ac:dyDescent="0.3">
      <c r="A1052" s="36">
        <v>1040</v>
      </c>
      <c r="B1052" s="32" t="s">
        <v>3509</v>
      </c>
      <c r="C1052" s="32" t="s">
        <v>7367</v>
      </c>
      <c r="D1052" s="32" t="s">
        <v>3565</v>
      </c>
      <c r="E1052" s="32">
        <v>2017</v>
      </c>
      <c r="F1052" s="32" t="s">
        <v>18</v>
      </c>
      <c r="G1052" s="32" t="s">
        <v>3646</v>
      </c>
      <c r="H1052" s="32" t="s">
        <v>3602</v>
      </c>
      <c r="I1052" s="32" t="s">
        <v>277</v>
      </c>
      <c r="J1052" s="32">
        <v>6199</v>
      </c>
      <c r="K1052" s="32">
        <v>0</v>
      </c>
      <c r="L1052" s="32">
        <v>0</v>
      </c>
      <c r="M1052" s="32">
        <v>0</v>
      </c>
      <c r="N1052" s="32">
        <v>0</v>
      </c>
      <c r="O1052" s="32">
        <v>0</v>
      </c>
      <c r="P1052" s="32">
        <v>0</v>
      </c>
      <c r="Q1052" s="37">
        <f t="shared" si="32"/>
        <v>6199</v>
      </c>
      <c r="R1052" s="69">
        <f t="shared" si="33"/>
        <v>5269.15</v>
      </c>
      <c r="S1052" s="30"/>
      <c r="T1052" s="30"/>
    </row>
    <row r="1053" spans="1:20" s="41" customFormat="1" ht="45" customHeight="1" x14ac:dyDescent="0.3">
      <c r="A1053" s="31">
        <v>1041</v>
      </c>
      <c r="B1053" s="38" t="s">
        <v>3509</v>
      </c>
      <c r="C1053" s="38" t="s">
        <v>7368</v>
      </c>
      <c r="D1053" s="38" t="s">
        <v>2544</v>
      </c>
      <c r="E1053" s="38">
        <v>2022</v>
      </c>
      <c r="F1053" s="38" t="s">
        <v>19</v>
      </c>
      <c r="G1053" s="38" t="s">
        <v>2580</v>
      </c>
      <c r="H1053" s="38" t="s">
        <v>2609</v>
      </c>
      <c r="I1053" s="38" t="s">
        <v>1065</v>
      </c>
      <c r="J1053" s="38">
        <v>3793</v>
      </c>
      <c r="K1053" s="38">
        <f>2332+2332+2332+2332+6995+6995+2332+6995+4484+2332+6278+4484+1346+1166</f>
        <v>52735</v>
      </c>
      <c r="L1053" s="38">
        <v>0</v>
      </c>
      <c r="M1053" s="38">
        <v>0</v>
      </c>
      <c r="N1053" s="38">
        <f>3148+1178+2088+4053</f>
        <v>10467</v>
      </c>
      <c r="O1053" s="38">
        <v>0</v>
      </c>
      <c r="P1053" s="38">
        <f>720+1080+120+360+56</f>
        <v>2336</v>
      </c>
      <c r="Q1053" s="37">
        <f t="shared" si="32"/>
        <v>69331</v>
      </c>
      <c r="R1053" s="69">
        <f t="shared" si="33"/>
        <v>58931.35</v>
      </c>
      <c r="S1053" s="40"/>
      <c r="T1053" s="40"/>
    </row>
    <row r="1054" spans="1:20" s="41" customFormat="1" ht="45" customHeight="1" x14ac:dyDescent="0.3">
      <c r="A1054" s="31">
        <v>1042</v>
      </c>
      <c r="B1054" s="38" t="s">
        <v>3509</v>
      </c>
      <c r="C1054" s="38" t="s">
        <v>7368</v>
      </c>
      <c r="D1054" s="38" t="s">
        <v>2544</v>
      </c>
      <c r="E1054" s="38">
        <v>2022</v>
      </c>
      <c r="F1054" s="38" t="s">
        <v>19</v>
      </c>
      <c r="G1054" s="38" t="s">
        <v>2580</v>
      </c>
      <c r="H1054" s="38" t="s">
        <v>2609</v>
      </c>
      <c r="I1054" s="38" t="s">
        <v>1065</v>
      </c>
      <c r="J1054" s="38">
        <v>0</v>
      </c>
      <c r="K1054" s="38">
        <v>0</v>
      </c>
      <c r="L1054" s="38">
        <v>0</v>
      </c>
      <c r="M1054" s="38">
        <v>17688</v>
      </c>
      <c r="N1054" s="38">
        <v>2088</v>
      </c>
      <c r="O1054" s="38">
        <v>0</v>
      </c>
      <c r="P1054" s="38">
        <f>360+56</f>
        <v>416</v>
      </c>
      <c r="Q1054" s="37">
        <f t="shared" si="32"/>
        <v>20192</v>
      </c>
      <c r="R1054" s="69">
        <f t="shared" si="33"/>
        <v>17163.2</v>
      </c>
      <c r="S1054" s="40"/>
      <c r="T1054" s="40"/>
    </row>
    <row r="1055" spans="1:20" ht="45" customHeight="1" x14ac:dyDescent="0.3">
      <c r="A1055" s="36">
        <v>1043</v>
      </c>
      <c r="B1055" s="32" t="s">
        <v>3509</v>
      </c>
      <c r="C1055" s="32" t="s">
        <v>7369</v>
      </c>
      <c r="D1055" s="32" t="s">
        <v>3566</v>
      </c>
      <c r="E1055" s="32">
        <v>2018</v>
      </c>
      <c r="F1055" s="32" t="s">
        <v>18</v>
      </c>
      <c r="G1055" s="32" t="s">
        <v>3647</v>
      </c>
      <c r="H1055" s="32" t="s">
        <v>3603</v>
      </c>
      <c r="I1055" s="32" t="s">
        <v>3681</v>
      </c>
      <c r="J1055" s="32">
        <v>3582</v>
      </c>
      <c r="K1055" s="32">
        <v>0</v>
      </c>
      <c r="L1055" s="32">
        <v>0</v>
      </c>
      <c r="M1055" s="32">
        <v>0</v>
      </c>
      <c r="N1055" s="32">
        <f>15443+17918</f>
        <v>33361</v>
      </c>
      <c r="O1055" s="32">
        <v>0</v>
      </c>
      <c r="P1055" s="32">
        <v>0</v>
      </c>
      <c r="Q1055" s="37">
        <f t="shared" si="32"/>
        <v>36943</v>
      </c>
      <c r="R1055" s="69">
        <f t="shared" si="33"/>
        <v>31401.55</v>
      </c>
      <c r="S1055" s="30"/>
      <c r="T1055" s="30"/>
    </row>
    <row r="1056" spans="1:20" ht="45" customHeight="1" x14ac:dyDescent="0.3">
      <c r="A1056" s="31">
        <v>1044</v>
      </c>
      <c r="B1056" s="32" t="s">
        <v>3509</v>
      </c>
      <c r="C1056" s="32" t="s">
        <v>7370</v>
      </c>
      <c r="D1056" s="32" t="s">
        <v>3567</v>
      </c>
      <c r="E1056" s="32">
        <v>2022</v>
      </c>
      <c r="F1056" s="32" t="s">
        <v>18</v>
      </c>
      <c r="G1056" s="32" t="s">
        <v>3648</v>
      </c>
      <c r="H1056" s="32" t="s">
        <v>3604</v>
      </c>
      <c r="I1056" s="32" t="s">
        <v>3682</v>
      </c>
      <c r="J1056" s="32">
        <v>6199</v>
      </c>
      <c r="K1056" s="32">
        <f>6278+4484+1346+4484+2332+2332+2332+2332+2332</f>
        <v>28252</v>
      </c>
      <c r="L1056" s="32">
        <v>0</v>
      </c>
      <c r="M1056" s="32">
        <v>0</v>
      </c>
      <c r="N1056" s="32">
        <v>3148</v>
      </c>
      <c r="O1056" s="32">
        <v>0</v>
      </c>
      <c r="P1056" s="32">
        <v>0</v>
      </c>
      <c r="Q1056" s="37">
        <f t="shared" si="32"/>
        <v>37599</v>
      </c>
      <c r="R1056" s="69">
        <f t="shared" si="33"/>
        <v>31959.15</v>
      </c>
      <c r="S1056" s="30"/>
      <c r="T1056" s="30"/>
    </row>
    <row r="1057" spans="1:20" ht="45" customHeight="1" x14ac:dyDescent="0.3">
      <c r="A1057" s="31">
        <v>1045</v>
      </c>
      <c r="B1057" s="32" t="s">
        <v>3509</v>
      </c>
      <c r="C1057" s="32" t="s">
        <v>7371</v>
      </c>
      <c r="D1057" s="32" t="s">
        <v>3568</v>
      </c>
      <c r="E1057" s="32">
        <v>1983</v>
      </c>
      <c r="F1057" s="32" t="s">
        <v>19</v>
      </c>
      <c r="G1057" s="32" t="s">
        <v>3649</v>
      </c>
      <c r="H1057" s="32" t="s">
        <v>3605</v>
      </c>
      <c r="I1057" s="32" t="s">
        <v>3683</v>
      </c>
      <c r="J1057" s="32">
        <v>6199</v>
      </c>
      <c r="K1057" s="32">
        <f>3582+2332+2332+2243</f>
        <v>10489</v>
      </c>
      <c r="L1057" s="32">
        <v>0</v>
      </c>
      <c r="M1057" s="32">
        <v>0</v>
      </c>
      <c r="N1057" s="32">
        <v>0</v>
      </c>
      <c r="O1057" s="32">
        <v>0</v>
      </c>
      <c r="P1057" s="32">
        <v>0</v>
      </c>
      <c r="Q1057" s="37">
        <f t="shared" si="32"/>
        <v>16688</v>
      </c>
      <c r="R1057" s="69">
        <f t="shared" si="33"/>
        <v>14184.8</v>
      </c>
      <c r="S1057" s="30"/>
      <c r="T1057" s="30"/>
    </row>
    <row r="1058" spans="1:20" ht="45" customHeight="1" x14ac:dyDescent="0.3">
      <c r="A1058" s="36">
        <v>1046</v>
      </c>
      <c r="B1058" s="32" t="s">
        <v>3509</v>
      </c>
      <c r="C1058" s="32" t="s">
        <v>7372</v>
      </c>
      <c r="D1058" s="32" t="s">
        <v>3569</v>
      </c>
      <c r="E1058" s="32">
        <v>1995</v>
      </c>
      <c r="F1058" s="32" t="s">
        <v>19</v>
      </c>
      <c r="G1058" s="32" t="s">
        <v>3650</v>
      </c>
      <c r="H1058" s="32" t="s">
        <v>3606</v>
      </c>
      <c r="I1058" s="32" t="s">
        <v>3684</v>
      </c>
      <c r="J1058" s="32">
        <v>6199</v>
      </c>
      <c r="K1058" s="32">
        <v>0</v>
      </c>
      <c r="L1058" s="32">
        <v>0</v>
      </c>
      <c r="M1058" s="32">
        <v>0</v>
      </c>
      <c r="N1058" s="32">
        <v>59994</v>
      </c>
      <c r="O1058" s="32">
        <v>0</v>
      </c>
      <c r="P1058" s="32">
        <v>0</v>
      </c>
      <c r="Q1058" s="35">
        <f t="shared" si="32"/>
        <v>66193</v>
      </c>
      <c r="R1058" s="69">
        <f t="shared" si="33"/>
        <v>56264.05</v>
      </c>
      <c r="S1058" s="30"/>
      <c r="T1058" s="30"/>
    </row>
    <row r="1059" spans="1:20" ht="45" customHeight="1" x14ac:dyDescent="0.3">
      <c r="A1059" s="31">
        <v>1047</v>
      </c>
      <c r="B1059" s="32" t="s">
        <v>3509</v>
      </c>
      <c r="C1059" s="32" t="s">
        <v>7373</v>
      </c>
      <c r="D1059" s="32" t="s">
        <v>3570</v>
      </c>
      <c r="E1059" s="32">
        <v>2020</v>
      </c>
      <c r="F1059" s="32" t="s">
        <v>19</v>
      </c>
      <c r="G1059" s="32" t="s">
        <v>3651</v>
      </c>
      <c r="H1059" s="32" t="s">
        <v>3607</v>
      </c>
      <c r="I1059" s="32" t="s">
        <v>3685</v>
      </c>
      <c r="J1059" s="32">
        <v>6199</v>
      </c>
      <c r="K1059" s="32">
        <v>0</v>
      </c>
      <c r="L1059" s="32">
        <v>0</v>
      </c>
      <c r="M1059" s="32">
        <v>0</v>
      </c>
      <c r="N1059" s="32">
        <f>15443+17918</f>
        <v>33361</v>
      </c>
      <c r="O1059" s="32">
        <v>0</v>
      </c>
      <c r="P1059" s="32">
        <v>0</v>
      </c>
      <c r="Q1059" s="35">
        <f t="shared" si="32"/>
        <v>39560</v>
      </c>
      <c r="R1059" s="69">
        <f t="shared" si="33"/>
        <v>33626</v>
      </c>
      <c r="S1059" s="30"/>
      <c r="T1059" s="30"/>
    </row>
    <row r="1060" spans="1:20" s="41" customFormat="1" ht="45" customHeight="1" x14ac:dyDescent="0.3">
      <c r="A1060" s="31">
        <v>1048</v>
      </c>
      <c r="B1060" s="38" t="s">
        <v>3509</v>
      </c>
      <c r="C1060" s="38" t="s">
        <v>7374</v>
      </c>
      <c r="D1060" s="38" t="s">
        <v>3571</v>
      </c>
      <c r="E1060" s="38">
        <v>1990</v>
      </c>
      <c r="F1060" s="38" t="s">
        <v>18</v>
      </c>
      <c r="G1060" s="38" t="s">
        <v>3652</v>
      </c>
      <c r="H1060" s="38" t="s">
        <v>3608</v>
      </c>
      <c r="I1060" s="38" t="s">
        <v>3686</v>
      </c>
      <c r="J1060" s="38">
        <v>6199</v>
      </c>
      <c r="K1060" s="38">
        <f>2332+2332</f>
        <v>4664</v>
      </c>
      <c r="L1060" s="38">
        <v>19396</v>
      </c>
      <c r="M1060" s="38">
        <v>0</v>
      </c>
      <c r="N1060" s="38">
        <v>0</v>
      </c>
      <c r="O1060" s="38">
        <v>0</v>
      </c>
      <c r="P1060" s="38">
        <v>0</v>
      </c>
      <c r="Q1060" s="37">
        <f t="shared" si="32"/>
        <v>30259</v>
      </c>
      <c r="R1060" s="69">
        <f t="shared" si="33"/>
        <v>25720.15</v>
      </c>
      <c r="S1060" s="40"/>
      <c r="T1060" s="40"/>
    </row>
    <row r="1061" spans="1:20" ht="45" customHeight="1" x14ac:dyDescent="0.3">
      <c r="A1061" s="36">
        <v>1049</v>
      </c>
      <c r="B1061" s="32" t="s">
        <v>3509</v>
      </c>
      <c r="C1061" s="32" t="s">
        <v>7375</v>
      </c>
      <c r="D1061" s="32" t="s">
        <v>3572</v>
      </c>
      <c r="E1061" s="32">
        <v>1983</v>
      </c>
      <c r="F1061" s="32" t="s">
        <v>18</v>
      </c>
      <c r="G1061" s="32" t="s">
        <v>3653</v>
      </c>
      <c r="H1061" s="32" t="s">
        <v>3609</v>
      </c>
      <c r="I1061" s="32" t="s">
        <v>1064</v>
      </c>
      <c r="J1061" s="32">
        <v>6199</v>
      </c>
      <c r="K1061" s="32">
        <v>0</v>
      </c>
      <c r="L1061" s="32">
        <v>0</v>
      </c>
      <c r="M1061" s="32">
        <v>0</v>
      </c>
      <c r="N1061" s="32">
        <v>0</v>
      </c>
      <c r="O1061" s="32">
        <v>0</v>
      </c>
      <c r="P1061" s="32">
        <v>0</v>
      </c>
      <c r="Q1061" s="37">
        <f t="shared" si="32"/>
        <v>6199</v>
      </c>
      <c r="R1061" s="69">
        <f t="shared" si="33"/>
        <v>5269.15</v>
      </c>
      <c r="S1061" s="30"/>
      <c r="T1061" s="30"/>
    </row>
    <row r="1062" spans="1:20" s="41" customFormat="1" ht="45" customHeight="1" x14ac:dyDescent="0.3">
      <c r="A1062" s="31">
        <v>1050</v>
      </c>
      <c r="B1062" s="38" t="s">
        <v>3509</v>
      </c>
      <c r="C1062" s="38" t="s">
        <v>7376</v>
      </c>
      <c r="D1062" s="38" t="s">
        <v>3573</v>
      </c>
      <c r="E1062" s="38">
        <v>2002</v>
      </c>
      <c r="F1062" s="38" t="s">
        <v>19</v>
      </c>
      <c r="G1062" s="38" t="s">
        <v>3654</v>
      </c>
      <c r="H1062" s="38" t="s">
        <v>3654</v>
      </c>
      <c r="I1062" s="38" t="s">
        <v>3687</v>
      </c>
      <c r="J1062" s="38">
        <v>6199</v>
      </c>
      <c r="K1062" s="38">
        <f>2332+2332+2243+6278+4484+3000+3000+6995+3228+2332+2332+2332+2332+2332+3587</f>
        <v>49139</v>
      </c>
      <c r="L1062" s="38">
        <v>0</v>
      </c>
      <c r="M1062" s="38">
        <v>0</v>
      </c>
      <c r="N1062" s="38">
        <v>1793</v>
      </c>
      <c r="O1062" s="38">
        <v>0</v>
      </c>
      <c r="P1062" s="38">
        <v>0</v>
      </c>
      <c r="Q1062" s="37">
        <f t="shared" si="32"/>
        <v>57131</v>
      </c>
      <c r="R1062" s="69">
        <f t="shared" si="33"/>
        <v>48561.35</v>
      </c>
      <c r="S1062" s="40"/>
      <c r="T1062" s="40"/>
    </row>
    <row r="1063" spans="1:20" ht="45" customHeight="1" x14ac:dyDescent="0.3">
      <c r="A1063" s="31">
        <v>1051</v>
      </c>
      <c r="B1063" s="32" t="s">
        <v>3509</v>
      </c>
      <c r="C1063" s="32" t="s">
        <v>7377</v>
      </c>
      <c r="D1063" s="32" t="s">
        <v>3574</v>
      </c>
      <c r="E1063" s="32">
        <v>2021</v>
      </c>
      <c r="F1063" s="32" t="s">
        <v>18</v>
      </c>
      <c r="G1063" s="32" t="s">
        <v>3655</v>
      </c>
      <c r="H1063" s="32" t="s">
        <v>3610</v>
      </c>
      <c r="I1063" s="32" t="s">
        <v>3688</v>
      </c>
      <c r="J1063" s="32">
        <v>6199</v>
      </c>
      <c r="K1063" s="32">
        <f>6278+4484+2332+1346+2332+2332+2332+2332+6995+6995+2332+6995+4484+2332</f>
        <v>53901</v>
      </c>
      <c r="L1063" s="32">
        <v>0</v>
      </c>
      <c r="M1063" s="32">
        <v>0</v>
      </c>
      <c r="N1063" s="32">
        <v>3148</v>
      </c>
      <c r="O1063" s="32">
        <v>0</v>
      </c>
      <c r="P1063" s="32">
        <v>0</v>
      </c>
      <c r="Q1063" s="37">
        <f t="shared" si="32"/>
        <v>63248</v>
      </c>
      <c r="R1063" s="69">
        <f t="shared" si="33"/>
        <v>53760.800000000003</v>
      </c>
      <c r="S1063" s="30"/>
      <c r="T1063" s="30"/>
    </row>
    <row r="1064" spans="1:20" ht="45" customHeight="1" x14ac:dyDescent="0.3">
      <c r="A1064" s="36">
        <v>1052</v>
      </c>
      <c r="B1064" s="32" t="s">
        <v>3509</v>
      </c>
      <c r="C1064" s="32" t="s">
        <v>7378</v>
      </c>
      <c r="D1064" s="32" t="s">
        <v>3575</v>
      </c>
      <c r="E1064" s="32">
        <v>1992</v>
      </c>
      <c r="F1064" s="32" t="s">
        <v>19</v>
      </c>
      <c r="G1064" s="32" t="s">
        <v>3656</v>
      </c>
      <c r="H1064" s="32" t="s">
        <v>3656</v>
      </c>
      <c r="I1064" s="32" t="s">
        <v>3689</v>
      </c>
      <c r="J1064" s="32">
        <v>6199</v>
      </c>
      <c r="K1064" s="32">
        <v>0</v>
      </c>
      <c r="L1064" s="32">
        <v>17279</v>
      </c>
      <c r="M1064" s="32">
        <v>0</v>
      </c>
      <c r="N1064" s="32">
        <v>0</v>
      </c>
      <c r="O1064" s="32">
        <v>0</v>
      </c>
      <c r="P1064" s="32">
        <v>0</v>
      </c>
      <c r="Q1064" s="37">
        <f t="shared" si="32"/>
        <v>23478</v>
      </c>
      <c r="R1064" s="69">
        <f t="shared" si="33"/>
        <v>19956.3</v>
      </c>
      <c r="S1064" s="30"/>
      <c r="T1064" s="30"/>
    </row>
    <row r="1065" spans="1:20" ht="45" customHeight="1" x14ac:dyDescent="0.3">
      <c r="A1065" s="31">
        <v>1053</v>
      </c>
      <c r="B1065" s="32" t="s">
        <v>3509</v>
      </c>
      <c r="C1065" s="32" t="s">
        <v>7379</v>
      </c>
      <c r="D1065" s="32" t="s">
        <v>3576</v>
      </c>
      <c r="E1065" s="32">
        <v>2019</v>
      </c>
      <c r="F1065" s="32" t="s">
        <v>19</v>
      </c>
      <c r="G1065" s="32" t="s">
        <v>3657</v>
      </c>
      <c r="H1065" s="32" t="s">
        <v>3611</v>
      </c>
      <c r="I1065" s="32" t="s">
        <v>3690</v>
      </c>
      <c r="J1065" s="32">
        <v>6199</v>
      </c>
      <c r="K1065" s="32">
        <f>6278+4484+2332+1346+2332+2332+2332+2332+6995+6995+2332+6995+2332+4484</f>
        <v>53901</v>
      </c>
      <c r="L1065" s="32">
        <v>0</v>
      </c>
      <c r="M1065" s="32">
        <v>0</v>
      </c>
      <c r="N1065" s="32">
        <v>3148</v>
      </c>
      <c r="O1065" s="32">
        <v>0</v>
      </c>
      <c r="P1065" s="32">
        <v>0</v>
      </c>
      <c r="Q1065" s="35">
        <f t="shared" si="32"/>
        <v>63248</v>
      </c>
      <c r="R1065" s="69">
        <f t="shared" si="33"/>
        <v>53760.800000000003</v>
      </c>
      <c r="S1065" s="30"/>
      <c r="T1065" s="30"/>
    </row>
    <row r="1066" spans="1:20" ht="45" customHeight="1" x14ac:dyDescent="0.3">
      <c r="A1066" s="31">
        <v>1054</v>
      </c>
      <c r="B1066" s="32" t="s">
        <v>3509</v>
      </c>
      <c r="C1066" s="32" t="s">
        <v>7380</v>
      </c>
      <c r="D1066" s="32" t="s">
        <v>3577</v>
      </c>
      <c r="E1066" s="32">
        <v>2015</v>
      </c>
      <c r="F1066" s="32" t="s">
        <v>18</v>
      </c>
      <c r="G1066" s="32" t="s">
        <v>3658</v>
      </c>
      <c r="H1066" s="32" t="s">
        <v>3612</v>
      </c>
      <c r="I1066" s="32" t="s">
        <v>3691</v>
      </c>
      <c r="J1066" s="32">
        <v>6199</v>
      </c>
      <c r="K1066" s="32">
        <v>0</v>
      </c>
      <c r="L1066" s="32">
        <v>0</v>
      </c>
      <c r="M1066" s="32">
        <v>0</v>
      </c>
      <c r="N1066" s="32">
        <v>0</v>
      </c>
      <c r="O1066" s="32">
        <v>0</v>
      </c>
      <c r="P1066" s="32">
        <v>0</v>
      </c>
      <c r="Q1066" s="37">
        <f t="shared" si="32"/>
        <v>6199</v>
      </c>
      <c r="R1066" s="69">
        <f t="shared" si="33"/>
        <v>5269.15</v>
      </c>
      <c r="S1066" s="30"/>
      <c r="T1066" s="30"/>
    </row>
    <row r="1067" spans="1:20" ht="45" customHeight="1" x14ac:dyDescent="0.3">
      <c r="A1067" s="36">
        <v>1055</v>
      </c>
      <c r="B1067" s="32" t="s">
        <v>3509</v>
      </c>
      <c r="C1067" s="32" t="s">
        <v>7381</v>
      </c>
      <c r="D1067" s="32" t="s">
        <v>3578</v>
      </c>
      <c r="E1067" s="32">
        <v>1988</v>
      </c>
      <c r="F1067" s="32" t="s">
        <v>19</v>
      </c>
      <c r="G1067" s="32" t="s">
        <v>3659</v>
      </c>
      <c r="H1067" s="32" t="s">
        <v>3613</v>
      </c>
      <c r="I1067" s="32" t="s">
        <v>3692</v>
      </c>
      <c r="J1067" s="32">
        <v>6199</v>
      </c>
      <c r="K1067" s="32">
        <v>0</v>
      </c>
      <c r="L1067" s="32">
        <v>18406</v>
      </c>
      <c r="M1067" s="32">
        <v>0</v>
      </c>
      <c r="N1067" s="32">
        <v>0</v>
      </c>
      <c r="O1067" s="32">
        <v>0</v>
      </c>
      <c r="P1067" s="32">
        <v>0</v>
      </c>
      <c r="Q1067" s="37">
        <f t="shared" si="32"/>
        <v>24605</v>
      </c>
      <c r="R1067" s="69">
        <f t="shared" si="33"/>
        <v>20914.25</v>
      </c>
      <c r="S1067" s="30"/>
      <c r="T1067" s="30"/>
    </row>
    <row r="1068" spans="1:20" ht="45" customHeight="1" x14ac:dyDescent="0.3">
      <c r="A1068" s="31">
        <v>1056</v>
      </c>
      <c r="B1068" s="32" t="s">
        <v>3509</v>
      </c>
      <c r="C1068" s="32" t="s">
        <v>7382</v>
      </c>
      <c r="D1068" s="32" t="s">
        <v>3579</v>
      </c>
      <c r="E1068" s="32">
        <v>2024</v>
      </c>
      <c r="F1068" s="32" t="s">
        <v>18</v>
      </c>
      <c r="G1068" s="32" t="s">
        <v>3660</v>
      </c>
      <c r="H1068" s="32" t="s">
        <v>3614</v>
      </c>
      <c r="I1068" s="32" t="s">
        <v>3693</v>
      </c>
      <c r="J1068" s="32">
        <v>6199</v>
      </c>
      <c r="K1068" s="32">
        <f>6278+4484+2332+1346+2332+2332+2332+2332+6995+6995+2332+6995+2332+4484+2332+2332</f>
        <v>58565</v>
      </c>
      <c r="L1068" s="32">
        <v>0</v>
      </c>
      <c r="M1068" s="32">
        <v>0</v>
      </c>
      <c r="N1068" s="32">
        <v>3148</v>
      </c>
      <c r="O1068" s="32">
        <v>0</v>
      </c>
      <c r="P1068" s="32">
        <v>0</v>
      </c>
      <c r="Q1068" s="37">
        <f t="shared" si="32"/>
        <v>67912</v>
      </c>
      <c r="R1068" s="69">
        <f t="shared" si="33"/>
        <v>57725.2</v>
      </c>
      <c r="S1068" s="30"/>
      <c r="T1068" s="30"/>
    </row>
    <row r="1069" spans="1:20" ht="45" customHeight="1" x14ac:dyDescent="0.3">
      <c r="A1069" s="31">
        <v>1057</v>
      </c>
      <c r="B1069" s="32" t="s">
        <v>3509</v>
      </c>
      <c r="C1069" s="32" t="s">
        <v>7383</v>
      </c>
      <c r="D1069" s="32" t="s">
        <v>3580</v>
      </c>
      <c r="E1069" s="32">
        <v>2024</v>
      </c>
      <c r="F1069" s="32" t="s">
        <v>19</v>
      </c>
      <c r="G1069" s="32" t="s">
        <v>3661</v>
      </c>
      <c r="H1069" s="32" t="s">
        <v>3615</v>
      </c>
      <c r="I1069" s="32" t="s">
        <v>290</v>
      </c>
      <c r="J1069" s="32">
        <v>6199</v>
      </c>
      <c r="K1069" s="32">
        <v>0</v>
      </c>
      <c r="L1069" s="32">
        <v>0</v>
      </c>
      <c r="M1069" s="32">
        <v>0</v>
      </c>
      <c r="N1069" s="32">
        <v>0</v>
      </c>
      <c r="O1069" s="32">
        <v>0</v>
      </c>
      <c r="P1069" s="32">
        <v>0</v>
      </c>
      <c r="Q1069" s="37">
        <f t="shared" si="32"/>
        <v>6199</v>
      </c>
      <c r="R1069" s="69">
        <f t="shared" si="33"/>
        <v>5269.15</v>
      </c>
      <c r="S1069" s="30"/>
      <c r="T1069" s="30"/>
    </row>
    <row r="1070" spans="1:20" s="41" customFormat="1" ht="45" customHeight="1" x14ac:dyDescent="0.3">
      <c r="A1070" s="36">
        <v>1058</v>
      </c>
      <c r="B1070" s="38" t="s">
        <v>3509</v>
      </c>
      <c r="C1070" s="38" t="s">
        <v>7384</v>
      </c>
      <c r="D1070" s="38" t="s">
        <v>3581</v>
      </c>
      <c r="E1070" s="38">
        <v>1995</v>
      </c>
      <c r="F1070" s="38" t="s">
        <v>18</v>
      </c>
      <c r="G1070" s="38" t="s">
        <v>3662</v>
      </c>
      <c r="H1070" s="38" t="s">
        <v>3662</v>
      </c>
      <c r="I1070" s="38" t="s">
        <v>3694</v>
      </c>
      <c r="J1070" s="38">
        <v>6199</v>
      </c>
      <c r="K1070" s="38">
        <f>6278+4484+1346+2332+2332+2332+2332+2332+6995+2332+6995+6995+6995+2332+4484</f>
        <v>60896</v>
      </c>
      <c r="L1070" s="38">
        <v>0</v>
      </c>
      <c r="M1070" s="38">
        <v>0</v>
      </c>
      <c r="N1070" s="38">
        <v>1793</v>
      </c>
      <c r="O1070" s="38">
        <v>0</v>
      </c>
      <c r="P1070" s="38">
        <v>0</v>
      </c>
      <c r="Q1070" s="37">
        <f t="shared" si="32"/>
        <v>68888</v>
      </c>
      <c r="R1070" s="69">
        <f t="shared" si="33"/>
        <v>58554.8</v>
      </c>
      <c r="S1070" s="40"/>
      <c r="T1070" s="40"/>
    </row>
    <row r="1071" spans="1:20" ht="45" customHeight="1" x14ac:dyDescent="0.3">
      <c r="A1071" s="31">
        <v>1059</v>
      </c>
      <c r="B1071" s="32" t="s">
        <v>3509</v>
      </c>
      <c r="C1071" s="32" t="s">
        <v>7385</v>
      </c>
      <c r="D1071" s="32" t="s">
        <v>3582</v>
      </c>
      <c r="E1071" s="32">
        <v>1983</v>
      </c>
      <c r="F1071" s="32" t="s">
        <v>18</v>
      </c>
      <c r="G1071" s="32" t="s">
        <v>3663</v>
      </c>
      <c r="H1071" s="32" t="s">
        <v>3663</v>
      </c>
      <c r="I1071" s="32" t="s">
        <v>3695</v>
      </c>
      <c r="J1071" s="32">
        <v>6199</v>
      </c>
      <c r="K1071" s="32">
        <f>2332+2332+1166+2801</f>
        <v>8631</v>
      </c>
      <c r="L1071" s="32">
        <v>0</v>
      </c>
      <c r="M1071" s="32">
        <v>0</v>
      </c>
      <c r="N1071" s="32">
        <v>0</v>
      </c>
      <c r="O1071" s="32">
        <v>0</v>
      </c>
      <c r="P1071" s="32">
        <v>0</v>
      </c>
      <c r="Q1071" s="37">
        <f t="shared" si="32"/>
        <v>14830</v>
      </c>
      <c r="R1071" s="69">
        <f t="shared" si="33"/>
        <v>12605.5</v>
      </c>
      <c r="S1071" s="30"/>
      <c r="T1071" s="30"/>
    </row>
    <row r="1072" spans="1:20" s="41" customFormat="1" ht="45" customHeight="1" x14ac:dyDescent="0.3">
      <c r="A1072" s="31">
        <v>1060</v>
      </c>
      <c r="B1072" s="38" t="s">
        <v>3509</v>
      </c>
      <c r="C1072" s="38" t="s">
        <v>7386</v>
      </c>
      <c r="D1072" s="38" t="s">
        <v>3583</v>
      </c>
      <c r="E1072" s="38">
        <v>2023</v>
      </c>
      <c r="F1072" s="38" t="s">
        <v>19</v>
      </c>
      <c r="G1072" s="38" t="s">
        <v>3664</v>
      </c>
      <c r="H1072" s="38" t="s">
        <v>1649</v>
      </c>
      <c r="I1072" s="38" t="s">
        <v>278</v>
      </c>
      <c r="J1072" s="38">
        <v>6199</v>
      </c>
      <c r="K1072" s="38">
        <v>0</v>
      </c>
      <c r="L1072" s="38">
        <v>0</v>
      </c>
      <c r="M1072" s="38">
        <v>0</v>
      </c>
      <c r="N1072" s="38">
        <v>0</v>
      </c>
      <c r="O1072" s="38">
        <v>0</v>
      </c>
      <c r="P1072" s="38">
        <v>0</v>
      </c>
      <c r="Q1072" s="37">
        <f t="shared" si="32"/>
        <v>6199</v>
      </c>
      <c r="R1072" s="69">
        <f t="shared" si="33"/>
        <v>5269.15</v>
      </c>
      <c r="S1072" s="40"/>
      <c r="T1072" s="40"/>
    </row>
    <row r="1073" spans="1:20" ht="45" customHeight="1" x14ac:dyDescent="0.3">
      <c r="A1073" s="36">
        <v>1061</v>
      </c>
      <c r="B1073" s="32" t="s">
        <v>3509</v>
      </c>
      <c r="C1073" s="32" t="s">
        <v>7387</v>
      </c>
      <c r="D1073" s="32" t="s">
        <v>3584</v>
      </c>
      <c r="E1073" s="32">
        <v>2014</v>
      </c>
      <c r="F1073" s="32" t="s">
        <v>19</v>
      </c>
      <c r="G1073" s="32" t="s">
        <v>3665</v>
      </c>
      <c r="H1073" s="32" t="s">
        <v>3616</v>
      </c>
      <c r="I1073" s="32" t="s">
        <v>1279</v>
      </c>
      <c r="J1073" s="32">
        <v>6199</v>
      </c>
      <c r="K1073" s="32">
        <v>0</v>
      </c>
      <c r="L1073" s="32">
        <v>0</v>
      </c>
      <c r="M1073" s="32">
        <v>0</v>
      </c>
      <c r="N1073" s="32">
        <v>0</v>
      </c>
      <c r="O1073" s="32">
        <v>0</v>
      </c>
      <c r="P1073" s="32">
        <v>0</v>
      </c>
      <c r="Q1073" s="37">
        <f t="shared" si="32"/>
        <v>6199</v>
      </c>
      <c r="R1073" s="69">
        <f t="shared" si="33"/>
        <v>5269.15</v>
      </c>
      <c r="S1073" s="30"/>
      <c r="T1073" s="30"/>
    </row>
    <row r="1074" spans="1:20" ht="45" customHeight="1" x14ac:dyDescent="0.3">
      <c r="A1074" s="31">
        <v>1062</v>
      </c>
      <c r="B1074" s="32" t="s">
        <v>3509</v>
      </c>
      <c r="C1074" s="32" t="s">
        <v>7388</v>
      </c>
      <c r="D1074" s="32" t="s">
        <v>3585</v>
      </c>
      <c r="E1074" s="32">
        <v>2024</v>
      </c>
      <c r="F1074" s="32" t="s">
        <v>18</v>
      </c>
      <c r="G1074" s="32" t="s">
        <v>3666</v>
      </c>
      <c r="H1074" s="32" t="s">
        <v>3617</v>
      </c>
      <c r="I1074" s="32" t="s">
        <v>1278</v>
      </c>
      <c r="J1074" s="32">
        <v>6199</v>
      </c>
      <c r="K1074" s="32">
        <v>0</v>
      </c>
      <c r="L1074" s="32">
        <v>0</v>
      </c>
      <c r="M1074" s="32">
        <v>0</v>
      </c>
      <c r="N1074" s="32">
        <v>0</v>
      </c>
      <c r="O1074" s="32">
        <v>0</v>
      </c>
      <c r="P1074" s="32">
        <v>0</v>
      </c>
      <c r="Q1074" s="37">
        <f t="shared" si="32"/>
        <v>6199</v>
      </c>
      <c r="R1074" s="69">
        <f t="shared" si="33"/>
        <v>5269.15</v>
      </c>
      <c r="S1074" s="30"/>
      <c r="T1074" s="30"/>
    </row>
    <row r="1075" spans="1:20" ht="45" customHeight="1" x14ac:dyDescent="0.3">
      <c r="A1075" s="31">
        <v>1063</v>
      </c>
      <c r="B1075" s="42" t="s">
        <v>3509</v>
      </c>
      <c r="C1075" s="42" t="s">
        <v>7389</v>
      </c>
      <c r="D1075" s="42" t="s">
        <v>3586</v>
      </c>
      <c r="E1075" s="42">
        <v>2022</v>
      </c>
      <c r="F1075" s="42" t="s">
        <v>18</v>
      </c>
      <c r="G1075" s="42" t="s">
        <v>3667</v>
      </c>
      <c r="H1075" s="42" t="s">
        <v>3618</v>
      </c>
      <c r="I1075" s="42" t="s">
        <v>3696</v>
      </c>
      <c r="J1075" s="42">
        <v>0</v>
      </c>
      <c r="K1075" s="42">
        <v>0</v>
      </c>
      <c r="L1075" s="42">
        <v>0</v>
      </c>
      <c r="M1075" s="42">
        <v>17688</v>
      </c>
      <c r="N1075" s="42">
        <f>2088+1178+4053</f>
        <v>7319</v>
      </c>
      <c r="O1075" s="42">
        <v>0</v>
      </c>
      <c r="P1075" s="42">
        <f>360+56+720+1080+1200</f>
        <v>3416</v>
      </c>
      <c r="Q1075" s="35">
        <f t="shared" si="32"/>
        <v>28423</v>
      </c>
      <c r="R1075" s="69">
        <f t="shared" si="33"/>
        <v>24159.55</v>
      </c>
      <c r="S1075" s="30"/>
      <c r="T1075" s="30"/>
    </row>
    <row r="1076" spans="1:20" ht="45" customHeight="1" x14ac:dyDescent="0.3">
      <c r="A1076" s="36">
        <v>1064</v>
      </c>
      <c r="B1076" s="42" t="s">
        <v>3509</v>
      </c>
      <c r="C1076" s="42" t="s">
        <v>4423</v>
      </c>
      <c r="D1076" s="45" t="s">
        <v>3133</v>
      </c>
      <c r="E1076" s="42">
        <v>2025</v>
      </c>
      <c r="F1076" s="42" t="s">
        <v>19</v>
      </c>
      <c r="G1076" s="42" t="s">
        <v>3235</v>
      </c>
      <c r="H1076" s="42" t="s">
        <v>3283</v>
      </c>
      <c r="I1076" s="42" t="s">
        <v>829</v>
      </c>
      <c r="J1076" s="42">
        <v>2900</v>
      </c>
      <c r="K1076" s="42">
        <v>0</v>
      </c>
      <c r="L1076" s="42">
        <v>0</v>
      </c>
      <c r="M1076" s="42">
        <v>0</v>
      </c>
      <c r="N1076" s="42">
        <v>2088</v>
      </c>
      <c r="O1076" s="42">
        <v>0</v>
      </c>
      <c r="P1076" s="42">
        <f>360+56</f>
        <v>416</v>
      </c>
      <c r="Q1076" s="35">
        <f t="shared" si="32"/>
        <v>5404</v>
      </c>
      <c r="R1076" s="69">
        <f t="shared" si="33"/>
        <v>4593.3999999999996</v>
      </c>
      <c r="S1076" s="30"/>
      <c r="T1076" s="30"/>
    </row>
    <row r="1077" spans="1:20" ht="45" customHeight="1" x14ac:dyDescent="0.3">
      <c r="A1077" s="31">
        <v>1065</v>
      </c>
      <c r="B1077" s="42" t="s">
        <v>3509</v>
      </c>
      <c r="C1077" s="42" t="s">
        <v>7390</v>
      </c>
      <c r="D1077" s="45" t="s">
        <v>3344</v>
      </c>
      <c r="E1077" s="42">
        <v>1981</v>
      </c>
      <c r="F1077" s="42" t="s">
        <v>19</v>
      </c>
      <c r="G1077" s="42" t="s">
        <v>3427</v>
      </c>
      <c r="H1077" s="42" t="s">
        <v>3427</v>
      </c>
      <c r="I1077" s="42" t="s">
        <v>300</v>
      </c>
      <c r="J1077" s="42">
        <v>2900</v>
      </c>
      <c r="K1077" s="42">
        <v>0</v>
      </c>
      <c r="L1077" s="42">
        <v>13298</v>
      </c>
      <c r="M1077" s="42">
        <v>17688</v>
      </c>
      <c r="N1077" s="42">
        <f>1178+1681</f>
        <v>2859</v>
      </c>
      <c r="O1077" s="42">
        <v>0</v>
      </c>
      <c r="P1077" s="42">
        <f>624+112+660+360+300</f>
        <v>2056</v>
      </c>
      <c r="Q1077" s="35">
        <f t="shared" si="32"/>
        <v>38801</v>
      </c>
      <c r="R1077" s="69">
        <f t="shared" si="33"/>
        <v>32980.85</v>
      </c>
      <c r="S1077" s="30"/>
      <c r="T1077" s="30"/>
    </row>
    <row r="1078" spans="1:20" ht="45" customHeight="1" x14ac:dyDescent="0.3">
      <c r="A1078" s="31">
        <v>1066</v>
      </c>
      <c r="B1078" s="32" t="s">
        <v>3714</v>
      </c>
      <c r="C1078" s="32" t="s">
        <v>3715</v>
      </c>
      <c r="D1078" s="32" t="s">
        <v>3716</v>
      </c>
      <c r="E1078" s="32">
        <v>2005</v>
      </c>
      <c r="F1078" s="32" t="s">
        <v>19</v>
      </c>
      <c r="G1078" s="32" t="s">
        <v>3832</v>
      </c>
      <c r="H1078" s="32" t="s">
        <v>3896</v>
      </c>
      <c r="I1078" s="32" t="s">
        <v>3926</v>
      </c>
      <c r="J1078" s="32">
        <v>6199</v>
      </c>
      <c r="K1078" s="32">
        <f>6278+4484+1346+2332+3000+3000+2332+2332+2332+2332+6995+6995+2332+6995+6995+L10757</f>
        <v>60080</v>
      </c>
      <c r="L1078" s="32">
        <v>0</v>
      </c>
      <c r="M1078" s="32">
        <v>0</v>
      </c>
      <c r="N1078" s="32">
        <v>1793</v>
      </c>
      <c r="O1078" s="32">
        <v>0</v>
      </c>
      <c r="P1078" s="32">
        <v>0</v>
      </c>
      <c r="Q1078" s="37">
        <f t="shared" si="32"/>
        <v>68072</v>
      </c>
      <c r="R1078" s="69">
        <f t="shared" si="33"/>
        <v>57861.2</v>
      </c>
      <c r="S1078" s="30"/>
      <c r="T1078" s="30"/>
    </row>
    <row r="1079" spans="1:20" ht="45" customHeight="1" x14ac:dyDescent="0.3">
      <c r="A1079" s="36">
        <v>1067</v>
      </c>
      <c r="B1079" s="32" t="s">
        <v>3714</v>
      </c>
      <c r="C1079" s="32" t="s">
        <v>3717</v>
      </c>
      <c r="D1079" s="32" t="s">
        <v>3718</v>
      </c>
      <c r="E1079" s="32">
        <v>2019</v>
      </c>
      <c r="F1079" s="32" t="s">
        <v>18</v>
      </c>
      <c r="G1079" s="32" t="s">
        <v>3833</v>
      </c>
      <c r="H1079" s="32" t="s">
        <v>3897</v>
      </c>
      <c r="I1079" s="32" t="s">
        <v>3927</v>
      </c>
      <c r="J1079" s="32">
        <v>6199</v>
      </c>
      <c r="K1079" s="32">
        <f>1346+6278+4484+4484+2332+2332+2332+2332+2332+2332+6995+6995+6995+2332</f>
        <v>53901</v>
      </c>
      <c r="L1079" s="32">
        <v>0</v>
      </c>
      <c r="M1079" s="32">
        <v>0</v>
      </c>
      <c r="N1079" s="32">
        <f>3148+4053+1178+2088</f>
        <v>10467</v>
      </c>
      <c r="O1079" s="32">
        <v>0</v>
      </c>
      <c r="P1079" s="32">
        <f>720+1080+374+720+112</f>
        <v>3006</v>
      </c>
      <c r="Q1079" s="37">
        <f t="shared" si="32"/>
        <v>73573</v>
      </c>
      <c r="R1079" s="69">
        <f t="shared" si="33"/>
        <v>62537.05</v>
      </c>
      <c r="S1079" s="30"/>
      <c r="T1079" s="30"/>
    </row>
    <row r="1080" spans="1:20" ht="45" customHeight="1" x14ac:dyDescent="0.3">
      <c r="A1080" s="31">
        <v>1068</v>
      </c>
      <c r="B1080" s="32" t="s">
        <v>3714</v>
      </c>
      <c r="C1080" s="32" t="s">
        <v>3719</v>
      </c>
      <c r="D1080" s="32" t="s">
        <v>3720</v>
      </c>
      <c r="E1080" s="32">
        <v>1990</v>
      </c>
      <c r="F1080" s="32" t="s">
        <v>18</v>
      </c>
      <c r="G1080" s="32" t="s">
        <v>3834</v>
      </c>
      <c r="H1080" s="32" t="s">
        <v>3834</v>
      </c>
      <c r="I1080" s="32" t="s">
        <v>2645</v>
      </c>
      <c r="J1080" s="32">
        <v>6199</v>
      </c>
      <c r="K1080" s="32">
        <f>1346+6278+4484+2332+2332+2332</f>
        <v>19104</v>
      </c>
      <c r="L1080" s="32">
        <v>0</v>
      </c>
      <c r="M1080" s="32">
        <v>0</v>
      </c>
      <c r="N1080" s="32">
        <v>1793</v>
      </c>
      <c r="O1080" s="32">
        <v>0</v>
      </c>
      <c r="P1080" s="32">
        <v>0</v>
      </c>
      <c r="Q1080" s="37">
        <f t="shared" si="32"/>
        <v>27096</v>
      </c>
      <c r="R1080" s="69">
        <f t="shared" si="33"/>
        <v>23031.599999999999</v>
      </c>
      <c r="S1080" s="30"/>
      <c r="T1080" s="30"/>
    </row>
    <row r="1081" spans="1:20" ht="45" customHeight="1" x14ac:dyDescent="0.3">
      <c r="A1081" s="31">
        <v>1069</v>
      </c>
      <c r="B1081" s="32" t="s">
        <v>3714</v>
      </c>
      <c r="C1081" s="32" t="s">
        <v>3721</v>
      </c>
      <c r="D1081" s="32" t="s">
        <v>3722</v>
      </c>
      <c r="E1081" s="32">
        <v>1951</v>
      </c>
      <c r="F1081" s="32" t="s">
        <v>18</v>
      </c>
      <c r="G1081" s="32" t="s">
        <v>3835</v>
      </c>
      <c r="H1081" s="32" t="s">
        <v>3835</v>
      </c>
      <c r="I1081" s="32" t="s">
        <v>3928</v>
      </c>
      <c r="J1081" s="32">
        <v>6199</v>
      </c>
      <c r="K1081" s="32">
        <f>6278+13452+2332+2332+2332+2332+2332+2332+6995</f>
        <v>40717</v>
      </c>
      <c r="L1081" s="32">
        <v>0</v>
      </c>
      <c r="M1081" s="32">
        <v>0</v>
      </c>
      <c r="N1081" s="32">
        <v>1793</v>
      </c>
      <c r="O1081" s="32">
        <v>0</v>
      </c>
      <c r="P1081" s="32">
        <v>0</v>
      </c>
      <c r="Q1081" s="37">
        <f t="shared" si="32"/>
        <v>48709</v>
      </c>
      <c r="R1081" s="69">
        <f t="shared" si="33"/>
        <v>41402.65</v>
      </c>
      <c r="S1081" s="30"/>
      <c r="T1081" s="30"/>
    </row>
    <row r="1082" spans="1:20" ht="45" customHeight="1" x14ac:dyDescent="0.3">
      <c r="A1082" s="36">
        <v>1070</v>
      </c>
      <c r="B1082" s="32" t="s">
        <v>3714</v>
      </c>
      <c r="C1082" s="32" t="s">
        <v>3723</v>
      </c>
      <c r="D1082" s="32" t="s">
        <v>3724</v>
      </c>
      <c r="E1082" s="32">
        <v>1954</v>
      </c>
      <c r="F1082" s="32" t="s">
        <v>18</v>
      </c>
      <c r="G1082" s="32" t="s">
        <v>3836</v>
      </c>
      <c r="H1082" s="32" t="s">
        <v>3836</v>
      </c>
      <c r="I1082" s="32" t="s">
        <v>276</v>
      </c>
      <c r="J1082" s="32">
        <v>6199</v>
      </c>
      <c r="K1082" s="32">
        <v>0</v>
      </c>
      <c r="L1082" s="32">
        <v>0</v>
      </c>
      <c r="M1082" s="32">
        <v>0</v>
      </c>
      <c r="N1082" s="32">
        <v>0</v>
      </c>
      <c r="O1082" s="32">
        <v>0</v>
      </c>
      <c r="P1082" s="32">
        <v>0</v>
      </c>
      <c r="Q1082" s="37">
        <f t="shared" si="32"/>
        <v>6199</v>
      </c>
      <c r="R1082" s="69">
        <f t="shared" si="33"/>
        <v>5269.15</v>
      </c>
      <c r="S1082" s="30"/>
      <c r="T1082" s="30"/>
    </row>
    <row r="1083" spans="1:20" ht="45" customHeight="1" x14ac:dyDescent="0.3">
      <c r="A1083" s="31">
        <v>1071</v>
      </c>
      <c r="B1083" s="32" t="s">
        <v>3714</v>
      </c>
      <c r="C1083" s="32" t="s">
        <v>3725</v>
      </c>
      <c r="D1083" s="32" t="s">
        <v>3726</v>
      </c>
      <c r="E1083" s="32">
        <v>1994</v>
      </c>
      <c r="F1083" s="32" t="s">
        <v>19</v>
      </c>
      <c r="G1083" s="32" t="s">
        <v>3837</v>
      </c>
      <c r="H1083" s="32" t="s">
        <v>3898</v>
      </c>
      <c r="I1083" s="32" t="s">
        <v>3929</v>
      </c>
      <c r="J1083" s="32">
        <v>3582</v>
      </c>
      <c r="K1083" s="32">
        <v>0</v>
      </c>
      <c r="L1083" s="32">
        <v>0</v>
      </c>
      <c r="M1083" s="32">
        <v>0</v>
      </c>
      <c r="N1083" s="32">
        <f>15443+20859</f>
        <v>36302</v>
      </c>
      <c r="O1083" s="32">
        <v>0</v>
      </c>
      <c r="P1083" s="32">
        <v>0</v>
      </c>
      <c r="Q1083" s="37">
        <f t="shared" si="32"/>
        <v>39884</v>
      </c>
      <c r="R1083" s="69">
        <f t="shared" si="33"/>
        <v>33901.4</v>
      </c>
      <c r="S1083" s="30"/>
      <c r="T1083" s="30"/>
    </row>
    <row r="1084" spans="1:20" ht="45" customHeight="1" x14ac:dyDescent="0.3">
      <c r="A1084" s="31">
        <v>1072</v>
      </c>
      <c r="B1084" s="32" t="s">
        <v>3714</v>
      </c>
      <c r="C1084" s="32" t="s">
        <v>3727</v>
      </c>
      <c r="D1084" s="32" t="s">
        <v>3728</v>
      </c>
      <c r="E1084" s="32">
        <v>1982</v>
      </c>
      <c r="F1084" s="32" t="s">
        <v>19</v>
      </c>
      <c r="G1084" s="32" t="s">
        <v>3838</v>
      </c>
      <c r="H1084" s="32" t="s">
        <v>3838</v>
      </c>
      <c r="I1084" s="32" t="s">
        <v>268</v>
      </c>
      <c r="J1084" s="32">
        <v>3582</v>
      </c>
      <c r="K1084" s="32">
        <v>0</v>
      </c>
      <c r="L1084" s="32">
        <v>0</v>
      </c>
      <c r="M1084" s="32">
        <v>0</v>
      </c>
      <c r="N1084" s="32">
        <v>0</v>
      </c>
      <c r="O1084" s="32">
        <v>0</v>
      </c>
      <c r="P1084" s="32">
        <v>0</v>
      </c>
      <c r="Q1084" s="37">
        <f t="shared" si="32"/>
        <v>3582</v>
      </c>
      <c r="R1084" s="69">
        <f t="shared" si="33"/>
        <v>3044.7</v>
      </c>
      <c r="S1084" s="30"/>
      <c r="T1084" s="30"/>
    </row>
    <row r="1085" spans="1:20" ht="45" customHeight="1" x14ac:dyDescent="0.3">
      <c r="A1085" s="36">
        <v>1073</v>
      </c>
      <c r="B1085" s="32" t="s">
        <v>3714</v>
      </c>
      <c r="C1085" s="32" t="s">
        <v>3729</v>
      </c>
      <c r="D1085" s="32" t="s">
        <v>3730</v>
      </c>
      <c r="E1085" s="32">
        <v>2020</v>
      </c>
      <c r="F1085" s="32" t="s">
        <v>18</v>
      </c>
      <c r="G1085" s="32" t="s">
        <v>3839</v>
      </c>
      <c r="H1085" s="32" t="s">
        <v>3899</v>
      </c>
      <c r="I1085" s="32" t="s">
        <v>2864</v>
      </c>
      <c r="J1085" s="32">
        <v>6199</v>
      </c>
      <c r="K1085" s="32">
        <v>0</v>
      </c>
      <c r="L1085" s="32">
        <v>0</v>
      </c>
      <c r="M1085" s="32">
        <v>0</v>
      </c>
      <c r="N1085" s="32">
        <v>0</v>
      </c>
      <c r="O1085" s="32">
        <v>0</v>
      </c>
      <c r="P1085" s="32">
        <v>0</v>
      </c>
      <c r="Q1085" s="37">
        <f t="shared" si="32"/>
        <v>6199</v>
      </c>
      <c r="R1085" s="69">
        <f t="shared" si="33"/>
        <v>5269.15</v>
      </c>
      <c r="S1085" s="30"/>
      <c r="T1085" s="30"/>
    </row>
    <row r="1086" spans="1:20" ht="45" customHeight="1" x14ac:dyDescent="0.3">
      <c r="A1086" s="31">
        <v>1074</v>
      </c>
      <c r="B1086" s="32" t="s">
        <v>3714</v>
      </c>
      <c r="C1086" s="32" t="s">
        <v>3731</v>
      </c>
      <c r="D1086" s="32" t="s">
        <v>3732</v>
      </c>
      <c r="E1086" s="32">
        <v>1985</v>
      </c>
      <c r="F1086" s="32" t="s">
        <v>19</v>
      </c>
      <c r="G1086" s="32" t="s">
        <v>3840</v>
      </c>
      <c r="H1086" s="32" t="s">
        <v>3840</v>
      </c>
      <c r="I1086" s="32" t="s">
        <v>3930</v>
      </c>
      <c r="J1086" s="32">
        <v>6199</v>
      </c>
      <c r="K1086" s="32">
        <f>1346+6278+4484</f>
        <v>12108</v>
      </c>
      <c r="L1086" s="32">
        <v>0</v>
      </c>
      <c r="M1086" s="32">
        <v>0</v>
      </c>
      <c r="N1086" s="32">
        <v>1793</v>
      </c>
      <c r="O1086" s="32">
        <v>0</v>
      </c>
      <c r="P1086" s="32">
        <v>0</v>
      </c>
      <c r="Q1086" s="37">
        <f t="shared" si="32"/>
        <v>20100</v>
      </c>
      <c r="R1086" s="69">
        <f t="shared" si="33"/>
        <v>17085</v>
      </c>
      <c r="S1086" s="30"/>
      <c r="T1086" s="30"/>
    </row>
    <row r="1087" spans="1:20" ht="45" customHeight="1" x14ac:dyDescent="0.3">
      <c r="A1087" s="31">
        <v>1075</v>
      </c>
      <c r="B1087" s="32" t="s">
        <v>3714</v>
      </c>
      <c r="C1087" s="32" t="s">
        <v>3733</v>
      </c>
      <c r="D1087" s="32" t="s">
        <v>3734</v>
      </c>
      <c r="E1087" s="32">
        <v>1990</v>
      </c>
      <c r="F1087" s="32" t="s">
        <v>19</v>
      </c>
      <c r="G1087" s="32" t="s">
        <v>3841</v>
      </c>
      <c r="H1087" s="32" t="s">
        <v>3618</v>
      </c>
      <c r="I1087" s="32" t="s">
        <v>28</v>
      </c>
      <c r="J1087" s="32">
        <v>6199</v>
      </c>
      <c r="K1087" s="32">
        <v>0</v>
      </c>
      <c r="L1087" s="32">
        <v>9422</v>
      </c>
      <c r="M1087" s="32">
        <v>0</v>
      </c>
      <c r="N1087" s="32">
        <v>0</v>
      </c>
      <c r="O1087" s="32">
        <v>0</v>
      </c>
      <c r="P1087" s="32">
        <v>0</v>
      </c>
      <c r="Q1087" s="37">
        <f t="shared" si="32"/>
        <v>15621</v>
      </c>
      <c r="R1087" s="69">
        <f t="shared" si="33"/>
        <v>13277.85</v>
      </c>
      <c r="S1087" s="30"/>
      <c r="T1087" s="30"/>
    </row>
    <row r="1088" spans="1:20" ht="45" customHeight="1" x14ac:dyDescent="0.3">
      <c r="A1088" s="36">
        <v>1076</v>
      </c>
      <c r="B1088" s="32" t="s">
        <v>3714</v>
      </c>
      <c r="C1088" s="32" t="s">
        <v>3735</v>
      </c>
      <c r="D1088" s="32" t="s">
        <v>3736</v>
      </c>
      <c r="E1088" s="32">
        <v>2019</v>
      </c>
      <c r="F1088" s="32" t="s">
        <v>19</v>
      </c>
      <c r="G1088" s="32" t="s">
        <v>3842</v>
      </c>
      <c r="H1088" s="32" t="s">
        <v>3900</v>
      </c>
      <c r="I1088" s="32" t="s">
        <v>3696</v>
      </c>
      <c r="J1088" s="32">
        <v>6199</v>
      </c>
      <c r="K1088" s="32">
        <v>0</v>
      </c>
      <c r="L1088" s="32">
        <v>0</v>
      </c>
      <c r="M1088" s="32">
        <v>0</v>
      </c>
      <c r="N1088" s="32">
        <v>0</v>
      </c>
      <c r="O1088" s="32">
        <v>0</v>
      </c>
      <c r="P1088" s="32">
        <v>0</v>
      </c>
      <c r="Q1088" s="37">
        <f t="shared" si="32"/>
        <v>6199</v>
      </c>
      <c r="R1088" s="69">
        <f t="shared" si="33"/>
        <v>5269.15</v>
      </c>
      <c r="S1088" s="30"/>
      <c r="T1088" s="30"/>
    </row>
    <row r="1089" spans="1:20" ht="45" customHeight="1" x14ac:dyDescent="0.3">
      <c r="A1089" s="31">
        <v>1077</v>
      </c>
      <c r="B1089" s="32" t="s">
        <v>3714</v>
      </c>
      <c r="C1089" s="32" t="s">
        <v>3737</v>
      </c>
      <c r="D1089" s="32" t="s">
        <v>3738</v>
      </c>
      <c r="E1089" s="32">
        <v>1986</v>
      </c>
      <c r="F1089" s="32" t="s">
        <v>18</v>
      </c>
      <c r="G1089" s="32" t="s">
        <v>3843</v>
      </c>
      <c r="H1089" s="32" t="s">
        <v>3843</v>
      </c>
      <c r="I1089" s="32" t="s">
        <v>32</v>
      </c>
      <c r="J1089" s="32">
        <v>6199</v>
      </c>
      <c r="K1089" s="32">
        <v>0</v>
      </c>
      <c r="L1089" s="32">
        <v>0</v>
      </c>
      <c r="M1089" s="32">
        <v>0</v>
      </c>
      <c r="N1089" s="32">
        <v>0</v>
      </c>
      <c r="O1089" s="32">
        <v>0</v>
      </c>
      <c r="P1089" s="32">
        <v>0</v>
      </c>
      <c r="Q1089" s="37">
        <f t="shared" si="32"/>
        <v>6199</v>
      </c>
      <c r="R1089" s="69">
        <f t="shared" si="33"/>
        <v>5269.15</v>
      </c>
      <c r="S1089" s="30"/>
      <c r="T1089" s="30"/>
    </row>
    <row r="1090" spans="1:20" ht="45" customHeight="1" x14ac:dyDescent="0.3">
      <c r="A1090" s="31">
        <v>1078</v>
      </c>
      <c r="B1090" s="32" t="s">
        <v>3714</v>
      </c>
      <c r="C1090" s="32" t="s">
        <v>3739</v>
      </c>
      <c r="D1090" s="32" t="s">
        <v>2002</v>
      </c>
      <c r="E1090" s="32">
        <v>1987</v>
      </c>
      <c r="F1090" s="32" t="s">
        <v>19</v>
      </c>
      <c r="G1090" s="32" t="s">
        <v>2071</v>
      </c>
      <c r="H1090" s="32" t="s">
        <v>2071</v>
      </c>
      <c r="I1090" s="32" t="s">
        <v>2137</v>
      </c>
      <c r="J1090" s="32">
        <v>3793</v>
      </c>
      <c r="K1090" s="32">
        <v>1166</v>
      </c>
      <c r="L1090" s="32">
        <v>20807</v>
      </c>
      <c r="M1090" s="32">
        <v>0</v>
      </c>
      <c r="N1090" s="32">
        <v>0</v>
      </c>
      <c r="O1090" s="32">
        <v>0</v>
      </c>
      <c r="P1090" s="32">
        <v>0</v>
      </c>
      <c r="Q1090" s="37">
        <f t="shared" si="32"/>
        <v>25766</v>
      </c>
      <c r="R1090" s="69">
        <f t="shared" si="33"/>
        <v>21901.1</v>
      </c>
      <c r="S1090" s="30"/>
      <c r="T1090" s="30"/>
    </row>
    <row r="1091" spans="1:20" ht="45" customHeight="1" x14ac:dyDescent="0.3">
      <c r="A1091" s="36">
        <v>1079</v>
      </c>
      <c r="B1091" s="32" t="s">
        <v>3714</v>
      </c>
      <c r="C1091" s="32" t="s">
        <v>3740</v>
      </c>
      <c r="D1091" s="32" t="s">
        <v>3741</v>
      </c>
      <c r="E1091" s="32">
        <v>1988</v>
      </c>
      <c r="F1091" s="32" t="s">
        <v>18</v>
      </c>
      <c r="G1091" s="32" t="s">
        <v>3844</v>
      </c>
      <c r="H1091" s="32" t="s">
        <v>3844</v>
      </c>
      <c r="I1091" s="32" t="s">
        <v>3931</v>
      </c>
      <c r="J1091" s="32">
        <v>6199</v>
      </c>
      <c r="K1091" s="32">
        <f>1166+2801</f>
        <v>3967</v>
      </c>
      <c r="L1091" s="32">
        <v>13298</v>
      </c>
      <c r="M1091" s="32">
        <v>0</v>
      </c>
      <c r="N1091" s="32">
        <v>0</v>
      </c>
      <c r="O1091" s="32">
        <v>0</v>
      </c>
      <c r="P1091" s="32">
        <v>0</v>
      </c>
      <c r="Q1091" s="37">
        <f t="shared" si="32"/>
        <v>23464</v>
      </c>
      <c r="R1091" s="69">
        <f t="shared" si="33"/>
        <v>19944.400000000001</v>
      </c>
      <c r="S1091" s="30"/>
      <c r="T1091" s="30"/>
    </row>
    <row r="1092" spans="1:20" ht="45" customHeight="1" x14ac:dyDescent="0.3">
      <c r="A1092" s="31">
        <v>1080</v>
      </c>
      <c r="B1092" s="32" t="s">
        <v>3714</v>
      </c>
      <c r="C1092" s="32" t="s">
        <v>3742</v>
      </c>
      <c r="D1092" s="32" t="s">
        <v>3743</v>
      </c>
      <c r="E1092" s="32">
        <v>1958</v>
      </c>
      <c r="F1092" s="32" t="s">
        <v>19</v>
      </c>
      <c r="G1092" s="32" t="s">
        <v>3845</v>
      </c>
      <c r="H1092" s="32" t="s">
        <v>3845</v>
      </c>
      <c r="I1092" s="32" t="s">
        <v>1689</v>
      </c>
      <c r="J1092" s="32">
        <v>6199</v>
      </c>
      <c r="K1092" s="32">
        <f>2332+6278+1166+2801+2332+2332+4484</f>
        <v>21725</v>
      </c>
      <c r="L1092" s="32">
        <v>0</v>
      </c>
      <c r="M1092" s="32">
        <v>0</v>
      </c>
      <c r="N1092" s="32">
        <v>0</v>
      </c>
      <c r="O1092" s="32">
        <v>0</v>
      </c>
      <c r="P1092" s="32">
        <v>0</v>
      </c>
      <c r="Q1092" s="37">
        <f t="shared" si="32"/>
        <v>27924</v>
      </c>
      <c r="R1092" s="69">
        <f t="shared" si="33"/>
        <v>23735.4</v>
      </c>
      <c r="S1092" s="30"/>
      <c r="T1092" s="30"/>
    </row>
    <row r="1093" spans="1:20" ht="45" customHeight="1" x14ac:dyDescent="0.3">
      <c r="A1093" s="31">
        <v>1081</v>
      </c>
      <c r="B1093" s="32" t="s">
        <v>3714</v>
      </c>
      <c r="C1093" s="32" t="s">
        <v>3744</v>
      </c>
      <c r="D1093" s="32" t="s">
        <v>3745</v>
      </c>
      <c r="E1093" s="32">
        <v>1985</v>
      </c>
      <c r="F1093" s="32" t="s">
        <v>18</v>
      </c>
      <c r="G1093" s="32" t="s">
        <v>3846</v>
      </c>
      <c r="H1093" s="32" t="s">
        <v>3901</v>
      </c>
      <c r="I1093" s="32" t="s">
        <v>3932</v>
      </c>
      <c r="J1093" s="32">
        <v>6199</v>
      </c>
      <c r="K1093" s="32">
        <f>1346+6278+4484+2332+2332+2332</f>
        <v>19104</v>
      </c>
      <c r="L1093" s="32">
        <v>0</v>
      </c>
      <c r="M1093" s="32">
        <v>0</v>
      </c>
      <c r="N1093" s="32">
        <v>1793</v>
      </c>
      <c r="O1093" s="32">
        <v>0</v>
      </c>
      <c r="P1093" s="32">
        <v>0</v>
      </c>
      <c r="Q1093" s="37">
        <f t="shared" si="32"/>
        <v>27096</v>
      </c>
      <c r="R1093" s="69">
        <f t="shared" si="33"/>
        <v>23031.599999999999</v>
      </c>
      <c r="S1093" s="30"/>
      <c r="T1093" s="30"/>
    </row>
    <row r="1094" spans="1:20" ht="45" customHeight="1" x14ac:dyDescent="0.3">
      <c r="A1094" s="36">
        <v>1082</v>
      </c>
      <c r="B1094" s="32" t="s">
        <v>3714</v>
      </c>
      <c r="C1094" s="32" t="s">
        <v>3746</v>
      </c>
      <c r="D1094" s="32" t="s">
        <v>3747</v>
      </c>
      <c r="E1094" s="32">
        <v>1994</v>
      </c>
      <c r="F1094" s="32" t="s">
        <v>18</v>
      </c>
      <c r="G1094" s="32" t="s">
        <v>3847</v>
      </c>
      <c r="H1094" s="32" t="s">
        <v>3847</v>
      </c>
      <c r="I1094" s="32" t="s">
        <v>3933</v>
      </c>
      <c r="J1094" s="32">
        <v>6199</v>
      </c>
      <c r="K1094" s="32">
        <f>4484+4484+2332+2332+2332</f>
        <v>15964</v>
      </c>
      <c r="L1094" s="32">
        <v>0</v>
      </c>
      <c r="M1094" s="32">
        <v>0</v>
      </c>
      <c r="N1094" s="32">
        <v>1793</v>
      </c>
      <c r="O1094" s="32">
        <v>0</v>
      </c>
      <c r="P1094" s="32">
        <v>0</v>
      </c>
      <c r="Q1094" s="37">
        <f t="shared" si="32"/>
        <v>23956</v>
      </c>
      <c r="R1094" s="69">
        <f t="shared" si="33"/>
        <v>20362.599999999999</v>
      </c>
      <c r="S1094" s="30"/>
      <c r="T1094" s="30"/>
    </row>
    <row r="1095" spans="1:20" ht="45" customHeight="1" x14ac:dyDescent="0.3">
      <c r="A1095" s="31">
        <v>1083</v>
      </c>
      <c r="B1095" s="32" t="s">
        <v>3714</v>
      </c>
      <c r="C1095" s="32" t="s">
        <v>3748</v>
      </c>
      <c r="D1095" s="32" t="s">
        <v>3749</v>
      </c>
      <c r="E1095" s="32">
        <v>1993</v>
      </c>
      <c r="F1095" s="32" t="s">
        <v>18</v>
      </c>
      <c r="G1095" s="32" t="s">
        <v>3848</v>
      </c>
      <c r="H1095" s="32" t="s">
        <v>3848</v>
      </c>
      <c r="I1095" s="32" t="s">
        <v>3934</v>
      </c>
      <c r="J1095" s="32">
        <v>6199</v>
      </c>
      <c r="K1095" s="32">
        <f>1346+6278+4484+2332+2332+2332+2332+2332+2332+3228+3000+3000</f>
        <v>35328</v>
      </c>
      <c r="L1095" s="32">
        <v>0</v>
      </c>
      <c r="M1095" s="32">
        <v>0</v>
      </c>
      <c r="N1095" s="32">
        <v>1793</v>
      </c>
      <c r="O1095" s="32">
        <v>0</v>
      </c>
      <c r="P1095" s="32">
        <v>0</v>
      </c>
      <c r="Q1095" s="37">
        <f t="shared" si="32"/>
        <v>43320</v>
      </c>
      <c r="R1095" s="69">
        <f t="shared" si="33"/>
        <v>36822</v>
      </c>
      <c r="S1095" s="30"/>
      <c r="T1095" s="30"/>
    </row>
    <row r="1096" spans="1:20" ht="45" customHeight="1" x14ac:dyDescent="0.3">
      <c r="A1096" s="31">
        <v>1084</v>
      </c>
      <c r="B1096" s="32" t="s">
        <v>3714</v>
      </c>
      <c r="C1096" s="32" t="s">
        <v>3750</v>
      </c>
      <c r="D1096" s="32" t="s">
        <v>3751</v>
      </c>
      <c r="E1096" s="32">
        <v>1997</v>
      </c>
      <c r="F1096" s="32" t="s">
        <v>19</v>
      </c>
      <c r="G1096" s="32" t="s">
        <v>3849</v>
      </c>
      <c r="H1096" s="32" t="s">
        <v>3849</v>
      </c>
      <c r="I1096" s="32" t="s">
        <v>3935</v>
      </c>
      <c r="J1096" s="32">
        <v>6199</v>
      </c>
      <c r="K1096" s="32">
        <f>1346+6278+4484+2332+2332+2332+2332+2332+2332+6995+6995+2332+6995</f>
        <v>49417</v>
      </c>
      <c r="L1096" s="32">
        <v>0</v>
      </c>
      <c r="M1096" s="32">
        <v>0</v>
      </c>
      <c r="N1096" s="32">
        <f>1793+3179+1178+1681</f>
        <v>7831</v>
      </c>
      <c r="O1096" s="32">
        <v>0</v>
      </c>
      <c r="P1096" s="32">
        <f>720+1320+1080+374+1200+360+312+56</f>
        <v>5422</v>
      </c>
      <c r="Q1096" s="35">
        <f t="shared" si="32"/>
        <v>68869</v>
      </c>
      <c r="R1096" s="69">
        <f t="shared" si="33"/>
        <v>58538.65</v>
      </c>
      <c r="S1096" s="30"/>
      <c r="T1096" s="30"/>
    </row>
    <row r="1097" spans="1:20" ht="45" customHeight="1" x14ac:dyDescent="0.3">
      <c r="A1097" s="36">
        <v>1085</v>
      </c>
      <c r="B1097" s="32" t="s">
        <v>3714</v>
      </c>
      <c r="C1097" s="32" t="s">
        <v>3750</v>
      </c>
      <c r="D1097" s="32" t="s">
        <v>3751</v>
      </c>
      <c r="E1097" s="32">
        <v>1997</v>
      </c>
      <c r="F1097" s="32" t="s">
        <v>19</v>
      </c>
      <c r="G1097" s="32" t="s">
        <v>3849</v>
      </c>
      <c r="H1097" s="32" t="s">
        <v>3849</v>
      </c>
      <c r="I1097" s="32" t="s">
        <v>3935</v>
      </c>
      <c r="J1097" s="32">
        <v>0</v>
      </c>
      <c r="K1097" s="32">
        <v>0</v>
      </c>
      <c r="L1097" s="32">
        <v>0</v>
      </c>
      <c r="M1097" s="32">
        <v>17688</v>
      </c>
      <c r="N1097" s="32">
        <v>0</v>
      </c>
      <c r="O1097" s="32">
        <v>0</v>
      </c>
      <c r="P1097" s="32">
        <f>312+56+1200</f>
        <v>1568</v>
      </c>
      <c r="Q1097" s="35">
        <f t="shared" si="32"/>
        <v>19256</v>
      </c>
      <c r="R1097" s="69">
        <f t="shared" si="33"/>
        <v>16367.6</v>
      </c>
      <c r="S1097" s="30"/>
      <c r="T1097" s="30"/>
    </row>
    <row r="1098" spans="1:20" s="41" customFormat="1" ht="45" customHeight="1" x14ac:dyDescent="0.3">
      <c r="A1098" s="31">
        <v>1086</v>
      </c>
      <c r="B1098" s="38" t="s">
        <v>3714</v>
      </c>
      <c r="C1098" s="38" t="s">
        <v>3752</v>
      </c>
      <c r="D1098" s="38" t="s">
        <v>3753</v>
      </c>
      <c r="E1098" s="38">
        <v>1946</v>
      </c>
      <c r="F1098" s="38" t="s">
        <v>18</v>
      </c>
      <c r="G1098" s="38" t="s">
        <v>3850</v>
      </c>
      <c r="H1098" s="38" t="s">
        <v>3850</v>
      </c>
      <c r="I1098" s="38" t="s">
        <v>1689</v>
      </c>
      <c r="J1098" s="38">
        <v>6199</v>
      </c>
      <c r="K1098" s="38">
        <f>6278+2332+2332+13452+4484+2332+2332+2332+2332+17227</f>
        <v>55433</v>
      </c>
      <c r="L1098" s="38">
        <v>20807</v>
      </c>
      <c r="M1098" s="38">
        <v>0</v>
      </c>
      <c r="N1098" s="38">
        <v>1793</v>
      </c>
      <c r="O1098" s="38">
        <v>0</v>
      </c>
      <c r="P1098" s="38">
        <v>0</v>
      </c>
      <c r="Q1098" s="37">
        <f t="shared" si="32"/>
        <v>84232</v>
      </c>
      <c r="R1098" s="69">
        <f t="shared" si="33"/>
        <v>71597.2</v>
      </c>
      <c r="S1098" s="40"/>
      <c r="T1098" s="40"/>
    </row>
    <row r="1099" spans="1:20" ht="45" customHeight="1" x14ac:dyDescent="0.3">
      <c r="A1099" s="31">
        <v>1087</v>
      </c>
      <c r="B1099" s="32" t="s">
        <v>3714</v>
      </c>
      <c r="C1099" s="32" t="s">
        <v>3754</v>
      </c>
      <c r="D1099" s="32" t="s">
        <v>3755</v>
      </c>
      <c r="E1099" s="32">
        <v>1991</v>
      </c>
      <c r="F1099" s="32" t="s">
        <v>19</v>
      </c>
      <c r="G1099" s="32" t="s">
        <v>3851</v>
      </c>
      <c r="H1099" s="32" t="s">
        <v>3902</v>
      </c>
      <c r="I1099" s="32" t="s">
        <v>836</v>
      </c>
      <c r="J1099" s="32">
        <v>6199</v>
      </c>
      <c r="K1099" s="32">
        <v>0</v>
      </c>
      <c r="L1099" s="32">
        <v>0</v>
      </c>
      <c r="M1099" s="32">
        <v>0</v>
      </c>
      <c r="N1099" s="32">
        <v>9871</v>
      </c>
      <c r="O1099" s="32">
        <v>0</v>
      </c>
      <c r="P1099" s="32">
        <v>0</v>
      </c>
      <c r="Q1099" s="37">
        <f t="shared" si="32"/>
        <v>16070</v>
      </c>
      <c r="R1099" s="69">
        <f t="shared" si="33"/>
        <v>13659.5</v>
      </c>
      <c r="S1099" s="30"/>
      <c r="T1099" s="30"/>
    </row>
    <row r="1100" spans="1:20" ht="45" customHeight="1" x14ac:dyDescent="0.3">
      <c r="A1100" s="36">
        <v>1088</v>
      </c>
      <c r="B1100" s="32" t="s">
        <v>3714</v>
      </c>
      <c r="C1100" s="32" t="s">
        <v>3756</v>
      </c>
      <c r="D1100" s="32" t="s">
        <v>3757</v>
      </c>
      <c r="E1100" s="32">
        <v>2019</v>
      </c>
      <c r="F1100" s="32" t="s">
        <v>19</v>
      </c>
      <c r="G1100" s="32" t="s">
        <v>3852</v>
      </c>
      <c r="H1100" s="32" t="s">
        <v>3870</v>
      </c>
      <c r="I1100" s="32" t="s">
        <v>1069</v>
      </c>
      <c r="J1100" s="32">
        <v>6199</v>
      </c>
      <c r="K1100" s="32">
        <v>0</v>
      </c>
      <c r="L1100" s="32">
        <v>0</v>
      </c>
      <c r="M1100" s="32">
        <v>0</v>
      </c>
      <c r="N1100" s="32">
        <v>0</v>
      </c>
      <c r="O1100" s="32">
        <v>0</v>
      </c>
      <c r="P1100" s="32">
        <v>0</v>
      </c>
      <c r="Q1100" s="37">
        <f t="shared" si="32"/>
        <v>6199</v>
      </c>
      <c r="R1100" s="69">
        <f t="shared" si="33"/>
        <v>5269.15</v>
      </c>
      <c r="S1100" s="30"/>
      <c r="T1100" s="30"/>
    </row>
    <row r="1101" spans="1:20" ht="45" customHeight="1" x14ac:dyDescent="0.3">
      <c r="A1101" s="31">
        <v>1089</v>
      </c>
      <c r="B1101" s="32" t="s">
        <v>3714</v>
      </c>
      <c r="C1101" s="32" t="s">
        <v>3758</v>
      </c>
      <c r="D1101" s="32" t="s">
        <v>3757</v>
      </c>
      <c r="E1101" s="32">
        <v>2019</v>
      </c>
      <c r="F1101" s="32" t="s">
        <v>19</v>
      </c>
      <c r="G1101" s="32" t="s">
        <v>3852</v>
      </c>
      <c r="H1101" s="32" t="s">
        <v>3870</v>
      </c>
      <c r="I1101" s="32" t="s">
        <v>1069</v>
      </c>
      <c r="J1101" s="32">
        <v>3582</v>
      </c>
      <c r="K1101" s="32">
        <v>0</v>
      </c>
      <c r="L1101" s="32">
        <v>0</v>
      </c>
      <c r="M1101" s="32">
        <v>0</v>
      </c>
      <c r="N1101" s="32">
        <v>35836</v>
      </c>
      <c r="O1101" s="32">
        <v>0</v>
      </c>
      <c r="P1101" s="32">
        <v>0</v>
      </c>
      <c r="Q1101" s="37">
        <f t="shared" ref="Q1101:Q1164" si="34">SUM(J1101:P1101)</f>
        <v>39418</v>
      </c>
      <c r="R1101" s="69">
        <f t="shared" si="33"/>
        <v>33505.300000000003</v>
      </c>
      <c r="S1101" s="30"/>
      <c r="T1101" s="30"/>
    </row>
    <row r="1102" spans="1:20" ht="45" customHeight="1" x14ac:dyDescent="0.3">
      <c r="A1102" s="31">
        <v>1090</v>
      </c>
      <c r="B1102" s="32" t="s">
        <v>3714</v>
      </c>
      <c r="C1102" s="32" t="s">
        <v>3759</v>
      </c>
      <c r="D1102" s="32" t="s">
        <v>3760</v>
      </c>
      <c r="E1102" s="32">
        <v>2017</v>
      </c>
      <c r="F1102" s="32" t="s">
        <v>18</v>
      </c>
      <c r="G1102" s="32" t="s">
        <v>3853</v>
      </c>
      <c r="H1102" s="32" t="s">
        <v>3870</v>
      </c>
      <c r="I1102" s="32" t="s">
        <v>1069</v>
      </c>
      <c r="J1102" s="32">
        <v>6199</v>
      </c>
      <c r="K1102" s="32">
        <v>0</v>
      </c>
      <c r="L1102" s="32">
        <v>0</v>
      </c>
      <c r="M1102" s="32">
        <v>0</v>
      </c>
      <c r="N1102" s="32">
        <v>0</v>
      </c>
      <c r="O1102" s="32">
        <v>0</v>
      </c>
      <c r="P1102" s="32">
        <v>0</v>
      </c>
      <c r="Q1102" s="37">
        <f t="shared" si="34"/>
        <v>6199</v>
      </c>
      <c r="R1102" s="69">
        <f t="shared" ref="R1102:R1165" si="35">Q1102*85/100</f>
        <v>5269.15</v>
      </c>
      <c r="S1102" s="30"/>
      <c r="T1102" s="30"/>
    </row>
    <row r="1103" spans="1:20" ht="45" customHeight="1" x14ac:dyDescent="0.3">
      <c r="A1103" s="36">
        <v>1091</v>
      </c>
      <c r="B1103" s="32" t="s">
        <v>3714</v>
      </c>
      <c r="C1103" s="32" t="s">
        <v>3761</v>
      </c>
      <c r="D1103" s="32" t="s">
        <v>3762</v>
      </c>
      <c r="E1103" s="32">
        <v>1986</v>
      </c>
      <c r="F1103" s="32" t="s">
        <v>19</v>
      </c>
      <c r="G1103" s="32" t="s">
        <v>3854</v>
      </c>
      <c r="H1103" s="32" t="s">
        <v>3854</v>
      </c>
      <c r="I1103" s="32" t="s">
        <v>251</v>
      </c>
      <c r="J1103" s="32">
        <v>3582</v>
      </c>
      <c r="K1103" s="32">
        <v>0</v>
      </c>
      <c r="L1103" s="32">
        <v>0</v>
      </c>
      <c r="M1103" s="32">
        <v>0</v>
      </c>
      <c r="N1103" s="32">
        <f>27380+34016</f>
        <v>61396</v>
      </c>
      <c r="O1103" s="32">
        <v>0</v>
      </c>
      <c r="P1103" s="32">
        <v>0</v>
      </c>
      <c r="Q1103" s="37">
        <f t="shared" si="34"/>
        <v>64978</v>
      </c>
      <c r="R1103" s="69">
        <f t="shared" si="35"/>
        <v>55231.3</v>
      </c>
      <c r="S1103" s="30"/>
      <c r="T1103" s="30"/>
    </row>
    <row r="1104" spans="1:20" ht="45" customHeight="1" x14ac:dyDescent="0.3">
      <c r="A1104" s="31">
        <v>1092</v>
      </c>
      <c r="B1104" s="32" t="s">
        <v>3714</v>
      </c>
      <c r="C1104" s="32" t="s">
        <v>3763</v>
      </c>
      <c r="D1104" s="32" t="s">
        <v>3764</v>
      </c>
      <c r="E1104" s="32">
        <v>2025</v>
      </c>
      <c r="F1104" s="32" t="s">
        <v>18</v>
      </c>
      <c r="G1104" s="32" t="s">
        <v>3855</v>
      </c>
      <c r="H1104" s="32" t="s">
        <v>3903</v>
      </c>
      <c r="I1104" s="32" t="s">
        <v>2463</v>
      </c>
      <c r="J1104" s="32">
        <v>6199</v>
      </c>
      <c r="K1104" s="32">
        <v>0</v>
      </c>
      <c r="L1104" s="32">
        <v>0</v>
      </c>
      <c r="M1104" s="32">
        <v>0</v>
      </c>
      <c r="N1104" s="32">
        <v>18299</v>
      </c>
      <c r="O1104" s="32">
        <v>0</v>
      </c>
      <c r="P1104" s="32">
        <v>0</v>
      </c>
      <c r="Q1104" s="37">
        <f t="shared" si="34"/>
        <v>24498</v>
      </c>
      <c r="R1104" s="69">
        <f t="shared" si="35"/>
        <v>20823.3</v>
      </c>
      <c r="S1104" s="30"/>
      <c r="T1104" s="30"/>
    </row>
    <row r="1105" spans="1:20" ht="45" customHeight="1" x14ac:dyDescent="0.3">
      <c r="A1105" s="31">
        <v>1093</v>
      </c>
      <c r="B1105" s="32" t="s">
        <v>3714</v>
      </c>
      <c r="C1105" s="32" t="s">
        <v>3765</v>
      </c>
      <c r="D1105" s="32" t="s">
        <v>3766</v>
      </c>
      <c r="E1105" s="32">
        <v>1979</v>
      </c>
      <c r="F1105" s="32" t="s">
        <v>18</v>
      </c>
      <c r="G1105" s="32" t="s">
        <v>3856</v>
      </c>
      <c r="H1105" s="32" t="s">
        <v>3904</v>
      </c>
      <c r="I1105" s="32" t="s">
        <v>251</v>
      </c>
      <c r="J1105" s="32">
        <v>3582</v>
      </c>
      <c r="K1105" s="32">
        <v>0</v>
      </c>
      <c r="L1105" s="32">
        <v>0</v>
      </c>
      <c r="M1105" s="32">
        <v>0</v>
      </c>
      <c r="N1105" s="32">
        <f>34016+27380</f>
        <v>61396</v>
      </c>
      <c r="O1105" s="32">
        <v>0</v>
      </c>
      <c r="P1105" s="32">
        <v>0</v>
      </c>
      <c r="Q1105" s="37">
        <f t="shared" si="34"/>
        <v>64978</v>
      </c>
      <c r="R1105" s="69">
        <f t="shared" si="35"/>
        <v>55231.3</v>
      </c>
      <c r="S1105" s="30"/>
      <c r="T1105" s="30"/>
    </row>
    <row r="1106" spans="1:20" ht="45" customHeight="1" x14ac:dyDescent="0.3">
      <c r="A1106" s="36">
        <v>1094</v>
      </c>
      <c r="B1106" s="32" t="s">
        <v>3714</v>
      </c>
      <c r="C1106" s="32" t="s">
        <v>3767</v>
      </c>
      <c r="D1106" s="32" t="s">
        <v>3768</v>
      </c>
      <c r="E1106" s="32">
        <v>2021</v>
      </c>
      <c r="F1106" s="32" t="s">
        <v>19</v>
      </c>
      <c r="G1106" s="32" t="s">
        <v>3857</v>
      </c>
      <c r="H1106" s="32" t="s">
        <v>3905</v>
      </c>
      <c r="I1106" s="32" t="s">
        <v>3936</v>
      </c>
      <c r="J1106" s="32">
        <v>6199</v>
      </c>
      <c r="K1106" s="32">
        <f>1346+6278+4484+4484+2332+2332+2332+2332+2332+2332+6995+6995+2332+6995</f>
        <v>53901</v>
      </c>
      <c r="L1106" s="32">
        <v>0</v>
      </c>
      <c r="M1106" s="32">
        <v>0</v>
      </c>
      <c r="N1106" s="32">
        <f>3148+4053+2088</f>
        <v>9289</v>
      </c>
      <c r="O1106" s="32">
        <v>0</v>
      </c>
      <c r="P1106" s="32">
        <f>720+1080+120+360+56+60</f>
        <v>2396</v>
      </c>
      <c r="Q1106" s="35">
        <f t="shared" si="34"/>
        <v>71785</v>
      </c>
      <c r="R1106" s="69">
        <f t="shared" si="35"/>
        <v>61017.25</v>
      </c>
      <c r="S1106" s="30"/>
      <c r="T1106" s="30"/>
    </row>
    <row r="1107" spans="1:20" ht="45" customHeight="1" x14ac:dyDescent="0.3">
      <c r="A1107" s="31">
        <v>1095</v>
      </c>
      <c r="B1107" s="32" t="s">
        <v>3714</v>
      </c>
      <c r="C1107" s="32" t="s">
        <v>3767</v>
      </c>
      <c r="D1107" s="32" t="s">
        <v>3768</v>
      </c>
      <c r="E1107" s="32">
        <v>2021</v>
      </c>
      <c r="F1107" s="32" t="s">
        <v>19</v>
      </c>
      <c r="G1107" s="32" t="s">
        <v>3857</v>
      </c>
      <c r="H1107" s="32" t="s">
        <v>3905</v>
      </c>
      <c r="I1107" s="32" t="s">
        <v>3936</v>
      </c>
      <c r="J1107" s="32">
        <v>0</v>
      </c>
      <c r="K1107" s="32">
        <v>0</v>
      </c>
      <c r="L1107" s="32">
        <v>0</v>
      </c>
      <c r="M1107" s="32">
        <v>17688</v>
      </c>
      <c r="N1107" s="32">
        <v>0</v>
      </c>
      <c r="O1107" s="32">
        <v>0</v>
      </c>
      <c r="P1107" s="32">
        <f>360+56</f>
        <v>416</v>
      </c>
      <c r="Q1107" s="35">
        <f t="shared" si="34"/>
        <v>18104</v>
      </c>
      <c r="R1107" s="69">
        <f t="shared" si="35"/>
        <v>15388.4</v>
      </c>
      <c r="S1107" s="30"/>
      <c r="T1107" s="30"/>
    </row>
    <row r="1108" spans="1:20" s="41" customFormat="1" ht="45" customHeight="1" x14ac:dyDescent="0.3">
      <c r="A1108" s="31">
        <v>1096</v>
      </c>
      <c r="B1108" s="38" t="s">
        <v>3714</v>
      </c>
      <c r="C1108" s="38" t="s">
        <v>3769</v>
      </c>
      <c r="D1108" s="38" t="s">
        <v>3770</v>
      </c>
      <c r="E1108" s="38">
        <v>2017</v>
      </c>
      <c r="F1108" s="38" t="s">
        <v>19</v>
      </c>
      <c r="G1108" s="38" t="s">
        <v>3858</v>
      </c>
      <c r="H1108" s="38" t="s">
        <v>4424</v>
      </c>
      <c r="I1108" s="38" t="s">
        <v>830</v>
      </c>
      <c r="J1108" s="38">
        <v>6199</v>
      </c>
      <c r="K1108" s="38">
        <f>1346+6278+4484+4484+2332+2332+2332+2332+2332+2332+6995+6995+2332+6995+1166</f>
        <v>55067</v>
      </c>
      <c r="L1108" s="38">
        <v>0</v>
      </c>
      <c r="M1108" s="38">
        <v>0</v>
      </c>
      <c r="N1108" s="38">
        <f>3148+4053+2088</f>
        <v>9289</v>
      </c>
      <c r="O1108" s="38">
        <v>0</v>
      </c>
      <c r="P1108" s="38">
        <f>720+1080+120+360+56</f>
        <v>2336</v>
      </c>
      <c r="Q1108" s="37">
        <f t="shared" si="34"/>
        <v>72891</v>
      </c>
      <c r="R1108" s="69">
        <f t="shared" si="35"/>
        <v>61957.35</v>
      </c>
      <c r="S1108" s="40"/>
      <c r="T1108" s="40"/>
    </row>
    <row r="1109" spans="1:20" s="41" customFormat="1" ht="45" customHeight="1" x14ac:dyDescent="0.3">
      <c r="A1109" s="36">
        <v>1097</v>
      </c>
      <c r="B1109" s="38" t="s">
        <v>3714</v>
      </c>
      <c r="C1109" s="38" t="s">
        <v>3769</v>
      </c>
      <c r="D1109" s="38" t="s">
        <v>3770</v>
      </c>
      <c r="E1109" s="38">
        <v>2017</v>
      </c>
      <c r="F1109" s="38" t="s">
        <v>19</v>
      </c>
      <c r="G1109" s="38" t="s">
        <v>3858</v>
      </c>
      <c r="H1109" s="38" t="s">
        <v>4424</v>
      </c>
      <c r="I1109" s="38" t="s">
        <v>830</v>
      </c>
      <c r="J1109" s="38">
        <v>0</v>
      </c>
      <c r="K1109" s="38">
        <v>0</v>
      </c>
      <c r="L1109" s="38">
        <v>0</v>
      </c>
      <c r="M1109" s="38">
        <v>17688</v>
      </c>
      <c r="N1109" s="38">
        <v>0</v>
      </c>
      <c r="O1109" s="38">
        <v>0</v>
      </c>
      <c r="P1109" s="38">
        <f>360+56</f>
        <v>416</v>
      </c>
      <c r="Q1109" s="37">
        <f t="shared" si="34"/>
        <v>18104</v>
      </c>
      <c r="R1109" s="69">
        <f t="shared" si="35"/>
        <v>15388.4</v>
      </c>
      <c r="S1109" s="40"/>
      <c r="T1109" s="40"/>
    </row>
    <row r="1110" spans="1:20" ht="45" customHeight="1" x14ac:dyDescent="0.3">
      <c r="A1110" s="31">
        <v>1098</v>
      </c>
      <c r="B1110" s="32" t="s">
        <v>3714</v>
      </c>
      <c r="C1110" s="32" t="s">
        <v>3771</v>
      </c>
      <c r="D1110" s="32" t="s">
        <v>3772</v>
      </c>
      <c r="E1110" s="32">
        <v>2020</v>
      </c>
      <c r="F1110" s="32" t="s">
        <v>18</v>
      </c>
      <c r="G1110" s="32" t="s">
        <v>3859</v>
      </c>
      <c r="H1110" s="32" t="s">
        <v>3906</v>
      </c>
      <c r="I1110" s="32" t="s">
        <v>3937</v>
      </c>
      <c r="J1110" s="32">
        <v>6199</v>
      </c>
      <c r="K1110" s="32">
        <f>1346+6278+4484+4484+2332+2332+2332+2332+2332+2332+6995+6995+2332+6995</f>
        <v>53901</v>
      </c>
      <c r="L1110" s="32">
        <v>0</v>
      </c>
      <c r="M1110" s="32">
        <v>0</v>
      </c>
      <c r="N1110" s="32">
        <v>3148</v>
      </c>
      <c r="O1110" s="32">
        <v>0</v>
      </c>
      <c r="P1110" s="32">
        <v>0</v>
      </c>
      <c r="Q1110" s="37">
        <f t="shared" si="34"/>
        <v>63248</v>
      </c>
      <c r="R1110" s="69">
        <f t="shared" si="35"/>
        <v>53760.800000000003</v>
      </c>
      <c r="S1110" s="30"/>
      <c r="T1110" s="30"/>
    </row>
    <row r="1111" spans="1:20" ht="45" customHeight="1" x14ac:dyDescent="0.3">
      <c r="A1111" s="31">
        <v>1099</v>
      </c>
      <c r="B1111" s="32" t="s">
        <v>3714</v>
      </c>
      <c r="C1111" s="32" t="s">
        <v>3773</v>
      </c>
      <c r="D1111" s="32" t="s">
        <v>3774</v>
      </c>
      <c r="E1111" s="32">
        <v>2005</v>
      </c>
      <c r="F1111" s="32" t="s">
        <v>18</v>
      </c>
      <c r="G1111" s="32" t="s">
        <v>3860</v>
      </c>
      <c r="H1111" s="32" t="s">
        <v>3907</v>
      </c>
      <c r="I1111" s="32" t="s">
        <v>569</v>
      </c>
      <c r="J1111" s="32">
        <v>3582</v>
      </c>
      <c r="K1111" s="32">
        <v>0</v>
      </c>
      <c r="L1111" s="32">
        <v>0</v>
      </c>
      <c r="M1111" s="32">
        <v>0</v>
      </c>
      <c r="N1111" s="32">
        <f>15443+21194+13563</f>
        <v>50200</v>
      </c>
      <c r="O1111" s="32">
        <v>0</v>
      </c>
      <c r="P1111" s="32">
        <v>0</v>
      </c>
      <c r="Q1111" s="37">
        <f t="shared" si="34"/>
        <v>53782</v>
      </c>
      <c r="R1111" s="69">
        <f t="shared" si="35"/>
        <v>45714.7</v>
      </c>
      <c r="S1111" s="30"/>
      <c r="T1111" s="30"/>
    </row>
    <row r="1112" spans="1:20" ht="45" customHeight="1" x14ac:dyDescent="0.3">
      <c r="A1112" s="36">
        <v>1100</v>
      </c>
      <c r="B1112" s="32" t="s">
        <v>3714</v>
      </c>
      <c r="C1112" s="32" t="s">
        <v>3775</v>
      </c>
      <c r="D1112" s="32" t="s">
        <v>3776</v>
      </c>
      <c r="E1112" s="32">
        <v>2023</v>
      </c>
      <c r="F1112" s="32" t="s">
        <v>19</v>
      </c>
      <c r="G1112" s="32" t="s">
        <v>3861</v>
      </c>
      <c r="H1112" s="32" t="s">
        <v>3908</v>
      </c>
      <c r="I1112" s="32" t="s">
        <v>2622</v>
      </c>
      <c r="J1112" s="32">
        <v>6199</v>
      </c>
      <c r="K1112" s="32">
        <f>1346+6278+4484+1166</f>
        <v>13274</v>
      </c>
      <c r="L1112" s="32">
        <v>0</v>
      </c>
      <c r="M1112" s="32">
        <v>0</v>
      </c>
      <c r="N1112" s="32">
        <v>3148</v>
      </c>
      <c r="O1112" s="32">
        <v>0</v>
      </c>
      <c r="P1112" s="32">
        <v>0</v>
      </c>
      <c r="Q1112" s="37">
        <f t="shared" si="34"/>
        <v>22621</v>
      </c>
      <c r="R1112" s="69">
        <f t="shared" si="35"/>
        <v>19227.849999999999</v>
      </c>
      <c r="S1112" s="30"/>
      <c r="T1112" s="30"/>
    </row>
    <row r="1113" spans="1:20" ht="45" customHeight="1" x14ac:dyDescent="0.3">
      <c r="A1113" s="31">
        <v>1101</v>
      </c>
      <c r="B1113" s="32" t="s">
        <v>3714</v>
      </c>
      <c r="C1113" s="32" t="s">
        <v>3777</v>
      </c>
      <c r="D1113" s="32" t="s">
        <v>3778</v>
      </c>
      <c r="E1113" s="32">
        <v>1984</v>
      </c>
      <c r="F1113" s="32" t="s">
        <v>18</v>
      </c>
      <c r="G1113" s="32" t="s">
        <v>3862</v>
      </c>
      <c r="H1113" s="32" t="s">
        <v>3909</v>
      </c>
      <c r="I1113" s="32" t="s">
        <v>3938</v>
      </c>
      <c r="J1113" s="32">
        <v>6199</v>
      </c>
      <c r="K1113" s="32">
        <v>0</v>
      </c>
      <c r="L1113" s="32">
        <v>0</v>
      </c>
      <c r="M1113" s="32">
        <v>0</v>
      </c>
      <c r="N1113" s="32">
        <v>0</v>
      </c>
      <c r="O1113" s="32">
        <v>0</v>
      </c>
      <c r="P1113" s="32">
        <v>0</v>
      </c>
      <c r="Q1113" s="37">
        <f t="shared" si="34"/>
        <v>6199</v>
      </c>
      <c r="R1113" s="69">
        <f t="shared" si="35"/>
        <v>5269.15</v>
      </c>
      <c r="S1113" s="30"/>
      <c r="T1113" s="30"/>
    </row>
    <row r="1114" spans="1:20" ht="45" customHeight="1" x14ac:dyDescent="0.3">
      <c r="A1114" s="31">
        <v>1102</v>
      </c>
      <c r="B1114" s="32" t="s">
        <v>3714</v>
      </c>
      <c r="C1114" s="32" t="s">
        <v>3779</v>
      </c>
      <c r="D1114" s="32" t="s">
        <v>3780</v>
      </c>
      <c r="E1114" s="32">
        <v>2023</v>
      </c>
      <c r="F1114" s="32" t="s">
        <v>18</v>
      </c>
      <c r="G1114" s="32" t="s">
        <v>3863</v>
      </c>
      <c r="H1114" s="32" t="s">
        <v>3910</v>
      </c>
      <c r="I1114" s="32" t="s">
        <v>292</v>
      </c>
      <c r="J1114" s="32">
        <v>6199</v>
      </c>
      <c r="K1114" s="32">
        <f>6278+4484+1346+4484+2332+2332+2332+2332+2332</f>
        <v>28252</v>
      </c>
      <c r="L1114" s="32">
        <v>0</v>
      </c>
      <c r="M1114" s="32">
        <v>0</v>
      </c>
      <c r="N1114" s="32">
        <v>3148</v>
      </c>
      <c r="O1114" s="32">
        <v>0</v>
      </c>
      <c r="P1114" s="32">
        <v>63</v>
      </c>
      <c r="Q1114" s="37">
        <f t="shared" si="34"/>
        <v>37662</v>
      </c>
      <c r="R1114" s="69">
        <f t="shared" si="35"/>
        <v>32012.7</v>
      </c>
      <c r="S1114" s="30"/>
      <c r="T1114" s="30"/>
    </row>
    <row r="1115" spans="1:20" ht="45" customHeight="1" x14ac:dyDescent="0.3">
      <c r="A1115" s="36">
        <v>1103</v>
      </c>
      <c r="B1115" s="32" t="s">
        <v>3714</v>
      </c>
      <c r="C1115" s="32" t="s">
        <v>3781</v>
      </c>
      <c r="D1115" s="32" t="s">
        <v>3782</v>
      </c>
      <c r="E1115" s="32">
        <v>2018</v>
      </c>
      <c r="F1115" s="32" t="s">
        <v>19</v>
      </c>
      <c r="G1115" s="32" t="s">
        <v>3864</v>
      </c>
      <c r="H1115" s="32" t="s">
        <v>3910</v>
      </c>
      <c r="I1115" s="32" t="s">
        <v>292</v>
      </c>
      <c r="J1115" s="32">
        <v>6199</v>
      </c>
      <c r="K1115" s="32">
        <v>0</v>
      </c>
      <c r="L1115" s="32">
        <v>0</v>
      </c>
      <c r="M1115" s="32">
        <v>0</v>
      </c>
      <c r="N1115" s="32">
        <v>0</v>
      </c>
      <c r="O1115" s="32">
        <v>0</v>
      </c>
      <c r="P1115" s="32">
        <v>0</v>
      </c>
      <c r="Q1115" s="37">
        <f t="shared" si="34"/>
        <v>6199</v>
      </c>
      <c r="R1115" s="69">
        <f t="shared" si="35"/>
        <v>5269.15</v>
      </c>
      <c r="S1115" s="30"/>
      <c r="T1115" s="30"/>
    </row>
    <row r="1116" spans="1:20" ht="45" customHeight="1" x14ac:dyDescent="0.3">
      <c r="A1116" s="31">
        <v>1104</v>
      </c>
      <c r="B1116" s="32" t="s">
        <v>3714</v>
      </c>
      <c r="C1116" s="32" t="s">
        <v>3783</v>
      </c>
      <c r="D1116" s="32" t="s">
        <v>3784</v>
      </c>
      <c r="E1116" s="32">
        <v>1987</v>
      </c>
      <c r="F1116" s="32" t="s">
        <v>19</v>
      </c>
      <c r="G1116" s="32" t="s">
        <v>3865</v>
      </c>
      <c r="H1116" s="32" t="s">
        <v>3911</v>
      </c>
      <c r="I1116" s="32" t="s">
        <v>284</v>
      </c>
      <c r="J1116" s="32">
        <v>6199</v>
      </c>
      <c r="K1116" s="32">
        <f>6278+4484+1345+2332+4484+2332+2332</f>
        <v>23587</v>
      </c>
      <c r="L1116" s="32">
        <v>0</v>
      </c>
      <c r="M1116" s="32">
        <v>0</v>
      </c>
      <c r="N1116" s="32">
        <f>3179+1178+1681+1793</f>
        <v>7831</v>
      </c>
      <c r="O1116" s="32">
        <v>0</v>
      </c>
      <c r="P1116" s="32">
        <f>1200+660+720</f>
        <v>2580</v>
      </c>
      <c r="Q1116" s="37">
        <f t="shared" si="34"/>
        <v>40197</v>
      </c>
      <c r="R1116" s="69">
        <f t="shared" si="35"/>
        <v>34167.449999999997</v>
      </c>
      <c r="S1116" s="30"/>
      <c r="T1116" s="30"/>
    </row>
    <row r="1117" spans="1:20" ht="45" customHeight="1" x14ac:dyDescent="0.3">
      <c r="A1117" s="31">
        <v>1105</v>
      </c>
      <c r="B1117" s="32" t="s">
        <v>3714</v>
      </c>
      <c r="C1117" s="32" t="s">
        <v>3785</v>
      </c>
      <c r="D1117" s="32" t="s">
        <v>3786</v>
      </c>
      <c r="E1117" s="32">
        <v>2022</v>
      </c>
      <c r="F1117" s="32" t="s">
        <v>18</v>
      </c>
      <c r="G1117" s="32" t="s">
        <v>3866</v>
      </c>
      <c r="H1117" s="32" t="s">
        <v>3912</v>
      </c>
      <c r="I1117" s="32" t="s">
        <v>32</v>
      </c>
      <c r="J1117" s="32">
        <v>6199</v>
      </c>
      <c r="K1117" s="32">
        <f>1346+6278+4484</f>
        <v>12108</v>
      </c>
      <c r="L1117" s="32">
        <v>0</v>
      </c>
      <c r="M1117" s="32">
        <v>0</v>
      </c>
      <c r="N1117" s="32">
        <v>3148</v>
      </c>
      <c r="O1117" s="32">
        <v>0</v>
      </c>
      <c r="P1117" s="32">
        <v>0</v>
      </c>
      <c r="Q1117" s="37">
        <f t="shared" si="34"/>
        <v>21455</v>
      </c>
      <c r="R1117" s="69">
        <f t="shared" si="35"/>
        <v>18236.75</v>
      </c>
      <c r="S1117" s="30"/>
      <c r="T1117" s="30"/>
    </row>
    <row r="1118" spans="1:20" ht="45" customHeight="1" x14ac:dyDescent="0.3">
      <c r="A1118" s="36">
        <v>1106</v>
      </c>
      <c r="B1118" s="32" t="s">
        <v>3714</v>
      </c>
      <c r="C1118" s="32" t="s">
        <v>3787</v>
      </c>
      <c r="D1118" s="32" t="s">
        <v>3788</v>
      </c>
      <c r="E1118" s="32">
        <v>1984</v>
      </c>
      <c r="F1118" s="32" t="s">
        <v>18</v>
      </c>
      <c r="G1118" s="32" t="s">
        <v>3867</v>
      </c>
      <c r="H1118" s="32" t="s">
        <v>3913</v>
      </c>
      <c r="I1118" s="32" t="s">
        <v>300</v>
      </c>
      <c r="J1118" s="32">
        <v>6199</v>
      </c>
      <c r="K1118" s="32">
        <v>0</v>
      </c>
      <c r="L1118" s="32">
        <v>0</v>
      </c>
      <c r="M1118" s="32">
        <v>0</v>
      </c>
      <c r="N1118" s="32">
        <v>0</v>
      </c>
      <c r="O1118" s="32">
        <v>0</v>
      </c>
      <c r="P1118" s="32">
        <v>0</v>
      </c>
      <c r="Q1118" s="37">
        <f t="shared" si="34"/>
        <v>6199</v>
      </c>
      <c r="R1118" s="69">
        <f t="shared" si="35"/>
        <v>5269.15</v>
      </c>
      <c r="S1118" s="30"/>
      <c r="T1118" s="30"/>
    </row>
    <row r="1119" spans="1:20" s="41" customFormat="1" ht="45" customHeight="1" x14ac:dyDescent="0.3">
      <c r="A1119" s="31">
        <v>1107</v>
      </c>
      <c r="B1119" s="38" t="s">
        <v>3714</v>
      </c>
      <c r="C1119" s="38" t="s">
        <v>3789</v>
      </c>
      <c r="D1119" s="38" t="s">
        <v>3790</v>
      </c>
      <c r="E1119" s="38">
        <v>2020</v>
      </c>
      <c r="F1119" s="38" t="s">
        <v>19</v>
      </c>
      <c r="G1119" s="38" t="s">
        <v>3868</v>
      </c>
      <c r="H1119" s="38" t="s">
        <v>3914</v>
      </c>
      <c r="I1119" s="38" t="s">
        <v>254</v>
      </c>
      <c r="J1119" s="38">
        <v>6199</v>
      </c>
      <c r="K1119" s="38">
        <f>6278+4484+1346+4484+2332+2332+2332+2332+2332+1166</f>
        <v>29418</v>
      </c>
      <c r="L1119" s="38">
        <v>0</v>
      </c>
      <c r="M1119" s="38">
        <v>0</v>
      </c>
      <c r="N1119" s="38">
        <v>3148</v>
      </c>
      <c r="O1119" s="38">
        <v>0</v>
      </c>
      <c r="P1119" s="38">
        <v>0</v>
      </c>
      <c r="Q1119" s="37">
        <f t="shared" si="34"/>
        <v>38765</v>
      </c>
      <c r="R1119" s="69">
        <f t="shared" si="35"/>
        <v>32950.25</v>
      </c>
      <c r="S1119" s="40"/>
      <c r="T1119" s="40"/>
    </row>
    <row r="1120" spans="1:20" ht="45" customHeight="1" x14ac:dyDescent="0.3">
      <c r="A1120" s="31">
        <v>1108</v>
      </c>
      <c r="B1120" s="32" t="s">
        <v>3714</v>
      </c>
      <c r="C1120" s="32" t="s">
        <v>3791</v>
      </c>
      <c r="D1120" s="32" t="s">
        <v>3792</v>
      </c>
      <c r="E1120" s="32">
        <v>1991</v>
      </c>
      <c r="F1120" s="32" t="s">
        <v>18</v>
      </c>
      <c r="G1120" s="32" t="s">
        <v>3869</v>
      </c>
      <c r="H1120" s="32" t="s">
        <v>3915</v>
      </c>
      <c r="I1120" s="32" t="s">
        <v>3939</v>
      </c>
      <c r="J1120" s="32">
        <v>0</v>
      </c>
      <c r="K1120" s="32">
        <v>0</v>
      </c>
      <c r="L1120" s="32">
        <v>0</v>
      </c>
      <c r="M1120" s="32">
        <v>0</v>
      </c>
      <c r="N1120" s="32">
        <v>5321</v>
      </c>
      <c r="O1120" s="32">
        <v>0</v>
      </c>
      <c r="P1120" s="32">
        <v>0</v>
      </c>
      <c r="Q1120" s="37">
        <f t="shared" si="34"/>
        <v>5321</v>
      </c>
      <c r="R1120" s="69">
        <f t="shared" si="35"/>
        <v>4522.8500000000004</v>
      </c>
      <c r="S1120" s="30"/>
      <c r="T1120" s="30"/>
    </row>
    <row r="1121" spans="1:20" ht="45" customHeight="1" x14ac:dyDescent="0.3">
      <c r="A1121" s="36">
        <v>1109</v>
      </c>
      <c r="B1121" s="32" t="s">
        <v>3714</v>
      </c>
      <c r="C1121" s="32" t="s">
        <v>3793</v>
      </c>
      <c r="D1121" s="32" t="s">
        <v>3794</v>
      </c>
      <c r="E1121" s="32">
        <v>1979</v>
      </c>
      <c r="F1121" s="32" t="s">
        <v>18</v>
      </c>
      <c r="G1121" s="32" t="s">
        <v>3870</v>
      </c>
      <c r="H1121" s="32" t="s">
        <v>3870</v>
      </c>
      <c r="I1121" s="32" t="s">
        <v>1069</v>
      </c>
      <c r="J1121" s="32">
        <v>3582</v>
      </c>
      <c r="K1121" s="32">
        <v>0</v>
      </c>
      <c r="L1121" s="32">
        <v>0</v>
      </c>
      <c r="M1121" s="32">
        <v>0</v>
      </c>
      <c r="N1121" s="32">
        <v>0</v>
      </c>
      <c r="O1121" s="32">
        <v>0</v>
      </c>
      <c r="P1121" s="32">
        <v>0</v>
      </c>
      <c r="Q1121" s="37">
        <f t="shared" si="34"/>
        <v>3582</v>
      </c>
      <c r="R1121" s="69">
        <f t="shared" si="35"/>
        <v>3044.7</v>
      </c>
      <c r="S1121" s="30"/>
      <c r="T1121" s="30"/>
    </row>
    <row r="1122" spans="1:20" ht="45" customHeight="1" x14ac:dyDescent="0.3">
      <c r="A1122" s="31">
        <v>1110</v>
      </c>
      <c r="B1122" s="32" t="s">
        <v>3714</v>
      </c>
      <c r="C1122" s="32" t="s">
        <v>3795</v>
      </c>
      <c r="D1122" s="32" t="s">
        <v>3796</v>
      </c>
      <c r="E1122" s="32">
        <v>1949</v>
      </c>
      <c r="F1122" s="32" t="s">
        <v>18</v>
      </c>
      <c r="G1122" s="32" t="s">
        <v>3871</v>
      </c>
      <c r="H1122" s="32" t="s">
        <v>3871</v>
      </c>
      <c r="I1122" s="32" t="s">
        <v>3940</v>
      </c>
      <c r="J1122" s="32">
        <v>6199</v>
      </c>
      <c r="K1122" s="32">
        <v>0</v>
      </c>
      <c r="L1122" s="32">
        <v>0</v>
      </c>
      <c r="M1122" s="32">
        <v>0</v>
      </c>
      <c r="N1122" s="32">
        <v>0</v>
      </c>
      <c r="O1122" s="32">
        <v>0</v>
      </c>
      <c r="P1122" s="32">
        <v>0</v>
      </c>
      <c r="Q1122" s="37">
        <f t="shared" si="34"/>
        <v>6199</v>
      </c>
      <c r="R1122" s="69">
        <f t="shared" si="35"/>
        <v>5269.15</v>
      </c>
      <c r="S1122" s="30"/>
      <c r="T1122" s="30"/>
    </row>
    <row r="1123" spans="1:20" ht="45" customHeight="1" x14ac:dyDescent="0.3">
      <c r="A1123" s="31">
        <v>1111</v>
      </c>
      <c r="B1123" s="32" t="s">
        <v>3714</v>
      </c>
      <c r="C1123" s="32" t="s">
        <v>3797</v>
      </c>
      <c r="D1123" s="32" t="s">
        <v>3798</v>
      </c>
      <c r="E1123" s="32">
        <v>1956</v>
      </c>
      <c r="F1123" s="32" t="s">
        <v>18</v>
      </c>
      <c r="G1123" s="32" t="s">
        <v>3872</v>
      </c>
      <c r="H1123" s="32" t="s">
        <v>3872</v>
      </c>
      <c r="I1123" s="32" t="s">
        <v>3941</v>
      </c>
      <c r="J1123" s="32">
        <v>6199</v>
      </c>
      <c r="K1123" s="32">
        <f>6278+13452+2332+2332+2332+2332+2332+2332+1346+4484+4484</f>
        <v>44036</v>
      </c>
      <c r="L1123" s="32">
        <v>0</v>
      </c>
      <c r="M1123" s="32">
        <v>0</v>
      </c>
      <c r="N1123" s="32">
        <v>1793</v>
      </c>
      <c r="O1123" s="32">
        <v>0</v>
      </c>
      <c r="P1123" s="32">
        <v>0</v>
      </c>
      <c r="Q1123" s="37">
        <f t="shared" si="34"/>
        <v>52028</v>
      </c>
      <c r="R1123" s="69">
        <f t="shared" si="35"/>
        <v>44223.8</v>
      </c>
      <c r="S1123" s="30"/>
      <c r="T1123" s="30"/>
    </row>
    <row r="1124" spans="1:20" ht="45" customHeight="1" x14ac:dyDescent="0.3">
      <c r="A1124" s="36">
        <v>1112</v>
      </c>
      <c r="B1124" s="32" t="s">
        <v>3714</v>
      </c>
      <c r="C1124" s="32" t="s">
        <v>3799</v>
      </c>
      <c r="D1124" s="32" t="s">
        <v>3800</v>
      </c>
      <c r="E1124" s="32">
        <v>1980</v>
      </c>
      <c r="F1124" s="32" t="s">
        <v>18</v>
      </c>
      <c r="G1124" s="32" t="s">
        <v>3873</v>
      </c>
      <c r="H1124" s="32" t="s">
        <v>3873</v>
      </c>
      <c r="I1124" s="32" t="s">
        <v>1460</v>
      </c>
      <c r="J1124" s="32">
        <v>6199</v>
      </c>
      <c r="K1124" s="32">
        <v>0</v>
      </c>
      <c r="L1124" s="32">
        <v>0</v>
      </c>
      <c r="M1124" s="32">
        <v>0</v>
      </c>
      <c r="N1124" s="32">
        <v>0</v>
      </c>
      <c r="O1124" s="32">
        <v>0</v>
      </c>
      <c r="P1124" s="32">
        <v>0</v>
      </c>
      <c r="Q1124" s="37">
        <f t="shared" si="34"/>
        <v>6199</v>
      </c>
      <c r="R1124" s="69">
        <f t="shared" si="35"/>
        <v>5269.15</v>
      </c>
      <c r="S1124" s="30"/>
      <c r="T1124" s="30"/>
    </row>
    <row r="1125" spans="1:20" ht="45" customHeight="1" x14ac:dyDescent="0.3">
      <c r="A1125" s="31">
        <v>1113</v>
      </c>
      <c r="B1125" s="32" t="s">
        <v>3714</v>
      </c>
      <c r="C1125" s="32" t="s">
        <v>3801</v>
      </c>
      <c r="D1125" s="32" t="s">
        <v>3802</v>
      </c>
      <c r="E1125" s="32">
        <v>1991</v>
      </c>
      <c r="F1125" s="32" t="s">
        <v>19</v>
      </c>
      <c r="G1125" s="32" t="s">
        <v>3874</v>
      </c>
      <c r="H1125" s="32" t="s">
        <v>3874</v>
      </c>
      <c r="I1125" s="32" t="s">
        <v>3942</v>
      </c>
      <c r="J1125" s="32">
        <v>6199</v>
      </c>
      <c r="K1125" s="32">
        <v>0</v>
      </c>
      <c r="L1125" s="32">
        <v>0</v>
      </c>
      <c r="M1125" s="32">
        <v>0</v>
      </c>
      <c r="N1125" s="32">
        <v>0</v>
      </c>
      <c r="O1125" s="32">
        <v>0</v>
      </c>
      <c r="P1125" s="32">
        <v>0</v>
      </c>
      <c r="Q1125" s="37">
        <f t="shared" si="34"/>
        <v>6199</v>
      </c>
      <c r="R1125" s="69">
        <f t="shared" si="35"/>
        <v>5269.15</v>
      </c>
      <c r="S1125" s="30"/>
      <c r="T1125" s="30"/>
    </row>
    <row r="1126" spans="1:20" ht="45" customHeight="1" x14ac:dyDescent="0.3">
      <c r="A1126" s="31">
        <v>1114</v>
      </c>
      <c r="B1126" s="32" t="s">
        <v>3714</v>
      </c>
      <c r="C1126" s="32" t="s">
        <v>3803</v>
      </c>
      <c r="D1126" s="32" t="s">
        <v>3804</v>
      </c>
      <c r="E1126" s="32">
        <v>1999</v>
      </c>
      <c r="F1126" s="32" t="s">
        <v>18</v>
      </c>
      <c r="G1126" s="32" t="s">
        <v>3875</v>
      </c>
      <c r="H1126" s="32" t="s">
        <v>3875</v>
      </c>
      <c r="I1126" s="32" t="s">
        <v>540</v>
      </c>
      <c r="J1126" s="32">
        <v>3582</v>
      </c>
      <c r="K1126" s="32">
        <v>0</v>
      </c>
      <c r="L1126" s="32">
        <v>0</v>
      </c>
      <c r="M1126" s="32">
        <v>0</v>
      </c>
      <c r="N1126" s="32">
        <f>27380+34016</f>
        <v>61396</v>
      </c>
      <c r="O1126" s="32">
        <v>0</v>
      </c>
      <c r="P1126" s="32">
        <v>0</v>
      </c>
      <c r="Q1126" s="37">
        <f t="shared" si="34"/>
        <v>64978</v>
      </c>
      <c r="R1126" s="69">
        <f t="shared" si="35"/>
        <v>55231.3</v>
      </c>
      <c r="S1126" s="30"/>
      <c r="T1126" s="30"/>
    </row>
    <row r="1127" spans="1:20" ht="45" customHeight="1" x14ac:dyDescent="0.3">
      <c r="A1127" s="36">
        <v>1115</v>
      </c>
      <c r="B1127" s="32" t="s">
        <v>3714</v>
      </c>
      <c r="C1127" s="32" t="s">
        <v>3805</v>
      </c>
      <c r="D1127" s="32" t="s">
        <v>2151</v>
      </c>
      <c r="E1127" s="32">
        <v>1973</v>
      </c>
      <c r="F1127" s="32" t="s">
        <v>18</v>
      </c>
      <c r="G1127" s="32" t="s">
        <v>2316</v>
      </c>
      <c r="H1127" s="32" t="s">
        <v>2316</v>
      </c>
      <c r="I1127" s="32" t="s">
        <v>1277</v>
      </c>
      <c r="J1127" s="32">
        <v>3793</v>
      </c>
      <c r="K1127" s="32">
        <v>0</v>
      </c>
      <c r="L1127" s="32">
        <v>0</v>
      </c>
      <c r="M1127" s="32">
        <v>0</v>
      </c>
      <c r="N1127" s="32">
        <v>0</v>
      </c>
      <c r="O1127" s="32">
        <v>0</v>
      </c>
      <c r="P1127" s="32">
        <v>0</v>
      </c>
      <c r="Q1127" s="37">
        <f t="shared" si="34"/>
        <v>3793</v>
      </c>
      <c r="R1127" s="69">
        <f t="shared" si="35"/>
        <v>3224.05</v>
      </c>
      <c r="S1127" s="30"/>
      <c r="T1127" s="30"/>
    </row>
    <row r="1128" spans="1:20" ht="45" customHeight="1" x14ac:dyDescent="0.3">
      <c r="A1128" s="31">
        <v>1116</v>
      </c>
      <c r="B1128" s="32" t="s">
        <v>3714</v>
      </c>
      <c r="C1128" s="32" t="s">
        <v>3806</v>
      </c>
      <c r="D1128" s="32" t="s">
        <v>3807</v>
      </c>
      <c r="E1128" s="32">
        <v>2024</v>
      </c>
      <c r="F1128" s="32" t="s">
        <v>19</v>
      </c>
      <c r="G1128" s="32" t="s">
        <v>3876</v>
      </c>
      <c r="H1128" s="32" t="s">
        <v>3874</v>
      </c>
      <c r="I1128" s="32" t="s">
        <v>3943</v>
      </c>
      <c r="J1128" s="32">
        <v>6199</v>
      </c>
      <c r="K1128" s="32">
        <v>0</v>
      </c>
      <c r="L1128" s="32">
        <v>0</v>
      </c>
      <c r="M1128" s="32">
        <v>0</v>
      </c>
      <c r="N1128" s="32">
        <v>0</v>
      </c>
      <c r="O1128" s="32">
        <v>0</v>
      </c>
      <c r="P1128" s="32">
        <v>0</v>
      </c>
      <c r="Q1128" s="37">
        <f t="shared" si="34"/>
        <v>6199</v>
      </c>
      <c r="R1128" s="69">
        <f t="shared" si="35"/>
        <v>5269.15</v>
      </c>
      <c r="S1128" s="30"/>
      <c r="T1128" s="30"/>
    </row>
    <row r="1129" spans="1:20" ht="45" customHeight="1" x14ac:dyDescent="0.3">
      <c r="A1129" s="31">
        <v>1117</v>
      </c>
      <c r="B1129" s="32" t="s">
        <v>3714</v>
      </c>
      <c r="C1129" s="32" t="s">
        <v>3808</v>
      </c>
      <c r="D1129" s="32" t="s">
        <v>3809</v>
      </c>
      <c r="E1129" s="32">
        <v>1971</v>
      </c>
      <c r="F1129" s="32" t="s">
        <v>18</v>
      </c>
      <c r="G1129" s="32" t="s">
        <v>3877</v>
      </c>
      <c r="H1129" s="32" t="s">
        <v>3877</v>
      </c>
      <c r="I1129" s="32" t="s">
        <v>274</v>
      </c>
      <c r="J1129" s="32">
        <v>6199</v>
      </c>
      <c r="K1129" s="32">
        <v>0</v>
      </c>
      <c r="L1129" s="32">
        <v>0</v>
      </c>
      <c r="M1129" s="32">
        <v>0</v>
      </c>
      <c r="N1129" s="32">
        <v>0</v>
      </c>
      <c r="O1129" s="32">
        <v>0</v>
      </c>
      <c r="P1129" s="32">
        <v>0</v>
      </c>
      <c r="Q1129" s="37">
        <f t="shared" si="34"/>
        <v>6199</v>
      </c>
      <c r="R1129" s="69">
        <f t="shared" si="35"/>
        <v>5269.15</v>
      </c>
      <c r="S1129" s="30"/>
      <c r="T1129" s="30"/>
    </row>
    <row r="1130" spans="1:20" ht="45" customHeight="1" x14ac:dyDescent="0.3">
      <c r="A1130" s="36">
        <v>1118</v>
      </c>
      <c r="B1130" s="32" t="s">
        <v>3714</v>
      </c>
      <c r="C1130" s="32" t="s">
        <v>3810</v>
      </c>
      <c r="D1130" s="32" t="s">
        <v>3811</v>
      </c>
      <c r="E1130" s="32">
        <v>2014</v>
      </c>
      <c r="F1130" s="32" t="s">
        <v>19</v>
      </c>
      <c r="G1130" s="32" t="s">
        <v>3878</v>
      </c>
      <c r="H1130" s="32" t="s">
        <v>3916</v>
      </c>
      <c r="I1130" s="32" t="s">
        <v>299</v>
      </c>
      <c r="J1130" s="32">
        <v>6199</v>
      </c>
      <c r="K1130" s="32">
        <v>0</v>
      </c>
      <c r="L1130" s="32">
        <v>0</v>
      </c>
      <c r="M1130" s="32">
        <v>0</v>
      </c>
      <c r="N1130" s="32">
        <v>0</v>
      </c>
      <c r="O1130" s="32">
        <v>0</v>
      </c>
      <c r="P1130" s="32">
        <v>0</v>
      </c>
      <c r="Q1130" s="37">
        <f t="shared" si="34"/>
        <v>6199</v>
      </c>
      <c r="R1130" s="69">
        <f t="shared" si="35"/>
        <v>5269.15</v>
      </c>
      <c r="S1130" s="30"/>
      <c r="T1130" s="30"/>
    </row>
    <row r="1131" spans="1:20" ht="45" customHeight="1" x14ac:dyDescent="0.3">
      <c r="A1131" s="31">
        <v>1119</v>
      </c>
      <c r="B1131" s="32" t="s">
        <v>3714</v>
      </c>
      <c r="C1131" s="32" t="s">
        <v>3812</v>
      </c>
      <c r="D1131" s="32" t="s">
        <v>3813</v>
      </c>
      <c r="E1131" s="32">
        <v>2023</v>
      </c>
      <c r="F1131" s="32" t="s">
        <v>19</v>
      </c>
      <c r="G1131" s="32" t="s">
        <v>3879</v>
      </c>
      <c r="H1131" s="32" t="s">
        <v>3917</v>
      </c>
      <c r="I1131" s="32" t="s">
        <v>536</v>
      </c>
      <c r="J1131" s="32">
        <v>6199</v>
      </c>
      <c r="K1131" s="32">
        <f>6278+4484+1346+4484+2332+1166+2332+2332+2332+2332+2332+6995+6995+2332+6995</f>
        <v>55067</v>
      </c>
      <c r="L1131" s="32">
        <v>0</v>
      </c>
      <c r="M1131" s="32">
        <v>0</v>
      </c>
      <c r="N1131" s="32">
        <v>3148</v>
      </c>
      <c r="O1131" s="32">
        <v>0</v>
      </c>
      <c r="P1131" s="32">
        <v>0</v>
      </c>
      <c r="Q1131" s="37">
        <f t="shared" si="34"/>
        <v>64414</v>
      </c>
      <c r="R1131" s="69">
        <f t="shared" si="35"/>
        <v>54751.9</v>
      </c>
      <c r="S1131" s="30"/>
      <c r="T1131" s="30"/>
    </row>
    <row r="1132" spans="1:20" s="41" customFormat="1" ht="45" customHeight="1" x14ac:dyDescent="0.3">
      <c r="A1132" s="31">
        <v>1120</v>
      </c>
      <c r="B1132" s="38" t="s">
        <v>3714</v>
      </c>
      <c r="C1132" s="38" t="s">
        <v>3814</v>
      </c>
      <c r="D1132" s="38" t="s">
        <v>3815</v>
      </c>
      <c r="E1132" s="38">
        <v>2011</v>
      </c>
      <c r="F1132" s="38" t="s">
        <v>19</v>
      </c>
      <c r="G1132" s="38" t="s">
        <v>3880</v>
      </c>
      <c r="H1132" s="38" t="s">
        <v>3918</v>
      </c>
      <c r="I1132" s="38" t="s">
        <v>3932</v>
      </c>
      <c r="J1132" s="38">
        <v>6199</v>
      </c>
      <c r="K1132" s="38">
        <f>6278+4484+4484+4484+2332+2332+2332+2332+2332+3000+3000+2332+2332+1166</f>
        <v>43220</v>
      </c>
      <c r="L1132" s="38">
        <v>0</v>
      </c>
      <c r="M1132" s="38">
        <v>0</v>
      </c>
      <c r="N1132" s="38">
        <v>3148</v>
      </c>
      <c r="O1132" s="38">
        <v>0</v>
      </c>
      <c r="P1132" s="38">
        <v>0</v>
      </c>
      <c r="Q1132" s="37">
        <f t="shared" si="34"/>
        <v>52567</v>
      </c>
      <c r="R1132" s="69">
        <f t="shared" si="35"/>
        <v>44681.95</v>
      </c>
      <c r="S1132" s="40"/>
      <c r="T1132" s="40"/>
    </row>
    <row r="1133" spans="1:20" ht="45" customHeight="1" x14ac:dyDescent="0.3">
      <c r="A1133" s="36">
        <v>1121</v>
      </c>
      <c r="B1133" s="32" t="s">
        <v>3714</v>
      </c>
      <c r="C1133" s="32" t="s">
        <v>3816</v>
      </c>
      <c r="D1133" s="32" t="s">
        <v>3817</v>
      </c>
      <c r="E1133" s="32">
        <v>1982</v>
      </c>
      <c r="F1133" s="32" t="s">
        <v>18</v>
      </c>
      <c r="G1133" s="32" t="s">
        <v>3881</v>
      </c>
      <c r="H1133" s="32" t="s">
        <v>3881</v>
      </c>
      <c r="I1133" s="32" t="s">
        <v>3944</v>
      </c>
      <c r="J1133" s="32">
        <v>6199</v>
      </c>
      <c r="K1133" s="32">
        <f>2801+1166</f>
        <v>3967</v>
      </c>
      <c r="L1133" s="32">
        <v>0</v>
      </c>
      <c r="M1133" s="32">
        <v>0</v>
      </c>
      <c r="N1133" s="32">
        <v>0</v>
      </c>
      <c r="O1133" s="32">
        <v>0</v>
      </c>
      <c r="P1133" s="32">
        <v>0</v>
      </c>
      <c r="Q1133" s="37">
        <f t="shared" si="34"/>
        <v>10166</v>
      </c>
      <c r="R1133" s="69">
        <f t="shared" si="35"/>
        <v>8641.1</v>
      </c>
      <c r="S1133" s="30"/>
      <c r="T1133" s="30"/>
    </row>
    <row r="1134" spans="1:20" ht="45" customHeight="1" x14ac:dyDescent="0.3">
      <c r="A1134" s="31">
        <v>1122</v>
      </c>
      <c r="B1134" s="32" t="s">
        <v>3714</v>
      </c>
      <c r="C1134" s="32" t="s">
        <v>7391</v>
      </c>
      <c r="D1134" s="32" t="s">
        <v>3818</v>
      </c>
      <c r="E1134" s="32">
        <v>1989</v>
      </c>
      <c r="F1134" s="32" t="s">
        <v>19</v>
      </c>
      <c r="G1134" s="32" t="s">
        <v>3882</v>
      </c>
      <c r="H1134" s="32" t="s">
        <v>3919</v>
      </c>
      <c r="I1134" s="32" t="s">
        <v>2446</v>
      </c>
      <c r="J1134" s="32">
        <v>6199</v>
      </c>
      <c r="K1134" s="32">
        <f>1346+6278+4484</f>
        <v>12108</v>
      </c>
      <c r="L1134" s="32">
        <v>0</v>
      </c>
      <c r="M1134" s="32">
        <v>0</v>
      </c>
      <c r="N1134" s="32">
        <v>1793</v>
      </c>
      <c r="O1134" s="32">
        <v>0</v>
      </c>
      <c r="P1134" s="32">
        <v>0</v>
      </c>
      <c r="Q1134" s="37">
        <f t="shared" si="34"/>
        <v>20100</v>
      </c>
      <c r="R1134" s="69">
        <f t="shared" si="35"/>
        <v>17085</v>
      </c>
      <c r="S1134" s="30"/>
      <c r="T1134" s="30"/>
    </row>
    <row r="1135" spans="1:20" ht="45" customHeight="1" x14ac:dyDescent="0.3">
      <c r="A1135" s="31">
        <v>1123</v>
      </c>
      <c r="B1135" s="32" t="s">
        <v>3714</v>
      </c>
      <c r="C1135" s="32" t="s">
        <v>7392</v>
      </c>
      <c r="D1135" s="32" t="s">
        <v>3819</v>
      </c>
      <c r="E1135" s="32">
        <v>2024</v>
      </c>
      <c r="F1135" s="32" t="s">
        <v>18</v>
      </c>
      <c r="G1135" s="32" t="s">
        <v>3883</v>
      </c>
      <c r="H1135" s="32" t="s">
        <v>3919</v>
      </c>
      <c r="I1135" s="32" t="s">
        <v>2446</v>
      </c>
      <c r="J1135" s="32">
        <v>6199</v>
      </c>
      <c r="K1135" s="32">
        <f>1346+6278+4484+2332+2332+2332+2332+2332+2332+6995+6995+2332+6995+4484</f>
        <v>53901</v>
      </c>
      <c r="L1135" s="32">
        <v>0</v>
      </c>
      <c r="M1135" s="32">
        <v>0</v>
      </c>
      <c r="N1135" s="32">
        <v>3148</v>
      </c>
      <c r="O1135" s="32">
        <v>0</v>
      </c>
      <c r="P1135" s="32">
        <v>0</v>
      </c>
      <c r="Q1135" s="37">
        <f t="shared" si="34"/>
        <v>63248</v>
      </c>
      <c r="R1135" s="69">
        <f t="shared" si="35"/>
        <v>53760.800000000003</v>
      </c>
      <c r="S1135" s="30"/>
      <c r="T1135" s="30"/>
    </row>
    <row r="1136" spans="1:20" ht="45" customHeight="1" x14ac:dyDescent="0.3">
      <c r="A1136" s="36">
        <v>1124</v>
      </c>
      <c r="B1136" s="32" t="s">
        <v>3714</v>
      </c>
      <c r="C1136" s="32" t="s">
        <v>7392</v>
      </c>
      <c r="D1136" s="32" t="s">
        <v>3819</v>
      </c>
      <c r="E1136" s="32">
        <v>2024</v>
      </c>
      <c r="F1136" s="32" t="s">
        <v>18</v>
      </c>
      <c r="G1136" s="32" t="s">
        <v>3883</v>
      </c>
      <c r="H1136" s="32" t="s">
        <v>3919</v>
      </c>
      <c r="I1136" s="32" t="s">
        <v>2446</v>
      </c>
      <c r="J1136" s="32">
        <v>0</v>
      </c>
      <c r="K1136" s="32">
        <v>0</v>
      </c>
      <c r="L1136" s="32">
        <v>0</v>
      </c>
      <c r="M1136" s="32">
        <v>0</v>
      </c>
      <c r="N1136" s="32">
        <f>4053+1178</f>
        <v>5231</v>
      </c>
      <c r="O1136" s="32">
        <v>0</v>
      </c>
      <c r="P1136" s="32">
        <f>720+1080+1200</f>
        <v>3000</v>
      </c>
      <c r="Q1136" s="37">
        <f t="shared" si="34"/>
        <v>8231</v>
      </c>
      <c r="R1136" s="69">
        <f t="shared" si="35"/>
        <v>6996.35</v>
      </c>
      <c r="S1136" s="30"/>
      <c r="T1136" s="30"/>
    </row>
    <row r="1137" spans="1:20" ht="45" customHeight="1" x14ac:dyDescent="0.3">
      <c r="A1137" s="31">
        <v>1125</v>
      </c>
      <c r="B1137" s="32" t="s">
        <v>3714</v>
      </c>
      <c r="C1137" s="32" t="s">
        <v>7392</v>
      </c>
      <c r="D1137" s="32" t="s">
        <v>3819</v>
      </c>
      <c r="E1137" s="32">
        <v>2024</v>
      </c>
      <c r="F1137" s="32" t="s">
        <v>18</v>
      </c>
      <c r="G1137" s="32" t="s">
        <v>3883</v>
      </c>
      <c r="H1137" s="32" t="s">
        <v>3919</v>
      </c>
      <c r="I1137" s="32" t="s">
        <v>2446</v>
      </c>
      <c r="J1137" s="32">
        <v>0</v>
      </c>
      <c r="K1137" s="32">
        <v>0</v>
      </c>
      <c r="L1137" s="32">
        <v>0</v>
      </c>
      <c r="M1137" s="32">
        <v>17688</v>
      </c>
      <c r="N1137" s="32">
        <v>2088</v>
      </c>
      <c r="O1137" s="32">
        <v>0</v>
      </c>
      <c r="P1137" s="32">
        <f>360+56</f>
        <v>416</v>
      </c>
      <c r="Q1137" s="37">
        <f t="shared" si="34"/>
        <v>20192</v>
      </c>
      <c r="R1137" s="69">
        <f t="shared" si="35"/>
        <v>17163.2</v>
      </c>
      <c r="S1137" s="30"/>
      <c r="T1137" s="30"/>
    </row>
    <row r="1138" spans="1:20" ht="45" customHeight="1" x14ac:dyDescent="0.3">
      <c r="A1138" s="31">
        <v>1126</v>
      </c>
      <c r="B1138" s="32" t="s">
        <v>3714</v>
      </c>
      <c r="C1138" s="32" t="s">
        <v>7393</v>
      </c>
      <c r="D1138" s="32" t="s">
        <v>3820</v>
      </c>
      <c r="E1138" s="32">
        <v>2025</v>
      </c>
      <c r="F1138" s="32" t="s">
        <v>19</v>
      </c>
      <c r="G1138" s="32" t="s">
        <v>3884</v>
      </c>
      <c r="H1138" s="32" t="s">
        <v>3920</v>
      </c>
      <c r="I1138" s="32" t="s">
        <v>3945</v>
      </c>
      <c r="J1138" s="32">
        <v>6199</v>
      </c>
      <c r="K1138" s="32">
        <f>1346+6278+4484</f>
        <v>12108</v>
      </c>
      <c r="L1138" s="32">
        <v>0</v>
      </c>
      <c r="M1138" s="32">
        <v>0</v>
      </c>
      <c r="N1138" s="32">
        <v>3148</v>
      </c>
      <c r="O1138" s="32">
        <v>0</v>
      </c>
      <c r="P1138" s="32">
        <v>0</v>
      </c>
      <c r="Q1138" s="37">
        <f t="shared" si="34"/>
        <v>21455</v>
      </c>
      <c r="R1138" s="69">
        <f t="shared" si="35"/>
        <v>18236.75</v>
      </c>
      <c r="S1138" s="30"/>
      <c r="T1138" s="30"/>
    </row>
    <row r="1139" spans="1:20" ht="45" customHeight="1" x14ac:dyDescent="0.3">
      <c r="A1139" s="36">
        <v>1127</v>
      </c>
      <c r="B1139" s="32" t="s">
        <v>3714</v>
      </c>
      <c r="C1139" s="32" t="s">
        <v>7394</v>
      </c>
      <c r="D1139" s="32" t="s">
        <v>3821</v>
      </c>
      <c r="E1139" s="32">
        <v>1981</v>
      </c>
      <c r="F1139" s="32" t="s">
        <v>19</v>
      </c>
      <c r="G1139" s="32" t="s">
        <v>3885</v>
      </c>
      <c r="H1139" s="32" t="s">
        <v>3885</v>
      </c>
      <c r="I1139" s="32" t="s">
        <v>1469</v>
      </c>
      <c r="J1139" s="32">
        <v>6199</v>
      </c>
      <c r="K1139" s="32">
        <v>0</v>
      </c>
      <c r="L1139" s="32">
        <v>0</v>
      </c>
      <c r="M1139" s="32">
        <v>0</v>
      </c>
      <c r="N1139" s="32">
        <v>0</v>
      </c>
      <c r="O1139" s="32">
        <v>0</v>
      </c>
      <c r="P1139" s="32">
        <v>0</v>
      </c>
      <c r="Q1139" s="37">
        <f t="shared" si="34"/>
        <v>6199</v>
      </c>
      <c r="R1139" s="69">
        <f t="shared" si="35"/>
        <v>5269.15</v>
      </c>
      <c r="S1139" s="30"/>
      <c r="T1139" s="30"/>
    </row>
    <row r="1140" spans="1:20" ht="45" customHeight="1" x14ac:dyDescent="0.3">
      <c r="A1140" s="31">
        <v>1128</v>
      </c>
      <c r="B1140" s="32" t="s">
        <v>3714</v>
      </c>
      <c r="C1140" s="32" t="s">
        <v>7395</v>
      </c>
      <c r="D1140" s="32" t="s">
        <v>3822</v>
      </c>
      <c r="E1140" s="32">
        <v>2024</v>
      </c>
      <c r="F1140" s="32" t="s">
        <v>18</v>
      </c>
      <c r="G1140" s="32" t="s">
        <v>3886</v>
      </c>
      <c r="H1140" s="32" t="s">
        <v>3921</v>
      </c>
      <c r="I1140" s="32" t="s">
        <v>300</v>
      </c>
      <c r="J1140" s="32">
        <v>6199</v>
      </c>
      <c r="K1140" s="32">
        <f>1346+6278+4484+2332+2332+2332</f>
        <v>19104</v>
      </c>
      <c r="L1140" s="32">
        <v>0</v>
      </c>
      <c r="M1140" s="32">
        <v>0</v>
      </c>
      <c r="N1140" s="32">
        <v>3148</v>
      </c>
      <c r="O1140" s="32">
        <v>0</v>
      </c>
      <c r="P1140" s="32">
        <v>0</v>
      </c>
      <c r="Q1140" s="37">
        <f t="shared" si="34"/>
        <v>28451</v>
      </c>
      <c r="R1140" s="69">
        <f t="shared" si="35"/>
        <v>24183.35</v>
      </c>
      <c r="S1140" s="30"/>
      <c r="T1140" s="30"/>
    </row>
    <row r="1141" spans="1:20" ht="45" customHeight="1" x14ac:dyDescent="0.3">
      <c r="A1141" s="31">
        <v>1129</v>
      </c>
      <c r="B1141" s="32" t="s">
        <v>3714</v>
      </c>
      <c r="C1141" s="32" t="s">
        <v>7396</v>
      </c>
      <c r="D1141" s="32" t="s">
        <v>3823</v>
      </c>
      <c r="E1141" s="32">
        <v>2020</v>
      </c>
      <c r="F1141" s="32" t="s">
        <v>18</v>
      </c>
      <c r="G1141" s="32" t="s">
        <v>3887</v>
      </c>
      <c r="H1141" s="32" t="s">
        <v>3922</v>
      </c>
      <c r="I1141" s="32" t="s">
        <v>3946</v>
      </c>
      <c r="J1141" s="32">
        <v>6199</v>
      </c>
      <c r="K1141" s="32">
        <f>1346+6278+4484</f>
        <v>12108</v>
      </c>
      <c r="L1141" s="32">
        <v>0</v>
      </c>
      <c r="M1141" s="32">
        <v>0</v>
      </c>
      <c r="N1141" s="32">
        <v>3148</v>
      </c>
      <c r="O1141" s="32">
        <v>0</v>
      </c>
      <c r="P1141" s="32">
        <v>0</v>
      </c>
      <c r="Q1141" s="37">
        <f t="shared" si="34"/>
        <v>21455</v>
      </c>
      <c r="R1141" s="69">
        <f t="shared" si="35"/>
        <v>18236.75</v>
      </c>
      <c r="S1141" s="30"/>
      <c r="T1141" s="30"/>
    </row>
    <row r="1142" spans="1:20" ht="45" customHeight="1" x14ac:dyDescent="0.3">
      <c r="A1142" s="36">
        <v>1130</v>
      </c>
      <c r="B1142" s="32" t="s">
        <v>3714</v>
      </c>
      <c r="C1142" s="32" t="s">
        <v>7397</v>
      </c>
      <c r="D1142" s="32" t="s">
        <v>2513</v>
      </c>
      <c r="E1142" s="32">
        <v>1987</v>
      </c>
      <c r="F1142" s="32" t="s">
        <v>18</v>
      </c>
      <c r="G1142" s="32" t="s">
        <v>2565</v>
      </c>
      <c r="H1142" s="32" t="s">
        <v>2565</v>
      </c>
      <c r="I1142" s="32" t="s">
        <v>2627</v>
      </c>
      <c r="J1142" s="32">
        <v>3793</v>
      </c>
      <c r="K1142" s="32">
        <v>0</v>
      </c>
      <c r="L1142" s="32">
        <v>0</v>
      </c>
      <c r="M1142" s="32">
        <v>0</v>
      </c>
      <c r="N1142" s="32">
        <v>0</v>
      </c>
      <c r="O1142" s="32">
        <v>0</v>
      </c>
      <c r="P1142" s="32">
        <v>0</v>
      </c>
      <c r="Q1142" s="37">
        <f t="shared" si="34"/>
        <v>3793</v>
      </c>
      <c r="R1142" s="69">
        <f t="shared" si="35"/>
        <v>3224.05</v>
      </c>
      <c r="S1142" s="30"/>
      <c r="T1142" s="30"/>
    </row>
    <row r="1143" spans="1:20" ht="45" customHeight="1" x14ac:dyDescent="0.3">
      <c r="A1143" s="31">
        <v>1131</v>
      </c>
      <c r="B1143" s="32" t="s">
        <v>3714</v>
      </c>
      <c r="C1143" s="32" t="s">
        <v>7398</v>
      </c>
      <c r="D1143" s="32" t="s">
        <v>1747</v>
      </c>
      <c r="E1143" s="32">
        <v>2023</v>
      </c>
      <c r="F1143" s="32" t="s">
        <v>19</v>
      </c>
      <c r="G1143" s="32" t="s">
        <v>1820</v>
      </c>
      <c r="H1143" s="32" t="s">
        <v>1864</v>
      </c>
      <c r="I1143" s="32" t="s">
        <v>1892</v>
      </c>
      <c r="J1143" s="32">
        <v>0</v>
      </c>
      <c r="K1143" s="32">
        <f>1346+6278+4484+1166</f>
        <v>13274</v>
      </c>
      <c r="L1143" s="32">
        <v>0</v>
      </c>
      <c r="M1143" s="32">
        <v>0</v>
      </c>
      <c r="N1143" s="32">
        <v>3148</v>
      </c>
      <c r="O1143" s="32">
        <v>0</v>
      </c>
      <c r="P1143" s="32">
        <v>0</v>
      </c>
      <c r="Q1143" s="37">
        <f t="shared" si="34"/>
        <v>16422</v>
      </c>
      <c r="R1143" s="69">
        <f t="shared" si="35"/>
        <v>13958.7</v>
      </c>
      <c r="S1143" s="30"/>
      <c r="T1143" s="30"/>
    </row>
    <row r="1144" spans="1:20" ht="45" customHeight="1" x14ac:dyDescent="0.3">
      <c r="A1144" s="31">
        <v>1132</v>
      </c>
      <c r="B1144" s="32" t="s">
        <v>3714</v>
      </c>
      <c r="C1144" s="32" t="s">
        <v>7399</v>
      </c>
      <c r="D1144" s="32" t="s">
        <v>3824</v>
      </c>
      <c r="E1144" s="32">
        <v>2024</v>
      </c>
      <c r="F1144" s="32" t="s">
        <v>18</v>
      </c>
      <c r="G1144" s="32" t="s">
        <v>3888</v>
      </c>
      <c r="H1144" s="32" t="s">
        <v>3923</v>
      </c>
      <c r="I1144" s="32" t="s">
        <v>3947</v>
      </c>
      <c r="J1144" s="32">
        <v>6199</v>
      </c>
      <c r="K1144" s="32">
        <v>0</v>
      </c>
      <c r="L1144" s="32">
        <v>0</v>
      </c>
      <c r="M1144" s="32">
        <v>0</v>
      </c>
      <c r="N1144" s="32">
        <v>0</v>
      </c>
      <c r="O1144" s="32">
        <v>0</v>
      </c>
      <c r="P1144" s="32">
        <v>0</v>
      </c>
      <c r="Q1144" s="35">
        <f t="shared" si="34"/>
        <v>6199</v>
      </c>
      <c r="R1144" s="69">
        <f t="shared" si="35"/>
        <v>5269.15</v>
      </c>
      <c r="S1144" s="30"/>
      <c r="T1144" s="30"/>
    </row>
    <row r="1145" spans="1:20" ht="45" customHeight="1" x14ac:dyDescent="0.3">
      <c r="A1145" s="36">
        <v>1133</v>
      </c>
      <c r="B1145" s="32" t="s">
        <v>3714</v>
      </c>
      <c r="C1145" s="32" t="s">
        <v>7400</v>
      </c>
      <c r="D1145" s="32" t="s">
        <v>3825</v>
      </c>
      <c r="E1145" s="32">
        <v>1979</v>
      </c>
      <c r="F1145" s="32" t="s">
        <v>18</v>
      </c>
      <c r="G1145" s="32" t="s">
        <v>3889</v>
      </c>
      <c r="H1145" s="32" t="s">
        <v>3889</v>
      </c>
      <c r="I1145" s="32" t="s">
        <v>2618</v>
      </c>
      <c r="J1145" s="32">
        <v>6199</v>
      </c>
      <c r="K1145" s="32">
        <v>0</v>
      </c>
      <c r="L1145" s="32">
        <v>0</v>
      </c>
      <c r="M1145" s="32">
        <v>0</v>
      </c>
      <c r="N1145" s="32">
        <v>0</v>
      </c>
      <c r="O1145" s="32">
        <v>0</v>
      </c>
      <c r="P1145" s="32">
        <v>0</v>
      </c>
      <c r="Q1145" s="37">
        <f t="shared" si="34"/>
        <v>6199</v>
      </c>
      <c r="R1145" s="69">
        <f t="shared" si="35"/>
        <v>5269.15</v>
      </c>
      <c r="S1145" s="30"/>
      <c r="T1145" s="30"/>
    </row>
    <row r="1146" spans="1:20" ht="45" customHeight="1" x14ac:dyDescent="0.3">
      <c r="A1146" s="31">
        <v>1134</v>
      </c>
      <c r="B1146" s="32" t="s">
        <v>3714</v>
      </c>
      <c r="C1146" s="32" t="s">
        <v>7401</v>
      </c>
      <c r="D1146" s="32" t="s">
        <v>3826</v>
      </c>
      <c r="E1146" s="32">
        <v>2024</v>
      </c>
      <c r="F1146" s="32" t="s">
        <v>18</v>
      </c>
      <c r="G1146" s="32" t="s">
        <v>3890</v>
      </c>
      <c r="H1146" s="32" t="s">
        <v>3924</v>
      </c>
      <c r="I1146" s="32" t="s">
        <v>299</v>
      </c>
      <c r="J1146" s="32">
        <v>6199</v>
      </c>
      <c r="K1146" s="32">
        <v>0</v>
      </c>
      <c r="L1146" s="32">
        <v>0</v>
      </c>
      <c r="M1146" s="32">
        <v>0</v>
      </c>
      <c r="N1146" s="32">
        <v>0</v>
      </c>
      <c r="O1146" s="32">
        <v>0</v>
      </c>
      <c r="P1146" s="32">
        <v>0</v>
      </c>
      <c r="Q1146" s="37">
        <f t="shared" si="34"/>
        <v>6199</v>
      </c>
      <c r="R1146" s="69">
        <f t="shared" si="35"/>
        <v>5269.15</v>
      </c>
      <c r="S1146" s="30"/>
      <c r="T1146" s="30"/>
    </row>
    <row r="1147" spans="1:20" ht="45" customHeight="1" x14ac:dyDescent="0.3">
      <c r="A1147" s="31">
        <v>1135</v>
      </c>
      <c r="B1147" s="32" t="s">
        <v>3714</v>
      </c>
      <c r="C1147" s="32" t="s">
        <v>7402</v>
      </c>
      <c r="D1147" s="32" t="s">
        <v>3827</v>
      </c>
      <c r="E1147" s="32">
        <v>2010</v>
      </c>
      <c r="F1147" s="32" t="s">
        <v>18</v>
      </c>
      <c r="G1147" s="32" t="s">
        <v>3891</v>
      </c>
      <c r="H1147" s="32" t="s">
        <v>3925</v>
      </c>
      <c r="I1147" s="32" t="s">
        <v>1050</v>
      </c>
      <c r="J1147" s="32">
        <v>6199</v>
      </c>
      <c r="K1147" s="32">
        <v>0</v>
      </c>
      <c r="L1147" s="32">
        <v>0</v>
      </c>
      <c r="M1147" s="32">
        <v>0</v>
      </c>
      <c r="N1147" s="32">
        <v>0</v>
      </c>
      <c r="O1147" s="32">
        <v>0</v>
      </c>
      <c r="P1147" s="32">
        <v>0</v>
      </c>
      <c r="Q1147" s="35">
        <f t="shared" si="34"/>
        <v>6199</v>
      </c>
      <c r="R1147" s="69">
        <f t="shared" si="35"/>
        <v>5269.15</v>
      </c>
      <c r="S1147" s="30"/>
      <c r="T1147" s="30"/>
    </row>
    <row r="1148" spans="1:20" ht="45" customHeight="1" x14ac:dyDescent="0.3">
      <c r="A1148" s="36">
        <v>1136</v>
      </c>
      <c r="B1148" s="32" t="s">
        <v>3714</v>
      </c>
      <c r="C1148" s="32" t="s">
        <v>7403</v>
      </c>
      <c r="D1148" s="32" t="s">
        <v>3828</v>
      </c>
      <c r="E1148" s="32">
        <v>1988</v>
      </c>
      <c r="F1148" s="32" t="s">
        <v>18</v>
      </c>
      <c r="G1148" s="32" t="s">
        <v>3892</v>
      </c>
      <c r="H1148" s="32" t="s">
        <v>3892</v>
      </c>
      <c r="I1148" s="32" t="s">
        <v>3948</v>
      </c>
      <c r="J1148" s="32">
        <v>6199</v>
      </c>
      <c r="K1148" s="32">
        <f>1346+6278+4484</f>
        <v>12108</v>
      </c>
      <c r="L1148" s="32">
        <v>0</v>
      </c>
      <c r="M1148" s="32">
        <v>0</v>
      </c>
      <c r="N1148" s="32">
        <v>1793</v>
      </c>
      <c r="O1148" s="32">
        <v>0</v>
      </c>
      <c r="P1148" s="32">
        <v>0</v>
      </c>
      <c r="Q1148" s="37">
        <f t="shared" si="34"/>
        <v>20100</v>
      </c>
      <c r="R1148" s="69">
        <f t="shared" si="35"/>
        <v>17085</v>
      </c>
      <c r="S1148" s="30"/>
      <c r="T1148" s="30"/>
    </row>
    <row r="1149" spans="1:20" ht="45" customHeight="1" x14ac:dyDescent="0.3">
      <c r="A1149" s="31">
        <v>1137</v>
      </c>
      <c r="B1149" s="32" t="s">
        <v>3714</v>
      </c>
      <c r="C1149" s="32" t="s">
        <v>7404</v>
      </c>
      <c r="D1149" s="32" t="s">
        <v>3829</v>
      </c>
      <c r="E1149" s="32">
        <v>2022</v>
      </c>
      <c r="F1149" s="32" t="s">
        <v>19</v>
      </c>
      <c r="G1149" s="32" t="s">
        <v>3893</v>
      </c>
      <c r="H1149" s="32" t="s">
        <v>477</v>
      </c>
      <c r="I1149" s="32" t="s">
        <v>32</v>
      </c>
      <c r="J1149" s="32">
        <v>6199</v>
      </c>
      <c r="K1149" s="32">
        <f>1346+6278+4484</f>
        <v>12108</v>
      </c>
      <c r="L1149" s="32">
        <v>0</v>
      </c>
      <c r="M1149" s="32">
        <v>0</v>
      </c>
      <c r="N1149" s="32">
        <v>3148</v>
      </c>
      <c r="O1149" s="32">
        <v>0</v>
      </c>
      <c r="P1149" s="32">
        <v>63</v>
      </c>
      <c r="Q1149" s="37">
        <f t="shared" si="34"/>
        <v>21518</v>
      </c>
      <c r="R1149" s="69">
        <f t="shared" si="35"/>
        <v>18290.3</v>
      </c>
      <c r="S1149" s="30"/>
      <c r="T1149" s="30"/>
    </row>
    <row r="1150" spans="1:20" ht="45" customHeight="1" x14ac:dyDescent="0.3">
      <c r="A1150" s="31">
        <v>1138</v>
      </c>
      <c r="B1150" s="32" t="s">
        <v>3714</v>
      </c>
      <c r="C1150" s="32" t="s">
        <v>7405</v>
      </c>
      <c r="D1150" s="32" t="s">
        <v>3830</v>
      </c>
      <c r="E1150" s="32">
        <v>2025</v>
      </c>
      <c r="F1150" s="32" t="s">
        <v>18</v>
      </c>
      <c r="G1150" s="32" t="s">
        <v>3894</v>
      </c>
      <c r="H1150" s="32" t="s">
        <v>3895</v>
      </c>
      <c r="I1150" s="32" t="s">
        <v>3949</v>
      </c>
      <c r="J1150" s="32">
        <v>6199</v>
      </c>
      <c r="K1150" s="32">
        <v>0</v>
      </c>
      <c r="L1150" s="32">
        <v>0</v>
      </c>
      <c r="M1150" s="32">
        <v>0</v>
      </c>
      <c r="N1150" s="32">
        <v>0</v>
      </c>
      <c r="O1150" s="32">
        <v>0</v>
      </c>
      <c r="P1150" s="32">
        <v>0</v>
      </c>
      <c r="Q1150" s="35">
        <f t="shared" si="34"/>
        <v>6199</v>
      </c>
      <c r="R1150" s="69">
        <f t="shared" si="35"/>
        <v>5269.15</v>
      </c>
      <c r="S1150" s="30"/>
      <c r="T1150" s="30"/>
    </row>
    <row r="1151" spans="1:20" ht="45" customHeight="1" x14ac:dyDescent="0.3">
      <c r="A1151" s="36">
        <v>1139</v>
      </c>
      <c r="B1151" s="32" t="s">
        <v>3714</v>
      </c>
      <c r="C1151" s="32" t="s">
        <v>7406</v>
      </c>
      <c r="D1151" s="32" t="s">
        <v>3830</v>
      </c>
      <c r="E1151" s="32">
        <v>1995</v>
      </c>
      <c r="F1151" s="32" t="s">
        <v>19</v>
      </c>
      <c r="G1151" s="32" t="s">
        <v>3895</v>
      </c>
      <c r="H1151" s="32" t="s">
        <v>3895</v>
      </c>
      <c r="I1151" s="32" t="s">
        <v>3950</v>
      </c>
      <c r="J1151" s="32">
        <v>6199</v>
      </c>
      <c r="K1151" s="32">
        <v>0</v>
      </c>
      <c r="L1151" s="32">
        <v>0</v>
      </c>
      <c r="M1151" s="32">
        <v>0</v>
      </c>
      <c r="N1151" s="32">
        <v>0</v>
      </c>
      <c r="O1151" s="32">
        <v>0</v>
      </c>
      <c r="P1151" s="32">
        <v>0</v>
      </c>
      <c r="Q1151" s="37">
        <f t="shared" si="34"/>
        <v>6199</v>
      </c>
      <c r="R1151" s="69">
        <f t="shared" si="35"/>
        <v>5269.15</v>
      </c>
      <c r="S1151" s="30"/>
      <c r="T1151" s="30"/>
    </row>
    <row r="1152" spans="1:20" s="41" customFormat="1" ht="45" customHeight="1" x14ac:dyDescent="0.3">
      <c r="A1152" s="31">
        <v>1140</v>
      </c>
      <c r="B1152" s="38" t="s">
        <v>3714</v>
      </c>
      <c r="C1152" s="38" t="s">
        <v>7407</v>
      </c>
      <c r="D1152" s="39" t="s">
        <v>3526</v>
      </c>
      <c r="E1152" s="38">
        <v>2008</v>
      </c>
      <c r="F1152" s="38" t="s">
        <v>19</v>
      </c>
      <c r="G1152" s="38" t="s">
        <v>3626</v>
      </c>
      <c r="H1152" s="38" t="s">
        <v>189</v>
      </c>
      <c r="I1152" s="38" t="s">
        <v>1480</v>
      </c>
      <c r="J1152" s="38">
        <v>2900</v>
      </c>
      <c r="K1152" s="38">
        <v>0</v>
      </c>
      <c r="L1152" s="38">
        <v>0</v>
      </c>
      <c r="M1152" s="38">
        <v>0</v>
      </c>
      <c r="N1152" s="38">
        <v>2088</v>
      </c>
      <c r="O1152" s="38">
        <v>0</v>
      </c>
      <c r="P1152" s="38">
        <f>312+56+396</f>
        <v>764</v>
      </c>
      <c r="Q1152" s="37">
        <f t="shared" si="34"/>
        <v>5752</v>
      </c>
      <c r="R1152" s="69">
        <f t="shared" si="35"/>
        <v>4889.2</v>
      </c>
      <c r="S1152" s="40"/>
      <c r="T1152" s="40"/>
    </row>
    <row r="1153" spans="1:20" s="41" customFormat="1" ht="45" customHeight="1" x14ac:dyDescent="0.3">
      <c r="A1153" s="31">
        <v>1141</v>
      </c>
      <c r="B1153" s="38" t="s">
        <v>3714</v>
      </c>
      <c r="C1153" s="38" t="s">
        <v>4425</v>
      </c>
      <c r="D1153" s="39" t="s">
        <v>2544</v>
      </c>
      <c r="E1153" s="38">
        <v>2022</v>
      </c>
      <c r="F1153" s="38" t="s">
        <v>19</v>
      </c>
      <c r="G1153" s="38" t="s">
        <v>2580</v>
      </c>
      <c r="H1153" s="38" t="s">
        <v>4426</v>
      </c>
      <c r="I1153" s="38" t="s">
        <v>1065</v>
      </c>
      <c r="J1153" s="38">
        <v>2900</v>
      </c>
      <c r="K1153" s="38">
        <v>0</v>
      </c>
      <c r="L1153" s="38">
        <v>0</v>
      </c>
      <c r="M1153" s="38">
        <v>0</v>
      </c>
      <c r="N1153" s="38">
        <v>2088</v>
      </c>
      <c r="O1153" s="38">
        <v>0</v>
      </c>
      <c r="P1153" s="38">
        <f>720+112</f>
        <v>832</v>
      </c>
      <c r="Q1153" s="37">
        <f t="shared" si="34"/>
        <v>5820</v>
      </c>
      <c r="R1153" s="69">
        <f t="shared" si="35"/>
        <v>4947</v>
      </c>
      <c r="S1153" s="40"/>
      <c r="T1153" s="40"/>
    </row>
    <row r="1154" spans="1:20" s="41" customFormat="1" ht="45" customHeight="1" x14ac:dyDescent="0.3">
      <c r="A1154" s="36">
        <v>1142</v>
      </c>
      <c r="B1154" s="38" t="s">
        <v>3714</v>
      </c>
      <c r="C1154" s="38" t="s">
        <v>7408</v>
      </c>
      <c r="D1154" s="39" t="s">
        <v>3516</v>
      </c>
      <c r="E1154" s="38">
        <v>2017</v>
      </c>
      <c r="F1154" s="38" t="s">
        <v>19</v>
      </c>
      <c r="G1154" s="38" t="s">
        <v>3621</v>
      </c>
      <c r="H1154" s="38" t="s">
        <v>4427</v>
      </c>
      <c r="I1154" s="38" t="s">
        <v>2846</v>
      </c>
      <c r="J1154" s="38">
        <v>2900</v>
      </c>
      <c r="K1154" s="38">
        <v>0</v>
      </c>
      <c r="L1154" s="38">
        <v>0</v>
      </c>
      <c r="M1154" s="38">
        <v>0</v>
      </c>
      <c r="N1154" s="38">
        <v>2088</v>
      </c>
      <c r="O1154" s="38">
        <v>0</v>
      </c>
      <c r="P1154" s="38">
        <f>396+360+56</f>
        <v>812</v>
      </c>
      <c r="Q1154" s="37">
        <f t="shared" si="34"/>
        <v>5800</v>
      </c>
      <c r="R1154" s="69">
        <f t="shared" si="35"/>
        <v>4930</v>
      </c>
      <c r="S1154" s="40"/>
      <c r="T1154" s="40"/>
    </row>
    <row r="1155" spans="1:20" s="41" customFormat="1" ht="45" customHeight="1" x14ac:dyDescent="0.3">
      <c r="A1155" s="31">
        <v>1143</v>
      </c>
      <c r="B1155" s="38" t="s">
        <v>3714</v>
      </c>
      <c r="C1155" s="38" t="s">
        <v>7409</v>
      </c>
      <c r="D1155" s="39" t="s">
        <v>3586</v>
      </c>
      <c r="E1155" s="38">
        <v>2022</v>
      </c>
      <c r="F1155" s="38" t="s">
        <v>18</v>
      </c>
      <c r="G1155" s="38" t="s">
        <v>3667</v>
      </c>
      <c r="H1155" s="38" t="s">
        <v>3618</v>
      </c>
      <c r="I1155" s="38" t="s">
        <v>28</v>
      </c>
      <c r="J1155" s="38">
        <v>2900</v>
      </c>
      <c r="K1155" s="38">
        <f>6278+4484+1346+2332+2332+2332+2332+2332+2332</f>
        <v>26100</v>
      </c>
      <c r="L1155" s="38">
        <v>0</v>
      </c>
      <c r="M1155" s="38">
        <v>0</v>
      </c>
      <c r="N1155" s="38">
        <f>2088+3148</f>
        <v>5236</v>
      </c>
      <c r="O1155" s="38">
        <v>0</v>
      </c>
      <c r="P1155" s="38">
        <f>360+56</f>
        <v>416</v>
      </c>
      <c r="Q1155" s="37">
        <f t="shared" si="34"/>
        <v>34652</v>
      </c>
      <c r="R1155" s="69">
        <f t="shared" si="35"/>
        <v>29454.2</v>
      </c>
      <c r="S1155" s="40"/>
      <c r="T1155" s="40"/>
    </row>
    <row r="1156" spans="1:20" s="41" customFormat="1" ht="45" customHeight="1" x14ac:dyDescent="0.3">
      <c r="A1156" s="31">
        <v>1144</v>
      </c>
      <c r="B1156" s="38" t="s">
        <v>3714</v>
      </c>
      <c r="C1156" s="38" t="s">
        <v>7410</v>
      </c>
      <c r="D1156" s="39" t="s">
        <v>3344</v>
      </c>
      <c r="E1156" s="38">
        <v>1981</v>
      </c>
      <c r="F1156" s="38" t="s">
        <v>19</v>
      </c>
      <c r="G1156" s="38" t="s">
        <v>3427</v>
      </c>
      <c r="H1156" s="38" t="s">
        <v>3427</v>
      </c>
      <c r="I1156" s="38" t="s">
        <v>300</v>
      </c>
      <c r="J1156" s="38">
        <v>2900</v>
      </c>
      <c r="K1156" s="38">
        <v>0</v>
      </c>
      <c r="L1156" s="38">
        <v>0</v>
      </c>
      <c r="M1156" s="38">
        <v>0</v>
      </c>
      <c r="N1156" s="38">
        <v>1681</v>
      </c>
      <c r="O1156" s="38">
        <v>0</v>
      </c>
      <c r="P1156" s="38">
        <f>312+56+300</f>
        <v>668</v>
      </c>
      <c r="Q1156" s="37">
        <f t="shared" si="34"/>
        <v>5249</v>
      </c>
      <c r="R1156" s="69">
        <f t="shared" si="35"/>
        <v>4461.6499999999996</v>
      </c>
      <c r="S1156" s="40"/>
      <c r="T1156" s="40"/>
    </row>
    <row r="1157" spans="1:20" s="41" customFormat="1" ht="45" customHeight="1" x14ac:dyDescent="0.3">
      <c r="A1157" s="36">
        <v>1145</v>
      </c>
      <c r="B1157" s="38" t="s">
        <v>3951</v>
      </c>
      <c r="C1157" s="38" t="s">
        <v>3952</v>
      </c>
      <c r="D1157" s="38" t="s">
        <v>3953</v>
      </c>
      <c r="E1157" s="38">
        <v>2021</v>
      </c>
      <c r="F1157" s="38" t="s">
        <v>19</v>
      </c>
      <c r="G1157" s="38" t="s">
        <v>4092</v>
      </c>
      <c r="H1157" s="38" t="s">
        <v>4157</v>
      </c>
      <c r="I1157" s="38" t="s">
        <v>4202</v>
      </c>
      <c r="J1157" s="38">
        <v>6199</v>
      </c>
      <c r="K1157" s="38">
        <v>0</v>
      </c>
      <c r="L1157" s="38">
        <v>0</v>
      </c>
      <c r="M1157" s="38">
        <v>0</v>
      </c>
      <c r="N1157" s="38">
        <v>0</v>
      </c>
      <c r="O1157" s="38">
        <v>0</v>
      </c>
      <c r="P1157" s="38">
        <v>0</v>
      </c>
      <c r="Q1157" s="37">
        <f t="shared" si="34"/>
        <v>6199</v>
      </c>
      <c r="R1157" s="69">
        <f t="shared" si="35"/>
        <v>5269.15</v>
      </c>
      <c r="S1157" s="40"/>
      <c r="T1157" s="40"/>
    </row>
    <row r="1158" spans="1:20" ht="45" customHeight="1" x14ac:dyDescent="0.3">
      <c r="A1158" s="31">
        <v>1146</v>
      </c>
      <c r="B1158" s="32" t="s">
        <v>3951</v>
      </c>
      <c r="C1158" s="32" t="s">
        <v>3954</v>
      </c>
      <c r="D1158" s="32" t="s">
        <v>3955</v>
      </c>
      <c r="E1158" s="32">
        <v>1992</v>
      </c>
      <c r="F1158" s="32" t="s">
        <v>19</v>
      </c>
      <c r="G1158" s="32" t="s">
        <v>4093</v>
      </c>
      <c r="H1158" s="32" t="s">
        <v>4158</v>
      </c>
      <c r="I1158" s="32" t="s">
        <v>4203</v>
      </c>
      <c r="J1158" s="32">
        <v>6199</v>
      </c>
      <c r="K1158" s="32">
        <f>1346+6278+4484+2332+2332+2332+1166</f>
        <v>20270</v>
      </c>
      <c r="L1158" s="32">
        <v>0</v>
      </c>
      <c r="M1158" s="32">
        <v>0</v>
      </c>
      <c r="N1158" s="32">
        <f>1793+3179+1178+1681</f>
        <v>7831</v>
      </c>
      <c r="O1158" s="32">
        <v>0</v>
      </c>
      <c r="P1158" s="32">
        <f>1440+660+312+56+396</f>
        <v>2864</v>
      </c>
      <c r="Q1158" s="37">
        <f t="shared" si="34"/>
        <v>37164</v>
      </c>
      <c r="R1158" s="69">
        <f t="shared" si="35"/>
        <v>31589.4</v>
      </c>
      <c r="S1158" s="30"/>
      <c r="T1158" s="30"/>
    </row>
    <row r="1159" spans="1:20" ht="45" customHeight="1" x14ac:dyDescent="0.3">
      <c r="A1159" s="31">
        <v>1147</v>
      </c>
      <c r="B1159" s="32" t="s">
        <v>3951</v>
      </c>
      <c r="C1159" s="32" t="s">
        <v>3956</v>
      </c>
      <c r="D1159" s="32" t="s">
        <v>3957</v>
      </c>
      <c r="E1159" s="32">
        <v>1964</v>
      </c>
      <c r="F1159" s="32" t="s">
        <v>18</v>
      </c>
      <c r="G1159" s="32" t="s">
        <v>4094</v>
      </c>
      <c r="H1159" s="32" t="s">
        <v>4159</v>
      </c>
      <c r="I1159" s="32" t="s">
        <v>824</v>
      </c>
      <c r="J1159" s="32">
        <v>6199</v>
      </c>
      <c r="K1159" s="32">
        <f>6278+4484+4484+2332+2332+2332+6995+1346+1346+6995+3228+3000+3000+2332+2332+4484+4484+2332+4484</f>
        <v>68600</v>
      </c>
      <c r="L1159" s="32">
        <v>20807</v>
      </c>
      <c r="M1159" s="32">
        <v>0</v>
      </c>
      <c r="N1159" s="32">
        <v>1793</v>
      </c>
      <c r="O1159" s="32">
        <v>0</v>
      </c>
      <c r="P1159" s="32">
        <v>0</v>
      </c>
      <c r="Q1159" s="37">
        <f t="shared" si="34"/>
        <v>97399</v>
      </c>
      <c r="R1159" s="69">
        <f t="shared" si="35"/>
        <v>82789.149999999994</v>
      </c>
      <c r="S1159" s="30"/>
      <c r="T1159" s="30"/>
    </row>
    <row r="1160" spans="1:20" ht="45" customHeight="1" x14ac:dyDescent="0.3">
      <c r="A1160" s="36">
        <v>1148</v>
      </c>
      <c r="B1160" s="32" t="s">
        <v>3951</v>
      </c>
      <c r="C1160" s="32" t="s">
        <v>3958</v>
      </c>
      <c r="D1160" s="32" t="s">
        <v>3959</v>
      </c>
      <c r="E1160" s="32">
        <v>1997</v>
      </c>
      <c r="F1160" s="32" t="s">
        <v>19</v>
      </c>
      <c r="G1160" s="32" t="s">
        <v>4095</v>
      </c>
      <c r="H1160" s="32" t="s">
        <v>4160</v>
      </c>
      <c r="I1160" s="32" t="s">
        <v>4204</v>
      </c>
      <c r="J1160" s="32">
        <v>6199</v>
      </c>
      <c r="K1160" s="32">
        <v>0</v>
      </c>
      <c r="L1160" s="32">
        <v>9422</v>
      </c>
      <c r="M1160" s="32">
        <v>0</v>
      </c>
      <c r="N1160" s="32">
        <v>0</v>
      </c>
      <c r="O1160" s="32">
        <v>0</v>
      </c>
      <c r="P1160" s="32">
        <v>0</v>
      </c>
      <c r="Q1160" s="37">
        <f t="shared" si="34"/>
        <v>15621</v>
      </c>
      <c r="R1160" s="69">
        <f t="shared" si="35"/>
        <v>13277.85</v>
      </c>
      <c r="S1160" s="30"/>
      <c r="T1160" s="30"/>
    </row>
    <row r="1161" spans="1:20" ht="45" customHeight="1" x14ac:dyDescent="0.3">
      <c r="A1161" s="31">
        <v>1149</v>
      </c>
      <c r="B1161" s="32" t="s">
        <v>3951</v>
      </c>
      <c r="C1161" s="32" t="s">
        <v>3960</v>
      </c>
      <c r="D1161" s="32" t="s">
        <v>3824</v>
      </c>
      <c r="E1161" s="32">
        <v>2024</v>
      </c>
      <c r="F1161" s="32" t="s">
        <v>18</v>
      </c>
      <c r="G1161" s="32" t="s">
        <v>3888</v>
      </c>
      <c r="H1161" s="32" t="s">
        <v>3923</v>
      </c>
      <c r="I1161" s="32" t="s">
        <v>3947</v>
      </c>
      <c r="J1161" s="32">
        <v>3793</v>
      </c>
      <c r="K1161" s="32">
        <v>0</v>
      </c>
      <c r="L1161" s="32">
        <f>13298+13298</f>
        <v>26596</v>
      </c>
      <c r="M1161" s="32">
        <v>0</v>
      </c>
      <c r="N1161" s="32">
        <v>0</v>
      </c>
      <c r="O1161" s="32">
        <v>0</v>
      </c>
      <c r="P1161" s="32">
        <v>0</v>
      </c>
      <c r="Q1161" s="37">
        <f t="shared" si="34"/>
        <v>30389</v>
      </c>
      <c r="R1161" s="69">
        <f t="shared" si="35"/>
        <v>25830.65</v>
      </c>
      <c r="S1161" s="30"/>
      <c r="T1161" s="30"/>
    </row>
    <row r="1162" spans="1:20" ht="45" customHeight="1" x14ac:dyDescent="0.3">
      <c r="A1162" s="31">
        <v>1150</v>
      </c>
      <c r="B1162" s="32" t="s">
        <v>3951</v>
      </c>
      <c r="C1162" s="32" t="s">
        <v>3961</v>
      </c>
      <c r="D1162" s="32" t="s">
        <v>3962</v>
      </c>
      <c r="E1162" s="32">
        <v>2020</v>
      </c>
      <c r="F1162" s="32" t="s">
        <v>19</v>
      </c>
      <c r="G1162" s="32" t="s">
        <v>4096</v>
      </c>
      <c r="H1162" s="32" t="s">
        <v>3889</v>
      </c>
      <c r="I1162" s="32" t="s">
        <v>24</v>
      </c>
      <c r="J1162" s="32">
        <v>6199</v>
      </c>
      <c r="K1162" s="32">
        <f>1346+6278+4484+4484</f>
        <v>16592</v>
      </c>
      <c r="L1162" s="32">
        <v>0</v>
      </c>
      <c r="M1162" s="32">
        <v>0</v>
      </c>
      <c r="N1162" s="32">
        <v>3148</v>
      </c>
      <c r="O1162" s="32">
        <v>0</v>
      </c>
      <c r="P1162" s="32">
        <v>0</v>
      </c>
      <c r="Q1162" s="37">
        <f t="shared" si="34"/>
        <v>25939</v>
      </c>
      <c r="R1162" s="69">
        <f t="shared" si="35"/>
        <v>22048.15</v>
      </c>
      <c r="S1162" s="30"/>
      <c r="T1162" s="30"/>
    </row>
    <row r="1163" spans="1:20" ht="45" customHeight="1" x14ac:dyDescent="0.3">
      <c r="A1163" s="36">
        <v>1151</v>
      </c>
      <c r="B1163" s="32" t="s">
        <v>3951</v>
      </c>
      <c r="C1163" s="32" t="s">
        <v>3963</v>
      </c>
      <c r="D1163" s="32" t="s">
        <v>3157</v>
      </c>
      <c r="E1163" s="32">
        <v>1995</v>
      </c>
      <c r="F1163" s="32" t="s">
        <v>19</v>
      </c>
      <c r="G1163" s="32" t="s">
        <v>3246</v>
      </c>
      <c r="H1163" s="32" t="s">
        <v>4161</v>
      </c>
      <c r="I1163" s="32" t="s">
        <v>570</v>
      </c>
      <c r="J1163" s="32">
        <v>3793</v>
      </c>
      <c r="K1163" s="32">
        <v>0</v>
      </c>
      <c r="L1163" s="32">
        <v>0</v>
      </c>
      <c r="M1163" s="32">
        <v>0</v>
      </c>
      <c r="N1163" s="32">
        <v>0</v>
      </c>
      <c r="O1163" s="32">
        <v>0</v>
      </c>
      <c r="P1163" s="32">
        <v>0</v>
      </c>
      <c r="Q1163" s="37">
        <f t="shared" si="34"/>
        <v>3793</v>
      </c>
      <c r="R1163" s="69">
        <f t="shared" si="35"/>
        <v>3224.05</v>
      </c>
      <c r="S1163" s="30"/>
      <c r="T1163" s="30"/>
    </row>
    <row r="1164" spans="1:20" ht="45" customHeight="1" x14ac:dyDescent="0.3">
      <c r="A1164" s="31">
        <v>1152</v>
      </c>
      <c r="B1164" s="32" t="s">
        <v>3951</v>
      </c>
      <c r="C1164" s="32" t="s">
        <v>3964</v>
      </c>
      <c r="D1164" s="32" t="s">
        <v>3965</v>
      </c>
      <c r="E1164" s="32">
        <v>2021</v>
      </c>
      <c r="F1164" s="32" t="s">
        <v>19</v>
      </c>
      <c r="G1164" s="32" t="s">
        <v>4097</v>
      </c>
      <c r="H1164" s="32" t="s">
        <v>4162</v>
      </c>
      <c r="I1164" s="32" t="s">
        <v>4205</v>
      </c>
      <c r="J1164" s="32">
        <v>6199</v>
      </c>
      <c r="K1164" s="32">
        <f>1346+6278+4484</f>
        <v>12108</v>
      </c>
      <c r="L1164" s="32">
        <v>0</v>
      </c>
      <c r="M1164" s="32">
        <v>0</v>
      </c>
      <c r="N1164" s="32">
        <v>3148</v>
      </c>
      <c r="O1164" s="32">
        <v>0</v>
      </c>
      <c r="P1164" s="32">
        <v>0</v>
      </c>
      <c r="Q1164" s="37">
        <f t="shared" si="34"/>
        <v>21455</v>
      </c>
      <c r="R1164" s="69">
        <f t="shared" si="35"/>
        <v>18236.75</v>
      </c>
      <c r="S1164" s="30"/>
      <c r="T1164" s="30"/>
    </row>
    <row r="1165" spans="1:20" ht="45" customHeight="1" x14ac:dyDescent="0.3">
      <c r="A1165" s="31">
        <v>1153</v>
      </c>
      <c r="B1165" s="32" t="s">
        <v>3951</v>
      </c>
      <c r="C1165" s="32" t="s">
        <v>3966</v>
      </c>
      <c r="D1165" s="32" t="s">
        <v>3967</v>
      </c>
      <c r="E1165" s="32">
        <v>2021</v>
      </c>
      <c r="F1165" s="32" t="s">
        <v>18</v>
      </c>
      <c r="G1165" s="32" t="s">
        <v>4098</v>
      </c>
      <c r="H1165" s="32" t="s">
        <v>4163</v>
      </c>
      <c r="I1165" s="32" t="s">
        <v>1698</v>
      </c>
      <c r="J1165" s="32">
        <v>3582</v>
      </c>
      <c r="K1165" s="32">
        <v>0</v>
      </c>
      <c r="L1165" s="32">
        <v>0</v>
      </c>
      <c r="M1165" s="32">
        <v>0</v>
      </c>
      <c r="N1165" s="32">
        <f>15443+21194+13563</f>
        <v>50200</v>
      </c>
      <c r="O1165" s="32">
        <v>0</v>
      </c>
      <c r="P1165" s="32">
        <v>0</v>
      </c>
      <c r="Q1165" s="37">
        <f t="shared" ref="Q1165:Q1228" si="36">SUM(J1165:P1165)</f>
        <v>53782</v>
      </c>
      <c r="R1165" s="69">
        <f t="shared" si="35"/>
        <v>45714.7</v>
      </c>
      <c r="S1165" s="30"/>
      <c r="T1165" s="30"/>
    </row>
    <row r="1166" spans="1:20" ht="45" customHeight="1" x14ac:dyDescent="0.3">
      <c r="A1166" s="36">
        <v>1154</v>
      </c>
      <c r="B1166" s="32" t="s">
        <v>3951</v>
      </c>
      <c r="C1166" s="32" t="s">
        <v>3968</v>
      </c>
      <c r="D1166" s="32" t="s">
        <v>3969</v>
      </c>
      <c r="E1166" s="32">
        <v>2023</v>
      </c>
      <c r="F1166" s="32" t="s">
        <v>19</v>
      </c>
      <c r="G1166" s="32" t="s">
        <v>4099</v>
      </c>
      <c r="H1166" s="32" t="s">
        <v>4164</v>
      </c>
      <c r="I1166" s="32" t="s">
        <v>1050</v>
      </c>
      <c r="J1166" s="32">
        <v>6199</v>
      </c>
      <c r="K1166" s="32">
        <f>6278+4484+1346+4484+2332+2332+2332+2332+2332</f>
        <v>28252</v>
      </c>
      <c r="L1166" s="32">
        <v>0</v>
      </c>
      <c r="M1166" s="32">
        <v>0</v>
      </c>
      <c r="N1166" s="32">
        <v>3148</v>
      </c>
      <c r="O1166" s="32">
        <v>0</v>
      </c>
      <c r="P1166" s="32">
        <v>0</v>
      </c>
      <c r="Q1166" s="35">
        <f t="shared" si="36"/>
        <v>37599</v>
      </c>
      <c r="R1166" s="69">
        <f t="shared" ref="R1166:R1229" si="37">Q1166*85/100</f>
        <v>31959.15</v>
      </c>
      <c r="S1166" s="30"/>
      <c r="T1166" s="30"/>
    </row>
    <row r="1167" spans="1:20" ht="45" customHeight="1" x14ac:dyDescent="0.3">
      <c r="A1167" s="31">
        <v>1155</v>
      </c>
      <c r="B1167" s="32" t="s">
        <v>3951</v>
      </c>
      <c r="C1167" s="32" t="s">
        <v>3970</v>
      </c>
      <c r="D1167" s="32" t="s">
        <v>3971</v>
      </c>
      <c r="E1167" s="32">
        <v>2021</v>
      </c>
      <c r="F1167" s="32" t="s">
        <v>18</v>
      </c>
      <c r="G1167" s="32" t="s">
        <v>4100</v>
      </c>
      <c r="H1167" s="32" t="s">
        <v>4165</v>
      </c>
      <c r="I1167" s="32" t="s">
        <v>4206</v>
      </c>
      <c r="J1167" s="32">
        <v>6199</v>
      </c>
      <c r="K1167" s="32">
        <v>0</v>
      </c>
      <c r="L1167" s="32">
        <v>0</v>
      </c>
      <c r="M1167" s="32">
        <v>0</v>
      </c>
      <c r="N1167" s="32">
        <v>0</v>
      </c>
      <c r="O1167" s="32">
        <v>0</v>
      </c>
      <c r="P1167" s="32">
        <v>0</v>
      </c>
      <c r="Q1167" s="37">
        <f t="shared" si="36"/>
        <v>6199</v>
      </c>
      <c r="R1167" s="69">
        <f t="shared" si="37"/>
        <v>5269.15</v>
      </c>
      <c r="S1167" s="30"/>
      <c r="T1167" s="30"/>
    </row>
    <row r="1168" spans="1:20" ht="45" customHeight="1" x14ac:dyDescent="0.3">
      <c r="A1168" s="31">
        <v>1156</v>
      </c>
      <c r="B1168" s="32" t="s">
        <v>3951</v>
      </c>
      <c r="C1168" s="32" t="s">
        <v>3972</v>
      </c>
      <c r="D1168" s="32" t="s">
        <v>3973</v>
      </c>
      <c r="E1168" s="32">
        <v>1984</v>
      </c>
      <c r="F1168" s="32" t="s">
        <v>18</v>
      </c>
      <c r="G1168" s="32" t="s">
        <v>3627</v>
      </c>
      <c r="H1168" s="32" t="s">
        <v>3627</v>
      </c>
      <c r="I1168" s="32" t="s">
        <v>4207</v>
      </c>
      <c r="J1168" s="32">
        <v>6199</v>
      </c>
      <c r="K1168" s="32">
        <f>1346+6278+4484+1166+2332+2332+2332+3228+2332+2332+2332+6995+6995+2332+6995</f>
        <v>53811</v>
      </c>
      <c r="L1168" s="32">
        <v>0</v>
      </c>
      <c r="M1168" s="32">
        <v>0</v>
      </c>
      <c r="N1168" s="32">
        <f>1793+1178+3179+1681</f>
        <v>7831</v>
      </c>
      <c r="O1168" s="32">
        <v>0</v>
      </c>
      <c r="P1168" s="32">
        <f>2160+374+396+312+56</f>
        <v>3298</v>
      </c>
      <c r="Q1168" s="37">
        <f t="shared" si="36"/>
        <v>71139</v>
      </c>
      <c r="R1168" s="69">
        <f t="shared" si="37"/>
        <v>60468.15</v>
      </c>
      <c r="S1168" s="30"/>
      <c r="T1168" s="30"/>
    </row>
    <row r="1169" spans="1:20" ht="45" customHeight="1" x14ac:dyDescent="0.3">
      <c r="A1169" s="36">
        <v>1157</v>
      </c>
      <c r="B1169" s="32" t="s">
        <v>3951</v>
      </c>
      <c r="C1169" s="32" t="s">
        <v>3974</v>
      </c>
      <c r="D1169" s="32" t="s">
        <v>3975</v>
      </c>
      <c r="E1169" s="32">
        <v>2022</v>
      </c>
      <c r="F1169" s="32" t="s">
        <v>19</v>
      </c>
      <c r="G1169" s="32" t="s">
        <v>4101</v>
      </c>
      <c r="H1169" s="32" t="s">
        <v>4166</v>
      </c>
      <c r="I1169" s="32" t="s">
        <v>289</v>
      </c>
      <c r="J1169" s="32">
        <v>6199</v>
      </c>
      <c r="K1169" s="32">
        <f>1346+6278+4484+2332+2332+2332+4484+2332+2332+2332+6995+6995+2332+6995</f>
        <v>53901</v>
      </c>
      <c r="L1169" s="32">
        <v>0</v>
      </c>
      <c r="M1169" s="32">
        <v>0</v>
      </c>
      <c r="N1169" s="32">
        <v>3148</v>
      </c>
      <c r="O1169" s="32">
        <v>0</v>
      </c>
      <c r="P1169" s="32">
        <v>0</v>
      </c>
      <c r="Q1169" s="37">
        <f t="shared" si="36"/>
        <v>63248</v>
      </c>
      <c r="R1169" s="69">
        <f t="shared" si="37"/>
        <v>53760.800000000003</v>
      </c>
      <c r="S1169" s="30"/>
      <c r="T1169" s="30"/>
    </row>
    <row r="1170" spans="1:20" ht="45" customHeight="1" x14ac:dyDescent="0.3">
      <c r="A1170" s="31">
        <v>1158</v>
      </c>
      <c r="B1170" s="32" t="s">
        <v>3951</v>
      </c>
      <c r="C1170" s="32" t="s">
        <v>3976</v>
      </c>
      <c r="D1170" s="32" t="s">
        <v>3977</v>
      </c>
      <c r="E1170" s="32">
        <v>1991</v>
      </c>
      <c r="F1170" s="32" t="s">
        <v>19</v>
      </c>
      <c r="G1170" s="32" t="s">
        <v>4102</v>
      </c>
      <c r="H1170" s="32" t="s">
        <v>4167</v>
      </c>
      <c r="I1170" s="32" t="s">
        <v>1063</v>
      </c>
      <c r="J1170" s="32">
        <v>3582</v>
      </c>
      <c r="K1170" s="32">
        <v>0</v>
      </c>
      <c r="L1170" s="32">
        <v>0</v>
      </c>
      <c r="M1170" s="32">
        <v>0</v>
      </c>
      <c r="N1170" s="32">
        <f>15443+20859</f>
        <v>36302</v>
      </c>
      <c r="O1170" s="32">
        <v>0</v>
      </c>
      <c r="P1170" s="32">
        <v>0</v>
      </c>
      <c r="Q1170" s="37">
        <f t="shared" si="36"/>
        <v>39884</v>
      </c>
      <c r="R1170" s="69">
        <f t="shared" si="37"/>
        <v>33901.4</v>
      </c>
      <c r="S1170" s="30"/>
      <c r="T1170" s="30"/>
    </row>
    <row r="1171" spans="1:20" ht="45" customHeight="1" x14ac:dyDescent="0.3">
      <c r="A1171" s="31">
        <v>1159</v>
      </c>
      <c r="B1171" s="32" t="s">
        <v>3951</v>
      </c>
      <c r="C1171" s="32" t="s">
        <v>3978</v>
      </c>
      <c r="D1171" s="32" t="s">
        <v>3979</v>
      </c>
      <c r="E1171" s="32">
        <v>2020</v>
      </c>
      <c r="F1171" s="32" t="s">
        <v>19</v>
      </c>
      <c r="G1171" s="32" t="s">
        <v>4103</v>
      </c>
      <c r="H1171" s="32" t="s">
        <v>4102</v>
      </c>
      <c r="I1171" s="32" t="s">
        <v>3979</v>
      </c>
      <c r="J1171" s="32">
        <v>3582</v>
      </c>
      <c r="K1171" s="32">
        <v>0</v>
      </c>
      <c r="L1171" s="32">
        <v>0</v>
      </c>
      <c r="M1171" s="32">
        <v>0</v>
      </c>
      <c r="N1171" s="32">
        <v>15443</v>
      </c>
      <c r="O1171" s="32">
        <v>0</v>
      </c>
      <c r="P1171" s="32">
        <v>0</v>
      </c>
      <c r="Q1171" s="37">
        <f t="shared" si="36"/>
        <v>19025</v>
      </c>
      <c r="R1171" s="69">
        <f t="shared" si="37"/>
        <v>16171.25</v>
      </c>
      <c r="S1171" s="30"/>
      <c r="T1171" s="30"/>
    </row>
    <row r="1172" spans="1:20" ht="45" customHeight="1" x14ac:dyDescent="0.3">
      <c r="A1172" s="36">
        <v>1160</v>
      </c>
      <c r="B1172" s="32" t="s">
        <v>3951</v>
      </c>
      <c r="C1172" s="32" t="s">
        <v>3980</v>
      </c>
      <c r="D1172" s="32" t="s">
        <v>3981</v>
      </c>
      <c r="E1172" s="32">
        <v>2018</v>
      </c>
      <c r="F1172" s="32" t="s">
        <v>18</v>
      </c>
      <c r="G1172" s="32" t="s">
        <v>4104</v>
      </c>
      <c r="H1172" s="32" t="s">
        <v>4167</v>
      </c>
      <c r="I1172" s="32" t="s">
        <v>1063</v>
      </c>
      <c r="J1172" s="32">
        <v>6199</v>
      </c>
      <c r="K1172" s="32">
        <f>1346+6278+4484+4484+2332+2332+2332+6995+2332+6995+2332+2332+2332+6995+1166</f>
        <v>55067</v>
      </c>
      <c r="L1172" s="32">
        <v>0</v>
      </c>
      <c r="M1172" s="32">
        <v>0</v>
      </c>
      <c r="N1172" s="32">
        <v>3148</v>
      </c>
      <c r="O1172" s="32">
        <v>0</v>
      </c>
      <c r="P1172" s="32">
        <v>0</v>
      </c>
      <c r="Q1172" s="37">
        <f t="shared" si="36"/>
        <v>64414</v>
      </c>
      <c r="R1172" s="69">
        <f t="shared" si="37"/>
        <v>54751.9</v>
      </c>
      <c r="S1172" s="30"/>
      <c r="T1172" s="30"/>
    </row>
    <row r="1173" spans="1:20" ht="45" customHeight="1" x14ac:dyDescent="0.3">
      <c r="A1173" s="31">
        <v>1161</v>
      </c>
      <c r="B1173" s="32" t="s">
        <v>3951</v>
      </c>
      <c r="C1173" s="32" t="s">
        <v>3982</v>
      </c>
      <c r="D1173" s="32" t="s">
        <v>3983</v>
      </c>
      <c r="E1173" s="32">
        <v>2022</v>
      </c>
      <c r="F1173" s="32" t="s">
        <v>18</v>
      </c>
      <c r="G1173" s="32" t="s">
        <v>4105</v>
      </c>
      <c r="H1173" s="32" t="s">
        <v>4168</v>
      </c>
      <c r="I1173" s="32" t="s">
        <v>4208</v>
      </c>
      <c r="J1173" s="32">
        <v>6199</v>
      </c>
      <c r="K1173" s="32">
        <f>6278+4484+1346+4484+2332+2332+2332+2332+2332+2332+6995+6995+2332+6995+1166</f>
        <v>55067</v>
      </c>
      <c r="L1173" s="32">
        <v>0</v>
      </c>
      <c r="M1173" s="32">
        <v>0</v>
      </c>
      <c r="N1173" s="32">
        <v>3148</v>
      </c>
      <c r="O1173" s="32">
        <v>0</v>
      </c>
      <c r="P1173" s="32">
        <v>0</v>
      </c>
      <c r="Q1173" s="35">
        <f t="shared" si="36"/>
        <v>64414</v>
      </c>
      <c r="R1173" s="69">
        <f t="shared" si="37"/>
        <v>54751.9</v>
      </c>
      <c r="S1173" s="30"/>
      <c r="T1173" s="30"/>
    </row>
    <row r="1174" spans="1:20" ht="45" customHeight="1" x14ac:dyDescent="0.3">
      <c r="A1174" s="31">
        <v>1162</v>
      </c>
      <c r="B1174" s="32" t="s">
        <v>3951</v>
      </c>
      <c r="C1174" s="32" t="s">
        <v>3984</v>
      </c>
      <c r="D1174" s="32" t="s">
        <v>3985</v>
      </c>
      <c r="E1174" s="32">
        <v>1999</v>
      </c>
      <c r="F1174" s="32" t="s">
        <v>19</v>
      </c>
      <c r="G1174" s="32" t="s">
        <v>4106</v>
      </c>
      <c r="H1174" s="32" t="s">
        <v>4106</v>
      </c>
      <c r="I1174" s="32" t="s">
        <v>4209</v>
      </c>
      <c r="J1174" s="32">
        <v>6199</v>
      </c>
      <c r="K1174" s="32">
        <f>6278+4484+1166</f>
        <v>11928</v>
      </c>
      <c r="L1174" s="32">
        <v>0</v>
      </c>
      <c r="M1174" s="32">
        <v>0</v>
      </c>
      <c r="N1174" s="32">
        <v>3148</v>
      </c>
      <c r="O1174" s="32">
        <v>0</v>
      </c>
      <c r="P1174" s="32">
        <v>0</v>
      </c>
      <c r="Q1174" s="37">
        <f t="shared" si="36"/>
        <v>21275</v>
      </c>
      <c r="R1174" s="69">
        <f t="shared" si="37"/>
        <v>18083.75</v>
      </c>
      <c r="S1174" s="30"/>
      <c r="T1174" s="30"/>
    </row>
    <row r="1175" spans="1:20" ht="45" customHeight="1" x14ac:dyDescent="0.3">
      <c r="A1175" s="36">
        <v>1163</v>
      </c>
      <c r="B1175" s="32" t="s">
        <v>3951</v>
      </c>
      <c r="C1175" s="32" t="s">
        <v>3986</v>
      </c>
      <c r="D1175" s="32" t="s">
        <v>433</v>
      </c>
      <c r="E1175" s="32">
        <v>2021</v>
      </c>
      <c r="F1175" s="32" t="s">
        <v>19</v>
      </c>
      <c r="G1175" s="32" t="s">
        <v>498</v>
      </c>
      <c r="H1175" s="32" t="s">
        <v>533</v>
      </c>
      <c r="I1175" s="32" t="s">
        <v>27</v>
      </c>
      <c r="J1175" s="32">
        <v>6199</v>
      </c>
      <c r="K1175" s="32">
        <f>1346+6278+4484</f>
        <v>12108</v>
      </c>
      <c r="L1175" s="32">
        <v>0</v>
      </c>
      <c r="M1175" s="32">
        <v>0</v>
      </c>
      <c r="N1175" s="32">
        <v>3148</v>
      </c>
      <c r="O1175" s="32">
        <v>0</v>
      </c>
      <c r="P1175" s="32">
        <v>0</v>
      </c>
      <c r="Q1175" s="37">
        <f t="shared" si="36"/>
        <v>21455</v>
      </c>
      <c r="R1175" s="69">
        <f t="shared" si="37"/>
        <v>18236.75</v>
      </c>
      <c r="S1175" s="30"/>
      <c r="T1175" s="30"/>
    </row>
    <row r="1176" spans="1:20" ht="45" customHeight="1" x14ac:dyDescent="0.3">
      <c r="A1176" s="31">
        <v>1164</v>
      </c>
      <c r="B1176" s="32" t="s">
        <v>3951</v>
      </c>
      <c r="C1176" s="32" t="s">
        <v>3987</v>
      </c>
      <c r="D1176" s="32" t="s">
        <v>3988</v>
      </c>
      <c r="E1176" s="32">
        <v>2019</v>
      </c>
      <c r="F1176" s="32" t="s">
        <v>18</v>
      </c>
      <c r="G1176" s="32" t="s">
        <v>4107</v>
      </c>
      <c r="H1176" s="32" t="s">
        <v>4169</v>
      </c>
      <c r="I1176" s="32" t="s">
        <v>27</v>
      </c>
      <c r="J1176" s="32">
        <v>6199</v>
      </c>
      <c r="K1176" s="32">
        <f>1346+6278+4484</f>
        <v>12108</v>
      </c>
      <c r="L1176" s="32">
        <v>0</v>
      </c>
      <c r="M1176" s="32">
        <v>0</v>
      </c>
      <c r="N1176" s="32">
        <v>3148</v>
      </c>
      <c r="O1176" s="32">
        <v>0</v>
      </c>
      <c r="P1176" s="32">
        <v>0</v>
      </c>
      <c r="Q1176" s="37">
        <f t="shared" si="36"/>
        <v>21455</v>
      </c>
      <c r="R1176" s="69">
        <f t="shared" si="37"/>
        <v>18236.75</v>
      </c>
      <c r="S1176" s="30"/>
      <c r="T1176" s="30"/>
    </row>
    <row r="1177" spans="1:20" ht="45" customHeight="1" x14ac:dyDescent="0.3">
      <c r="A1177" s="31">
        <v>1165</v>
      </c>
      <c r="B1177" s="32" t="s">
        <v>3951</v>
      </c>
      <c r="C1177" s="32" t="s">
        <v>3989</v>
      </c>
      <c r="D1177" s="32" t="s">
        <v>3990</v>
      </c>
      <c r="E1177" s="32">
        <v>1988</v>
      </c>
      <c r="F1177" s="32" t="s">
        <v>19</v>
      </c>
      <c r="G1177" s="32" t="s">
        <v>4108</v>
      </c>
      <c r="H1177" s="32" t="s">
        <v>4108</v>
      </c>
      <c r="I1177" s="32" t="s">
        <v>1483</v>
      </c>
      <c r="J1177" s="32">
        <v>6199</v>
      </c>
      <c r="K1177" s="32">
        <f>1346+6278+4484</f>
        <v>12108</v>
      </c>
      <c r="L1177" s="32">
        <v>0</v>
      </c>
      <c r="M1177" s="32">
        <v>0</v>
      </c>
      <c r="N1177" s="32">
        <v>1793</v>
      </c>
      <c r="O1177" s="32">
        <v>0</v>
      </c>
      <c r="P1177" s="32">
        <v>0</v>
      </c>
      <c r="Q1177" s="37">
        <f t="shared" si="36"/>
        <v>20100</v>
      </c>
      <c r="R1177" s="69">
        <f t="shared" si="37"/>
        <v>17085</v>
      </c>
      <c r="S1177" s="30"/>
      <c r="T1177" s="30"/>
    </row>
    <row r="1178" spans="1:20" ht="45" customHeight="1" x14ac:dyDescent="0.3">
      <c r="A1178" s="36">
        <v>1166</v>
      </c>
      <c r="B1178" s="32" t="s">
        <v>3951</v>
      </c>
      <c r="C1178" s="32" t="s">
        <v>3991</v>
      </c>
      <c r="D1178" s="32" t="s">
        <v>1526</v>
      </c>
      <c r="E1178" s="32">
        <v>2022</v>
      </c>
      <c r="F1178" s="32" t="s">
        <v>19</v>
      </c>
      <c r="G1178" s="32" t="s">
        <v>1617</v>
      </c>
      <c r="H1178" s="32" t="s">
        <v>1663</v>
      </c>
      <c r="I1178" s="32" t="s">
        <v>1694</v>
      </c>
      <c r="J1178" s="32">
        <v>6199</v>
      </c>
      <c r="K1178" s="32">
        <f>1346+6278+4484+4484+2332+2332+2332+2332+2332+2332+6995+6995+2332+6995</f>
        <v>53901</v>
      </c>
      <c r="L1178" s="32">
        <v>0</v>
      </c>
      <c r="M1178" s="32">
        <v>0</v>
      </c>
      <c r="N1178" s="32">
        <v>3148</v>
      </c>
      <c r="O1178" s="32">
        <v>0</v>
      </c>
      <c r="P1178" s="32">
        <v>0</v>
      </c>
      <c r="Q1178" s="37">
        <f t="shared" si="36"/>
        <v>63248</v>
      </c>
      <c r="R1178" s="69">
        <f t="shared" si="37"/>
        <v>53760.800000000003</v>
      </c>
      <c r="S1178" s="30"/>
      <c r="T1178" s="30"/>
    </row>
    <row r="1179" spans="1:20" ht="45" customHeight="1" x14ac:dyDescent="0.3">
      <c r="A1179" s="31">
        <v>1167</v>
      </c>
      <c r="B1179" s="32" t="s">
        <v>3951</v>
      </c>
      <c r="C1179" s="32" t="s">
        <v>3992</v>
      </c>
      <c r="D1179" s="32" t="s">
        <v>3993</v>
      </c>
      <c r="E1179" s="32">
        <v>2023</v>
      </c>
      <c r="F1179" s="32" t="s">
        <v>18</v>
      </c>
      <c r="G1179" s="32" t="s">
        <v>4109</v>
      </c>
      <c r="H1179" s="32" t="s">
        <v>4170</v>
      </c>
      <c r="I1179" s="32" t="s">
        <v>1279</v>
      </c>
      <c r="J1179" s="32">
        <v>6199</v>
      </c>
      <c r="K1179" s="32">
        <v>0</v>
      </c>
      <c r="L1179" s="32">
        <v>0</v>
      </c>
      <c r="M1179" s="32">
        <v>0</v>
      </c>
      <c r="N1179" s="32">
        <v>0</v>
      </c>
      <c r="O1179" s="32">
        <v>0</v>
      </c>
      <c r="P1179" s="32">
        <v>0</v>
      </c>
      <c r="Q1179" s="37">
        <f t="shared" si="36"/>
        <v>6199</v>
      </c>
      <c r="R1179" s="69">
        <f t="shared" si="37"/>
        <v>5269.15</v>
      </c>
      <c r="S1179" s="30"/>
      <c r="T1179" s="30"/>
    </row>
    <row r="1180" spans="1:20" ht="45" customHeight="1" x14ac:dyDescent="0.3">
      <c r="A1180" s="31">
        <v>1168</v>
      </c>
      <c r="B1180" s="32" t="s">
        <v>3951</v>
      </c>
      <c r="C1180" s="32" t="s">
        <v>3994</v>
      </c>
      <c r="D1180" s="32" t="s">
        <v>3995</v>
      </c>
      <c r="E1180" s="32">
        <v>2018</v>
      </c>
      <c r="F1180" s="32" t="s">
        <v>19</v>
      </c>
      <c r="G1180" s="32" t="s">
        <v>4110</v>
      </c>
      <c r="H1180" s="32" t="s">
        <v>3902</v>
      </c>
      <c r="I1180" s="32" t="s">
        <v>836</v>
      </c>
      <c r="J1180" s="32">
        <v>6199</v>
      </c>
      <c r="K1180" s="32">
        <f>1346+6278+4484</f>
        <v>12108</v>
      </c>
      <c r="L1180" s="32">
        <v>0</v>
      </c>
      <c r="M1180" s="32">
        <v>0</v>
      </c>
      <c r="N1180" s="32">
        <v>3148</v>
      </c>
      <c r="O1180" s="32">
        <v>0</v>
      </c>
      <c r="P1180" s="32">
        <v>0</v>
      </c>
      <c r="Q1180" s="37">
        <f t="shared" si="36"/>
        <v>21455</v>
      </c>
      <c r="R1180" s="69">
        <f t="shared" si="37"/>
        <v>18236.75</v>
      </c>
      <c r="S1180" s="30"/>
      <c r="T1180" s="30"/>
    </row>
    <row r="1181" spans="1:20" ht="45" customHeight="1" x14ac:dyDescent="0.3">
      <c r="A1181" s="36">
        <v>1169</v>
      </c>
      <c r="B1181" s="32" t="s">
        <v>3951</v>
      </c>
      <c r="C1181" s="32" t="s">
        <v>3996</v>
      </c>
      <c r="D1181" s="32" t="s">
        <v>3997</v>
      </c>
      <c r="E1181" s="32">
        <v>2001</v>
      </c>
      <c r="F1181" s="32" t="s">
        <v>19</v>
      </c>
      <c r="G1181" s="32" t="s">
        <v>4111</v>
      </c>
      <c r="H1181" s="32" t="s">
        <v>4111</v>
      </c>
      <c r="I1181" s="32" t="s">
        <v>4210</v>
      </c>
      <c r="J1181" s="32">
        <v>6199</v>
      </c>
      <c r="K1181" s="32">
        <v>0</v>
      </c>
      <c r="L1181" s="32">
        <v>0</v>
      </c>
      <c r="M1181" s="32">
        <v>0</v>
      </c>
      <c r="N1181" s="32">
        <v>0</v>
      </c>
      <c r="O1181" s="32">
        <v>0</v>
      </c>
      <c r="P1181" s="32">
        <v>0</v>
      </c>
      <c r="Q1181" s="35">
        <f t="shared" si="36"/>
        <v>6199</v>
      </c>
      <c r="R1181" s="69">
        <f t="shared" si="37"/>
        <v>5269.15</v>
      </c>
      <c r="S1181" s="30"/>
      <c r="T1181" s="30"/>
    </row>
    <row r="1182" spans="1:20" ht="45" customHeight="1" x14ac:dyDescent="0.3">
      <c r="A1182" s="31">
        <v>1170</v>
      </c>
      <c r="B1182" s="32" t="s">
        <v>3951</v>
      </c>
      <c r="C1182" s="32" t="s">
        <v>3998</v>
      </c>
      <c r="D1182" s="32" t="s">
        <v>3999</v>
      </c>
      <c r="E1182" s="32">
        <v>2024</v>
      </c>
      <c r="F1182" s="32" t="s">
        <v>19</v>
      </c>
      <c r="G1182" s="32" t="s">
        <v>4112</v>
      </c>
      <c r="H1182" s="32" t="s">
        <v>4171</v>
      </c>
      <c r="I1182" s="32" t="s">
        <v>3319</v>
      </c>
      <c r="J1182" s="32">
        <v>6199</v>
      </c>
      <c r="K1182" s="32">
        <f>6278+4484+1346+4484+2332+2332+2332+2332+2332+2332+6995+6995+2332+6995</f>
        <v>53901</v>
      </c>
      <c r="L1182" s="32">
        <v>0</v>
      </c>
      <c r="M1182" s="32">
        <v>0</v>
      </c>
      <c r="N1182" s="32">
        <v>3148</v>
      </c>
      <c r="O1182" s="32">
        <v>0</v>
      </c>
      <c r="P1182" s="32">
        <v>0</v>
      </c>
      <c r="Q1182" s="35">
        <f t="shared" si="36"/>
        <v>63248</v>
      </c>
      <c r="R1182" s="69">
        <f t="shared" si="37"/>
        <v>53760.800000000003</v>
      </c>
      <c r="S1182" s="30"/>
      <c r="T1182" s="30"/>
    </row>
    <row r="1183" spans="1:20" ht="45" customHeight="1" x14ac:dyDescent="0.3">
      <c r="A1183" s="31">
        <v>1171</v>
      </c>
      <c r="B1183" s="32" t="s">
        <v>3951</v>
      </c>
      <c r="C1183" s="32" t="s">
        <v>4000</v>
      </c>
      <c r="D1183" s="32" t="s">
        <v>4001</v>
      </c>
      <c r="E1183" s="32">
        <v>2023</v>
      </c>
      <c r="F1183" s="32" t="s">
        <v>19</v>
      </c>
      <c r="G1183" s="32" t="s">
        <v>4113</v>
      </c>
      <c r="H1183" s="32" t="s">
        <v>4172</v>
      </c>
      <c r="I1183" s="32" t="s">
        <v>4211</v>
      </c>
      <c r="J1183" s="32">
        <v>6199</v>
      </c>
      <c r="K1183" s="32">
        <f>6278+4484+1346+4484+2332+1166+2332+2332+2332+2332+2332+6995+6995+2332+6995</f>
        <v>55067</v>
      </c>
      <c r="L1183" s="32">
        <v>0</v>
      </c>
      <c r="M1183" s="32">
        <v>0</v>
      </c>
      <c r="N1183" s="32">
        <f>3148+4053+1178</f>
        <v>8379</v>
      </c>
      <c r="O1183" s="32">
        <v>0</v>
      </c>
      <c r="P1183" s="32">
        <f>720+1080+120</f>
        <v>1920</v>
      </c>
      <c r="Q1183" s="35">
        <f t="shared" si="36"/>
        <v>71565</v>
      </c>
      <c r="R1183" s="69">
        <f t="shared" si="37"/>
        <v>60830.25</v>
      </c>
      <c r="S1183" s="30"/>
      <c r="T1183" s="30"/>
    </row>
    <row r="1184" spans="1:20" ht="45" customHeight="1" x14ac:dyDescent="0.3">
      <c r="A1184" s="36">
        <v>1172</v>
      </c>
      <c r="B1184" s="32" t="s">
        <v>3951</v>
      </c>
      <c r="C1184" s="32" t="s">
        <v>4002</v>
      </c>
      <c r="D1184" s="32" t="s">
        <v>4003</v>
      </c>
      <c r="E1184" s="32">
        <v>1999</v>
      </c>
      <c r="F1184" s="32" t="s">
        <v>19</v>
      </c>
      <c r="G1184" s="32" t="s">
        <v>4114</v>
      </c>
      <c r="H1184" s="32" t="s">
        <v>4114</v>
      </c>
      <c r="I1184" s="32" t="s">
        <v>2622</v>
      </c>
      <c r="J1184" s="32">
        <v>6199</v>
      </c>
      <c r="K1184" s="32">
        <v>0</v>
      </c>
      <c r="L1184" s="32">
        <v>9422</v>
      </c>
      <c r="M1184" s="32">
        <v>0</v>
      </c>
      <c r="N1184" s="32">
        <v>0</v>
      </c>
      <c r="O1184" s="32">
        <v>0</v>
      </c>
      <c r="P1184" s="32">
        <v>0</v>
      </c>
      <c r="Q1184" s="35">
        <f t="shared" si="36"/>
        <v>15621</v>
      </c>
      <c r="R1184" s="69">
        <f t="shared" si="37"/>
        <v>13277.85</v>
      </c>
      <c r="S1184" s="30"/>
      <c r="T1184" s="30"/>
    </row>
    <row r="1185" spans="1:20" ht="45" customHeight="1" x14ac:dyDescent="0.3">
      <c r="A1185" s="31">
        <v>1173</v>
      </c>
      <c r="B1185" s="32" t="s">
        <v>3951</v>
      </c>
      <c r="C1185" s="32" t="s">
        <v>4004</v>
      </c>
      <c r="D1185" s="32" t="s">
        <v>4005</v>
      </c>
      <c r="E1185" s="32">
        <v>1973</v>
      </c>
      <c r="F1185" s="32" t="s">
        <v>18</v>
      </c>
      <c r="G1185" s="32" t="s">
        <v>4115</v>
      </c>
      <c r="H1185" s="32" t="s">
        <v>4173</v>
      </c>
      <c r="I1185" s="32" t="s">
        <v>4212</v>
      </c>
      <c r="J1185" s="32">
        <v>6199</v>
      </c>
      <c r="K1185" s="32">
        <v>0</v>
      </c>
      <c r="L1185" s="32">
        <v>0</v>
      </c>
      <c r="M1185" s="32">
        <v>0</v>
      </c>
      <c r="N1185" s="32">
        <v>0</v>
      </c>
      <c r="O1185" s="32">
        <v>0</v>
      </c>
      <c r="P1185" s="32">
        <v>0</v>
      </c>
      <c r="Q1185" s="37">
        <f t="shared" si="36"/>
        <v>6199</v>
      </c>
      <c r="R1185" s="69">
        <f t="shared" si="37"/>
        <v>5269.15</v>
      </c>
      <c r="S1185" s="30"/>
      <c r="T1185" s="30"/>
    </row>
    <row r="1186" spans="1:20" ht="45" customHeight="1" x14ac:dyDescent="0.3">
      <c r="A1186" s="31">
        <v>1174</v>
      </c>
      <c r="B1186" s="32" t="s">
        <v>3951</v>
      </c>
      <c r="C1186" s="32" t="s">
        <v>4006</v>
      </c>
      <c r="D1186" s="32" t="s">
        <v>3556</v>
      </c>
      <c r="E1186" s="32">
        <v>2024</v>
      </c>
      <c r="F1186" s="32" t="s">
        <v>18</v>
      </c>
      <c r="G1186" s="32" t="s">
        <v>3640</v>
      </c>
      <c r="H1186" s="32" t="s">
        <v>3597</v>
      </c>
      <c r="I1186" s="32" t="s">
        <v>1075</v>
      </c>
      <c r="J1186" s="32">
        <v>6199</v>
      </c>
      <c r="K1186" s="32">
        <f>1346+6278+4484+4484+2332+2332+2332+2332+2332+2332+6995+6995+2332+6995</f>
        <v>53901</v>
      </c>
      <c r="L1186" s="32">
        <v>0</v>
      </c>
      <c r="M1186" s="32">
        <v>0</v>
      </c>
      <c r="N1186" s="32">
        <v>3148</v>
      </c>
      <c r="O1186" s="32">
        <v>0</v>
      </c>
      <c r="P1186" s="32">
        <v>0</v>
      </c>
      <c r="Q1186" s="37">
        <f t="shared" si="36"/>
        <v>63248</v>
      </c>
      <c r="R1186" s="69">
        <f t="shared" si="37"/>
        <v>53760.800000000003</v>
      </c>
      <c r="S1186" s="30"/>
      <c r="T1186" s="30"/>
    </row>
    <row r="1187" spans="1:20" ht="45" customHeight="1" x14ac:dyDescent="0.3">
      <c r="A1187" s="36">
        <v>1175</v>
      </c>
      <c r="B1187" s="32" t="s">
        <v>3951</v>
      </c>
      <c r="C1187" s="32" t="s">
        <v>4006</v>
      </c>
      <c r="D1187" s="32" t="s">
        <v>3556</v>
      </c>
      <c r="E1187" s="32">
        <v>2024</v>
      </c>
      <c r="F1187" s="32" t="s">
        <v>18</v>
      </c>
      <c r="G1187" s="32" t="s">
        <v>3640</v>
      </c>
      <c r="H1187" s="32" t="s">
        <v>3597</v>
      </c>
      <c r="I1187" s="32" t="s">
        <v>1075</v>
      </c>
      <c r="J1187" s="32">
        <v>0</v>
      </c>
      <c r="K1187" s="32">
        <v>0</v>
      </c>
      <c r="L1187" s="32">
        <v>0</v>
      </c>
      <c r="M1187" s="32">
        <v>17688</v>
      </c>
      <c r="N1187" s="32">
        <f>4053+2088</f>
        <v>6141</v>
      </c>
      <c r="O1187" s="32">
        <v>0</v>
      </c>
      <c r="P1187" s="32">
        <f>720+112+120+720+1080</f>
        <v>2752</v>
      </c>
      <c r="Q1187" s="37">
        <f t="shared" si="36"/>
        <v>26581</v>
      </c>
      <c r="R1187" s="69">
        <f t="shared" si="37"/>
        <v>22593.85</v>
      </c>
      <c r="S1187" s="30"/>
      <c r="T1187" s="30"/>
    </row>
    <row r="1188" spans="1:20" ht="45" customHeight="1" x14ac:dyDescent="0.3">
      <c r="A1188" s="31">
        <v>1176</v>
      </c>
      <c r="B1188" s="32" t="s">
        <v>3951</v>
      </c>
      <c r="C1188" s="32" t="s">
        <v>4007</v>
      </c>
      <c r="D1188" s="32" t="s">
        <v>4008</v>
      </c>
      <c r="E1188" s="32">
        <v>2015</v>
      </c>
      <c r="F1188" s="32" t="s">
        <v>19</v>
      </c>
      <c r="G1188" s="32" t="s">
        <v>4116</v>
      </c>
      <c r="H1188" s="32" t="s">
        <v>2112</v>
      </c>
      <c r="I1188" s="32" t="s">
        <v>2139</v>
      </c>
      <c r="J1188" s="32">
        <v>6199</v>
      </c>
      <c r="K1188" s="32">
        <f>1346+6278+4484</f>
        <v>12108</v>
      </c>
      <c r="L1188" s="32">
        <v>0</v>
      </c>
      <c r="M1188" s="32">
        <v>0</v>
      </c>
      <c r="N1188" s="32">
        <v>3148</v>
      </c>
      <c r="O1188" s="32">
        <v>0</v>
      </c>
      <c r="P1188" s="32">
        <v>0</v>
      </c>
      <c r="Q1188" s="37">
        <f t="shared" si="36"/>
        <v>21455</v>
      </c>
      <c r="R1188" s="69">
        <f t="shared" si="37"/>
        <v>18236.75</v>
      </c>
      <c r="S1188" s="30"/>
      <c r="T1188" s="30"/>
    </row>
    <row r="1189" spans="1:20" ht="45" customHeight="1" x14ac:dyDescent="0.3">
      <c r="A1189" s="31">
        <v>1177</v>
      </c>
      <c r="B1189" s="32" t="s">
        <v>3951</v>
      </c>
      <c r="C1189" s="32" t="s">
        <v>4009</v>
      </c>
      <c r="D1189" s="32" t="s">
        <v>4010</v>
      </c>
      <c r="E1189" s="32">
        <v>2024</v>
      </c>
      <c r="F1189" s="32" t="s">
        <v>19</v>
      </c>
      <c r="G1189" s="32" t="s">
        <v>4117</v>
      </c>
      <c r="H1189" s="32" t="s">
        <v>4174</v>
      </c>
      <c r="I1189" s="32" t="s">
        <v>1695</v>
      </c>
      <c r="J1189" s="32">
        <v>6199</v>
      </c>
      <c r="K1189" s="32">
        <v>0</v>
      </c>
      <c r="L1189" s="32">
        <v>0</v>
      </c>
      <c r="M1189" s="32">
        <v>0</v>
      </c>
      <c r="N1189" s="32">
        <v>0</v>
      </c>
      <c r="O1189" s="32">
        <v>0</v>
      </c>
      <c r="P1189" s="32">
        <v>0</v>
      </c>
      <c r="Q1189" s="35">
        <f t="shared" si="36"/>
        <v>6199</v>
      </c>
      <c r="R1189" s="69">
        <f t="shared" si="37"/>
        <v>5269.15</v>
      </c>
      <c r="S1189" s="30"/>
      <c r="T1189" s="30"/>
    </row>
    <row r="1190" spans="1:20" ht="45" customHeight="1" x14ac:dyDescent="0.3">
      <c r="A1190" s="36">
        <v>1178</v>
      </c>
      <c r="B1190" s="32" t="s">
        <v>3951</v>
      </c>
      <c r="C1190" s="32" t="s">
        <v>4011</v>
      </c>
      <c r="D1190" s="32" t="s">
        <v>4012</v>
      </c>
      <c r="E1190" s="32">
        <v>1998</v>
      </c>
      <c r="F1190" s="32" t="s">
        <v>19</v>
      </c>
      <c r="G1190" s="32" t="s">
        <v>4118</v>
      </c>
      <c r="H1190" s="32" t="s">
        <v>4118</v>
      </c>
      <c r="I1190" s="32" t="s">
        <v>539</v>
      </c>
      <c r="J1190" s="32">
        <v>6199</v>
      </c>
      <c r="K1190" s="32">
        <v>0</v>
      </c>
      <c r="L1190" s="32">
        <v>0</v>
      </c>
      <c r="M1190" s="32">
        <v>0</v>
      </c>
      <c r="N1190" s="32">
        <v>0</v>
      </c>
      <c r="O1190" s="32">
        <v>0</v>
      </c>
      <c r="P1190" s="32">
        <v>0</v>
      </c>
      <c r="Q1190" s="37">
        <f t="shared" si="36"/>
        <v>6199</v>
      </c>
      <c r="R1190" s="69">
        <f t="shared" si="37"/>
        <v>5269.15</v>
      </c>
      <c r="S1190" s="30"/>
      <c r="T1190" s="30"/>
    </row>
    <row r="1191" spans="1:20" ht="45" customHeight="1" x14ac:dyDescent="0.3">
      <c r="A1191" s="31">
        <v>1179</v>
      </c>
      <c r="B1191" s="32" t="s">
        <v>3951</v>
      </c>
      <c r="C1191" s="32" t="s">
        <v>4013</v>
      </c>
      <c r="D1191" s="32" t="s">
        <v>4014</v>
      </c>
      <c r="E1191" s="32">
        <v>2024</v>
      </c>
      <c r="F1191" s="32" t="s">
        <v>18</v>
      </c>
      <c r="G1191" s="32" t="s">
        <v>4119</v>
      </c>
      <c r="H1191" s="32" t="s">
        <v>4175</v>
      </c>
      <c r="I1191" s="32" t="s">
        <v>25</v>
      </c>
      <c r="J1191" s="32">
        <v>6199</v>
      </c>
      <c r="K1191" s="32">
        <f>6278+4484+1346+4484+2332+1166+2332+2332+2332+2332+2332+6995+6995+2332+6995</f>
        <v>55067</v>
      </c>
      <c r="L1191" s="32">
        <v>0</v>
      </c>
      <c r="M1191" s="32">
        <v>0</v>
      </c>
      <c r="N1191" s="32">
        <v>3148</v>
      </c>
      <c r="O1191" s="32">
        <v>0</v>
      </c>
      <c r="P1191" s="32">
        <v>0</v>
      </c>
      <c r="Q1191" s="35">
        <f t="shared" si="36"/>
        <v>64414</v>
      </c>
      <c r="R1191" s="69">
        <f t="shared" si="37"/>
        <v>54751.9</v>
      </c>
      <c r="S1191" s="30"/>
      <c r="T1191" s="30"/>
    </row>
    <row r="1192" spans="1:20" ht="45" customHeight="1" x14ac:dyDescent="0.3">
      <c r="A1192" s="31">
        <v>1180</v>
      </c>
      <c r="B1192" s="32" t="s">
        <v>3951</v>
      </c>
      <c r="C1192" s="32" t="s">
        <v>4015</v>
      </c>
      <c r="D1192" s="32" t="s">
        <v>4016</v>
      </c>
      <c r="E1192" s="32">
        <v>1980</v>
      </c>
      <c r="F1192" s="32" t="s">
        <v>19</v>
      </c>
      <c r="G1192" s="32" t="s">
        <v>4120</v>
      </c>
      <c r="H1192" s="32" t="s">
        <v>4120</v>
      </c>
      <c r="I1192" s="32" t="s">
        <v>2446</v>
      </c>
      <c r="J1192" s="32">
        <v>6199</v>
      </c>
      <c r="K1192" s="32">
        <v>0</v>
      </c>
      <c r="L1192" s="32">
        <v>0</v>
      </c>
      <c r="M1192" s="32">
        <v>0</v>
      </c>
      <c r="N1192" s="32">
        <v>0</v>
      </c>
      <c r="O1192" s="32">
        <v>0</v>
      </c>
      <c r="P1192" s="32">
        <v>0</v>
      </c>
      <c r="Q1192" s="37">
        <f t="shared" si="36"/>
        <v>6199</v>
      </c>
      <c r="R1192" s="69">
        <f t="shared" si="37"/>
        <v>5269.15</v>
      </c>
      <c r="S1192" s="30"/>
      <c r="T1192" s="30"/>
    </row>
    <row r="1193" spans="1:20" ht="45" customHeight="1" x14ac:dyDescent="0.3">
      <c r="A1193" s="36">
        <v>1181</v>
      </c>
      <c r="B1193" s="32" t="s">
        <v>3951</v>
      </c>
      <c r="C1193" s="32" t="s">
        <v>4017</v>
      </c>
      <c r="D1193" s="32" t="s">
        <v>4018</v>
      </c>
      <c r="E1193" s="32">
        <v>2022</v>
      </c>
      <c r="F1193" s="32" t="s">
        <v>19</v>
      </c>
      <c r="G1193" s="32" t="s">
        <v>4121</v>
      </c>
      <c r="H1193" s="32" t="s">
        <v>4176</v>
      </c>
      <c r="I1193" s="32" t="s">
        <v>2446</v>
      </c>
      <c r="J1193" s="32">
        <v>6199</v>
      </c>
      <c r="K1193" s="32">
        <v>0</v>
      </c>
      <c r="L1193" s="32">
        <v>0</v>
      </c>
      <c r="M1193" s="32">
        <v>0</v>
      </c>
      <c r="N1193" s="32">
        <v>0</v>
      </c>
      <c r="O1193" s="32">
        <v>0</v>
      </c>
      <c r="P1193" s="32">
        <v>0</v>
      </c>
      <c r="Q1193" s="37">
        <f t="shared" si="36"/>
        <v>6199</v>
      </c>
      <c r="R1193" s="69">
        <f t="shared" si="37"/>
        <v>5269.15</v>
      </c>
      <c r="S1193" s="30"/>
      <c r="T1193" s="30"/>
    </row>
    <row r="1194" spans="1:20" ht="45" customHeight="1" x14ac:dyDescent="0.3">
      <c r="A1194" s="31">
        <v>1182</v>
      </c>
      <c r="B1194" s="32" t="s">
        <v>3951</v>
      </c>
      <c r="C1194" s="32" t="s">
        <v>4019</v>
      </c>
      <c r="D1194" s="32" t="s">
        <v>4020</v>
      </c>
      <c r="E1194" s="32">
        <v>2024</v>
      </c>
      <c r="F1194" s="32" t="s">
        <v>18</v>
      </c>
      <c r="G1194" s="32" t="s">
        <v>4122</v>
      </c>
      <c r="H1194" s="32" t="s">
        <v>4177</v>
      </c>
      <c r="I1194" s="32" t="s">
        <v>4213</v>
      </c>
      <c r="J1194" s="32">
        <v>6199</v>
      </c>
      <c r="K1194" s="32">
        <f>1346+6278+4484+4484</f>
        <v>16592</v>
      </c>
      <c r="L1194" s="32">
        <v>0</v>
      </c>
      <c r="M1194" s="32">
        <v>0</v>
      </c>
      <c r="N1194" s="32">
        <v>3148</v>
      </c>
      <c r="O1194" s="32">
        <v>0</v>
      </c>
      <c r="P1194" s="32">
        <v>0</v>
      </c>
      <c r="Q1194" s="37">
        <f t="shared" si="36"/>
        <v>25939</v>
      </c>
      <c r="R1194" s="69">
        <f t="shared" si="37"/>
        <v>22048.15</v>
      </c>
      <c r="S1194" s="30"/>
      <c r="T1194" s="30"/>
    </row>
    <row r="1195" spans="1:20" ht="45" customHeight="1" x14ac:dyDescent="0.3">
      <c r="A1195" s="31">
        <v>1183</v>
      </c>
      <c r="B1195" s="32" t="s">
        <v>3951</v>
      </c>
      <c r="C1195" s="32" t="s">
        <v>4021</v>
      </c>
      <c r="D1195" s="32" t="s">
        <v>4022</v>
      </c>
      <c r="E1195" s="32">
        <v>1998</v>
      </c>
      <c r="F1195" s="32" t="s">
        <v>19</v>
      </c>
      <c r="G1195" s="32" t="s">
        <v>4123</v>
      </c>
      <c r="H1195" s="32" t="s">
        <v>4123</v>
      </c>
      <c r="I1195" s="32" t="s">
        <v>299</v>
      </c>
      <c r="J1195" s="32">
        <v>6199</v>
      </c>
      <c r="K1195" s="32">
        <f>1346+6278+4484+2332+2332+2332+2332+2332+6995+2332+2332+2332</f>
        <v>37759</v>
      </c>
      <c r="L1195" s="32">
        <v>0</v>
      </c>
      <c r="M1195" s="32">
        <v>0</v>
      </c>
      <c r="N1195" s="32">
        <v>1793</v>
      </c>
      <c r="O1195" s="32">
        <v>0</v>
      </c>
      <c r="P1195" s="32">
        <v>0</v>
      </c>
      <c r="Q1195" s="37">
        <f t="shared" si="36"/>
        <v>45751</v>
      </c>
      <c r="R1195" s="69">
        <f t="shared" si="37"/>
        <v>38888.35</v>
      </c>
      <c r="S1195" s="30"/>
      <c r="T1195" s="30"/>
    </row>
    <row r="1196" spans="1:20" ht="45" customHeight="1" x14ac:dyDescent="0.3">
      <c r="A1196" s="36">
        <v>1184</v>
      </c>
      <c r="B1196" s="32" t="s">
        <v>3951</v>
      </c>
      <c r="C1196" s="32" t="s">
        <v>4023</v>
      </c>
      <c r="D1196" s="32" t="s">
        <v>4024</v>
      </c>
      <c r="E1196" s="32">
        <v>2021</v>
      </c>
      <c r="F1196" s="32" t="s">
        <v>19</v>
      </c>
      <c r="G1196" s="32" t="s">
        <v>4124</v>
      </c>
      <c r="H1196" s="32" t="s">
        <v>4178</v>
      </c>
      <c r="I1196" s="32" t="s">
        <v>4214</v>
      </c>
      <c r="J1196" s="32">
        <v>6199</v>
      </c>
      <c r="K1196" s="32">
        <f>1346+6278+4484+4484+2332+2332+2332+2332+2332+2332+6995+6995+2332+6995</f>
        <v>53901</v>
      </c>
      <c r="L1196" s="32">
        <v>0</v>
      </c>
      <c r="M1196" s="32">
        <v>0</v>
      </c>
      <c r="N1196" s="32">
        <v>3148</v>
      </c>
      <c r="O1196" s="32">
        <v>0</v>
      </c>
      <c r="P1196" s="32">
        <v>0</v>
      </c>
      <c r="Q1196" s="37">
        <f t="shared" si="36"/>
        <v>63248</v>
      </c>
      <c r="R1196" s="69">
        <f t="shared" si="37"/>
        <v>53760.800000000003</v>
      </c>
      <c r="S1196" s="30"/>
      <c r="T1196" s="30"/>
    </row>
    <row r="1197" spans="1:20" ht="45" customHeight="1" x14ac:dyDescent="0.3">
      <c r="A1197" s="31">
        <v>1185</v>
      </c>
      <c r="B1197" s="32" t="s">
        <v>3951</v>
      </c>
      <c r="C1197" s="32" t="s">
        <v>4025</v>
      </c>
      <c r="D1197" s="32" t="s">
        <v>4026</v>
      </c>
      <c r="E1197" s="32">
        <v>2016</v>
      </c>
      <c r="F1197" s="32" t="s">
        <v>18</v>
      </c>
      <c r="G1197" s="32" t="s">
        <v>4125</v>
      </c>
      <c r="H1197" s="32" t="s">
        <v>4179</v>
      </c>
      <c r="I1197" s="32" t="s">
        <v>268</v>
      </c>
      <c r="J1197" s="32">
        <v>6199</v>
      </c>
      <c r="K1197" s="32">
        <f>1346+6278+4484</f>
        <v>12108</v>
      </c>
      <c r="L1197" s="32">
        <v>0</v>
      </c>
      <c r="M1197" s="32">
        <v>0</v>
      </c>
      <c r="N1197" s="32">
        <v>3148</v>
      </c>
      <c r="O1197" s="32">
        <v>0</v>
      </c>
      <c r="P1197" s="32">
        <v>0</v>
      </c>
      <c r="Q1197" s="37">
        <f t="shared" si="36"/>
        <v>21455</v>
      </c>
      <c r="R1197" s="69">
        <f t="shared" si="37"/>
        <v>18236.75</v>
      </c>
      <c r="S1197" s="30"/>
      <c r="T1197" s="30"/>
    </row>
    <row r="1198" spans="1:20" ht="45" customHeight="1" x14ac:dyDescent="0.3">
      <c r="A1198" s="31">
        <v>1186</v>
      </c>
      <c r="B1198" s="32" t="s">
        <v>3951</v>
      </c>
      <c r="C1198" s="32" t="s">
        <v>4027</v>
      </c>
      <c r="D1198" s="32" t="s">
        <v>4028</v>
      </c>
      <c r="E1198" s="32">
        <v>2025</v>
      </c>
      <c r="F1198" s="32" t="s">
        <v>19</v>
      </c>
      <c r="G1198" s="32" t="s">
        <v>4126</v>
      </c>
      <c r="H1198" s="32" t="s">
        <v>4180</v>
      </c>
      <c r="I1198" s="32" t="s">
        <v>285</v>
      </c>
      <c r="J1198" s="32">
        <v>6199</v>
      </c>
      <c r="K1198" s="32">
        <v>0</v>
      </c>
      <c r="L1198" s="32">
        <v>0</v>
      </c>
      <c r="M1198" s="32">
        <v>0</v>
      </c>
      <c r="N1198" s="32">
        <v>0</v>
      </c>
      <c r="O1198" s="32">
        <v>0</v>
      </c>
      <c r="P1198" s="32">
        <v>0</v>
      </c>
      <c r="Q1198" s="35">
        <f t="shared" si="36"/>
        <v>6199</v>
      </c>
      <c r="R1198" s="69">
        <f t="shared" si="37"/>
        <v>5269.15</v>
      </c>
      <c r="S1198" s="30"/>
      <c r="T1198" s="30"/>
    </row>
    <row r="1199" spans="1:20" ht="45" customHeight="1" x14ac:dyDescent="0.3">
      <c r="A1199" s="36">
        <v>1187</v>
      </c>
      <c r="B1199" s="32" t="s">
        <v>3951</v>
      </c>
      <c r="C1199" s="32" t="s">
        <v>4029</v>
      </c>
      <c r="D1199" s="32" t="s">
        <v>4030</v>
      </c>
      <c r="E1199" s="32">
        <v>2024</v>
      </c>
      <c r="F1199" s="32" t="s">
        <v>18</v>
      </c>
      <c r="G1199" s="32" t="s">
        <v>4127</v>
      </c>
      <c r="H1199" s="32" t="s">
        <v>4181</v>
      </c>
      <c r="I1199" s="32" t="s">
        <v>3506</v>
      </c>
      <c r="J1199" s="32">
        <v>6199</v>
      </c>
      <c r="K1199" s="32">
        <f>1346+6278+4484+1166+2332+2332+2332+6995+6995+2332+6995+2332+2332+2332+4484</f>
        <v>55067</v>
      </c>
      <c r="L1199" s="32">
        <v>0</v>
      </c>
      <c r="M1199" s="32">
        <v>0</v>
      </c>
      <c r="N1199" s="32">
        <v>3148</v>
      </c>
      <c r="O1199" s="32">
        <v>0</v>
      </c>
      <c r="P1199" s="32">
        <v>0</v>
      </c>
      <c r="Q1199" s="35">
        <f t="shared" si="36"/>
        <v>64414</v>
      </c>
      <c r="R1199" s="69">
        <f t="shared" si="37"/>
        <v>54751.9</v>
      </c>
      <c r="S1199" s="30"/>
      <c r="T1199" s="30"/>
    </row>
    <row r="1200" spans="1:20" ht="45" customHeight="1" x14ac:dyDescent="0.3">
      <c r="A1200" s="31">
        <v>1188</v>
      </c>
      <c r="B1200" s="32" t="s">
        <v>3951</v>
      </c>
      <c r="C1200" s="32" t="s">
        <v>4031</v>
      </c>
      <c r="D1200" s="32" t="s">
        <v>4032</v>
      </c>
      <c r="E1200" s="32">
        <v>2025</v>
      </c>
      <c r="F1200" s="32" t="s">
        <v>18</v>
      </c>
      <c r="G1200" s="32" t="s">
        <v>4128</v>
      </c>
      <c r="H1200" s="32" t="s">
        <v>4182</v>
      </c>
      <c r="I1200" s="32" t="s">
        <v>4215</v>
      </c>
      <c r="J1200" s="32">
        <v>6199</v>
      </c>
      <c r="K1200" s="32">
        <v>0</v>
      </c>
      <c r="L1200" s="32">
        <v>0</v>
      </c>
      <c r="M1200" s="32">
        <v>0</v>
      </c>
      <c r="N1200" s="32">
        <v>0</v>
      </c>
      <c r="O1200" s="32">
        <v>0</v>
      </c>
      <c r="P1200" s="32">
        <v>0</v>
      </c>
      <c r="Q1200" s="37">
        <f t="shared" si="36"/>
        <v>6199</v>
      </c>
      <c r="R1200" s="69">
        <f t="shared" si="37"/>
        <v>5269.15</v>
      </c>
      <c r="S1200" s="30"/>
      <c r="T1200" s="30"/>
    </row>
    <row r="1201" spans="1:20" ht="45" customHeight="1" x14ac:dyDescent="0.3">
      <c r="A1201" s="31">
        <v>1189</v>
      </c>
      <c r="B1201" s="32" t="s">
        <v>3951</v>
      </c>
      <c r="C1201" s="32" t="s">
        <v>4033</v>
      </c>
      <c r="D1201" s="32" t="s">
        <v>4034</v>
      </c>
      <c r="E1201" s="32">
        <v>2014</v>
      </c>
      <c r="F1201" s="32" t="s">
        <v>19</v>
      </c>
      <c r="G1201" s="32" t="s">
        <v>4129</v>
      </c>
      <c r="H1201" s="32" t="s">
        <v>3838</v>
      </c>
      <c r="I1201" s="32" t="s">
        <v>268</v>
      </c>
      <c r="J1201" s="32">
        <v>6199</v>
      </c>
      <c r="K1201" s="32">
        <f>1346+6278+4484</f>
        <v>12108</v>
      </c>
      <c r="L1201" s="32">
        <v>0</v>
      </c>
      <c r="M1201" s="32">
        <v>0</v>
      </c>
      <c r="N1201" s="32">
        <v>3148</v>
      </c>
      <c r="O1201" s="32">
        <v>0</v>
      </c>
      <c r="P1201" s="32">
        <v>0</v>
      </c>
      <c r="Q1201" s="37">
        <f t="shared" si="36"/>
        <v>21455</v>
      </c>
      <c r="R1201" s="69">
        <f t="shared" si="37"/>
        <v>18236.75</v>
      </c>
      <c r="S1201" s="30"/>
      <c r="T1201" s="30"/>
    </row>
    <row r="1202" spans="1:20" ht="45" customHeight="1" x14ac:dyDescent="0.3">
      <c r="A1202" s="36">
        <v>1190</v>
      </c>
      <c r="B1202" s="32" t="s">
        <v>3951</v>
      </c>
      <c r="C1202" s="32" t="s">
        <v>4035</v>
      </c>
      <c r="D1202" s="32" t="s">
        <v>4036</v>
      </c>
      <c r="E1202" s="32">
        <v>1987</v>
      </c>
      <c r="F1202" s="32" t="s">
        <v>18</v>
      </c>
      <c r="G1202" s="32" t="s">
        <v>4130</v>
      </c>
      <c r="H1202" s="32" t="s">
        <v>4130</v>
      </c>
      <c r="I1202" s="32" t="s">
        <v>2864</v>
      </c>
      <c r="J1202" s="32">
        <v>6199</v>
      </c>
      <c r="K1202" s="32">
        <f>1166+2801+2332+2332</f>
        <v>8631</v>
      </c>
      <c r="L1202" s="32">
        <v>0</v>
      </c>
      <c r="M1202" s="32">
        <v>0</v>
      </c>
      <c r="N1202" s="32">
        <v>0</v>
      </c>
      <c r="O1202" s="32">
        <v>0</v>
      </c>
      <c r="P1202" s="32">
        <v>0</v>
      </c>
      <c r="Q1202" s="35">
        <f t="shared" si="36"/>
        <v>14830</v>
      </c>
      <c r="R1202" s="69">
        <f t="shared" si="37"/>
        <v>12605.5</v>
      </c>
      <c r="S1202" s="30"/>
      <c r="T1202" s="30"/>
    </row>
    <row r="1203" spans="1:20" ht="45" customHeight="1" x14ac:dyDescent="0.3">
      <c r="A1203" s="31">
        <v>1191</v>
      </c>
      <c r="B1203" s="32" t="s">
        <v>3951</v>
      </c>
      <c r="C1203" s="32" t="s">
        <v>4037</v>
      </c>
      <c r="D1203" s="32" t="s">
        <v>4038</v>
      </c>
      <c r="E1203" s="32">
        <v>2019</v>
      </c>
      <c r="F1203" s="32" t="s">
        <v>18</v>
      </c>
      <c r="G1203" s="32" t="s">
        <v>4131</v>
      </c>
      <c r="H1203" s="32" t="s">
        <v>4183</v>
      </c>
      <c r="I1203" s="32" t="s">
        <v>4216</v>
      </c>
      <c r="J1203" s="32">
        <v>6199</v>
      </c>
      <c r="K1203" s="32">
        <f>6278+4484+1346+4484+2332+2332+2332+2332+2332</f>
        <v>28252</v>
      </c>
      <c r="L1203" s="32">
        <v>0</v>
      </c>
      <c r="M1203" s="32">
        <v>0</v>
      </c>
      <c r="N1203" s="32">
        <v>3148</v>
      </c>
      <c r="O1203" s="32">
        <v>0</v>
      </c>
      <c r="P1203" s="32">
        <v>0</v>
      </c>
      <c r="Q1203" s="35">
        <f t="shared" si="36"/>
        <v>37599</v>
      </c>
      <c r="R1203" s="69">
        <f t="shared" si="37"/>
        <v>31959.15</v>
      </c>
      <c r="S1203" s="30"/>
      <c r="T1203" s="30"/>
    </row>
    <row r="1204" spans="1:20" ht="45" customHeight="1" x14ac:dyDescent="0.3">
      <c r="A1204" s="31">
        <v>1192</v>
      </c>
      <c r="B1204" s="32" t="s">
        <v>3951</v>
      </c>
      <c r="C1204" s="32" t="s">
        <v>4039</v>
      </c>
      <c r="D1204" s="32" t="s">
        <v>4040</v>
      </c>
      <c r="E1204" s="32">
        <v>1983</v>
      </c>
      <c r="F1204" s="32" t="s">
        <v>19</v>
      </c>
      <c r="G1204" s="32" t="s">
        <v>4132</v>
      </c>
      <c r="H1204" s="32" t="s">
        <v>4184</v>
      </c>
      <c r="I1204" s="32" t="s">
        <v>1060</v>
      </c>
      <c r="J1204" s="32">
        <v>3582</v>
      </c>
      <c r="K1204" s="32">
        <v>0</v>
      </c>
      <c r="L1204" s="32">
        <v>0</v>
      </c>
      <c r="M1204" s="32">
        <v>0</v>
      </c>
      <c r="N1204" s="32">
        <f>34016+27380</f>
        <v>61396</v>
      </c>
      <c r="O1204" s="32">
        <v>0</v>
      </c>
      <c r="P1204" s="32">
        <v>0</v>
      </c>
      <c r="Q1204" s="37">
        <f t="shared" si="36"/>
        <v>64978</v>
      </c>
      <c r="R1204" s="69">
        <f t="shared" si="37"/>
        <v>55231.3</v>
      </c>
      <c r="S1204" s="30"/>
      <c r="T1204" s="30"/>
    </row>
    <row r="1205" spans="1:20" ht="45" customHeight="1" x14ac:dyDescent="0.3">
      <c r="A1205" s="36">
        <v>1193</v>
      </c>
      <c r="B1205" s="32" t="s">
        <v>3951</v>
      </c>
      <c r="C1205" s="32" t="s">
        <v>4041</v>
      </c>
      <c r="D1205" s="32" t="s">
        <v>4042</v>
      </c>
      <c r="E1205" s="32">
        <v>2024</v>
      </c>
      <c r="F1205" s="32" t="s">
        <v>18</v>
      </c>
      <c r="G1205" s="32" t="s">
        <v>4133</v>
      </c>
      <c r="H1205" s="32" t="s">
        <v>4185</v>
      </c>
      <c r="I1205" s="32" t="s">
        <v>848</v>
      </c>
      <c r="J1205" s="32">
        <v>6199</v>
      </c>
      <c r="K1205" s="32">
        <v>0</v>
      </c>
      <c r="L1205" s="32">
        <v>0</v>
      </c>
      <c r="M1205" s="32">
        <v>0</v>
      </c>
      <c r="N1205" s="32">
        <v>0</v>
      </c>
      <c r="O1205" s="32">
        <v>0</v>
      </c>
      <c r="P1205" s="32">
        <v>0</v>
      </c>
      <c r="Q1205" s="35">
        <f t="shared" si="36"/>
        <v>6199</v>
      </c>
      <c r="R1205" s="69">
        <f t="shared" si="37"/>
        <v>5269.15</v>
      </c>
      <c r="S1205" s="30"/>
      <c r="T1205" s="30"/>
    </row>
    <row r="1206" spans="1:20" ht="45" customHeight="1" x14ac:dyDescent="0.3">
      <c r="A1206" s="31">
        <v>1194</v>
      </c>
      <c r="B1206" s="32" t="s">
        <v>3951</v>
      </c>
      <c r="C1206" s="32" t="s">
        <v>4043</v>
      </c>
      <c r="D1206" s="32" t="s">
        <v>4044</v>
      </c>
      <c r="E1206" s="32">
        <v>1995</v>
      </c>
      <c r="F1206" s="32" t="s">
        <v>18</v>
      </c>
      <c r="G1206" s="32" t="s">
        <v>4134</v>
      </c>
      <c r="H1206" s="32" t="s">
        <v>4134</v>
      </c>
      <c r="I1206" s="32" t="s">
        <v>3935</v>
      </c>
      <c r="J1206" s="32">
        <v>6199</v>
      </c>
      <c r="K1206" s="32">
        <f>6278+1346</f>
        <v>7624</v>
      </c>
      <c r="L1206" s="32">
        <v>0</v>
      </c>
      <c r="M1206" s="32">
        <v>0</v>
      </c>
      <c r="N1206" s="32">
        <v>1793</v>
      </c>
      <c r="O1206" s="32">
        <v>0</v>
      </c>
      <c r="P1206" s="32">
        <v>0</v>
      </c>
      <c r="Q1206" s="35">
        <f t="shared" si="36"/>
        <v>15616</v>
      </c>
      <c r="R1206" s="69">
        <f t="shared" si="37"/>
        <v>13273.6</v>
      </c>
      <c r="S1206" s="30"/>
      <c r="T1206" s="30"/>
    </row>
    <row r="1207" spans="1:20" ht="45" customHeight="1" x14ac:dyDescent="0.3">
      <c r="A1207" s="31">
        <v>1195</v>
      </c>
      <c r="B1207" s="32" t="s">
        <v>3951</v>
      </c>
      <c r="C1207" s="32" t="s">
        <v>4045</v>
      </c>
      <c r="D1207" s="32" t="s">
        <v>4046</v>
      </c>
      <c r="E1207" s="32">
        <v>1996</v>
      </c>
      <c r="F1207" s="32" t="s">
        <v>19</v>
      </c>
      <c r="G1207" s="32" t="s">
        <v>4135</v>
      </c>
      <c r="H1207" s="32" t="s">
        <v>209</v>
      </c>
      <c r="I1207" s="32" t="s">
        <v>4217</v>
      </c>
      <c r="J1207" s="32">
        <v>6199</v>
      </c>
      <c r="K1207" s="32">
        <v>0</v>
      </c>
      <c r="L1207" s="32">
        <v>0</v>
      </c>
      <c r="M1207" s="32">
        <v>0</v>
      </c>
      <c r="N1207" s="32">
        <v>0</v>
      </c>
      <c r="O1207" s="32">
        <v>0</v>
      </c>
      <c r="P1207" s="32">
        <v>0</v>
      </c>
      <c r="Q1207" s="35">
        <f t="shared" si="36"/>
        <v>6199</v>
      </c>
      <c r="R1207" s="69">
        <f t="shared" si="37"/>
        <v>5269.15</v>
      </c>
      <c r="S1207" s="30"/>
      <c r="T1207" s="30"/>
    </row>
    <row r="1208" spans="1:20" ht="45" customHeight="1" x14ac:dyDescent="0.3">
      <c r="A1208" s="36">
        <v>1196</v>
      </c>
      <c r="B1208" s="32" t="s">
        <v>3951</v>
      </c>
      <c r="C1208" s="32" t="s">
        <v>4047</v>
      </c>
      <c r="D1208" s="32" t="s">
        <v>4048</v>
      </c>
      <c r="E1208" s="32">
        <v>2019</v>
      </c>
      <c r="F1208" s="32" t="s">
        <v>18</v>
      </c>
      <c r="G1208" s="32" t="s">
        <v>4136</v>
      </c>
      <c r="H1208" s="32" t="s">
        <v>4135</v>
      </c>
      <c r="I1208" s="32" t="s">
        <v>4218</v>
      </c>
      <c r="J1208" s="32">
        <v>6199</v>
      </c>
      <c r="K1208" s="32">
        <v>0</v>
      </c>
      <c r="L1208" s="32">
        <v>0</v>
      </c>
      <c r="M1208" s="32">
        <v>0</v>
      </c>
      <c r="N1208" s="32">
        <v>0</v>
      </c>
      <c r="O1208" s="32">
        <v>0</v>
      </c>
      <c r="P1208" s="32">
        <v>0</v>
      </c>
      <c r="Q1208" s="35">
        <f t="shared" si="36"/>
        <v>6199</v>
      </c>
      <c r="R1208" s="69">
        <f t="shared" si="37"/>
        <v>5269.15</v>
      </c>
      <c r="S1208" s="30"/>
      <c r="T1208" s="30"/>
    </row>
    <row r="1209" spans="1:20" ht="45" customHeight="1" x14ac:dyDescent="0.3">
      <c r="A1209" s="31">
        <v>1197</v>
      </c>
      <c r="B1209" s="32" t="s">
        <v>3951</v>
      </c>
      <c r="C1209" s="32" t="s">
        <v>4049</v>
      </c>
      <c r="D1209" s="32" t="s">
        <v>4050</v>
      </c>
      <c r="E1209" s="32">
        <v>1988</v>
      </c>
      <c r="F1209" s="32" t="s">
        <v>19</v>
      </c>
      <c r="G1209" s="32" t="s">
        <v>4137</v>
      </c>
      <c r="H1209" s="32" t="s">
        <v>4186</v>
      </c>
      <c r="I1209" s="32" t="s">
        <v>3683</v>
      </c>
      <c r="J1209" s="32">
        <v>6199</v>
      </c>
      <c r="K1209" s="32">
        <f>2332+2332+2243</f>
        <v>6907</v>
      </c>
      <c r="L1209" s="32">
        <v>0</v>
      </c>
      <c r="M1209" s="32">
        <v>0</v>
      </c>
      <c r="N1209" s="32">
        <v>0</v>
      </c>
      <c r="O1209" s="32">
        <v>0</v>
      </c>
      <c r="P1209" s="32">
        <v>0</v>
      </c>
      <c r="Q1209" s="35">
        <f t="shared" si="36"/>
        <v>13106</v>
      </c>
      <c r="R1209" s="69">
        <f t="shared" si="37"/>
        <v>11140.1</v>
      </c>
      <c r="S1209" s="30"/>
      <c r="T1209" s="30"/>
    </row>
    <row r="1210" spans="1:20" ht="45" customHeight="1" x14ac:dyDescent="0.3">
      <c r="A1210" s="31">
        <v>1198</v>
      </c>
      <c r="B1210" s="32" t="s">
        <v>3951</v>
      </c>
      <c r="C1210" s="32" t="s">
        <v>4051</v>
      </c>
      <c r="D1210" s="32" t="s">
        <v>4052</v>
      </c>
      <c r="E1210" s="32">
        <v>1989</v>
      </c>
      <c r="F1210" s="32" t="s">
        <v>19</v>
      </c>
      <c r="G1210" s="32" t="s">
        <v>4138</v>
      </c>
      <c r="H1210" s="32" t="s">
        <v>4138</v>
      </c>
      <c r="I1210" s="32" t="s">
        <v>3100</v>
      </c>
      <c r="J1210" s="32">
        <v>6199</v>
      </c>
      <c r="K1210" s="32">
        <f>1346+6278+4484+2332+2332+2332+6995+2332+2332+2332</f>
        <v>33095</v>
      </c>
      <c r="L1210" s="32">
        <v>0</v>
      </c>
      <c r="M1210" s="32">
        <v>0</v>
      </c>
      <c r="N1210" s="32">
        <v>1793</v>
      </c>
      <c r="O1210" s="32">
        <v>0</v>
      </c>
      <c r="P1210" s="32">
        <v>0</v>
      </c>
      <c r="Q1210" s="35">
        <f t="shared" si="36"/>
        <v>41087</v>
      </c>
      <c r="R1210" s="69">
        <f t="shared" si="37"/>
        <v>34923.949999999997</v>
      </c>
      <c r="S1210" s="30"/>
      <c r="T1210" s="30"/>
    </row>
    <row r="1211" spans="1:20" ht="45" customHeight="1" x14ac:dyDescent="0.3">
      <c r="A1211" s="36">
        <v>1199</v>
      </c>
      <c r="B1211" s="32" t="s">
        <v>3951</v>
      </c>
      <c r="C1211" s="32" t="s">
        <v>4053</v>
      </c>
      <c r="D1211" s="32" t="s">
        <v>4054</v>
      </c>
      <c r="E1211" s="32">
        <v>2018</v>
      </c>
      <c r="F1211" s="32" t="s">
        <v>19</v>
      </c>
      <c r="G1211" s="32" t="s">
        <v>4139</v>
      </c>
      <c r="H1211" s="32" t="s">
        <v>4187</v>
      </c>
      <c r="I1211" s="32" t="s">
        <v>1050</v>
      </c>
      <c r="J1211" s="32">
        <v>6199</v>
      </c>
      <c r="K1211" s="32">
        <v>0</v>
      </c>
      <c r="L1211" s="32">
        <v>0</v>
      </c>
      <c r="M1211" s="32">
        <v>0</v>
      </c>
      <c r="N1211" s="32">
        <v>0</v>
      </c>
      <c r="O1211" s="32">
        <v>0</v>
      </c>
      <c r="P1211" s="32">
        <v>0</v>
      </c>
      <c r="Q1211" s="37">
        <f t="shared" si="36"/>
        <v>6199</v>
      </c>
      <c r="R1211" s="69">
        <f t="shared" si="37"/>
        <v>5269.15</v>
      </c>
      <c r="S1211" s="30"/>
      <c r="T1211" s="30"/>
    </row>
    <row r="1212" spans="1:20" ht="45" customHeight="1" x14ac:dyDescent="0.3">
      <c r="A1212" s="31">
        <v>1200</v>
      </c>
      <c r="B1212" s="32" t="s">
        <v>3951</v>
      </c>
      <c r="C1212" s="32" t="s">
        <v>4055</v>
      </c>
      <c r="D1212" s="32" t="s">
        <v>4056</v>
      </c>
      <c r="E1212" s="32">
        <v>2012</v>
      </c>
      <c r="F1212" s="32" t="s">
        <v>19</v>
      </c>
      <c r="G1212" s="32" t="s">
        <v>4140</v>
      </c>
      <c r="H1212" s="32" t="s">
        <v>4188</v>
      </c>
      <c r="I1212" s="32" t="s">
        <v>3497</v>
      </c>
      <c r="J1212" s="32">
        <v>6199</v>
      </c>
      <c r="K1212" s="32">
        <f>1346+6278+4484+2332+2332+2332+6995+2332+2332+2332+1166+2801+3000+3000</f>
        <v>43062</v>
      </c>
      <c r="L1212" s="32">
        <v>0</v>
      </c>
      <c r="M1212" s="32">
        <v>0</v>
      </c>
      <c r="N1212" s="32">
        <v>1793</v>
      </c>
      <c r="O1212" s="32">
        <v>0</v>
      </c>
      <c r="P1212" s="32">
        <v>0</v>
      </c>
      <c r="Q1212" s="37">
        <f t="shared" si="36"/>
        <v>51054</v>
      </c>
      <c r="R1212" s="69">
        <f t="shared" si="37"/>
        <v>43395.9</v>
      </c>
      <c r="S1212" s="30"/>
      <c r="T1212" s="30"/>
    </row>
    <row r="1213" spans="1:20" ht="45" customHeight="1" x14ac:dyDescent="0.3">
      <c r="A1213" s="31">
        <v>1201</v>
      </c>
      <c r="B1213" s="32" t="s">
        <v>3951</v>
      </c>
      <c r="C1213" s="32" t="s">
        <v>4057</v>
      </c>
      <c r="D1213" s="32" t="s">
        <v>4058</v>
      </c>
      <c r="E1213" s="32">
        <v>1992</v>
      </c>
      <c r="F1213" s="32" t="s">
        <v>19</v>
      </c>
      <c r="G1213" s="32" t="s">
        <v>4141</v>
      </c>
      <c r="H1213" s="32" t="s">
        <v>4141</v>
      </c>
      <c r="I1213" s="32" t="s">
        <v>1254</v>
      </c>
      <c r="J1213" s="32">
        <v>6199</v>
      </c>
      <c r="K1213" s="32">
        <f>1346+6278+4484+6995+2332+2332+2332+3000+3000+3228+2332+2332+2332+6995+6995+2332+6995+1166+2801+4484</f>
        <v>74091</v>
      </c>
      <c r="L1213" s="32">
        <v>0</v>
      </c>
      <c r="M1213" s="32">
        <v>0</v>
      </c>
      <c r="N1213" s="32">
        <v>1793</v>
      </c>
      <c r="O1213" s="32">
        <v>0</v>
      </c>
      <c r="P1213" s="32">
        <v>0</v>
      </c>
      <c r="Q1213" s="37">
        <f t="shared" si="36"/>
        <v>82083</v>
      </c>
      <c r="R1213" s="69">
        <f t="shared" si="37"/>
        <v>69770.55</v>
      </c>
      <c r="S1213" s="30"/>
      <c r="T1213" s="30"/>
    </row>
    <row r="1214" spans="1:20" ht="45" customHeight="1" x14ac:dyDescent="0.3">
      <c r="A1214" s="36">
        <v>1202</v>
      </c>
      <c r="B1214" s="32" t="s">
        <v>3951</v>
      </c>
      <c r="C1214" s="32" t="s">
        <v>4059</v>
      </c>
      <c r="D1214" s="32" t="s">
        <v>4060</v>
      </c>
      <c r="E1214" s="32">
        <v>2015</v>
      </c>
      <c r="F1214" s="32" t="s">
        <v>19</v>
      </c>
      <c r="G1214" s="32" t="s">
        <v>4142</v>
      </c>
      <c r="H1214" s="32" t="s">
        <v>4189</v>
      </c>
      <c r="I1214" s="32" t="s">
        <v>4219</v>
      </c>
      <c r="J1214" s="32">
        <v>6199</v>
      </c>
      <c r="K1214" s="32">
        <v>0</v>
      </c>
      <c r="L1214" s="32">
        <v>0</v>
      </c>
      <c r="M1214" s="32">
        <v>0</v>
      </c>
      <c r="N1214" s="32">
        <v>0</v>
      </c>
      <c r="O1214" s="32">
        <v>0</v>
      </c>
      <c r="P1214" s="32">
        <v>0</v>
      </c>
      <c r="Q1214" s="37">
        <f t="shared" si="36"/>
        <v>6199</v>
      </c>
      <c r="R1214" s="69">
        <f t="shared" si="37"/>
        <v>5269.15</v>
      </c>
      <c r="S1214" s="30"/>
      <c r="T1214" s="30"/>
    </row>
    <row r="1215" spans="1:20" ht="45" customHeight="1" x14ac:dyDescent="0.3">
      <c r="A1215" s="31">
        <v>1203</v>
      </c>
      <c r="B1215" s="32" t="s">
        <v>3951</v>
      </c>
      <c r="C1215" s="32" t="s">
        <v>4061</v>
      </c>
      <c r="D1215" s="32" t="s">
        <v>4062</v>
      </c>
      <c r="E1215" s="32">
        <v>1992</v>
      </c>
      <c r="F1215" s="32" t="s">
        <v>19</v>
      </c>
      <c r="G1215" s="32" t="s">
        <v>4143</v>
      </c>
      <c r="H1215" s="32" t="s">
        <v>4190</v>
      </c>
      <c r="I1215" s="32" t="s">
        <v>570</v>
      </c>
      <c r="J1215" s="32">
        <v>6199</v>
      </c>
      <c r="K1215" s="32">
        <f>6278+6995+4484+2332+2332</f>
        <v>22421</v>
      </c>
      <c r="L1215" s="32">
        <v>0</v>
      </c>
      <c r="M1215" s="32">
        <v>0</v>
      </c>
      <c r="N1215" s="32">
        <f>1793+3179+1681</f>
        <v>6653</v>
      </c>
      <c r="O1215" s="32">
        <v>0</v>
      </c>
      <c r="P1215" s="32">
        <f>660+624+112+720</f>
        <v>2116</v>
      </c>
      <c r="Q1215" s="37">
        <f t="shared" si="36"/>
        <v>37389</v>
      </c>
      <c r="R1215" s="69">
        <f t="shared" si="37"/>
        <v>31780.65</v>
      </c>
      <c r="S1215" s="30"/>
      <c r="T1215" s="30"/>
    </row>
    <row r="1216" spans="1:20" ht="45" customHeight="1" x14ac:dyDescent="0.3">
      <c r="A1216" s="31">
        <v>1204</v>
      </c>
      <c r="B1216" s="32" t="s">
        <v>3951</v>
      </c>
      <c r="C1216" s="32" t="s">
        <v>4063</v>
      </c>
      <c r="D1216" s="32" t="s">
        <v>4064</v>
      </c>
      <c r="E1216" s="32">
        <v>2011</v>
      </c>
      <c r="F1216" s="32" t="s">
        <v>19</v>
      </c>
      <c r="G1216" s="32" t="s">
        <v>4144</v>
      </c>
      <c r="H1216" s="32" t="s">
        <v>4191</v>
      </c>
      <c r="I1216" s="32" t="s">
        <v>1460</v>
      </c>
      <c r="J1216" s="32">
        <v>6199</v>
      </c>
      <c r="K1216" s="32">
        <f>1346+6278+4484+2332+2332+2332+2332+2332+2332+2332+2332</f>
        <v>30764</v>
      </c>
      <c r="L1216" s="32">
        <v>0</v>
      </c>
      <c r="M1216" s="32">
        <v>0</v>
      </c>
      <c r="N1216" s="32">
        <v>1793</v>
      </c>
      <c r="O1216" s="32">
        <v>0</v>
      </c>
      <c r="P1216" s="32">
        <v>0</v>
      </c>
      <c r="Q1216" s="37">
        <f t="shared" si="36"/>
        <v>38756</v>
      </c>
      <c r="R1216" s="69">
        <f t="shared" si="37"/>
        <v>32942.6</v>
      </c>
      <c r="S1216" s="30"/>
      <c r="T1216" s="30"/>
    </row>
    <row r="1217" spans="1:20" ht="45" customHeight="1" x14ac:dyDescent="0.3">
      <c r="A1217" s="36">
        <v>1205</v>
      </c>
      <c r="B1217" s="32" t="s">
        <v>3951</v>
      </c>
      <c r="C1217" s="32" t="s">
        <v>4065</v>
      </c>
      <c r="D1217" s="32" t="s">
        <v>4066</v>
      </c>
      <c r="E1217" s="32">
        <v>2017</v>
      </c>
      <c r="F1217" s="32" t="s">
        <v>18</v>
      </c>
      <c r="G1217" s="32" t="s">
        <v>4145</v>
      </c>
      <c r="H1217" s="32" t="s">
        <v>4192</v>
      </c>
      <c r="I1217" s="32" t="s">
        <v>2137</v>
      </c>
      <c r="J1217" s="32">
        <v>6199</v>
      </c>
      <c r="K1217" s="32">
        <f>1346+6278+4484</f>
        <v>12108</v>
      </c>
      <c r="L1217" s="32">
        <v>0</v>
      </c>
      <c r="M1217" s="32">
        <v>0</v>
      </c>
      <c r="N1217" s="32">
        <v>3148</v>
      </c>
      <c r="O1217" s="32">
        <v>0</v>
      </c>
      <c r="P1217" s="32">
        <v>0</v>
      </c>
      <c r="Q1217" s="37">
        <f t="shared" si="36"/>
        <v>21455</v>
      </c>
      <c r="R1217" s="69">
        <f t="shared" si="37"/>
        <v>18236.75</v>
      </c>
      <c r="S1217" s="30"/>
      <c r="T1217" s="30"/>
    </row>
    <row r="1218" spans="1:20" ht="45" customHeight="1" x14ac:dyDescent="0.3">
      <c r="A1218" s="31">
        <v>1206</v>
      </c>
      <c r="B1218" s="32" t="s">
        <v>3951</v>
      </c>
      <c r="C1218" s="32" t="s">
        <v>4067</v>
      </c>
      <c r="D1218" s="32" t="s">
        <v>4068</v>
      </c>
      <c r="E1218" s="32">
        <v>2022</v>
      </c>
      <c r="F1218" s="32" t="s">
        <v>19</v>
      </c>
      <c r="G1218" s="32" t="s">
        <v>4146</v>
      </c>
      <c r="H1218" s="32" t="s">
        <v>4193</v>
      </c>
      <c r="I1218" s="32" t="s">
        <v>1267</v>
      </c>
      <c r="J1218" s="32">
        <v>6199</v>
      </c>
      <c r="K1218" s="32">
        <f>1346+6278+4484+4484+2332+2332+2332+2332+2332+2332+6995+6995+2332+6995+1166</f>
        <v>55067</v>
      </c>
      <c r="L1218" s="32">
        <v>0</v>
      </c>
      <c r="M1218" s="32">
        <v>0</v>
      </c>
      <c r="N1218" s="32">
        <v>3148</v>
      </c>
      <c r="O1218" s="32">
        <v>0</v>
      </c>
      <c r="P1218" s="32">
        <v>0</v>
      </c>
      <c r="Q1218" s="37">
        <f t="shared" si="36"/>
        <v>64414</v>
      </c>
      <c r="R1218" s="69">
        <f t="shared" si="37"/>
        <v>54751.9</v>
      </c>
      <c r="S1218" s="30"/>
      <c r="T1218" s="30"/>
    </row>
    <row r="1219" spans="1:20" ht="45" customHeight="1" x14ac:dyDescent="0.3">
      <c r="A1219" s="31">
        <v>1207</v>
      </c>
      <c r="B1219" s="32" t="s">
        <v>3951</v>
      </c>
      <c r="C1219" s="32" t="s">
        <v>4069</v>
      </c>
      <c r="D1219" s="32" t="s">
        <v>4070</v>
      </c>
      <c r="E1219" s="32">
        <v>2016</v>
      </c>
      <c r="F1219" s="32" t="s">
        <v>18</v>
      </c>
      <c r="G1219" s="32" t="s">
        <v>4147</v>
      </c>
      <c r="H1219" s="32" t="s">
        <v>4194</v>
      </c>
      <c r="I1219" s="32" t="s">
        <v>546</v>
      </c>
      <c r="J1219" s="32">
        <v>6199</v>
      </c>
      <c r="K1219" s="32">
        <f>1346+6278+4484</f>
        <v>12108</v>
      </c>
      <c r="L1219" s="32">
        <v>0</v>
      </c>
      <c r="M1219" s="32">
        <v>0</v>
      </c>
      <c r="N1219" s="32">
        <v>3148</v>
      </c>
      <c r="O1219" s="32">
        <v>0</v>
      </c>
      <c r="P1219" s="32">
        <v>0</v>
      </c>
      <c r="Q1219" s="37">
        <f t="shared" si="36"/>
        <v>21455</v>
      </c>
      <c r="R1219" s="69">
        <f t="shared" si="37"/>
        <v>18236.75</v>
      </c>
      <c r="S1219" s="30"/>
      <c r="T1219" s="30"/>
    </row>
    <row r="1220" spans="1:20" ht="45" customHeight="1" x14ac:dyDescent="0.3">
      <c r="A1220" s="36">
        <v>1208</v>
      </c>
      <c r="B1220" s="32" t="s">
        <v>3951</v>
      </c>
      <c r="C1220" s="32" t="s">
        <v>4071</v>
      </c>
      <c r="D1220" s="32" t="s">
        <v>4072</v>
      </c>
      <c r="E1220" s="32">
        <v>1987</v>
      </c>
      <c r="F1220" s="32" t="s">
        <v>18</v>
      </c>
      <c r="G1220" s="32" t="s">
        <v>4148</v>
      </c>
      <c r="H1220" s="32" t="s">
        <v>4148</v>
      </c>
      <c r="I1220" s="32" t="s">
        <v>542</v>
      </c>
      <c r="J1220" s="32">
        <v>6199</v>
      </c>
      <c r="K1220" s="32">
        <f>1346+6278+4484+2332+2332+2332</f>
        <v>19104</v>
      </c>
      <c r="L1220" s="32">
        <v>0</v>
      </c>
      <c r="M1220" s="32">
        <v>0</v>
      </c>
      <c r="N1220" s="32">
        <v>1793</v>
      </c>
      <c r="O1220" s="32">
        <v>0</v>
      </c>
      <c r="P1220" s="32">
        <v>0</v>
      </c>
      <c r="Q1220" s="37">
        <f t="shared" si="36"/>
        <v>27096</v>
      </c>
      <c r="R1220" s="69">
        <f t="shared" si="37"/>
        <v>23031.599999999999</v>
      </c>
      <c r="S1220" s="30"/>
      <c r="T1220" s="30"/>
    </row>
    <row r="1221" spans="1:20" ht="45" customHeight="1" x14ac:dyDescent="0.3">
      <c r="A1221" s="31">
        <v>1209</v>
      </c>
      <c r="B1221" s="32" t="s">
        <v>3951</v>
      </c>
      <c r="C1221" s="32" t="s">
        <v>4073</v>
      </c>
      <c r="D1221" s="32" t="s">
        <v>1735</v>
      </c>
      <c r="E1221" s="32">
        <v>2013</v>
      </c>
      <c r="F1221" s="32" t="s">
        <v>19</v>
      </c>
      <c r="G1221" s="32" t="s">
        <v>1814</v>
      </c>
      <c r="H1221" s="32" t="s">
        <v>1858</v>
      </c>
      <c r="I1221" s="32" t="s">
        <v>1046</v>
      </c>
      <c r="J1221" s="32">
        <v>3793</v>
      </c>
      <c r="K1221" s="32">
        <v>0</v>
      </c>
      <c r="L1221" s="32">
        <v>0</v>
      </c>
      <c r="M1221" s="32">
        <v>0</v>
      </c>
      <c r="N1221" s="32">
        <v>0</v>
      </c>
      <c r="O1221" s="32">
        <v>0</v>
      </c>
      <c r="P1221" s="32">
        <v>0</v>
      </c>
      <c r="Q1221" s="37">
        <f t="shared" si="36"/>
        <v>3793</v>
      </c>
      <c r="R1221" s="69">
        <f t="shared" si="37"/>
        <v>3224.05</v>
      </c>
      <c r="S1221" s="30"/>
      <c r="T1221" s="30"/>
    </row>
    <row r="1222" spans="1:20" ht="45" customHeight="1" x14ac:dyDescent="0.3">
      <c r="A1222" s="31">
        <v>1210</v>
      </c>
      <c r="B1222" s="32" t="s">
        <v>3951</v>
      </c>
      <c r="C1222" s="32" t="s">
        <v>4074</v>
      </c>
      <c r="D1222" s="32" t="s">
        <v>4075</v>
      </c>
      <c r="E1222" s="32">
        <v>2021</v>
      </c>
      <c r="F1222" s="32" t="s">
        <v>18</v>
      </c>
      <c r="G1222" s="32" t="s">
        <v>4149</v>
      </c>
      <c r="H1222" s="32" t="s">
        <v>4195</v>
      </c>
      <c r="I1222" s="32" t="s">
        <v>1257</v>
      </c>
      <c r="J1222" s="32">
        <v>6199</v>
      </c>
      <c r="K1222" s="32">
        <v>0</v>
      </c>
      <c r="L1222" s="32">
        <v>0</v>
      </c>
      <c r="M1222" s="32">
        <v>0</v>
      </c>
      <c r="N1222" s="32">
        <v>0</v>
      </c>
      <c r="O1222" s="32">
        <v>0</v>
      </c>
      <c r="P1222" s="32">
        <v>0</v>
      </c>
      <c r="Q1222" s="37">
        <f t="shared" si="36"/>
        <v>6199</v>
      </c>
      <c r="R1222" s="69">
        <f t="shared" si="37"/>
        <v>5269.15</v>
      </c>
      <c r="S1222" s="30"/>
      <c r="T1222" s="30"/>
    </row>
    <row r="1223" spans="1:20" ht="45" customHeight="1" x14ac:dyDescent="0.3">
      <c r="A1223" s="36">
        <v>1211</v>
      </c>
      <c r="B1223" s="32" t="s">
        <v>3951</v>
      </c>
      <c r="C1223" s="32" t="s">
        <v>4076</v>
      </c>
      <c r="D1223" s="32" t="s">
        <v>4077</v>
      </c>
      <c r="E1223" s="32">
        <v>2016</v>
      </c>
      <c r="F1223" s="32" t="s">
        <v>19</v>
      </c>
      <c r="G1223" s="32" t="s">
        <v>4150</v>
      </c>
      <c r="H1223" s="32" t="s">
        <v>4196</v>
      </c>
      <c r="I1223" s="32" t="s">
        <v>2476</v>
      </c>
      <c r="J1223" s="32">
        <v>6199</v>
      </c>
      <c r="K1223" s="32">
        <f>1346+6278+4484+4484+2332+2332+2332+6995+6995+6995+2332+2332+2332+2332</f>
        <v>53901</v>
      </c>
      <c r="L1223" s="32">
        <v>0</v>
      </c>
      <c r="M1223" s="32">
        <v>0</v>
      </c>
      <c r="N1223" s="32">
        <v>3148</v>
      </c>
      <c r="O1223" s="32">
        <v>0</v>
      </c>
      <c r="P1223" s="32">
        <v>0</v>
      </c>
      <c r="Q1223" s="37">
        <f t="shared" si="36"/>
        <v>63248</v>
      </c>
      <c r="R1223" s="69">
        <f t="shared" si="37"/>
        <v>53760.800000000003</v>
      </c>
      <c r="S1223" s="30"/>
      <c r="T1223" s="30"/>
    </row>
    <row r="1224" spans="1:20" ht="45" customHeight="1" x14ac:dyDescent="0.3">
      <c r="A1224" s="31">
        <v>1212</v>
      </c>
      <c r="B1224" s="32" t="s">
        <v>3951</v>
      </c>
      <c r="C1224" s="32" t="s">
        <v>4078</v>
      </c>
      <c r="D1224" s="32" t="s">
        <v>4079</v>
      </c>
      <c r="E1224" s="32">
        <v>2018</v>
      </c>
      <c r="F1224" s="32" t="s">
        <v>18</v>
      </c>
      <c r="G1224" s="32" t="s">
        <v>4151</v>
      </c>
      <c r="H1224" s="32" t="s">
        <v>4197</v>
      </c>
      <c r="I1224" s="32" t="s">
        <v>4220</v>
      </c>
      <c r="J1224" s="32">
        <v>6199</v>
      </c>
      <c r="K1224" s="32">
        <v>0</v>
      </c>
      <c r="L1224" s="32">
        <v>0</v>
      </c>
      <c r="M1224" s="32">
        <v>0</v>
      </c>
      <c r="N1224" s="32">
        <v>0</v>
      </c>
      <c r="O1224" s="32">
        <v>0</v>
      </c>
      <c r="P1224" s="32">
        <v>0</v>
      </c>
      <c r="Q1224" s="37">
        <f t="shared" si="36"/>
        <v>6199</v>
      </c>
      <c r="R1224" s="69">
        <f t="shared" si="37"/>
        <v>5269.15</v>
      </c>
      <c r="S1224" s="30"/>
      <c r="T1224" s="30"/>
    </row>
    <row r="1225" spans="1:20" ht="45" customHeight="1" x14ac:dyDescent="0.3">
      <c r="A1225" s="31">
        <v>1213</v>
      </c>
      <c r="B1225" s="32" t="s">
        <v>3951</v>
      </c>
      <c r="C1225" s="32" t="s">
        <v>4080</v>
      </c>
      <c r="D1225" s="32" t="s">
        <v>4081</v>
      </c>
      <c r="E1225" s="32">
        <v>1998</v>
      </c>
      <c r="F1225" s="32" t="s">
        <v>19</v>
      </c>
      <c r="G1225" s="32" t="s">
        <v>4152</v>
      </c>
      <c r="H1225" s="32" t="s">
        <v>4152</v>
      </c>
      <c r="I1225" s="32" t="s">
        <v>4221</v>
      </c>
      <c r="J1225" s="32">
        <v>6199</v>
      </c>
      <c r="K1225" s="32">
        <f>2332+2332</f>
        <v>4664</v>
      </c>
      <c r="L1225" s="32">
        <v>0</v>
      </c>
      <c r="M1225" s="32">
        <v>0</v>
      </c>
      <c r="N1225" s="32">
        <v>0</v>
      </c>
      <c r="O1225" s="32">
        <v>0</v>
      </c>
      <c r="P1225" s="32">
        <v>0</v>
      </c>
      <c r="Q1225" s="37">
        <f t="shared" si="36"/>
        <v>10863</v>
      </c>
      <c r="R1225" s="69">
        <f t="shared" si="37"/>
        <v>9233.5499999999993</v>
      </c>
      <c r="S1225" s="30"/>
      <c r="T1225" s="30"/>
    </row>
    <row r="1226" spans="1:20" ht="45" customHeight="1" x14ac:dyDescent="0.3">
      <c r="A1226" s="36">
        <v>1214</v>
      </c>
      <c r="B1226" s="32" t="s">
        <v>3951</v>
      </c>
      <c r="C1226" s="32" t="s">
        <v>4082</v>
      </c>
      <c r="D1226" s="32" t="s">
        <v>1372</v>
      </c>
      <c r="E1226" s="32">
        <v>1991</v>
      </c>
      <c r="F1226" s="32" t="s">
        <v>18</v>
      </c>
      <c r="G1226" s="32" t="s">
        <v>1424</v>
      </c>
      <c r="H1226" s="32" t="s">
        <v>1424</v>
      </c>
      <c r="I1226" s="32" t="s">
        <v>1483</v>
      </c>
      <c r="J1226" s="32">
        <v>3793</v>
      </c>
      <c r="K1226" s="32">
        <v>0</v>
      </c>
      <c r="L1226" s="32">
        <v>0</v>
      </c>
      <c r="M1226" s="32">
        <v>0</v>
      </c>
      <c r="N1226" s="32">
        <v>0</v>
      </c>
      <c r="O1226" s="32">
        <v>0</v>
      </c>
      <c r="P1226" s="32">
        <v>0</v>
      </c>
      <c r="Q1226" s="37">
        <f t="shared" si="36"/>
        <v>3793</v>
      </c>
      <c r="R1226" s="69">
        <f t="shared" si="37"/>
        <v>3224.05</v>
      </c>
      <c r="S1226" s="30"/>
      <c r="T1226" s="30"/>
    </row>
    <row r="1227" spans="1:20" s="41" customFormat="1" ht="45" customHeight="1" x14ac:dyDescent="0.3">
      <c r="A1227" s="31">
        <v>1215</v>
      </c>
      <c r="B1227" s="38" t="s">
        <v>3951</v>
      </c>
      <c r="C1227" s="38" t="s">
        <v>4083</v>
      </c>
      <c r="D1227" s="38" t="s">
        <v>4084</v>
      </c>
      <c r="E1227" s="38">
        <v>1991</v>
      </c>
      <c r="F1227" s="38" t="s">
        <v>19</v>
      </c>
      <c r="G1227" s="38" t="s">
        <v>4153</v>
      </c>
      <c r="H1227" s="38" t="s">
        <v>4198</v>
      </c>
      <c r="I1227" s="38" t="s">
        <v>1050</v>
      </c>
      <c r="J1227" s="38">
        <v>6199</v>
      </c>
      <c r="K1227" s="38">
        <v>0</v>
      </c>
      <c r="L1227" s="38">
        <v>0</v>
      </c>
      <c r="M1227" s="38">
        <v>0</v>
      </c>
      <c r="N1227" s="38">
        <v>9871</v>
      </c>
      <c r="O1227" s="38">
        <v>0</v>
      </c>
      <c r="P1227" s="38">
        <v>0</v>
      </c>
      <c r="Q1227" s="37">
        <f t="shared" si="36"/>
        <v>16070</v>
      </c>
      <c r="R1227" s="69">
        <f t="shared" si="37"/>
        <v>13659.5</v>
      </c>
      <c r="S1227" s="40"/>
      <c r="T1227" s="40"/>
    </row>
    <row r="1228" spans="1:20" ht="45" customHeight="1" x14ac:dyDescent="0.3">
      <c r="A1228" s="31">
        <v>1216</v>
      </c>
      <c r="B1228" s="32" t="s">
        <v>3951</v>
      </c>
      <c r="C1228" s="32" t="s">
        <v>4085</v>
      </c>
      <c r="D1228" s="32" t="s">
        <v>4086</v>
      </c>
      <c r="E1228" s="32">
        <v>2025</v>
      </c>
      <c r="F1228" s="32" t="s">
        <v>18</v>
      </c>
      <c r="G1228" s="32" t="s">
        <v>4154</v>
      </c>
      <c r="H1228" s="32" t="s">
        <v>4199</v>
      </c>
      <c r="I1228" s="32" t="s">
        <v>299</v>
      </c>
      <c r="J1228" s="32">
        <v>6199</v>
      </c>
      <c r="K1228" s="32">
        <v>0</v>
      </c>
      <c r="L1228" s="32">
        <v>0</v>
      </c>
      <c r="M1228" s="32">
        <v>0</v>
      </c>
      <c r="N1228" s="32">
        <v>0</v>
      </c>
      <c r="O1228" s="32">
        <v>0</v>
      </c>
      <c r="P1228" s="32">
        <v>0</v>
      </c>
      <c r="Q1228" s="35">
        <f t="shared" si="36"/>
        <v>6199</v>
      </c>
      <c r="R1228" s="69">
        <f t="shared" si="37"/>
        <v>5269.15</v>
      </c>
      <c r="S1228" s="30"/>
      <c r="T1228" s="30"/>
    </row>
    <row r="1229" spans="1:20" ht="45" customHeight="1" x14ac:dyDescent="0.3">
      <c r="A1229" s="36">
        <v>1217</v>
      </c>
      <c r="B1229" s="32" t="s">
        <v>3951</v>
      </c>
      <c r="C1229" s="32" t="s">
        <v>4087</v>
      </c>
      <c r="D1229" s="32" t="s">
        <v>4088</v>
      </c>
      <c r="E1229" s="32">
        <v>1997</v>
      </c>
      <c r="F1229" s="32" t="s">
        <v>19</v>
      </c>
      <c r="G1229" s="32" t="s">
        <v>4155</v>
      </c>
      <c r="H1229" s="32" t="s">
        <v>4200</v>
      </c>
      <c r="I1229" s="32" t="s">
        <v>4222</v>
      </c>
      <c r="J1229" s="32">
        <v>6199</v>
      </c>
      <c r="K1229" s="32">
        <f>1346+6278+4484+2332+2332+2332+1166+2801</f>
        <v>23071</v>
      </c>
      <c r="L1229" s="32">
        <v>0</v>
      </c>
      <c r="M1229" s="32">
        <v>0</v>
      </c>
      <c r="N1229" s="32">
        <f>1793+3179+1178</f>
        <v>6150</v>
      </c>
      <c r="O1229" s="32">
        <v>0</v>
      </c>
      <c r="P1229" s="32">
        <f>720+720+374+120</f>
        <v>1934</v>
      </c>
      <c r="Q1229" s="37">
        <f t="shared" ref="Q1229:Q1292" si="38">SUM(J1229:P1229)</f>
        <v>37354</v>
      </c>
      <c r="R1229" s="69">
        <f t="shared" si="37"/>
        <v>31750.9</v>
      </c>
      <c r="S1229" s="30"/>
      <c r="T1229" s="30"/>
    </row>
    <row r="1230" spans="1:20" ht="45" customHeight="1" x14ac:dyDescent="0.3">
      <c r="A1230" s="31">
        <v>1218</v>
      </c>
      <c r="B1230" s="32" t="s">
        <v>3951</v>
      </c>
      <c r="C1230" s="32" t="s">
        <v>4089</v>
      </c>
      <c r="D1230" s="32" t="s">
        <v>4090</v>
      </c>
      <c r="E1230" s="32">
        <v>2024</v>
      </c>
      <c r="F1230" s="32" t="s">
        <v>18</v>
      </c>
      <c r="G1230" s="32" t="s">
        <v>4156</v>
      </c>
      <c r="H1230" s="32" t="s">
        <v>4201</v>
      </c>
      <c r="I1230" s="32" t="s">
        <v>4223</v>
      </c>
      <c r="J1230" s="32">
        <v>6199</v>
      </c>
      <c r="K1230" s="32">
        <f>6278+4484+1166+1346</f>
        <v>13274</v>
      </c>
      <c r="L1230" s="32">
        <v>0</v>
      </c>
      <c r="M1230" s="32">
        <v>0</v>
      </c>
      <c r="N1230" s="32">
        <v>3148</v>
      </c>
      <c r="O1230" s="32">
        <v>0</v>
      </c>
      <c r="P1230" s="32">
        <v>0</v>
      </c>
      <c r="Q1230" s="37">
        <f t="shared" si="38"/>
        <v>22621</v>
      </c>
      <c r="R1230" s="69">
        <f t="shared" ref="R1230:R1293" si="39">Q1230*85/100</f>
        <v>19227.849999999999</v>
      </c>
      <c r="S1230" s="30"/>
      <c r="T1230" s="30"/>
    </row>
    <row r="1231" spans="1:20" ht="45" customHeight="1" x14ac:dyDescent="0.3">
      <c r="A1231" s="31">
        <v>1219</v>
      </c>
      <c r="B1231" s="32" t="s">
        <v>3951</v>
      </c>
      <c r="C1231" s="32" t="s">
        <v>4091</v>
      </c>
      <c r="D1231" s="32" t="s">
        <v>699</v>
      </c>
      <c r="E1231" s="32">
        <v>1986</v>
      </c>
      <c r="F1231" s="32" t="s">
        <v>18</v>
      </c>
      <c r="G1231" s="32" t="s">
        <v>776</v>
      </c>
      <c r="H1231" s="32" t="s">
        <v>776</v>
      </c>
      <c r="I1231" s="32" t="s">
        <v>300</v>
      </c>
      <c r="J1231" s="32">
        <v>6199</v>
      </c>
      <c r="K1231" s="32">
        <f>1346+6278+4484+2332+2332</f>
        <v>16772</v>
      </c>
      <c r="L1231" s="32">
        <v>0</v>
      </c>
      <c r="M1231" s="32">
        <v>0</v>
      </c>
      <c r="N1231" s="32">
        <v>1793</v>
      </c>
      <c r="O1231" s="32">
        <v>0</v>
      </c>
      <c r="P1231" s="32">
        <v>0</v>
      </c>
      <c r="Q1231" s="37">
        <f t="shared" si="38"/>
        <v>24764</v>
      </c>
      <c r="R1231" s="69">
        <f t="shared" si="39"/>
        <v>21049.4</v>
      </c>
      <c r="S1231" s="30"/>
      <c r="T1231" s="30"/>
    </row>
    <row r="1232" spans="1:20" ht="45" customHeight="1" x14ac:dyDescent="0.3">
      <c r="A1232" s="36">
        <v>1220</v>
      </c>
      <c r="B1232" s="32" t="s">
        <v>3951</v>
      </c>
      <c r="C1232" s="32" t="s">
        <v>7263</v>
      </c>
      <c r="D1232" s="34" t="s">
        <v>3346</v>
      </c>
      <c r="E1232" s="32">
        <v>2019</v>
      </c>
      <c r="F1232" s="32" t="s">
        <v>19</v>
      </c>
      <c r="G1232" s="32" t="s">
        <v>3428</v>
      </c>
      <c r="H1232" s="32" t="s">
        <v>3466</v>
      </c>
      <c r="I1232" s="32" t="s">
        <v>3495</v>
      </c>
      <c r="J1232" s="32">
        <v>6199</v>
      </c>
      <c r="K1232" s="32">
        <f>1346+6278+4484+4484+2332+2332+2332+2332+2332+2332+6995+6995+2332+6995</f>
        <v>53901</v>
      </c>
      <c r="L1232" s="32">
        <v>0</v>
      </c>
      <c r="M1232" s="32">
        <v>0</v>
      </c>
      <c r="N1232" s="32">
        <f>3148+4053+1178</f>
        <v>8379</v>
      </c>
      <c r="O1232" s="32">
        <v>0</v>
      </c>
      <c r="P1232" s="32">
        <f>720+1080+120</f>
        <v>1920</v>
      </c>
      <c r="Q1232" s="37">
        <f t="shared" si="38"/>
        <v>70399</v>
      </c>
      <c r="R1232" s="69">
        <f t="shared" si="39"/>
        <v>59839.15</v>
      </c>
      <c r="S1232" s="30"/>
      <c r="T1232" s="30"/>
    </row>
    <row r="1233" spans="1:20" ht="45" customHeight="1" x14ac:dyDescent="0.3">
      <c r="A1233" s="31">
        <v>1221</v>
      </c>
      <c r="B1233" s="32" t="s">
        <v>3951</v>
      </c>
      <c r="C1233" s="32" t="s">
        <v>7263</v>
      </c>
      <c r="D1233" s="34" t="s">
        <v>3346</v>
      </c>
      <c r="E1233" s="32">
        <v>2019</v>
      </c>
      <c r="F1233" s="32" t="s">
        <v>19</v>
      </c>
      <c r="G1233" s="32" t="s">
        <v>3428</v>
      </c>
      <c r="H1233" s="32" t="s">
        <v>3466</v>
      </c>
      <c r="I1233" s="32" t="s">
        <v>3495</v>
      </c>
      <c r="J1233" s="32">
        <v>0</v>
      </c>
      <c r="K1233" s="32">
        <v>0</v>
      </c>
      <c r="L1233" s="32">
        <v>0</v>
      </c>
      <c r="M1233" s="32">
        <v>17688</v>
      </c>
      <c r="N1233" s="32">
        <v>1681</v>
      </c>
      <c r="O1233" s="32">
        <v>0</v>
      </c>
      <c r="P1233" s="32">
        <f>360+56</f>
        <v>416</v>
      </c>
      <c r="Q1233" s="37">
        <f t="shared" si="38"/>
        <v>19785</v>
      </c>
      <c r="R1233" s="69">
        <f t="shared" si="39"/>
        <v>16817.25</v>
      </c>
      <c r="S1233" s="30"/>
      <c r="T1233" s="30"/>
    </row>
    <row r="1234" spans="1:20" ht="45" customHeight="1" x14ac:dyDescent="0.3">
      <c r="A1234" s="31">
        <v>1222</v>
      </c>
      <c r="B1234" s="32" t="s">
        <v>3951</v>
      </c>
      <c r="C1234" s="32" t="s">
        <v>7264</v>
      </c>
      <c r="D1234" s="34" t="s">
        <v>3819</v>
      </c>
      <c r="E1234" s="32">
        <v>2024</v>
      </c>
      <c r="F1234" s="32" t="s">
        <v>18</v>
      </c>
      <c r="G1234" s="32" t="s">
        <v>3883</v>
      </c>
      <c r="H1234" s="32" t="s">
        <v>3919</v>
      </c>
      <c r="I1234" s="32" t="s">
        <v>2446</v>
      </c>
      <c r="J1234" s="32">
        <v>2900</v>
      </c>
      <c r="K1234" s="32">
        <v>0</v>
      </c>
      <c r="L1234" s="32">
        <v>0</v>
      </c>
      <c r="M1234" s="32">
        <v>17688</v>
      </c>
      <c r="N1234" s="32">
        <f>2088+4053</f>
        <v>6141</v>
      </c>
      <c r="O1234" s="32">
        <v>0</v>
      </c>
      <c r="P1234" s="32">
        <f>1080+168</f>
        <v>1248</v>
      </c>
      <c r="Q1234" s="37">
        <f t="shared" si="38"/>
        <v>27977</v>
      </c>
      <c r="R1234" s="69">
        <f t="shared" si="39"/>
        <v>23780.45</v>
      </c>
      <c r="S1234" s="30"/>
      <c r="T1234" s="30"/>
    </row>
    <row r="1235" spans="1:20" ht="45" customHeight="1" x14ac:dyDescent="0.3">
      <c r="A1235" s="36">
        <v>1223</v>
      </c>
      <c r="B1235" s="32" t="s">
        <v>3951</v>
      </c>
      <c r="C1235" s="32" t="s">
        <v>7265</v>
      </c>
      <c r="D1235" s="34" t="s">
        <v>7170</v>
      </c>
      <c r="E1235" s="32">
        <v>1997</v>
      </c>
      <c r="F1235" s="32" t="s">
        <v>19</v>
      </c>
      <c r="G1235" s="32" t="s">
        <v>3849</v>
      </c>
      <c r="H1235" s="32" t="s">
        <v>3849</v>
      </c>
      <c r="I1235" s="32" t="s">
        <v>3935</v>
      </c>
      <c r="J1235" s="32">
        <v>2900</v>
      </c>
      <c r="K1235" s="32">
        <v>0</v>
      </c>
      <c r="L1235" s="32">
        <v>0</v>
      </c>
      <c r="M1235" s="32">
        <v>17688</v>
      </c>
      <c r="N1235" s="32">
        <f>1681+1178</f>
        <v>2859</v>
      </c>
      <c r="O1235" s="32">
        <v>0</v>
      </c>
      <c r="P1235" s="32">
        <f>624+112+1440+748+360</f>
        <v>3284</v>
      </c>
      <c r="Q1235" s="37">
        <f t="shared" si="38"/>
        <v>26731</v>
      </c>
      <c r="R1235" s="69">
        <f t="shared" si="39"/>
        <v>22721.35</v>
      </c>
      <c r="S1235" s="30"/>
      <c r="T1235" s="30"/>
    </row>
    <row r="1236" spans="1:20" ht="45" customHeight="1" x14ac:dyDescent="0.3">
      <c r="A1236" s="31">
        <v>1224</v>
      </c>
      <c r="B1236" s="32" t="s">
        <v>3951</v>
      </c>
      <c r="C1236" s="32" t="s">
        <v>7266</v>
      </c>
      <c r="D1236" s="34" t="s">
        <v>3768</v>
      </c>
      <c r="E1236" s="32">
        <v>2021</v>
      </c>
      <c r="F1236" s="32" t="s">
        <v>19</v>
      </c>
      <c r="G1236" s="32" t="s">
        <v>3857</v>
      </c>
      <c r="H1236" s="32" t="s">
        <v>3905</v>
      </c>
      <c r="I1236" s="32" t="s">
        <v>3936</v>
      </c>
      <c r="J1236" s="32">
        <v>2900</v>
      </c>
      <c r="K1236" s="32">
        <v>0</v>
      </c>
      <c r="L1236" s="32">
        <v>0</v>
      </c>
      <c r="M1236" s="32">
        <v>17688</v>
      </c>
      <c r="N1236" s="32">
        <v>2088</v>
      </c>
      <c r="O1236" s="32">
        <v>0</v>
      </c>
      <c r="P1236" s="32">
        <f>1080+168</f>
        <v>1248</v>
      </c>
      <c r="Q1236" s="37">
        <f t="shared" si="38"/>
        <v>23924</v>
      </c>
      <c r="R1236" s="69">
        <f t="shared" si="39"/>
        <v>20335.400000000001</v>
      </c>
      <c r="S1236" s="30"/>
      <c r="T1236" s="30"/>
    </row>
    <row r="1237" spans="1:20" ht="45" customHeight="1" x14ac:dyDescent="0.3">
      <c r="A1237" s="31">
        <v>1225</v>
      </c>
      <c r="B1237" s="32" t="s">
        <v>3951</v>
      </c>
      <c r="C1237" s="32" t="s">
        <v>7267</v>
      </c>
      <c r="D1237" s="34" t="s">
        <v>3770</v>
      </c>
      <c r="E1237" s="32">
        <v>2017</v>
      </c>
      <c r="F1237" s="32" t="s">
        <v>19</v>
      </c>
      <c r="G1237" s="32" t="s">
        <v>3858</v>
      </c>
      <c r="H1237" s="32" t="s">
        <v>4424</v>
      </c>
      <c r="I1237" s="32" t="s">
        <v>830</v>
      </c>
      <c r="J1237" s="32">
        <v>2900</v>
      </c>
      <c r="K1237" s="32">
        <v>0</v>
      </c>
      <c r="L1237" s="32">
        <v>0</v>
      </c>
      <c r="M1237" s="32">
        <v>0</v>
      </c>
      <c r="N1237" s="32">
        <v>2088</v>
      </c>
      <c r="O1237" s="32">
        <v>0</v>
      </c>
      <c r="P1237" s="32">
        <f>360+56</f>
        <v>416</v>
      </c>
      <c r="Q1237" s="37">
        <f t="shared" si="38"/>
        <v>5404</v>
      </c>
      <c r="R1237" s="69">
        <f t="shared" si="39"/>
        <v>4593.3999999999996</v>
      </c>
      <c r="S1237" s="30"/>
      <c r="T1237" s="30"/>
    </row>
    <row r="1238" spans="1:20" ht="45" customHeight="1" x14ac:dyDescent="0.3">
      <c r="A1238" s="36">
        <v>1226</v>
      </c>
      <c r="B1238" s="32" t="s">
        <v>4224</v>
      </c>
      <c r="C1238" s="32" t="s">
        <v>4225</v>
      </c>
      <c r="D1238" s="32" t="s">
        <v>4226</v>
      </c>
      <c r="E1238" s="32">
        <v>2024</v>
      </c>
      <c r="F1238" s="32" t="s">
        <v>19</v>
      </c>
      <c r="G1238" s="32" t="s">
        <v>4330</v>
      </c>
      <c r="H1238" s="32" t="s">
        <v>4378</v>
      </c>
      <c r="I1238" s="32" t="s">
        <v>4403</v>
      </c>
      <c r="J1238" s="32">
        <v>6199</v>
      </c>
      <c r="K1238" s="32">
        <f>6278+4484+2332+2332+2332+2332+4484+2332+6995+6995+2332+6995+2332</f>
        <v>52555</v>
      </c>
      <c r="L1238" s="32">
        <v>13298</v>
      </c>
      <c r="M1238" s="32">
        <v>0</v>
      </c>
      <c r="N1238" s="32">
        <v>3148</v>
      </c>
      <c r="O1238" s="32">
        <v>0</v>
      </c>
      <c r="P1238" s="32">
        <v>0</v>
      </c>
      <c r="Q1238" s="37">
        <f t="shared" si="38"/>
        <v>75200</v>
      </c>
      <c r="R1238" s="69">
        <f t="shared" si="39"/>
        <v>63920</v>
      </c>
      <c r="S1238" s="30"/>
      <c r="T1238" s="30"/>
    </row>
    <row r="1239" spans="1:20" ht="45" customHeight="1" x14ac:dyDescent="0.3">
      <c r="A1239" s="31">
        <v>1227</v>
      </c>
      <c r="B1239" s="32" t="s">
        <v>4224</v>
      </c>
      <c r="C1239" s="32" t="s">
        <v>4227</v>
      </c>
      <c r="D1239" s="32" t="s">
        <v>2936</v>
      </c>
      <c r="E1239" s="32">
        <v>2016</v>
      </c>
      <c r="F1239" s="32" t="s">
        <v>19</v>
      </c>
      <c r="G1239" s="32" t="s">
        <v>3022</v>
      </c>
      <c r="H1239" s="32" t="s">
        <v>3066</v>
      </c>
      <c r="I1239" s="32" t="s">
        <v>3095</v>
      </c>
      <c r="J1239" s="32">
        <v>3793</v>
      </c>
      <c r="K1239" s="32">
        <f>6278+4484+1346+4484+2332+2332+2332+2332+2332+2332+1166+6995+6995+2332+6995+3000+3000</f>
        <v>61067</v>
      </c>
      <c r="L1239" s="32">
        <v>0</v>
      </c>
      <c r="M1239" s="32">
        <v>0</v>
      </c>
      <c r="N1239" s="32">
        <v>3148</v>
      </c>
      <c r="O1239" s="32">
        <v>0</v>
      </c>
      <c r="P1239" s="32">
        <v>0</v>
      </c>
      <c r="Q1239" s="37">
        <f t="shared" si="38"/>
        <v>68008</v>
      </c>
      <c r="R1239" s="69">
        <f t="shared" si="39"/>
        <v>57806.8</v>
      </c>
      <c r="S1239" s="30"/>
      <c r="T1239" s="30"/>
    </row>
    <row r="1240" spans="1:20" ht="45" customHeight="1" x14ac:dyDescent="0.3">
      <c r="A1240" s="31">
        <v>1228</v>
      </c>
      <c r="B1240" s="32" t="s">
        <v>4224</v>
      </c>
      <c r="C1240" s="32" t="s">
        <v>4228</v>
      </c>
      <c r="D1240" s="32" t="s">
        <v>4229</v>
      </c>
      <c r="E1240" s="32">
        <v>1996</v>
      </c>
      <c r="F1240" s="32" t="s">
        <v>18</v>
      </c>
      <c r="G1240" s="32" t="s">
        <v>4331</v>
      </c>
      <c r="H1240" s="32" t="s">
        <v>4379</v>
      </c>
      <c r="I1240" s="32" t="s">
        <v>3935</v>
      </c>
      <c r="J1240" s="32">
        <v>6199</v>
      </c>
      <c r="K1240" s="32">
        <f>2332+2332+2332+2332+1346</f>
        <v>10674</v>
      </c>
      <c r="L1240" s="32">
        <v>0</v>
      </c>
      <c r="M1240" s="32">
        <v>0</v>
      </c>
      <c r="N1240" s="32">
        <v>1793</v>
      </c>
      <c r="O1240" s="32">
        <v>0</v>
      </c>
      <c r="P1240" s="32">
        <v>0</v>
      </c>
      <c r="Q1240" s="37">
        <f t="shared" si="38"/>
        <v>18666</v>
      </c>
      <c r="R1240" s="69">
        <f t="shared" si="39"/>
        <v>15866.1</v>
      </c>
      <c r="S1240" s="30"/>
      <c r="T1240" s="30"/>
    </row>
    <row r="1241" spans="1:20" ht="45" customHeight="1" x14ac:dyDescent="0.3">
      <c r="A1241" s="36">
        <v>1229</v>
      </c>
      <c r="B1241" s="32" t="s">
        <v>4224</v>
      </c>
      <c r="C1241" s="32" t="s">
        <v>4230</v>
      </c>
      <c r="D1241" s="32" t="s">
        <v>4231</v>
      </c>
      <c r="E1241" s="32">
        <v>2023</v>
      </c>
      <c r="F1241" s="32" t="s">
        <v>18</v>
      </c>
      <c r="G1241" s="32" t="s">
        <v>4332</v>
      </c>
      <c r="H1241" s="32" t="s">
        <v>3870</v>
      </c>
      <c r="I1241" s="32" t="s">
        <v>1069</v>
      </c>
      <c r="J1241" s="32">
        <v>6199</v>
      </c>
      <c r="K1241" s="32">
        <v>0</v>
      </c>
      <c r="L1241" s="32">
        <v>0</v>
      </c>
      <c r="M1241" s="32">
        <v>0</v>
      </c>
      <c r="N1241" s="32">
        <v>0</v>
      </c>
      <c r="O1241" s="32">
        <v>0</v>
      </c>
      <c r="P1241" s="32">
        <v>0</v>
      </c>
      <c r="Q1241" s="37">
        <f t="shared" si="38"/>
        <v>6199</v>
      </c>
      <c r="R1241" s="69">
        <f t="shared" si="39"/>
        <v>5269.15</v>
      </c>
      <c r="S1241" s="30"/>
      <c r="T1241" s="30"/>
    </row>
    <row r="1242" spans="1:20" ht="45" customHeight="1" x14ac:dyDescent="0.3">
      <c r="A1242" s="31">
        <v>1230</v>
      </c>
      <c r="B1242" s="32" t="s">
        <v>4224</v>
      </c>
      <c r="C1242" s="32" t="s">
        <v>4232</v>
      </c>
      <c r="D1242" s="32" t="s">
        <v>4233</v>
      </c>
      <c r="E1242" s="32">
        <v>1990</v>
      </c>
      <c r="F1242" s="32" t="s">
        <v>18</v>
      </c>
      <c r="G1242" s="32" t="s">
        <v>4333</v>
      </c>
      <c r="H1242" s="32" t="s">
        <v>4333</v>
      </c>
      <c r="I1242" s="32" t="s">
        <v>4404</v>
      </c>
      <c r="J1242" s="32">
        <v>6199</v>
      </c>
      <c r="K1242" s="32">
        <f>6278+4484+6995+2332+2332+2332+1166+2801</f>
        <v>28720</v>
      </c>
      <c r="L1242" s="32">
        <v>0</v>
      </c>
      <c r="M1242" s="32">
        <v>0</v>
      </c>
      <c r="N1242" s="32">
        <v>1793</v>
      </c>
      <c r="O1242" s="32">
        <v>0</v>
      </c>
      <c r="P1242" s="32">
        <v>0</v>
      </c>
      <c r="Q1242" s="37">
        <f t="shared" si="38"/>
        <v>36712</v>
      </c>
      <c r="R1242" s="69">
        <f t="shared" si="39"/>
        <v>31205.200000000001</v>
      </c>
      <c r="S1242" s="30"/>
      <c r="T1242" s="30"/>
    </row>
    <row r="1243" spans="1:20" ht="45" customHeight="1" x14ac:dyDescent="0.3">
      <c r="A1243" s="31">
        <v>1231</v>
      </c>
      <c r="B1243" s="32" t="s">
        <v>4224</v>
      </c>
      <c r="C1243" s="32" t="s">
        <v>4234</v>
      </c>
      <c r="D1243" s="32" t="s">
        <v>4235</v>
      </c>
      <c r="E1243" s="32">
        <v>1989</v>
      </c>
      <c r="F1243" s="32" t="s">
        <v>19</v>
      </c>
      <c r="G1243" s="32" t="s">
        <v>4334</v>
      </c>
      <c r="H1243" s="32" t="s">
        <v>4334</v>
      </c>
      <c r="I1243" s="32" t="s">
        <v>4405</v>
      </c>
      <c r="J1243" s="32">
        <v>6199</v>
      </c>
      <c r="K1243" s="32">
        <v>0</v>
      </c>
      <c r="L1243" s="32">
        <v>0</v>
      </c>
      <c r="M1243" s="32">
        <v>0</v>
      </c>
      <c r="N1243" s="32">
        <v>0</v>
      </c>
      <c r="O1243" s="32">
        <v>0</v>
      </c>
      <c r="P1243" s="32">
        <v>0</v>
      </c>
      <c r="Q1243" s="37">
        <f t="shared" si="38"/>
        <v>6199</v>
      </c>
      <c r="R1243" s="69">
        <f t="shared" si="39"/>
        <v>5269.15</v>
      </c>
      <c r="S1243" s="30"/>
      <c r="T1243" s="30"/>
    </row>
    <row r="1244" spans="1:20" ht="45" customHeight="1" x14ac:dyDescent="0.3">
      <c r="A1244" s="36">
        <v>1232</v>
      </c>
      <c r="B1244" s="32" t="s">
        <v>4224</v>
      </c>
      <c r="C1244" s="32" t="s">
        <v>4236</v>
      </c>
      <c r="D1244" s="32" t="s">
        <v>4237</v>
      </c>
      <c r="E1244" s="32">
        <v>2021</v>
      </c>
      <c r="F1244" s="32" t="s">
        <v>19</v>
      </c>
      <c r="G1244" s="32" t="s">
        <v>4335</v>
      </c>
      <c r="H1244" s="32" t="s">
        <v>2602</v>
      </c>
      <c r="I1244" s="32" t="s">
        <v>4406</v>
      </c>
      <c r="J1244" s="32">
        <v>6199</v>
      </c>
      <c r="K1244" s="32">
        <f>6278+4484+1346</f>
        <v>12108</v>
      </c>
      <c r="L1244" s="32">
        <v>0</v>
      </c>
      <c r="M1244" s="32">
        <v>0</v>
      </c>
      <c r="N1244" s="32">
        <v>3148</v>
      </c>
      <c r="O1244" s="32">
        <v>0</v>
      </c>
      <c r="P1244" s="32">
        <v>0</v>
      </c>
      <c r="Q1244" s="37">
        <f t="shared" si="38"/>
        <v>21455</v>
      </c>
      <c r="R1244" s="69">
        <f t="shared" si="39"/>
        <v>18236.75</v>
      </c>
      <c r="S1244" s="30"/>
      <c r="T1244" s="30"/>
    </row>
    <row r="1245" spans="1:20" ht="45" customHeight="1" x14ac:dyDescent="0.3">
      <c r="A1245" s="31">
        <v>1233</v>
      </c>
      <c r="B1245" s="32" t="s">
        <v>4224</v>
      </c>
      <c r="C1245" s="32" t="s">
        <v>4238</v>
      </c>
      <c r="D1245" s="32" t="s">
        <v>4239</v>
      </c>
      <c r="E1245" s="32">
        <v>2018</v>
      </c>
      <c r="F1245" s="32" t="s">
        <v>18</v>
      </c>
      <c r="G1245" s="32" t="s">
        <v>4336</v>
      </c>
      <c r="H1245" s="32" t="s">
        <v>530</v>
      </c>
      <c r="I1245" s="32" t="s">
        <v>4407</v>
      </c>
      <c r="J1245" s="32">
        <v>6199</v>
      </c>
      <c r="K1245" s="32">
        <v>0</v>
      </c>
      <c r="L1245" s="32">
        <v>0</v>
      </c>
      <c r="M1245" s="32">
        <v>0</v>
      </c>
      <c r="N1245" s="32">
        <v>0</v>
      </c>
      <c r="O1245" s="32">
        <v>0</v>
      </c>
      <c r="P1245" s="32">
        <v>0</v>
      </c>
      <c r="Q1245" s="37">
        <f t="shared" si="38"/>
        <v>6199</v>
      </c>
      <c r="R1245" s="69">
        <f t="shared" si="39"/>
        <v>5269.15</v>
      </c>
      <c r="S1245" s="30"/>
      <c r="T1245" s="30"/>
    </row>
    <row r="1246" spans="1:20" s="41" customFormat="1" ht="45" customHeight="1" x14ac:dyDescent="0.3">
      <c r="A1246" s="31">
        <v>1234</v>
      </c>
      <c r="B1246" s="38" t="s">
        <v>4224</v>
      </c>
      <c r="C1246" s="38" t="s">
        <v>4240</v>
      </c>
      <c r="D1246" s="38" t="s">
        <v>3577</v>
      </c>
      <c r="E1246" s="38">
        <v>2015</v>
      </c>
      <c r="F1246" s="38" t="s">
        <v>18</v>
      </c>
      <c r="G1246" s="38" t="s">
        <v>4337</v>
      </c>
      <c r="H1246" s="38" t="s">
        <v>3612</v>
      </c>
      <c r="I1246" s="38" t="s">
        <v>4408</v>
      </c>
      <c r="J1246" s="38">
        <v>6199</v>
      </c>
      <c r="K1246" s="38">
        <f>1346+6278+4484+2332+2332+2332+4484+2332+2332+2332+6995+6995+2332+6995</f>
        <v>53901</v>
      </c>
      <c r="L1246" s="38">
        <v>0</v>
      </c>
      <c r="M1246" s="38">
        <v>0</v>
      </c>
      <c r="N1246" s="38">
        <v>3148</v>
      </c>
      <c r="O1246" s="38">
        <v>0</v>
      </c>
      <c r="P1246" s="38">
        <v>0</v>
      </c>
      <c r="Q1246" s="37">
        <f t="shared" si="38"/>
        <v>63248</v>
      </c>
      <c r="R1246" s="69">
        <f t="shared" si="39"/>
        <v>53760.800000000003</v>
      </c>
      <c r="S1246" s="40"/>
      <c r="T1246" s="40"/>
    </row>
    <row r="1247" spans="1:20" ht="45" customHeight="1" x14ac:dyDescent="0.3">
      <c r="A1247" s="36">
        <v>1235</v>
      </c>
      <c r="B1247" s="32" t="s">
        <v>4224</v>
      </c>
      <c r="C1247" s="32" t="s">
        <v>4241</v>
      </c>
      <c r="D1247" s="32" t="s">
        <v>4242</v>
      </c>
      <c r="E1247" s="32">
        <v>1987</v>
      </c>
      <c r="F1247" s="32" t="s">
        <v>19</v>
      </c>
      <c r="G1247" s="32" t="s">
        <v>4338</v>
      </c>
      <c r="H1247" s="32" t="s">
        <v>4380</v>
      </c>
      <c r="I1247" s="32" t="s">
        <v>3500</v>
      </c>
      <c r="J1247" s="32">
        <v>6199</v>
      </c>
      <c r="K1247" s="32">
        <v>0</v>
      </c>
      <c r="L1247" s="32">
        <v>0</v>
      </c>
      <c r="M1247" s="32">
        <v>0</v>
      </c>
      <c r="N1247" s="32">
        <v>0</v>
      </c>
      <c r="O1247" s="32">
        <v>0</v>
      </c>
      <c r="P1247" s="32">
        <v>0</v>
      </c>
      <c r="Q1247" s="37">
        <f t="shared" si="38"/>
        <v>6199</v>
      </c>
      <c r="R1247" s="69">
        <f t="shared" si="39"/>
        <v>5269.15</v>
      </c>
      <c r="S1247" s="30"/>
      <c r="T1247" s="30"/>
    </row>
    <row r="1248" spans="1:20" ht="45" customHeight="1" x14ac:dyDescent="0.3">
      <c r="A1248" s="31">
        <v>1236</v>
      </c>
      <c r="B1248" s="32" t="s">
        <v>4224</v>
      </c>
      <c r="C1248" s="32" t="s">
        <v>4243</v>
      </c>
      <c r="D1248" s="32" t="s">
        <v>4244</v>
      </c>
      <c r="E1248" s="32">
        <v>1992</v>
      </c>
      <c r="F1248" s="32" t="s">
        <v>19</v>
      </c>
      <c r="G1248" s="32" t="s">
        <v>4339</v>
      </c>
      <c r="H1248" s="32" t="s">
        <v>4339</v>
      </c>
      <c r="I1248" s="32" t="s">
        <v>1269</v>
      </c>
      <c r="J1248" s="32">
        <v>6199</v>
      </c>
      <c r="K1248" s="32">
        <f>1346+6278+4484+6995+2332+2332+2332+2332+2332+2332+6995+6995+2332+6995+3000+3000</f>
        <v>62412</v>
      </c>
      <c r="L1248" s="32">
        <v>0</v>
      </c>
      <c r="M1248" s="32">
        <v>0</v>
      </c>
      <c r="N1248" s="32">
        <f>3179+1178+1681+1793</f>
        <v>7831</v>
      </c>
      <c r="O1248" s="32">
        <v>0</v>
      </c>
      <c r="P1248" s="32">
        <f>720+360+60+374+660+720+144+624+112</f>
        <v>3774</v>
      </c>
      <c r="Q1248" s="37">
        <f t="shared" si="38"/>
        <v>80216</v>
      </c>
      <c r="R1248" s="69">
        <f t="shared" si="39"/>
        <v>68183.600000000006</v>
      </c>
      <c r="S1248" s="30"/>
      <c r="T1248" s="30"/>
    </row>
    <row r="1249" spans="1:20" ht="45" customHeight="1" x14ac:dyDescent="0.3">
      <c r="A1249" s="31">
        <v>1237</v>
      </c>
      <c r="B1249" s="32" t="s">
        <v>4224</v>
      </c>
      <c r="C1249" s="32" t="s">
        <v>4245</v>
      </c>
      <c r="D1249" s="32" t="s">
        <v>4246</v>
      </c>
      <c r="E1249" s="32">
        <v>2020</v>
      </c>
      <c r="F1249" s="32" t="s">
        <v>19</v>
      </c>
      <c r="G1249" s="32" t="s">
        <v>4340</v>
      </c>
      <c r="H1249" s="32" t="s">
        <v>4381</v>
      </c>
      <c r="I1249" s="32" t="s">
        <v>1702</v>
      </c>
      <c r="J1249" s="32">
        <v>6199</v>
      </c>
      <c r="K1249" s="32">
        <f>6278+4484+1346+4484+2332+1166+2332+2332+2332+2332+2332+2332+6995+6995+2332+6995+3000+3000</f>
        <v>63399</v>
      </c>
      <c r="L1249" s="32">
        <v>0</v>
      </c>
      <c r="M1249" s="32">
        <v>0</v>
      </c>
      <c r="N1249" s="32">
        <v>3148</v>
      </c>
      <c r="O1249" s="32">
        <v>0</v>
      </c>
      <c r="P1249" s="32">
        <v>0</v>
      </c>
      <c r="Q1249" s="37">
        <f t="shared" si="38"/>
        <v>72746</v>
      </c>
      <c r="R1249" s="69">
        <f t="shared" si="39"/>
        <v>61834.1</v>
      </c>
      <c r="S1249" s="30"/>
      <c r="T1249" s="30"/>
    </row>
    <row r="1250" spans="1:20" ht="45" customHeight="1" x14ac:dyDescent="0.3">
      <c r="A1250" s="36">
        <v>1238</v>
      </c>
      <c r="B1250" s="32" t="s">
        <v>4224</v>
      </c>
      <c r="C1250" s="32" t="s">
        <v>4245</v>
      </c>
      <c r="D1250" s="32" t="s">
        <v>4246</v>
      </c>
      <c r="E1250" s="32">
        <v>2020</v>
      </c>
      <c r="F1250" s="32" t="s">
        <v>19</v>
      </c>
      <c r="G1250" s="32" t="s">
        <v>4340</v>
      </c>
      <c r="H1250" s="32" t="s">
        <v>4381</v>
      </c>
      <c r="I1250" s="32" t="s">
        <v>1702</v>
      </c>
      <c r="J1250" s="32">
        <v>0</v>
      </c>
      <c r="K1250" s="32">
        <v>0</v>
      </c>
      <c r="L1250" s="32">
        <v>0</v>
      </c>
      <c r="M1250" s="32">
        <v>17688</v>
      </c>
      <c r="N1250" s="32">
        <f>3179+1681+1178</f>
        <v>6038</v>
      </c>
      <c r="O1250" s="32">
        <v>0</v>
      </c>
      <c r="P1250" s="32">
        <f>720+112+720+396+1080</f>
        <v>3028</v>
      </c>
      <c r="Q1250" s="37">
        <f t="shared" si="38"/>
        <v>26754</v>
      </c>
      <c r="R1250" s="69">
        <f t="shared" si="39"/>
        <v>22740.9</v>
      </c>
      <c r="S1250" s="30"/>
      <c r="T1250" s="30"/>
    </row>
    <row r="1251" spans="1:20" ht="45" customHeight="1" x14ac:dyDescent="0.3">
      <c r="A1251" s="31">
        <v>1239</v>
      </c>
      <c r="B1251" s="32" t="s">
        <v>4224</v>
      </c>
      <c r="C1251" s="32" t="s">
        <v>4247</v>
      </c>
      <c r="D1251" s="32" t="s">
        <v>4248</v>
      </c>
      <c r="E1251" s="32">
        <v>1997</v>
      </c>
      <c r="F1251" s="32" t="s">
        <v>19</v>
      </c>
      <c r="G1251" s="32" t="s">
        <v>4341</v>
      </c>
      <c r="H1251" s="32" t="s">
        <v>4341</v>
      </c>
      <c r="I1251" s="32" t="s">
        <v>4409</v>
      </c>
      <c r="J1251" s="32">
        <v>6199</v>
      </c>
      <c r="K1251" s="32">
        <f>6278+4484+2332+2332+2332+2332+2332</f>
        <v>22422</v>
      </c>
      <c r="L1251" s="32">
        <v>20807</v>
      </c>
      <c r="M1251" s="32">
        <v>0</v>
      </c>
      <c r="N1251" s="32">
        <v>1793</v>
      </c>
      <c r="O1251" s="32">
        <v>0</v>
      </c>
      <c r="P1251" s="32">
        <v>0</v>
      </c>
      <c r="Q1251" s="37">
        <f t="shared" si="38"/>
        <v>51221</v>
      </c>
      <c r="R1251" s="69">
        <f t="shared" si="39"/>
        <v>43537.85</v>
      </c>
      <c r="S1251" s="30"/>
      <c r="T1251" s="30"/>
    </row>
    <row r="1252" spans="1:20" ht="45" customHeight="1" x14ac:dyDescent="0.3">
      <c r="A1252" s="31">
        <v>1240</v>
      </c>
      <c r="B1252" s="32" t="s">
        <v>4224</v>
      </c>
      <c r="C1252" s="32" t="s">
        <v>4249</v>
      </c>
      <c r="D1252" s="32" t="s">
        <v>4250</v>
      </c>
      <c r="E1252" s="32">
        <v>2021</v>
      </c>
      <c r="F1252" s="32" t="s">
        <v>18</v>
      </c>
      <c r="G1252" s="32" t="s">
        <v>4342</v>
      </c>
      <c r="H1252" s="32" t="s">
        <v>2600</v>
      </c>
      <c r="I1252" s="32" t="s">
        <v>4410</v>
      </c>
      <c r="J1252" s="32">
        <v>6199</v>
      </c>
      <c r="K1252" s="32">
        <f>6278+4484+4484+2332+1166+1346+2332+2332+2332+2332</f>
        <v>29418</v>
      </c>
      <c r="L1252" s="32">
        <v>0</v>
      </c>
      <c r="M1252" s="32">
        <v>0</v>
      </c>
      <c r="N1252" s="32">
        <v>3148</v>
      </c>
      <c r="O1252" s="32">
        <v>0</v>
      </c>
      <c r="P1252" s="32">
        <v>0</v>
      </c>
      <c r="Q1252" s="37">
        <f t="shared" si="38"/>
        <v>38765</v>
      </c>
      <c r="R1252" s="69">
        <f t="shared" si="39"/>
        <v>32950.25</v>
      </c>
      <c r="S1252" s="30"/>
      <c r="T1252" s="30"/>
    </row>
    <row r="1253" spans="1:20" ht="45" customHeight="1" x14ac:dyDescent="0.3">
      <c r="A1253" s="36">
        <v>1241</v>
      </c>
      <c r="B1253" s="32" t="s">
        <v>4224</v>
      </c>
      <c r="C1253" s="32" t="s">
        <v>4251</v>
      </c>
      <c r="D1253" s="32" t="s">
        <v>4252</v>
      </c>
      <c r="E1253" s="32">
        <v>1986</v>
      </c>
      <c r="F1253" s="32" t="s">
        <v>19</v>
      </c>
      <c r="G1253" s="32" t="s">
        <v>4343</v>
      </c>
      <c r="H1253" s="32" t="s">
        <v>4382</v>
      </c>
      <c r="I1253" s="32" t="s">
        <v>4207</v>
      </c>
      <c r="J1253" s="32">
        <v>6199</v>
      </c>
      <c r="K1253" s="32">
        <f>6278+4484+1346+2332+2332+2332+3000+3000+2332+2332+2332+2332+4484+4484+6995</f>
        <v>50395</v>
      </c>
      <c r="L1253" s="32">
        <v>0</v>
      </c>
      <c r="M1253" s="32">
        <v>0</v>
      </c>
      <c r="N1253" s="32">
        <v>1793</v>
      </c>
      <c r="O1253" s="32">
        <v>0</v>
      </c>
      <c r="P1253" s="32">
        <v>0</v>
      </c>
      <c r="Q1253" s="37">
        <f t="shared" si="38"/>
        <v>58387</v>
      </c>
      <c r="R1253" s="69">
        <f t="shared" si="39"/>
        <v>49628.95</v>
      </c>
      <c r="S1253" s="30"/>
      <c r="T1253" s="30"/>
    </row>
    <row r="1254" spans="1:20" ht="45" customHeight="1" x14ac:dyDescent="0.3">
      <c r="A1254" s="31">
        <v>1242</v>
      </c>
      <c r="B1254" s="32" t="s">
        <v>4224</v>
      </c>
      <c r="C1254" s="32" t="s">
        <v>4253</v>
      </c>
      <c r="D1254" s="32" t="s">
        <v>4254</v>
      </c>
      <c r="E1254" s="32">
        <v>2019</v>
      </c>
      <c r="F1254" s="32" t="s">
        <v>19</v>
      </c>
      <c r="G1254" s="32" t="s">
        <v>4344</v>
      </c>
      <c r="H1254" s="32" t="s">
        <v>4383</v>
      </c>
      <c r="I1254" s="32" t="s">
        <v>1279</v>
      </c>
      <c r="J1254" s="32">
        <v>6199</v>
      </c>
      <c r="K1254" s="32">
        <f>1346+6278+4484+4484</f>
        <v>16592</v>
      </c>
      <c r="L1254" s="32">
        <v>0</v>
      </c>
      <c r="M1254" s="32">
        <v>0</v>
      </c>
      <c r="N1254" s="32">
        <v>3148</v>
      </c>
      <c r="O1254" s="32">
        <v>0</v>
      </c>
      <c r="P1254" s="32">
        <v>0</v>
      </c>
      <c r="Q1254" s="37">
        <f t="shared" si="38"/>
        <v>25939</v>
      </c>
      <c r="R1254" s="69">
        <f t="shared" si="39"/>
        <v>22048.15</v>
      </c>
      <c r="S1254" s="30"/>
      <c r="T1254" s="30"/>
    </row>
    <row r="1255" spans="1:20" s="41" customFormat="1" ht="45" customHeight="1" x14ac:dyDescent="0.3">
      <c r="A1255" s="31">
        <v>1243</v>
      </c>
      <c r="B1255" s="38" t="s">
        <v>4224</v>
      </c>
      <c r="C1255" s="38" t="s">
        <v>4255</v>
      </c>
      <c r="D1255" s="38" t="s">
        <v>4256</v>
      </c>
      <c r="E1255" s="38">
        <v>1991</v>
      </c>
      <c r="F1255" s="38" t="s">
        <v>18</v>
      </c>
      <c r="G1255" s="38" t="s">
        <v>4345</v>
      </c>
      <c r="H1255" s="38" t="s">
        <v>4345</v>
      </c>
      <c r="I1255" s="38" t="s">
        <v>2122</v>
      </c>
      <c r="J1255" s="38">
        <v>6199</v>
      </c>
      <c r="K1255" s="38">
        <v>0</v>
      </c>
      <c r="L1255" s="38">
        <v>26596</v>
      </c>
      <c r="M1255" s="38">
        <v>0</v>
      </c>
      <c r="N1255" s="38">
        <v>0</v>
      </c>
      <c r="O1255" s="38">
        <v>0</v>
      </c>
      <c r="P1255" s="38">
        <v>0</v>
      </c>
      <c r="Q1255" s="37">
        <f t="shared" si="38"/>
        <v>32795</v>
      </c>
      <c r="R1255" s="69">
        <f t="shared" si="39"/>
        <v>27875.75</v>
      </c>
      <c r="S1255" s="40"/>
      <c r="T1255" s="40"/>
    </row>
    <row r="1256" spans="1:20" ht="45" customHeight="1" x14ac:dyDescent="0.3">
      <c r="A1256" s="36">
        <v>1244</v>
      </c>
      <c r="B1256" s="32" t="s">
        <v>4224</v>
      </c>
      <c r="C1256" s="32" t="s">
        <v>4257</v>
      </c>
      <c r="D1256" s="32" t="s">
        <v>2699</v>
      </c>
      <c r="E1256" s="32">
        <v>1966</v>
      </c>
      <c r="F1256" s="32" t="s">
        <v>19</v>
      </c>
      <c r="G1256" s="32" t="s">
        <v>2777</v>
      </c>
      <c r="H1256" s="32" t="s">
        <v>2822</v>
      </c>
      <c r="I1256" s="32" t="s">
        <v>1480</v>
      </c>
      <c r="J1256" s="32">
        <v>3793</v>
      </c>
      <c r="K1256" s="32">
        <f>2332+2332</f>
        <v>4664</v>
      </c>
      <c r="L1256" s="32">
        <v>0</v>
      </c>
      <c r="M1256" s="32">
        <v>0</v>
      </c>
      <c r="N1256" s="32">
        <v>1681</v>
      </c>
      <c r="O1256" s="32">
        <v>0</v>
      </c>
      <c r="P1256" s="32">
        <f>240+56</f>
        <v>296</v>
      </c>
      <c r="Q1256" s="37">
        <f t="shared" si="38"/>
        <v>10434</v>
      </c>
      <c r="R1256" s="69">
        <f t="shared" si="39"/>
        <v>8868.9</v>
      </c>
      <c r="S1256" s="30"/>
      <c r="T1256" s="30"/>
    </row>
    <row r="1257" spans="1:20" ht="45" customHeight="1" x14ac:dyDescent="0.3">
      <c r="A1257" s="31">
        <v>1245</v>
      </c>
      <c r="B1257" s="32" t="s">
        <v>4224</v>
      </c>
      <c r="C1257" s="32" t="s">
        <v>4258</v>
      </c>
      <c r="D1257" s="32" t="s">
        <v>4259</v>
      </c>
      <c r="E1257" s="32">
        <v>1951</v>
      </c>
      <c r="F1257" s="32" t="s">
        <v>18</v>
      </c>
      <c r="G1257" s="32" t="s">
        <v>4346</v>
      </c>
      <c r="H1257" s="32" t="s">
        <v>4346</v>
      </c>
      <c r="I1257" s="32" t="s">
        <v>824</v>
      </c>
      <c r="J1257" s="32">
        <v>6199</v>
      </c>
      <c r="K1257" s="32">
        <f>6278+4484+2332+2332+6995+3228+3000+3000+2332+2332+2332+6995+2332+2332+2332</f>
        <v>52636</v>
      </c>
      <c r="L1257" s="32">
        <v>0</v>
      </c>
      <c r="M1257" s="32">
        <v>0</v>
      </c>
      <c r="N1257" s="32">
        <v>1793</v>
      </c>
      <c r="O1257" s="32">
        <v>0</v>
      </c>
      <c r="P1257" s="32">
        <v>0</v>
      </c>
      <c r="Q1257" s="37">
        <f t="shared" si="38"/>
        <v>60628</v>
      </c>
      <c r="R1257" s="69">
        <f t="shared" si="39"/>
        <v>51533.8</v>
      </c>
      <c r="S1257" s="30"/>
      <c r="T1257" s="30"/>
    </row>
    <row r="1258" spans="1:20" ht="45" customHeight="1" x14ac:dyDescent="0.3">
      <c r="A1258" s="31">
        <v>1246</v>
      </c>
      <c r="B1258" s="32" t="s">
        <v>4224</v>
      </c>
      <c r="C1258" s="32" t="s">
        <v>4260</v>
      </c>
      <c r="D1258" s="32" t="s">
        <v>4261</v>
      </c>
      <c r="E1258" s="32">
        <v>1983</v>
      </c>
      <c r="F1258" s="32" t="s">
        <v>19</v>
      </c>
      <c r="G1258" s="32" t="s">
        <v>4347</v>
      </c>
      <c r="H1258" s="32" t="s">
        <v>4384</v>
      </c>
      <c r="I1258" s="32" t="s">
        <v>276</v>
      </c>
      <c r="J1258" s="32">
        <v>6199</v>
      </c>
      <c r="K1258" s="32">
        <f>1346+6278+4484+2332+2332+2332+3587</f>
        <v>22691</v>
      </c>
      <c r="L1258" s="32">
        <v>0</v>
      </c>
      <c r="M1258" s="32">
        <v>0</v>
      </c>
      <c r="N1258" s="32">
        <v>1793</v>
      </c>
      <c r="O1258" s="32">
        <v>0</v>
      </c>
      <c r="P1258" s="32">
        <v>0</v>
      </c>
      <c r="Q1258" s="37">
        <f t="shared" si="38"/>
        <v>30683</v>
      </c>
      <c r="R1258" s="69">
        <f t="shared" si="39"/>
        <v>26080.55</v>
      </c>
      <c r="S1258" s="30"/>
      <c r="T1258" s="30"/>
    </row>
    <row r="1259" spans="1:20" s="41" customFormat="1" ht="45" customHeight="1" x14ac:dyDescent="0.3">
      <c r="A1259" s="36">
        <v>1247</v>
      </c>
      <c r="B1259" s="38" t="s">
        <v>4224</v>
      </c>
      <c r="C1259" s="38" t="s">
        <v>4262</v>
      </c>
      <c r="D1259" s="38" t="s">
        <v>4263</v>
      </c>
      <c r="E1259" s="38">
        <v>2008</v>
      </c>
      <c r="F1259" s="38" t="s">
        <v>19</v>
      </c>
      <c r="G1259" s="38" t="s">
        <v>4348</v>
      </c>
      <c r="H1259" s="38" t="s">
        <v>4385</v>
      </c>
      <c r="I1259" s="38" t="s">
        <v>4411</v>
      </c>
      <c r="J1259" s="38">
        <v>6199</v>
      </c>
      <c r="K1259" s="38">
        <v>0</v>
      </c>
      <c r="L1259" s="38">
        <v>0</v>
      </c>
      <c r="M1259" s="38">
        <v>0</v>
      </c>
      <c r="N1259" s="38">
        <v>0</v>
      </c>
      <c r="O1259" s="38">
        <v>0</v>
      </c>
      <c r="P1259" s="38">
        <v>0</v>
      </c>
      <c r="Q1259" s="37">
        <f t="shared" si="38"/>
        <v>6199</v>
      </c>
      <c r="R1259" s="69">
        <f t="shared" si="39"/>
        <v>5269.15</v>
      </c>
      <c r="S1259" s="40"/>
      <c r="T1259" s="40"/>
    </row>
    <row r="1260" spans="1:20" ht="45" customHeight="1" x14ac:dyDescent="0.3">
      <c r="A1260" s="31">
        <v>1248</v>
      </c>
      <c r="B1260" s="32" t="s">
        <v>4224</v>
      </c>
      <c r="C1260" s="32" t="s">
        <v>4264</v>
      </c>
      <c r="D1260" s="32" t="s">
        <v>1735</v>
      </c>
      <c r="E1260" s="32">
        <v>2013</v>
      </c>
      <c r="F1260" s="32" t="s">
        <v>19</v>
      </c>
      <c r="G1260" s="32" t="s">
        <v>1814</v>
      </c>
      <c r="H1260" s="32" t="s">
        <v>1858</v>
      </c>
      <c r="I1260" s="32" t="s">
        <v>1046</v>
      </c>
      <c r="J1260" s="32">
        <v>0</v>
      </c>
      <c r="K1260" s="32">
        <v>0</v>
      </c>
      <c r="L1260" s="32">
        <v>13298</v>
      </c>
      <c r="M1260" s="32">
        <v>0</v>
      </c>
      <c r="N1260" s="32">
        <v>0</v>
      </c>
      <c r="O1260" s="32">
        <v>0</v>
      </c>
      <c r="P1260" s="32">
        <v>0</v>
      </c>
      <c r="Q1260" s="37">
        <f t="shared" si="38"/>
        <v>13298</v>
      </c>
      <c r="R1260" s="69">
        <f t="shared" si="39"/>
        <v>11303.3</v>
      </c>
      <c r="S1260" s="30"/>
      <c r="T1260" s="30"/>
    </row>
    <row r="1261" spans="1:20" ht="45" customHeight="1" x14ac:dyDescent="0.3">
      <c r="A1261" s="31">
        <v>1249</v>
      </c>
      <c r="B1261" s="32" t="s">
        <v>4224</v>
      </c>
      <c r="C1261" s="32" t="s">
        <v>4265</v>
      </c>
      <c r="D1261" s="32" t="s">
        <v>4266</v>
      </c>
      <c r="E1261" s="32">
        <v>2012</v>
      </c>
      <c r="F1261" s="32" t="s">
        <v>19</v>
      </c>
      <c r="G1261" s="32" t="s">
        <v>4349</v>
      </c>
      <c r="H1261" s="32" t="s">
        <v>4386</v>
      </c>
      <c r="I1261" s="32" t="s">
        <v>4412</v>
      </c>
      <c r="J1261" s="32">
        <v>6199</v>
      </c>
      <c r="K1261" s="32">
        <f>2332+2332</f>
        <v>4664</v>
      </c>
      <c r="L1261" s="32">
        <v>0</v>
      </c>
      <c r="M1261" s="32">
        <v>0</v>
      </c>
      <c r="N1261" s="32">
        <v>0</v>
      </c>
      <c r="O1261" s="32">
        <v>0</v>
      </c>
      <c r="P1261" s="32">
        <v>0</v>
      </c>
      <c r="Q1261" s="35">
        <f t="shared" si="38"/>
        <v>10863</v>
      </c>
      <c r="R1261" s="69">
        <f t="shared" si="39"/>
        <v>9233.5499999999993</v>
      </c>
      <c r="S1261" s="30"/>
      <c r="T1261" s="30"/>
    </row>
    <row r="1262" spans="1:20" ht="45" customHeight="1" x14ac:dyDescent="0.3">
      <c r="A1262" s="36">
        <v>1250</v>
      </c>
      <c r="B1262" s="32" t="s">
        <v>4224</v>
      </c>
      <c r="C1262" s="32" t="s">
        <v>4267</v>
      </c>
      <c r="D1262" s="32" t="s">
        <v>4268</v>
      </c>
      <c r="E1262" s="32">
        <v>2002</v>
      </c>
      <c r="F1262" s="32" t="s">
        <v>18</v>
      </c>
      <c r="G1262" s="32" t="s">
        <v>4350</v>
      </c>
      <c r="H1262" s="32" t="s">
        <v>4350</v>
      </c>
      <c r="I1262" s="32" t="s">
        <v>4413</v>
      </c>
      <c r="J1262" s="32">
        <v>6199</v>
      </c>
      <c r="K1262" s="32">
        <f>6278+4484+1346+2332+2332+2332+2332+2332+3000+3000+3228+6995</f>
        <v>39991</v>
      </c>
      <c r="L1262" s="32">
        <v>0</v>
      </c>
      <c r="M1262" s="32">
        <v>0</v>
      </c>
      <c r="N1262" s="32">
        <v>1793</v>
      </c>
      <c r="O1262" s="32">
        <v>0</v>
      </c>
      <c r="P1262" s="32">
        <v>0</v>
      </c>
      <c r="Q1262" s="37">
        <f t="shared" si="38"/>
        <v>47983</v>
      </c>
      <c r="R1262" s="69">
        <f t="shared" si="39"/>
        <v>40785.550000000003</v>
      </c>
      <c r="S1262" s="30"/>
      <c r="T1262" s="30"/>
    </row>
    <row r="1263" spans="1:20" ht="45" customHeight="1" x14ac:dyDescent="0.3">
      <c r="A1263" s="31">
        <v>1251</v>
      </c>
      <c r="B1263" s="32" t="s">
        <v>4224</v>
      </c>
      <c r="C1263" s="32" t="s">
        <v>4269</v>
      </c>
      <c r="D1263" s="32" t="s">
        <v>4270</v>
      </c>
      <c r="E1263" s="32">
        <v>2000</v>
      </c>
      <c r="F1263" s="32" t="s">
        <v>18</v>
      </c>
      <c r="G1263" s="32" t="s">
        <v>4351</v>
      </c>
      <c r="H1263" s="32" t="s">
        <v>4351</v>
      </c>
      <c r="I1263" s="32" t="s">
        <v>4414</v>
      </c>
      <c r="J1263" s="32">
        <v>6199</v>
      </c>
      <c r="K1263" s="32">
        <v>0</v>
      </c>
      <c r="L1263" s="32">
        <v>0</v>
      </c>
      <c r="M1263" s="32">
        <v>0</v>
      </c>
      <c r="N1263" s="32">
        <v>0</v>
      </c>
      <c r="O1263" s="32">
        <v>0</v>
      </c>
      <c r="P1263" s="32">
        <v>0</v>
      </c>
      <c r="Q1263" s="37">
        <f t="shared" si="38"/>
        <v>6199</v>
      </c>
      <c r="R1263" s="69">
        <f t="shared" si="39"/>
        <v>5269.15</v>
      </c>
      <c r="S1263" s="30"/>
      <c r="T1263" s="30"/>
    </row>
    <row r="1264" spans="1:20" ht="45" customHeight="1" x14ac:dyDescent="0.3">
      <c r="A1264" s="31">
        <v>1252</v>
      </c>
      <c r="B1264" s="32" t="s">
        <v>4224</v>
      </c>
      <c r="C1264" s="32" t="s">
        <v>4271</v>
      </c>
      <c r="D1264" s="32" t="s">
        <v>4272</v>
      </c>
      <c r="E1264" s="32">
        <v>2012</v>
      </c>
      <c r="F1264" s="32" t="s">
        <v>19</v>
      </c>
      <c r="G1264" s="32" t="s">
        <v>4352</v>
      </c>
      <c r="H1264" s="32" t="s">
        <v>4387</v>
      </c>
      <c r="I1264" s="32" t="s">
        <v>4415</v>
      </c>
      <c r="J1264" s="32">
        <v>6199</v>
      </c>
      <c r="K1264" s="32">
        <f>1346+6278+4484+1166</f>
        <v>13274</v>
      </c>
      <c r="L1264" s="32">
        <v>0</v>
      </c>
      <c r="M1264" s="32">
        <v>0</v>
      </c>
      <c r="N1264" s="32">
        <v>3148</v>
      </c>
      <c r="O1264" s="32">
        <v>0</v>
      </c>
      <c r="P1264" s="32">
        <v>0</v>
      </c>
      <c r="Q1264" s="37">
        <f t="shared" si="38"/>
        <v>22621</v>
      </c>
      <c r="R1264" s="69">
        <f t="shared" si="39"/>
        <v>19227.849999999999</v>
      </c>
      <c r="S1264" s="30"/>
      <c r="T1264" s="30"/>
    </row>
    <row r="1265" spans="1:20" ht="45" customHeight="1" x14ac:dyDescent="0.3">
      <c r="A1265" s="36">
        <v>1253</v>
      </c>
      <c r="B1265" s="32" t="s">
        <v>4224</v>
      </c>
      <c r="C1265" s="32" t="s">
        <v>4273</v>
      </c>
      <c r="D1265" s="32" t="s">
        <v>4274</v>
      </c>
      <c r="E1265" s="32">
        <v>2020</v>
      </c>
      <c r="F1265" s="32" t="s">
        <v>19</v>
      </c>
      <c r="G1265" s="32" t="s">
        <v>4353</v>
      </c>
      <c r="H1265" s="32" t="s">
        <v>4388</v>
      </c>
      <c r="I1265" s="32" t="s">
        <v>4416</v>
      </c>
      <c r="J1265" s="32">
        <v>6199</v>
      </c>
      <c r="K1265" s="32">
        <f>1346+6278+4484</f>
        <v>12108</v>
      </c>
      <c r="L1265" s="32">
        <v>0</v>
      </c>
      <c r="M1265" s="32">
        <v>0</v>
      </c>
      <c r="N1265" s="32">
        <v>3148</v>
      </c>
      <c r="O1265" s="32">
        <v>0</v>
      </c>
      <c r="P1265" s="32">
        <v>0</v>
      </c>
      <c r="Q1265" s="37">
        <f t="shared" si="38"/>
        <v>21455</v>
      </c>
      <c r="R1265" s="69">
        <f t="shared" si="39"/>
        <v>18236.75</v>
      </c>
      <c r="S1265" s="30"/>
      <c r="T1265" s="30"/>
    </row>
    <row r="1266" spans="1:20" ht="45" customHeight="1" x14ac:dyDescent="0.3">
      <c r="A1266" s="31">
        <v>1254</v>
      </c>
      <c r="B1266" s="32" t="s">
        <v>4224</v>
      </c>
      <c r="C1266" s="32" t="s">
        <v>4275</v>
      </c>
      <c r="D1266" s="32" t="s">
        <v>4276</v>
      </c>
      <c r="E1266" s="32">
        <v>1998</v>
      </c>
      <c r="F1266" s="32" t="s">
        <v>19</v>
      </c>
      <c r="G1266" s="32" t="s">
        <v>4354</v>
      </c>
      <c r="H1266" s="32" t="s">
        <v>4389</v>
      </c>
      <c r="I1266" s="32" t="s">
        <v>4417</v>
      </c>
      <c r="J1266" s="32">
        <v>6199</v>
      </c>
      <c r="K1266" s="32">
        <v>0</v>
      </c>
      <c r="L1266" s="32">
        <v>9422</v>
      </c>
      <c r="M1266" s="32">
        <v>0</v>
      </c>
      <c r="N1266" s="32">
        <v>0</v>
      </c>
      <c r="O1266" s="32">
        <v>0</v>
      </c>
      <c r="P1266" s="32">
        <v>0</v>
      </c>
      <c r="Q1266" s="37">
        <f t="shared" si="38"/>
        <v>15621</v>
      </c>
      <c r="R1266" s="69">
        <f t="shared" si="39"/>
        <v>13277.85</v>
      </c>
      <c r="S1266" s="30"/>
      <c r="T1266" s="30"/>
    </row>
    <row r="1267" spans="1:20" ht="45" customHeight="1" x14ac:dyDescent="0.3">
      <c r="A1267" s="31">
        <v>1255</v>
      </c>
      <c r="B1267" s="32" t="s">
        <v>4224</v>
      </c>
      <c r="C1267" s="32" t="s">
        <v>4277</v>
      </c>
      <c r="D1267" s="32" t="s">
        <v>4278</v>
      </c>
      <c r="E1267" s="32">
        <v>1996</v>
      </c>
      <c r="F1267" s="32" t="s">
        <v>19</v>
      </c>
      <c r="G1267" s="32" t="s">
        <v>4355</v>
      </c>
      <c r="H1267" s="32" t="s">
        <v>4390</v>
      </c>
      <c r="I1267" s="32" t="s">
        <v>33</v>
      </c>
      <c r="J1267" s="32">
        <v>6199</v>
      </c>
      <c r="K1267" s="32">
        <f>6278+4484+1346+6995+2332+2332+2332+2332+2332+2332+6995+2243+2332+2332+3000+3000+3228+3587</f>
        <v>59812</v>
      </c>
      <c r="L1267" s="32">
        <v>20807</v>
      </c>
      <c r="M1267" s="32">
        <v>0</v>
      </c>
      <c r="N1267" s="32">
        <f>1793+3179+1178</f>
        <v>6150</v>
      </c>
      <c r="O1267" s="32">
        <v>0</v>
      </c>
      <c r="P1267" s="32">
        <f>720+720+624+112+396+660+360+60</f>
        <v>3652</v>
      </c>
      <c r="Q1267" s="37">
        <f t="shared" si="38"/>
        <v>96620</v>
      </c>
      <c r="R1267" s="69">
        <f t="shared" si="39"/>
        <v>82127</v>
      </c>
      <c r="S1267" s="30"/>
      <c r="T1267" s="30"/>
    </row>
    <row r="1268" spans="1:20" ht="45" customHeight="1" x14ac:dyDescent="0.3">
      <c r="A1268" s="36">
        <v>1256</v>
      </c>
      <c r="B1268" s="32" t="s">
        <v>4224</v>
      </c>
      <c r="C1268" s="32" t="s">
        <v>4279</v>
      </c>
      <c r="D1268" s="32" t="s">
        <v>4280</v>
      </c>
      <c r="E1268" s="32">
        <v>2020</v>
      </c>
      <c r="F1268" s="32" t="s">
        <v>19</v>
      </c>
      <c r="G1268" s="32" t="s">
        <v>4356</v>
      </c>
      <c r="H1268" s="32" t="s">
        <v>4391</v>
      </c>
      <c r="I1268" s="32" t="s">
        <v>300</v>
      </c>
      <c r="J1268" s="32">
        <v>6199</v>
      </c>
      <c r="K1268" s="32">
        <f>6278+4484+1346+2332+2332+2332+2332+2332+4484+1166+6995+6995+2332+6995</f>
        <v>52735</v>
      </c>
      <c r="L1268" s="32">
        <v>0</v>
      </c>
      <c r="M1268" s="32">
        <v>0</v>
      </c>
      <c r="N1268" s="32">
        <v>3148</v>
      </c>
      <c r="O1268" s="32">
        <v>0</v>
      </c>
      <c r="P1268" s="32">
        <v>0</v>
      </c>
      <c r="Q1268" s="37">
        <f t="shared" si="38"/>
        <v>62082</v>
      </c>
      <c r="R1268" s="69">
        <f t="shared" si="39"/>
        <v>52769.7</v>
      </c>
      <c r="S1268" s="30"/>
      <c r="T1268" s="30"/>
    </row>
    <row r="1269" spans="1:20" ht="45" customHeight="1" x14ac:dyDescent="0.3">
      <c r="A1269" s="31">
        <v>1257</v>
      </c>
      <c r="B1269" s="32" t="s">
        <v>4224</v>
      </c>
      <c r="C1269" s="32" t="s">
        <v>4281</v>
      </c>
      <c r="D1269" s="32" t="s">
        <v>4282</v>
      </c>
      <c r="E1269" s="32">
        <v>1963</v>
      </c>
      <c r="F1269" s="32" t="s">
        <v>19</v>
      </c>
      <c r="G1269" s="32" t="s">
        <v>4357</v>
      </c>
      <c r="H1269" s="32" t="s">
        <v>4392</v>
      </c>
      <c r="I1269" s="32" t="s">
        <v>276</v>
      </c>
      <c r="J1269" s="32">
        <v>6199</v>
      </c>
      <c r="K1269" s="32">
        <f>6278+4484+4484+2332+2332+2332+4484+4484+2332+4484+2332+2332+2332+3000+3000+3228+1166</f>
        <v>55416</v>
      </c>
      <c r="L1269" s="32">
        <v>0</v>
      </c>
      <c r="M1269" s="32">
        <v>0</v>
      </c>
      <c r="N1269" s="32">
        <v>1793</v>
      </c>
      <c r="O1269" s="32">
        <v>0</v>
      </c>
      <c r="P1269" s="32">
        <v>0</v>
      </c>
      <c r="Q1269" s="37">
        <f t="shared" si="38"/>
        <v>63408</v>
      </c>
      <c r="R1269" s="69">
        <f t="shared" si="39"/>
        <v>53896.800000000003</v>
      </c>
      <c r="S1269" s="30"/>
      <c r="T1269" s="30"/>
    </row>
    <row r="1270" spans="1:20" ht="45" customHeight="1" x14ac:dyDescent="0.3">
      <c r="A1270" s="31">
        <v>1258</v>
      </c>
      <c r="B1270" s="32" t="s">
        <v>4224</v>
      </c>
      <c r="C1270" s="32" t="s">
        <v>4283</v>
      </c>
      <c r="D1270" s="32" t="s">
        <v>4284</v>
      </c>
      <c r="E1270" s="32">
        <v>2023</v>
      </c>
      <c r="F1270" s="32" t="s">
        <v>19</v>
      </c>
      <c r="G1270" s="32" t="s">
        <v>4358</v>
      </c>
      <c r="H1270" s="32" t="s">
        <v>4393</v>
      </c>
      <c r="I1270" s="32" t="s">
        <v>1278</v>
      </c>
      <c r="J1270" s="32">
        <v>6199</v>
      </c>
      <c r="K1270" s="32">
        <f>6278+4484+1346+2332+2332+2332+2332+2332+4484</f>
        <v>28252</v>
      </c>
      <c r="L1270" s="32">
        <v>0</v>
      </c>
      <c r="M1270" s="32">
        <v>0</v>
      </c>
      <c r="N1270" s="32">
        <v>3148</v>
      </c>
      <c r="O1270" s="32">
        <v>0</v>
      </c>
      <c r="P1270" s="32">
        <v>0</v>
      </c>
      <c r="Q1270" s="37">
        <f t="shared" si="38"/>
        <v>37599</v>
      </c>
      <c r="R1270" s="69">
        <f t="shared" si="39"/>
        <v>31959.15</v>
      </c>
      <c r="S1270" s="30"/>
      <c r="T1270" s="30"/>
    </row>
    <row r="1271" spans="1:20" ht="45" customHeight="1" x14ac:dyDescent="0.3">
      <c r="A1271" s="36">
        <v>1259</v>
      </c>
      <c r="B1271" s="32" t="s">
        <v>4224</v>
      </c>
      <c r="C1271" s="32" t="s">
        <v>4285</v>
      </c>
      <c r="D1271" s="32" t="s">
        <v>4286</v>
      </c>
      <c r="E1271" s="32">
        <v>1987</v>
      </c>
      <c r="F1271" s="32" t="s">
        <v>19</v>
      </c>
      <c r="G1271" s="32" t="s">
        <v>4359</v>
      </c>
      <c r="H1271" s="32" t="s">
        <v>4359</v>
      </c>
      <c r="I1271" s="32" t="s">
        <v>1886</v>
      </c>
      <c r="J1271" s="32">
        <v>6199</v>
      </c>
      <c r="K1271" s="32">
        <v>0</v>
      </c>
      <c r="L1271" s="32">
        <v>9422</v>
      </c>
      <c r="M1271" s="32">
        <v>0</v>
      </c>
      <c r="N1271" s="32">
        <v>0</v>
      </c>
      <c r="O1271" s="32">
        <v>0</v>
      </c>
      <c r="P1271" s="32">
        <v>0</v>
      </c>
      <c r="Q1271" s="37">
        <f t="shared" si="38"/>
        <v>15621</v>
      </c>
      <c r="R1271" s="69">
        <f t="shared" si="39"/>
        <v>13277.85</v>
      </c>
      <c r="S1271" s="30"/>
      <c r="T1271" s="30"/>
    </row>
    <row r="1272" spans="1:20" ht="45" customHeight="1" x14ac:dyDescent="0.3">
      <c r="A1272" s="31">
        <v>1260</v>
      </c>
      <c r="B1272" s="32" t="s">
        <v>4224</v>
      </c>
      <c r="C1272" s="32" t="s">
        <v>4287</v>
      </c>
      <c r="D1272" s="32" t="s">
        <v>4288</v>
      </c>
      <c r="E1272" s="32">
        <v>1998</v>
      </c>
      <c r="F1272" s="32" t="s">
        <v>19</v>
      </c>
      <c r="G1272" s="32" t="s">
        <v>4360</v>
      </c>
      <c r="H1272" s="32" t="s">
        <v>4360</v>
      </c>
      <c r="I1272" s="32" t="s">
        <v>3935</v>
      </c>
      <c r="J1272" s="32">
        <v>6199</v>
      </c>
      <c r="K1272" s="32">
        <f>2332+2332+2243</f>
        <v>6907</v>
      </c>
      <c r="L1272" s="32">
        <v>9422</v>
      </c>
      <c r="M1272" s="32">
        <v>0</v>
      </c>
      <c r="N1272" s="32">
        <v>0</v>
      </c>
      <c r="O1272" s="32">
        <v>0</v>
      </c>
      <c r="P1272" s="32">
        <v>0</v>
      </c>
      <c r="Q1272" s="37">
        <f t="shared" si="38"/>
        <v>22528</v>
      </c>
      <c r="R1272" s="69">
        <f t="shared" si="39"/>
        <v>19148.8</v>
      </c>
      <c r="S1272" s="30"/>
      <c r="T1272" s="30"/>
    </row>
    <row r="1273" spans="1:20" ht="45" customHeight="1" x14ac:dyDescent="0.3">
      <c r="A1273" s="31">
        <v>1261</v>
      </c>
      <c r="B1273" s="32" t="s">
        <v>4224</v>
      </c>
      <c r="C1273" s="32" t="s">
        <v>4289</v>
      </c>
      <c r="D1273" s="32" t="s">
        <v>4290</v>
      </c>
      <c r="E1273" s="32">
        <v>2022</v>
      </c>
      <c r="F1273" s="32" t="s">
        <v>18</v>
      </c>
      <c r="G1273" s="32" t="s">
        <v>4361</v>
      </c>
      <c r="H1273" s="32" t="s">
        <v>4394</v>
      </c>
      <c r="I1273" s="32" t="s">
        <v>1277</v>
      </c>
      <c r="J1273" s="32">
        <v>6199</v>
      </c>
      <c r="K1273" s="32">
        <f>1346+6278+4484+4484</f>
        <v>16592</v>
      </c>
      <c r="L1273" s="32">
        <v>0</v>
      </c>
      <c r="M1273" s="32">
        <v>0</v>
      </c>
      <c r="N1273" s="32">
        <v>3148</v>
      </c>
      <c r="O1273" s="32">
        <v>0</v>
      </c>
      <c r="P1273" s="32">
        <v>0</v>
      </c>
      <c r="Q1273" s="37">
        <f t="shared" si="38"/>
        <v>25939</v>
      </c>
      <c r="R1273" s="69">
        <f t="shared" si="39"/>
        <v>22048.15</v>
      </c>
      <c r="S1273" s="30"/>
      <c r="T1273" s="30"/>
    </row>
    <row r="1274" spans="1:20" ht="45" customHeight="1" x14ac:dyDescent="0.3">
      <c r="A1274" s="36">
        <v>1262</v>
      </c>
      <c r="B1274" s="32" t="s">
        <v>4224</v>
      </c>
      <c r="C1274" s="32" t="s">
        <v>4291</v>
      </c>
      <c r="D1274" s="32" t="s">
        <v>4292</v>
      </c>
      <c r="E1274" s="32">
        <v>2015</v>
      </c>
      <c r="F1274" s="32" t="s">
        <v>18</v>
      </c>
      <c r="G1274" s="32" t="s">
        <v>4362</v>
      </c>
      <c r="H1274" s="32" t="s">
        <v>4395</v>
      </c>
      <c r="I1274" s="32" t="s">
        <v>299</v>
      </c>
      <c r="J1274" s="32">
        <v>6199</v>
      </c>
      <c r="K1274" s="32">
        <f>1346+6278+4484+4484</f>
        <v>16592</v>
      </c>
      <c r="L1274" s="32">
        <v>0</v>
      </c>
      <c r="M1274" s="32">
        <v>0</v>
      </c>
      <c r="N1274" s="32">
        <v>3148</v>
      </c>
      <c r="O1274" s="32">
        <v>0</v>
      </c>
      <c r="P1274" s="32">
        <v>0</v>
      </c>
      <c r="Q1274" s="37">
        <f t="shared" si="38"/>
        <v>25939</v>
      </c>
      <c r="R1274" s="69">
        <f t="shared" si="39"/>
        <v>22048.15</v>
      </c>
      <c r="S1274" s="30"/>
      <c r="T1274" s="30"/>
    </row>
    <row r="1275" spans="1:20" ht="45" customHeight="1" x14ac:dyDescent="0.3">
      <c r="A1275" s="31">
        <v>1263</v>
      </c>
      <c r="B1275" s="32" t="s">
        <v>4224</v>
      </c>
      <c r="C1275" s="32" t="s">
        <v>4293</v>
      </c>
      <c r="D1275" s="32" t="s">
        <v>4294</v>
      </c>
      <c r="E1275" s="32">
        <v>2025</v>
      </c>
      <c r="F1275" s="32" t="s">
        <v>18</v>
      </c>
      <c r="G1275" s="32" t="s">
        <v>4363</v>
      </c>
      <c r="H1275" s="32" t="s">
        <v>4396</v>
      </c>
      <c r="I1275" s="32" t="s">
        <v>3497</v>
      </c>
      <c r="J1275" s="32">
        <v>6199</v>
      </c>
      <c r="K1275" s="32">
        <v>0</v>
      </c>
      <c r="L1275" s="32">
        <v>13298</v>
      </c>
      <c r="M1275" s="32">
        <v>0</v>
      </c>
      <c r="N1275" s="32">
        <v>84494</v>
      </c>
      <c r="O1275" s="32">
        <v>0</v>
      </c>
      <c r="P1275" s="32">
        <v>0</v>
      </c>
      <c r="Q1275" s="37">
        <f t="shared" si="38"/>
        <v>103991</v>
      </c>
      <c r="R1275" s="69">
        <f t="shared" si="39"/>
        <v>88392.35</v>
      </c>
      <c r="S1275" s="30"/>
      <c r="T1275" s="30"/>
    </row>
    <row r="1276" spans="1:20" ht="45" customHeight="1" x14ac:dyDescent="0.3">
      <c r="A1276" s="31">
        <v>1264</v>
      </c>
      <c r="B1276" s="32" t="s">
        <v>4224</v>
      </c>
      <c r="C1276" s="32" t="s">
        <v>4295</v>
      </c>
      <c r="D1276" s="32" t="s">
        <v>4296</v>
      </c>
      <c r="E1276" s="32">
        <v>1985</v>
      </c>
      <c r="F1276" s="32" t="s">
        <v>19</v>
      </c>
      <c r="G1276" s="32" t="s">
        <v>4364</v>
      </c>
      <c r="H1276" s="32" t="s">
        <v>4397</v>
      </c>
      <c r="I1276" s="32" t="s">
        <v>24</v>
      </c>
      <c r="J1276" s="32">
        <v>6199</v>
      </c>
      <c r="K1276" s="32">
        <f>2332+2332+2243</f>
        <v>6907</v>
      </c>
      <c r="L1276" s="32">
        <v>0</v>
      </c>
      <c r="M1276" s="32">
        <v>0</v>
      </c>
      <c r="N1276" s="32">
        <v>0</v>
      </c>
      <c r="O1276" s="32">
        <v>0</v>
      </c>
      <c r="P1276" s="32">
        <v>0</v>
      </c>
      <c r="Q1276" s="37">
        <f t="shared" si="38"/>
        <v>13106</v>
      </c>
      <c r="R1276" s="69">
        <f t="shared" si="39"/>
        <v>11140.1</v>
      </c>
      <c r="S1276" s="30"/>
      <c r="T1276" s="30"/>
    </row>
    <row r="1277" spans="1:20" ht="45" customHeight="1" x14ac:dyDescent="0.3">
      <c r="A1277" s="36">
        <v>1265</v>
      </c>
      <c r="B1277" s="32" t="s">
        <v>4224</v>
      </c>
      <c r="C1277" s="32" t="s">
        <v>4297</v>
      </c>
      <c r="D1277" s="32" t="s">
        <v>4298</v>
      </c>
      <c r="E1277" s="32">
        <v>2025</v>
      </c>
      <c r="F1277" s="32" t="s">
        <v>18</v>
      </c>
      <c r="G1277" s="32" t="s">
        <v>4365</v>
      </c>
      <c r="H1277" s="32" t="s">
        <v>4398</v>
      </c>
      <c r="I1277" s="32" t="s">
        <v>4418</v>
      </c>
      <c r="J1277" s="32">
        <v>6199</v>
      </c>
      <c r="K1277" s="32">
        <v>0</v>
      </c>
      <c r="L1277" s="32">
        <v>13526</v>
      </c>
      <c r="M1277" s="32">
        <v>0</v>
      </c>
      <c r="N1277" s="32">
        <v>0</v>
      </c>
      <c r="O1277" s="32">
        <v>0</v>
      </c>
      <c r="P1277" s="32">
        <v>0</v>
      </c>
      <c r="Q1277" s="35">
        <f t="shared" si="38"/>
        <v>19725</v>
      </c>
      <c r="R1277" s="69">
        <f t="shared" si="39"/>
        <v>16766.25</v>
      </c>
      <c r="S1277" s="30"/>
      <c r="T1277" s="30"/>
    </row>
    <row r="1278" spans="1:20" ht="45" customHeight="1" x14ac:dyDescent="0.3">
      <c r="A1278" s="31">
        <v>1266</v>
      </c>
      <c r="B1278" s="32" t="s">
        <v>4224</v>
      </c>
      <c r="C1278" s="32" t="s">
        <v>4299</v>
      </c>
      <c r="D1278" s="32" t="s">
        <v>4300</v>
      </c>
      <c r="E1278" s="32">
        <v>1998</v>
      </c>
      <c r="F1278" s="32" t="s">
        <v>19</v>
      </c>
      <c r="G1278" s="32" t="s">
        <v>4366</v>
      </c>
      <c r="H1278" s="32" t="s">
        <v>1435</v>
      </c>
      <c r="I1278" s="32" t="s">
        <v>4419</v>
      </c>
      <c r="J1278" s="32">
        <v>3793</v>
      </c>
      <c r="K1278" s="32">
        <f>6278+4484+6995+2332+2332+2332+2332+2332+2332+3000+3000+2332+2332+3587+3228</f>
        <v>49228</v>
      </c>
      <c r="L1278" s="32">
        <v>20807</v>
      </c>
      <c r="M1278" s="32">
        <v>0</v>
      </c>
      <c r="N1278" s="32">
        <v>0</v>
      </c>
      <c r="O1278" s="32">
        <v>0</v>
      </c>
      <c r="P1278" s="32">
        <v>0</v>
      </c>
      <c r="Q1278" s="37">
        <f t="shared" si="38"/>
        <v>73828</v>
      </c>
      <c r="R1278" s="69">
        <f t="shared" si="39"/>
        <v>62753.8</v>
      </c>
      <c r="S1278" s="30"/>
      <c r="T1278" s="30"/>
    </row>
    <row r="1279" spans="1:20" ht="45" customHeight="1" x14ac:dyDescent="0.3">
      <c r="A1279" s="31">
        <v>1267</v>
      </c>
      <c r="B1279" s="32" t="s">
        <v>4224</v>
      </c>
      <c r="C1279" s="32" t="s">
        <v>4301</v>
      </c>
      <c r="D1279" s="32" t="s">
        <v>4302</v>
      </c>
      <c r="E1279" s="32">
        <v>1973</v>
      </c>
      <c r="F1279" s="32" t="s">
        <v>19</v>
      </c>
      <c r="G1279" s="32" t="s">
        <v>4367</v>
      </c>
      <c r="H1279" s="32" t="s">
        <v>4399</v>
      </c>
      <c r="I1279" s="32" t="s">
        <v>4420</v>
      </c>
      <c r="J1279" s="32">
        <v>6199</v>
      </c>
      <c r="K1279" s="32">
        <f>6278+4484+6995+3228+2332+2332+2243+1166+2332+2332+2332</f>
        <v>36054</v>
      </c>
      <c r="L1279" s="32">
        <v>0</v>
      </c>
      <c r="M1279" s="32">
        <v>0</v>
      </c>
      <c r="N1279" s="32">
        <v>1793</v>
      </c>
      <c r="O1279" s="32">
        <v>0</v>
      </c>
      <c r="P1279" s="32">
        <v>0</v>
      </c>
      <c r="Q1279" s="37">
        <f t="shared" si="38"/>
        <v>44046</v>
      </c>
      <c r="R1279" s="69">
        <f t="shared" si="39"/>
        <v>37439.1</v>
      </c>
      <c r="S1279" s="30"/>
      <c r="T1279" s="30"/>
    </row>
    <row r="1280" spans="1:20" ht="45" customHeight="1" x14ac:dyDescent="0.3">
      <c r="A1280" s="36">
        <v>1268</v>
      </c>
      <c r="B1280" s="32" t="s">
        <v>4224</v>
      </c>
      <c r="C1280" s="32" t="s">
        <v>4303</v>
      </c>
      <c r="D1280" s="32" t="s">
        <v>1576</v>
      </c>
      <c r="E1280" s="32">
        <v>1959</v>
      </c>
      <c r="F1280" s="32" t="s">
        <v>19</v>
      </c>
      <c r="G1280" s="32" t="s">
        <v>1642</v>
      </c>
      <c r="H1280" s="32" t="s">
        <v>1642</v>
      </c>
      <c r="I1280" s="32" t="s">
        <v>824</v>
      </c>
      <c r="J1280" s="32">
        <v>3793</v>
      </c>
      <c r="K1280" s="32">
        <f>6278+4484+2332+2332+1346+4484+4484+2332+4484</f>
        <v>32556</v>
      </c>
      <c r="L1280" s="32">
        <v>0</v>
      </c>
      <c r="M1280" s="32">
        <v>0</v>
      </c>
      <c r="N1280" s="32">
        <v>1793</v>
      </c>
      <c r="O1280" s="32">
        <v>0</v>
      </c>
      <c r="P1280" s="32">
        <v>0</v>
      </c>
      <c r="Q1280" s="37">
        <f t="shared" si="38"/>
        <v>38142</v>
      </c>
      <c r="R1280" s="69">
        <f t="shared" si="39"/>
        <v>32420.7</v>
      </c>
      <c r="S1280" s="30"/>
      <c r="T1280" s="30"/>
    </row>
    <row r="1281" spans="1:20" ht="45" customHeight="1" x14ac:dyDescent="0.3">
      <c r="A1281" s="31">
        <v>1269</v>
      </c>
      <c r="B1281" s="32" t="s">
        <v>4224</v>
      </c>
      <c r="C1281" s="32" t="s">
        <v>4304</v>
      </c>
      <c r="D1281" s="32" t="s">
        <v>4305</v>
      </c>
      <c r="E1281" s="32">
        <v>1974</v>
      </c>
      <c r="F1281" s="32" t="s">
        <v>18</v>
      </c>
      <c r="G1281" s="32" t="s">
        <v>4368</v>
      </c>
      <c r="H1281" s="32" t="s">
        <v>4368</v>
      </c>
      <c r="I1281" s="32" t="s">
        <v>4421</v>
      </c>
      <c r="J1281" s="32">
        <v>6199</v>
      </c>
      <c r="K1281" s="32">
        <f>6278+2332+2332+2332+2332+2332+3000+3000+3228+4484+4484</f>
        <v>36134</v>
      </c>
      <c r="L1281" s="32">
        <v>0</v>
      </c>
      <c r="M1281" s="32">
        <v>0</v>
      </c>
      <c r="N1281" s="32">
        <v>1793</v>
      </c>
      <c r="O1281" s="32">
        <v>0</v>
      </c>
      <c r="P1281" s="32">
        <v>0</v>
      </c>
      <c r="Q1281" s="37">
        <f t="shared" si="38"/>
        <v>44126</v>
      </c>
      <c r="R1281" s="69">
        <f t="shared" si="39"/>
        <v>37507.1</v>
      </c>
      <c r="S1281" s="30"/>
      <c r="T1281" s="30"/>
    </row>
    <row r="1282" spans="1:20" ht="45" customHeight="1" x14ac:dyDescent="0.3">
      <c r="A1282" s="31">
        <v>1270</v>
      </c>
      <c r="B1282" s="32" t="s">
        <v>4224</v>
      </c>
      <c r="C1282" s="32" t="s">
        <v>4306</v>
      </c>
      <c r="D1282" s="32" t="s">
        <v>3831</v>
      </c>
      <c r="E1282" s="32">
        <v>1984</v>
      </c>
      <c r="F1282" s="32" t="s">
        <v>18</v>
      </c>
      <c r="G1282" s="32" t="s">
        <v>2832</v>
      </c>
      <c r="H1282" s="32" t="s">
        <v>2832</v>
      </c>
      <c r="I1282" s="32" t="s">
        <v>300</v>
      </c>
      <c r="J1282" s="32">
        <v>3793</v>
      </c>
      <c r="K1282" s="32">
        <v>0</v>
      </c>
      <c r="L1282" s="32">
        <v>0</v>
      </c>
      <c r="M1282" s="32">
        <v>0</v>
      </c>
      <c r="N1282" s="32">
        <v>0</v>
      </c>
      <c r="O1282" s="32">
        <v>0</v>
      </c>
      <c r="P1282" s="32">
        <v>0</v>
      </c>
      <c r="Q1282" s="35">
        <f t="shared" si="38"/>
        <v>3793</v>
      </c>
      <c r="R1282" s="69">
        <f t="shared" si="39"/>
        <v>3224.05</v>
      </c>
      <c r="S1282" s="30"/>
      <c r="T1282" s="30"/>
    </row>
    <row r="1283" spans="1:20" ht="45" customHeight="1" x14ac:dyDescent="0.3">
      <c r="A1283" s="36">
        <v>1271</v>
      </c>
      <c r="B1283" s="32" t="s">
        <v>4224</v>
      </c>
      <c r="C1283" s="32" t="s">
        <v>4307</v>
      </c>
      <c r="D1283" s="32" t="s">
        <v>3792</v>
      </c>
      <c r="E1283" s="32">
        <v>1991</v>
      </c>
      <c r="F1283" s="32" t="s">
        <v>18</v>
      </c>
      <c r="G1283" s="32" t="s">
        <v>3869</v>
      </c>
      <c r="H1283" s="32" t="s">
        <v>3915</v>
      </c>
      <c r="I1283" s="32" t="s">
        <v>3939</v>
      </c>
      <c r="J1283" s="32">
        <v>0</v>
      </c>
      <c r="K1283" s="32">
        <v>0</v>
      </c>
      <c r="L1283" s="32">
        <v>0</v>
      </c>
      <c r="M1283" s="32">
        <v>0</v>
      </c>
      <c r="N1283" s="32">
        <v>5321</v>
      </c>
      <c r="O1283" s="32">
        <v>0</v>
      </c>
      <c r="P1283" s="32">
        <v>0</v>
      </c>
      <c r="Q1283" s="37">
        <f t="shared" si="38"/>
        <v>5321</v>
      </c>
      <c r="R1283" s="69">
        <f t="shared" si="39"/>
        <v>4522.8500000000004</v>
      </c>
      <c r="S1283" s="30"/>
      <c r="T1283" s="30"/>
    </row>
    <row r="1284" spans="1:20" ht="45" customHeight="1" x14ac:dyDescent="0.3">
      <c r="A1284" s="31">
        <v>1272</v>
      </c>
      <c r="B1284" s="32" t="s">
        <v>4224</v>
      </c>
      <c r="C1284" s="32" t="s">
        <v>4308</v>
      </c>
      <c r="D1284" s="32" t="s">
        <v>2965</v>
      </c>
      <c r="E1284" s="32">
        <v>1984</v>
      </c>
      <c r="F1284" s="32" t="s">
        <v>19</v>
      </c>
      <c r="G1284" s="32" t="s">
        <v>3036</v>
      </c>
      <c r="H1284" s="32" t="s">
        <v>3036</v>
      </c>
      <c r="I1284" s="32" t="s">
        <v>1279</v>
      </c>
      <c r="J1284" s="32">
        <v>3793</v>
      </c>
      <c r="K1284" s="32">
        <f>2332+2332+2332+1346+6278</f>
        <v>14620</v>
      </c>
      <c r="L1284" s="32">
        <v>0</v>
      </c>
      <c r="M1284" s="32">
        <v>0</v>
      </c>
      <c r="N1284" s="32">
        <v>1793</v>
      </c>
      <c r="O1284" s="32">
        <v>0</v>
      </c>
      <c r="P1284" s="32">
        <v>0</v>
      </c>
      <c r="Q1284" s="37">
        <f t="shared" si="38"/>
        <v>20206</v>
      </c>
      <c r="R1284" s="69">
        <f t="shared" si="39"/>
        <v>17175.099999999999</v>
      </c>
      <c r="S1284" s="30"/>
      <c r="T1284" s="30"/>
    </row>
    <row r="1285" spans="1:20" ht="45" customHeight="1" x14ac:dyDescent="0.3">
      <c r="A1285" s="31">
        <v>1273</v>
      </c>
      <c r="B1285" s="32" t="s">
        <v>4224</v>
      </c>
      <c r="C1285" s="32" t="s">
        <v>4309</v>
      </c>
      <c r="D1285" s="32" t="s">
        <v>1165</v>
      </c>
      <c r="E1285" s="32">
        <v>1999</v>
      </c>
      <c r="F1285" s="32" t="s">
        <v>19</v>
      </c>
      <c r="G1285" s="32" t="s">
        <v>1219</v>
      </c>
      <c r="H1285" s="32" t="s">
        <v>1219</v>
      </c>
      <c r="I1285" s="32" t="s">
        <v>1283</v>
      </c>
      <c r="J1285" s="32">
        <v>6199</v>
      </c>
      <c r="K1285" s="32">
        <v>0</v>
      </c>
      <c r="L1285" s="32">
        <v>0</v>
      </c>
      <c r="M1285" s="32">
        <v>0</v>
      </c>
      <c r="N1285" s="32">
        <v>0</v>
      </c>
      <c r="O1285" s="32">
        <v>0</v>
      </c>
      <c r="P1285" s="32">
        <v>0</v>
      </c>
      <c r="Q1285" s="37">
        <f t="shared" si="38"/>
        <v>6199</v>
      </c>
      <c r="R1285" s="69">
        <f t="shared" si="39"/>
        <v>5269.15</v>
      </c>
      <c r="S1285" s="30"/>
      <c r="T1285" s="30"/>
    </row>
    <row r="1286" spans="1:20" ht="45" customHeight="1" x14ac:dyDescent="0.3">
      <c r="A1286" s="36">
        <v>1274</v>
      </c>
      <c r="B1286" s="32" t="s">
        <v>4224</v>
      </c>
      <c r="C1286" s="32" t="s">
        <v>4310</v>
      </c>
      <c r="D1286" s="32" t="s">
        <v>4311</v>
      </c>
      <c r="E1286" s="32">
        <v>2014</v>
      </c>
      <c r="F1286" s="32" t="s">
        <v>19</v>
      </c>
      <c r="G1286" s="32" t="s">
        <v>4369</v>
      </c>
      <c r="H1286" s="32" t="s">
        <v>1034</v>
      </c>
      <c r="I1286" s="32" t="s">
        <v>1067</v>
      </c>
      <c r="J1286" s="32">
        <v>6199</v>
      </c>
      <c r="K1286" s="32">
        <v>0</v>
      </c>
      <c r="L1286" s="32">
        <v>0</v>
      </c>
      <c r="M1286" s="32">
        <v>0</v>
      </c>
      <c r="N1286" s="32">
        <v>0</v>
      </c>
      <c r="O1286" s="32">
        <v>0</v>
      </c>
      <c r="P1286" s="32">
        <v>0</v>
      </c>
      <c r="Q1286" s="37">
        <f t="shared" si="38"/>
        <v>6199</v>
      </c>
      <c r="R1286" s="69">
        <f t="shared" si="39"/>
        <v>5269.15</v>
      </c>
      <c r="S1286" s="30"/>
      <c r="T1286" s="30"/>
    </row>
    <row r="1287" spans="1:20" ht="45" customHeight="1" x14ac:dyDescent="0.3">
      <c r="A1287" s="31">
        <v>1275</v>
      </c>
      <c r="B1287" s="32" t="s">
        <v>4224</v>
      </c>
      <c r="C1287" s="32" t="s">
        <v>4312</v>
      </c>
      <c r="D1287" s="32" t="s">
        <v>4313</v>
      </c>
      <c r="E1287" s="32">
        <v>1994</v>
      </c>
      <c r="F1287" s="32" t="s">
        <v>19</v>
      </c>
      <c r="G1287" s="32" t="s">
        <v>4370</v>
      </c>
      <c r="H1287" s="32" t="s">
        <v>4391</v>
      </c>
      <c r="I1287" s="32" t="s">
        <v>300</v>
      </c>
      <c r="J1287" s="32">
        <v>6199</v>
      </c>
      <c r="K1287" s="32">
        <v>0</v>
      </c>
      <c r="L1287" s="32">
        <v>0</v>
      </c>
      <c r="M1287" s="32">
        <v>0</v>
      </c>
      <c r="N1287" s="32">
        <v>0</v>
      </c>
      <c r="O1287" s="32">
        <v>0</v>
      </c>
      <c r="P1287" s="32">
        <v>0</v>
      </c>
      <c r="Q1287" s="35">
        <f t="shared" si="38"/>
        <v>6199</v>
      </c>
      <c r="R1287" s="69">
        <f t="shared" si="39"/>
        <v>5269.15</v>
      </c>
      <c r="S1287" s="30"/>
      <c r="T1287" s="30"/>
    </row>
    <row r="1288" spans="1:20" ht="45" customHeight="1" x14ac:dyDescent="0.3">
      <c r="A1288" s="31">
        <v>1276</v>
      </c>
      <c r="B1288" s="32" t="s">
        <v>4224</v>
      </c>
      <c r="C1288" s="32" t="s">
        <v>4314</v>
      </c>
      <c r="D1288" s="32" t="s">
        <v>4315</v>
      </c>
      <c r="E1288" s="32">
        <v>1975</v>
      </c>
      <c r="F1288" s="32" t="s">
        <v>18</v>
      </c>
      <c r="G1288" s="32" t="s">
        <v>4371</v>
      </c>
      <c r="H1288" s="32" t="s">
        <v>4371</v>
      </c>
      <c r="I1288" s="32" t="s">
        <v>565</v>
      </c>
      <c r="J1288" s="32">
        <v>6199</v>
      </c>
      <c r="K1288" s="32">
        <v>0</v>
      </c>
      <c r="L1288" s="32">
        <v>0</v>
      </c>
      <c r="M1288" s="32">
        <v>0</v>
      </c>
      <c r="N1288" s="32">
        <v>0</v>
      </c>
      <c r="O1288" s="32">
        <v>0</v>
      </c>
      <c r="P1288" s="32">
        <v>0</v>
      </c>
      <c r="Q1288" s="37">
        <f t="shared" si="38"/>
        <v>6199</v>
      </c>
      <c r="R1288" s="69">
        <f t="shared" si="39"/>
        <v>5269.15</v>
      </c>
      <c r="S1288" s="30"/>
      <c r="T1288" s="30"/>
    </row>
    <row r="1289" spans="1:20" ht="45" customHeight="1" x14ac:dyDescent="0.3">
      <c r="A1289" s="36">
        <v>1277</v>
      </c>
      <c r="B1289" s="32" t="s">
        <v>4224</v>
      </c>
      <c r="C1289" s="32" t="s">
        <v>4316</v>
      </c>
      <c r="D1289" s="32" t="s">
        <v>4317</v>
      </c>
      <c r="E1289" s="32">
        <v>1987</v>
      </c>
      <c r="F1289" s="32" t="s">
        <v>19</v>
      </c>
      <c r="G1289" s="32" t="s">
        <v>4372</v>
      </c>
      <c r="H1289" s="32" t="s">
        <v>4372</v>
      </c>
      <c r="I1289" s="32" t="s">
        <v>556</v>
      </c>
      <c r="J1289" s="32">
        <v>6199</v>
      </c>
      <c r="K1289" s="32">
        <f>6278+4484+1166+3228+2332+2332+2332+1166+6995+2332+2332+2332+3000+3000+2332+2332+2243+6995</f>
        <v>57211</v>
      </c>
      <c r="L1289" s="32">
        <v>0</v>
      </c>
      <c r="M1289" s="32">
        <v>0</v>
      </c>
      <c r="N1289" s="32">
        <f>1681+3179+1793</f>
        <v>6653</v>
      </c>
      <c r="O1289" s="32">
        <v>0</v>
      </c>
      <c r="P1289" s="32">
        <v>200</v>
      </c>
      <c r="Q1289" s="37">
        <f t="shared" si="38"/>
        <v>70263</v>
      </c>
      <c r="R1289" s="69">
        <f t="shared" si="39"/>
        <v>59723.55</v>
      </c>
      <c r="S1289" s="30"/>
      <c r="T1289" s="30"/>
    </row>
    <row r="1290" spans="1:20" ht="45" customHeight="1" x14ac:dyDescent="0.3">
      <c r="A1290" s="31">
        <v>1278</v>
      </c>
      <c r="B1290" s="32" t="s">
        <v>4224</v>
      </c>
      <c r="C1290" s="32" t="s">
        <v>4318</v>
      </c>
      <c r="D1290" s="32" t="s">
        <v>4319</v>
      </c>
      <c r="E1290" s="32">
        <v>1988</v>
      </c>
      <c r="F1290" s="32" t="s">
        <v>19</v>
      </c>
      <c r="G1290" s="32" t="s">
        <v>808</v>
      </c>
      <c r="H1290" s="32" t="s">
        <v>808</v>
      </c>
      <c r="I1290" s="32" t="s">
        <v>4422</v>
      </c>
      <c r="J1290" s="32">
        <v>6199</v>
      </c>
      <c r="K1290" s="32">
        <v>0</v>
      </c>
      <c r="L1290" s="32">
        <v>0</v>
      </c>
      <c r="M1290" s="32">
        <v>0</v>
      </c>
      <c r="N1290" s="32">
        <v>0</v>
      </c>
      <c r="O1290" s="32">
        <v>0</v>
      </c>
      <c r="P1290" s="32">
        <v>0</v>
      </c>
      <c r="Q1290" s="37">
        <f t="shared" si="38"/>
        <v>6199</v>
      </c>
      <c r="R1290" s="69">
        <f t="shared" si="39"/>
        <v>5269.15</v>
      </c>
      <c r="S1290" s="30"/>
      <c r="T1290" s="30"/>
    </row>
    <row r="1291" spans="1:20" ht="45" customHeight="1" x14ac:dyDescent="0.3">
      <c r="A1291" s="31">
        <v>1279</v>
      </c>
      <c r="B1291" s="32" t="s">
        <v>4224</v>
      </c>
      <c r="C1291" s="32" t="s">
        <v>4320</v>
      </c>
      <c r="D1291" s="32" t="s">
        <v>4321</v>
      </c>
      <c r="E1291" s="32">
        <v>2018</v>
      </c>
      <c r="F1291" s="32" t="s">
        <v>19</v>
      </c>
      <c r="G1291" s="32" t="s">
        <v>4373</v>
      </c>
      <c r="H1291" s="32" t="s">
        <v>4400</v>
      </c>
      <c r="I1291" s="32" t="s">
        <v>299</v>
      </c>
      <c r="J1291" s="32">
        <v>6199</v>
      </c>
      <c r="K1291" s="32">
        <f>1346+6278+4484+4484+2332+2332+2332+2332+2332+2332+6995+6995+2332+6995</f>
        <v>53901</v>
      </c>
      <c r="L1291" s="32">
        <v>0</v>
      </c>
      <c r="M1291" s="32">
        <v>0</v>
      </c>
      <c r="N1291" s="32">
        <v>3148</v>
      </c>
      <c r="O1291" s="32">
        <v>0</v>
      </c>
      <c r="P1291" s="32">
        <v>0</v>
      </c>
      <c r="Q1291" s="37">
        <f t="shared" si="38"/>
        <v>63248</v>
      </c>
      <c r="R1291" s="69">
        <f t="shared" si="39"/>
        <v>53760.800000000003</v>
      </c>
      <c r="S1291" s="30"/>
      <c r="T1291" s="30"/>
    </row>
    <row r="1292" spans="1:20" s="41" customFormat="1" ht="45" customHeight="1" x14ac:dyDescent="0.3">
      <c r="A1292" s="36">
        <v>1280</v>
      </c>
      <c r="B1292" s="38" t="s">
        <v>4224</v>
      </c>
      <c r="C1292" s="38" t="s">
        <v>4322</v>
      </c>
      <c r="D1292" s="38" t="s">
        <v>4323</v>
      </c>
      <c r="E1292" s="38">
        <v>2024</v>
      </c>
      <c r="F1292" s="38" t="s">
        <v>18</v>
      </c>
      <c r="G1292" s="38" t="s">
        <v>4374</v>
      </c>
      <c r="H1292" s="38" t="s">
        <v>4401</v>
      </c>
      <c r="I1292" s="38" t="s">
        <v>2137</v>
      </c>
      <c r="J1292" s="38">
        <v>6199</v>
      </c>
      <c r="K1292" s="38">
        <f>1346+6278+4484+4484+2332+2332+2332+2332+2332+6995+6995+2332+6995+2332</f>
        <v>53901</v>
      </c>
      <c r="L1292" s="38">
        <v>0</v>
      </c>
      <c r="M1292" s="38">
        <v>0</v>
      </c>
      <c r="N1292" s="38">
        <v>3148</v>
      </c>
      <c r="O1292" s="38">
        <v>0</v>
      </c>
      <c r="P1292" s="38">
        <v>0</v>
      </c>
      <c r="Q1292" s="37">
        <f t="shared" si="38"/>
        <v>63248</v>
      </c>
      <c r="R1292" s="69">
        <f t="shared" si="39"/>
        <v>53760.800000000003</v>
      </c>
      <c r="S1292" s="40"/>
      <c r="T1292" s="40"/>
    </row>
    <row r="1293" spans="1:20" ht="45" customHeight="1" x14ac:dyDescent="0.3">
      <c r="A1293" s="31">
        <v>1281</v>
      </c>
      <c r="B1293" s="32" t="s">
        <v>4224</v>
      </c>
      <c r="C1293" s="32" t="s">
        <v>4324</v>
      </c>
      <c r="D1293" s="32" t="s">
        <v>4325</v>
      </c>
      <c r="E1293" s="32">
        <v>2015</v>
      </c>
      <c r="F1293" s="32" t="s">
        <v>18</v>
      </c>
      <c r="G1293" s="32" t="s">
        <v>4375</v>
      </c>
      <c r="H1293" s="32" t="s">
        <v>3629</v>
      </c>
      <c r="I1293" s="32" t="s">
        <v>3100</v>
      </c>
      <c r="J1293" s="32">
        <v>6199</v>
      </c>
      <c r="K1293" s="32">
        <f>6278+1346+4484+1166</f>
        <v>13274</v>
      </c>
      <c r="L1293" s="32">
        <v>0</v>
      </c>
      <c r="M1293" s="32">
        <v>0</v>
      </c>
      <c r="N1293" s="32">
        <v>3148</v>
      </c>
      <c r="O1293" s="32">
        <v>0</v>
      </c>
      <c r="P1293" s="32">
        <v>0</v>
      </c>
      <c r="Q1293" s="37">
        <f t="shared" ref="Q1293:Q1356" si="40">SUM(J1293:P1293)</f>
        <v>22621</v>
      </c>
      <c r="R1293" s="69">
        <f t="shared" si="39"/>
        <v>19227.849999999999</v>
      </c>
      <c r="S1293" s="30"/>
      <c r="T1293" s="30"/>
    </row>
    <row r="1294" spans="1:20" ht="45" customHeight="1" x14ac:dyDescent="0.3">
      <c r="A1294" s="31">
        <v>1282</v>
      </c>
      <c r="B1294" s="32" t="s">
        <v>4224</v>
      </c>
      <c r="C1294" s="32" t="s">
        <v>4326</v>
      </c>
      <c r="D1294" s="32" t="s">
        <v>4327</v>
      </c>
      <c r="E1294" s="32">
        <v>2021</v>
      </c>
      <c r="F1294" s="32" t="s">
        <v>19</v>
      </c>
      <c r="G1294" s="32" t="s">
        <v>4376</v>
      </c>
      <c r="H1294" s="32" t="s">
        <v>4402</v>
      </c>
      <c r="I1294" s="32" t="s">
        <v>1083</v>
      </c>
      <c r="J1294" s="32">
        <v>6199</v>
      </c>
      <c r="K1294" s="32">
        <v>0</v>
      </c>
      <c r="L1294" s="32">
        <v>0</v>
      </c>
      <c r="M1294" s="32">
        <v>0</v>
      </c>
      <c r="N1294" s="32">
        <v>0</v>
      </c>
      <c r="O1294" s="32">
        <v>0</v>
      </c>
      <c r="P1294" s="32">
        <v>0</v>
      </c>
      <c r="Q1294" s="37">
        <f t="shared" si="40"/>
        <v>6199</v>
      </c>
      <c r="R1294" s="69">
        <f t="shared" ref="R1294:R1357" si="41">Q1294*85/100</f>
        <v>5269.15</v>
      </c>
      <c r="S1294" s="30"/>
      <c r="T1294" s="30"/>
    </row>
    <row r="1295" spans="1:20" ht="45" customHeight="1" x14ac:dyDescent="0.3">
      <c r="A1295" s="36">
        <v>1283</v>
      </c>
      <c r="B1295" s="32" t="s">
        <v>4224</v>
      </c>
      <c r="C1295" s="32" t="s">
        <v>4328</v>
      </c>
      <c r="D1295" s="32" t="s">
        <v>963</v>
      </c>
      <c r="E1295" s="32">
        <v>1995</v>
      </c>
      <c r="F1295" s="32" t="s">
        <v>19</v>
      </c>
      <c r="G1295" s="32" t="s">
        <v>1013</v>
      </c>
      <c r="H1295" s="32" t="s">
        <v>1045</v>
      </c>
      <c r="I1295" s="32" t="s">
        <v>1083</v>
      </c>
      <c r="J1295" s="32">
        <v>6199</v>
      </c>
      <c r="K1295" s="32">
        <f>2332+2332+2243</f>
        <v>6907</v>
      </c>
      <c r="L1295" s="32">
        <v>0</v>
      </c>
      <c r="M1295" s="32">
        <v>0</v>
      </c>
      <c r="N1295" s="32">
        <f>1681+3179</f>
        <v>4860</v>
      </c>
      <c r="O1295" s="32">
        <v>0</v>
      </c>
      <c r="P1295" s="32">
        <f>624+112</f>
        <v>736</v>
      </c>
      <c r="Q1295" s="37">
        <f t="shared" si="40"/>
        <v>18702</v>
      </c>
      <c r="R1295" s="69">
        <f t="shared" si="41"/>
        <v>15896.7</v>
      </c>
      <c r="S1295" s="30"/>
      <c r="T1295" s="30"/>
    </row>
    <row r="1296" spans="1:20" ht="45" customHeight="1" x14ac:dyDescent="0.3">
      <c r="A1296" s="31">
        <v>1284</v>
      </c>
      <c r="B1296" s="32" t="s">
        <v>4224</v>
      </c>
      <c r="C1296" s="32" t="s">
        <v>4329</v>
      </c>
      <c r="D1296" s="32" t="s">
        <v>1152</v>
      </c>
      <c r="E1296" s="32">
        <v>2017</v>
      </c>
      <c r="F1296" s="32" t="s">
        <v>18</v>
      </c>
      <c r="G1296" s="32" t="s">
        <v>4377</v>
      </c>
      <c r="H1296" s="32" t="s">
        <v>1207</v>
      </c>
      <c r="I1296" s="32" t="s">
        <v>1278</v>
      </c>
      <c r="J1296" s="32">
        <v>6199</v>
      </c>
      <c r="K1296" s="32">
        <v>0</v>
      </c>
      <c r="L1296" s="32">
        <v>0</v>
      </c>
      <c r="M1296" s="32">
        <v>0</v>
      </c>
      <c r="N1296" s="32">
        <v>0</v>
      </c>
      <c r="O1296" s="32">
        <v>0</v>
      </c>
      <c r="P1296" s="32">
        <v>0</v>
      </c>
      <c r="Q1296" s="37">
        <f t="shared" si="40"/>
        <v>6199</v>
      </c>
      <c r="R1296" s="69">
        <f t="shared" si="41"/>
        <v>5269.15</v>
      </c>
      <c r="S1296" s="30"/>
      <c r="T1296" s="30"/>
    </row>
    <row r="1297" spans="1:20" ht="45" customHeight="1" x14ac:dyDescent="0.3">
      <c r="A1297" s="31">
        <v>1285</v>
      </c>
      <c r="B1297" s="32" t="s">
        <v>4224</v>
      </c>
      <c r="C1297" s="32" t="s">
        <v>7268</v>
      </c>
      <c r="D1297" s="34" t="s">
        <v>6393</v>
      </c>
      <c r="E1297" s="32">
        <v>2021</v>
      </c>
      <c r="F1297" s="32" t="s">
        <v>18</v>
      </c>
      <c r="G1297" s="32" t="s">
        <v>6394</v>
      </c>
      <c r="H1297" s="32" t="s">
        <v>6395</v>
      </c>
      <c r="I1297" s="32" t="s">
        <v>539</v>
      </c>
      <c r="J1297" s="32">
        <v>6199</v>
      </c>
      <c r="K1297" s="32">
        <f>1346+6278+4484+4484+2332+2332+2332+2332+2332+2332+6995+6995+2332+6995+1166</f>
        <v>55067</v>
      </c>
      <c r="L1297" s="32">
        <v>0</v>
      </c>
      <c r="M1297" s="32">
        <v>0</v>
      </c>
      <c r="N1297" s="32">
        <f>3148+4053+1178+1681</f>
        <v>10060</v>
      </c>
      <c r="O1297" s="32">
        <v>0</v>
      </c>
      <c r="P1297" s="32">
        <f>720+1080+1200+360+56</f>
        <v>3416</v>
      </c>
      <c r="Q1297" s="37">
        <f t="shared" si="40"/>
        <v>74742</v>
      </c>
      <c r="R1297" s="69">
        <f t="shared" si="41"/>
        <v>63530.7</v>
      </c>
      <c r="S1297" s="30"/>
      <c r="T1297" s="30"/>
    </row>
    <row r="1298" spans="1:20" ht="45" customHeight="1" x14ac:dyDescent="0.3">
      <c r="A1298" s="36">
        <v>1286</v>
      </c>
      <c r="B1298" s="32" t="s">
        <v>4224</v>
      </c>
      <c r="C1298" s="32" t="s">
        <v>7268</v>
      </c>
      <c r="D1298" s="34" t="s">
        <v>6393</v>
      </c>
      <c r="E1298" s="32">
        <v>2021</v>
      </c>
      <c r="F1298" s="32" t="s">
        <v>18</v>
      </c>
      <c r="G1298" s="32" t="s">
        <v>6394</v>
      </c>
      <c r="H1298" s="32" t="s">
        <v>6395</v>
      </c>
      <c r="I1298" s="32" t="s">
        <v>539</v>
      </c>
      <c r="J1298" s="32">
        <v>0</v>
      </c>
      <c r="K1298" s="32">
        <v>0</v>
      </c>
      <c r="L1298" s="32">
        <v>0</v>
      </c>
      <c r="M1298" s="32">
        <v>17688</v>
      </c>
      <c r="N1298" s="32">
        <v>2088</v>
      </c>
      <c r="O1298" s="32">
        <v>0</v>
      </c>
      <c r="P1298" s="32">
        <f>360+56</f>
        <v>416</v>
      </c>
      <c r="Q1298" s="37">
        <f t="shared" si="40"/>
        <v>20192</v>
      </c>
      <c r="R1298" s="69">
        <f t="shared" si="41"/>
        <v>17163.2</v>
      </c>
      <c r="S1298" s="30"/>
      <c r="T1298" s="30"/>
    </row>
    <row r="1299" spans="1:20" ht="45" customHeight="1" x14ac:dyDescent="0.3">
      <c r="A1299" s="31">
        <v>1287</v>
      </c>
      <c r="B1299" s="32" t="s">
        <v>4224</v>
      </c>
      <c r="C1299" s="32" t="s">
        <v>7269</v>
      </c>
      <c r="D1299" s="34" t="s">
        <v>3346</v>
      </c>
      <c r="E1299" s="32">
        <v>2019</v>
      </c>
      <c r="F1299" s="32" t="s">
        <v>19</v>
      </c>
      <c r="G1299" s="32" t="s">
        <v>3428</v>
      </c>
      <c r="H1299" s="32" t="s">
        <v>3466</v>
      </c>
      <c r="I1299" s="32" t="s">
        <v>3495</v>
      </c>
      <c r="J1299" s="32">
        <v>2900</v>
      </c>
      <c r="K1299" s="32">
        <v>0</v>
      </c>
      <c r="L1299" s="32">
        <v>0</v>
      </c>
      <c r="M1299" s="32">
        <v>17688</v>
      </c>
      <c r="N1299" s="32">
        <v>2088</v>
      </c>
      <c r="O1299" s="32">
        <v>0</v>
      </c>
      <c r="P1299" s="32">
        <f>1080+168</f>
        <v>1248</v>
      </c>
      <c r="Q1299" s="37">
        <f t="shared" si="40"/>
        <v>23924</v>
      </c>
      <c r="R1299" s="69">
        <f t="shared" si="41"/>
        <v>20335.400000000001</v>
      </c>
      <c r="S1299" s="30"/>
      <c r="T1299" s="30"/>
    </row>
    <row r="1300" spans="1:20" ht="45" customHeight="1" x14ac:dyDescent="0.3">
      <c r="A1300" s="31">
        <v>1288</v>
      </c>
      <c r="B1300" s="32" t="s">
        <v>4224</v>
      </c>
      <c r="C1300" s="32" t="s">
        <v>7270</v>
      </c>
      <c r="D1300" s="34" t="s">
        <v>3556</v>
      </c>
      <c r="E1300" s="32">
        <v>2024</v>
      </c>
      <c r="F1300" s="32" t="s">
        <v>18</v>
      </c>
      <c r="G1300" s="32" t="s">
        <v>3640</v>
      </c>
      <c r="H1300" s="32" t="s">
        <v>3597</v>
      </c>
      <c r="I1300" s="32" t="s">
        <v>7171</v>
      </c>
      <c r="J1300" s="32">
        <v>2900</v>
      </c>
      <c r="K1300" s="32">
        <v>0</v>
      </c>
      <c r="L1300" s="32">
        <v>0</v>
      </c>
      <c r="M1300" s="32">
        <v>17688</v>
      </c>
      <c r="N1300" s="32">
        <v>2088</v>
      </c>
      <c r="O1300" s="32">
        <v>0</v>
      </c>
      <c r="P1300" s="32">
        <f>1080+168</f>
        <v>1248</v>
      </c>
      <c r="Q1300" s="37">
        <f t="shared" si="40"/>
        <v>23924</v>
      </c>
      <c r="R1300" s="69">
        <f t="shared" si="41"/>
        <v>20335.400000000001</v>
      </c>
      <c r="S1300" s="30"/>
      <c r="T1300" s="30"/>
    </row>
    <row r="1301" spans="1:20" ht="45" customHeight="1" x14ac:dyDescent="0.3">
      <c r="A1301" s="36">
        <v>1289</v>
      </c>
      <c r="B1301" s="32" t="s">
        <v>4224</v>
      </c>
      <c r="C1301" s="32" t="s">
        <v>7271</v>
      </c>
      <c r="D1301" s="34" t="s">
        <v>3819</v>
      </c>
      <c r="E1301" s="32">
        <v>2024</v>
      </c>
      <c r="F1301" s="32" t="s">
        <v>18</v>
      </c>
      <c r="G1301" s="32" t="s">
        <v>3883</v>
      </c>
      <c r="H1301" s="32" t="s">
        <v>3919</v>
      </c>
      <c r="I1301" s="32" t="s">
        <v>2446</v>
      </c>
      <c r="J1301" s="32">
        <v>2900</v>
      </c>
      <c r="K1301" s="32">
        <v>0</v>
      </c>
      <c r="L1301" s="32">
        <v>0</v>
      </c>
      <c r="M1301" s="32">
        <v>0</v>
      </c>
      <c r="N1301" s="32">
        <v>2088</v>
      </c>
      <c r="O1301" s="32">
        <v>0</v>
      </c>
      <c r="P1301" s="32">
        <f>360+56</f>
        <v>416</v>
      </c>
      <c r="Q1301" s="37">
        <f t="shared" si="40"/>
        <v>5404</v>
      </c>
      <c r="R1301" s="69">
        <f t="shared" si="41"/>
        <v>4593.3999999999996</v>
      </c>
      <c r="S1301" s="30"/>
      <c r="T1301" s="30"/>
    </row>
    <row r="1302" spans="1:20" ht="45" customHeight="1" x14ac:dyDescent="0.3">
      <c r="A1302" s="31">
        <v>1290</v>
      </c>
      <c r="B1302" s="32" t="s">
        <v>4224</v>
      </c>
      <c r="C1302" s="32" t="s">
        <v>7272</v>
      </c>
      <c r="D1302" s="34" t="s">
        <v>7170</v>
      </c>
      <c r="E1302" s="32">
        <v>1997</v>
      </c>
      <c r="F1302" s="32" t="s">
        <v>19</v>
      </c>
      <c r="G1302" s="32" t="s">
        <v>3849</v>
      </c>
      <c r="H1302" s="32" t="s">
        <v>3849</v>
      </c>
      <c r="I1302" s="32" t="s">
        <v>3935</v>
      </c>
      <c r="J1302" s="32">
        <v>2900</v>
      </c>
      <c r="K1302" s="32">
        <v>0</v>
      </c>
      <c r="L1302" s="32">
        <v>0</v>
      </c>
      <c r="M1302" s="32">
        <v>0</v>
      </c>
      <c r="N1302" s="32">
        <v>1681</v>
      </c>
      <c r="O1302" s="32">
        <v>0</v>
      </c>
      <c r="P1302" s="32">
        <f>312+56</f>
        <v>368</v>
      </c>
      <c r="Q1302" s="37">
        <f t="shared" si="40"/>
        <v>4949</v>
      </c>
      <c r="R1302" s="69">
        <f t="shared" si="41"/>
        <v>4206.6499999999996</v>
      </c>
      <c r="S1302" s="30"/>
      <c r="T1302" s="30"/>
    </row>
    <row r="1303" spans="1:20" ht="45" customHeight="1" x14ac:dyDescent="0.3">
      <c r="A1303" s="31">
        <v>1291</v>
      </c>
      <c r="B1303" s="32" t="s">
        <v>4224</v>
      </c>
      <c r="C1303" s="32" t="s">
        <v>7273</v>
      </c>
      <c r="D1303" s="34" t="s">
        <v>3768</v>
      </c>
      <c r="E1303" s="32">
        <v>2021</v>
      </c>
      <c r="F1303" s="32" t="s">
        <v>19</v>
      </c>
      <c r="G1303" s="32" t="s">
        <v>3857</v>
      </c>
      <c r="H1303" s="32" t="s">
        <v>3905</v>
      </c>
      <c r="I1303" s="32" t="s">
        <v>3936</v>
      </c>
      <c r="J1303" s="32">
        <v>2900</v>
      </c>
      <c r="K1303" s="32">
        <v>0</v>
      </c>
      <c r="L1303" s="32">
        <v>0</v>
      </c>
      <c r="M1303" s="32">
        <v>0</v>
      </c>
      <c r="N1303" s="32">
        <v>2088</v>
      </c>
      <c r="O1303" s="32">
        <v>0</v>
      </c>
      <c r="P1303" s="32">
        <f>360+56</f>
        <v>416</v>
      </c>
      <c r="Q1303" s="37">
        <f t="shared" si="40"/>
        <v>5404</v>
      </c>
      <c r="R1303" s="69">
        <f t="shared" si="41"/>
        <v>4593.3999999999996</v>
      </c>
      <c r="S1303" s="30"/>
      <c r="T1303" s="30"/>
    </row>
    <row r="1304" spans="1:20" ht="45" customHeight="1" x14ac:dyDescent="0.3">
      <c r="A1304" s="36">
        <v>1292</v>
      </c>
      <c r="B1304" s="32" t="s">
        <v>4428</v>
      </c>
      <c r="C1304" s="32" t="s">
        <v>4429</v>
      </c>
      <c r="D1304" s="32" t="s">
        <v>4430</v>
      </c>
      <c r="E1304" s="32">
        <v>2015</v>
      </c>
      <c r="F1304" s="32" t="s">
        <v>18</v>
      </c>
      <c r="G1304" s="32" t="s">
        <v>4531</v>
      </c>
      <c r="H1304" s="32" t="s">
        <v>4580</v>
      </c>
      <c r="I1304" s="32" t="s">
        <v>4611</v>
      </c>
      <c r="J1304" s="32">
        <v>6199</v>
      </c>
      <c r="K1304" s="32">
        <f>1346+6278+4484+4484</f>
        <v>16592</v>
      </c>
      <c r="L1304" s="32">
        <v>0</v>
      </c>
      <c r="M1304" s="32">
        <v>0</v>
      </c>
      <c r="N1304" s="32">
        <v>3148</v>
      </c>
      <c r="O1304" s="32">
        <v>0</v>
      </c>
      <c r="P1304" s="32">
        <v>0</v>
      </c>
      <c r="Q1304" s="37">
        <f t="shared" si="40"/>
        <v>25939</v>
      </c>
      <c r="R1304" s="69">
        <f t="shared" si="41"/>
        <v>22048.15</v>
      </c>
      <c r="S1304" s="30"/>
      <c r="T1304" s="30"/>
    </row>
    <row r="1305" spans="1:20" ht="45" customHeight="1" x14ac:dyDescent="0.3">
      <c r="A1305" s="31">
        <v>1293</v>
      </c>
      <c r="B1305" s="32" t="s">
        <v>4428</v>
      </c>
      <c r="C1305" s="32" t="s">
        <v>4431</v>
      </c>
      <c r="D1305" s="32" t="s">
        <v>4432</v>
      </c>
      <c r="E1305" s="32">
        <v>1975</v>
      </c>
      <c r="F1305" s="32" t="s">
        <v>19</v>
      </c>
      <c r="G1305" s="32" t="s">
        <v>4532</v>
      </c>
      <c r="H1305" s="32" t="s">
        <v>4532</v>
      </c>
      <c r="I1305" s="32" t="s">
        <v>278</v>
      </c>
      <c r="J1305" s="32">
        <v>6199</v>
      </c>
      <c r="K1305" s="32">
        <f>2332+2332+2243+6278+2332+2332+2332+2332+2332+1166</f>
        <v>26011</v>
      </c>
      <c r="L1305" s="32">
        <v>0</v>
      </c>
      <c r="M1305" s="32">
        <v>0</v>
      </c>
      <c r="N1305" s="32">
        <v>1793</v>
      </c>
      <c r="O1305" s="32">
        <v>0</v>
      </c>
      <c r="P1305" s="32">
        <v>0</v>
      </c>
      <c r="Q1305" s="37">
        <f t="shared" si="40"/>
        <v>34003</v>
      </c>
      <c r="R1305" s="69">
        <f t="shared" si="41"/>
        <v>28902.55</v>
      </c>
      <c r="S1305" s="30"/>
      <c r="T1305" s="30"/>
    </row>
    <row r="1306" spans="1:20" ht="45" customHeight="1" x14ac:dyDescent="0.3">
      <c r="A1306" s="31">
        <v>1294</v>
      </c>
      <c r="B1306" s="32" t="s">
        <v>4428</v>
      </c>
      <c r="C1306" s="32" t="s">
        <v>4433</v>
      </c>
      <c r="D1306" s="32" t="s">
        <v>4434</v>
      </c>
      <c r="E1306" s="32">
        <v>1991</v>
      </c>
      <c r="F1306" s="32" t="s">
        <v>18</v>
      </c>
      <c r="G1306" s="32" t="s">
        <v>4533</v>
      </c>
      <c r="H1306" s="32" t="s">
        <v>4533</v>
      </c>
      <c r="I1306" s="32" t="s">
        <v>4612</v>
      </c>
      <c r="J1306" s="32">
        <v>6199</v>
      </c>
      <c r="K1306" s="32">
        <f>6278+4484+6995+3228+3000+3000+2332+2332+2332+2332+1346</f>
        <v>37659</v>
      </c>
      <c r="L1306" s="32">
        <v>0</v>
      </c>
      <c r="M1306" s="32">
        <v>0</v>
      </c>
      <c r="N1306" s="32">
        <v>1793</v>
      </c>
      <c r="O1306" s="32">
        <v>0</v>
      </c>
      <c r="P1306" s="32">
        <v>0</v>
      </c>
      <c r="Q1306" s="37">
        <f t="shared" si="40"/>
        <v>45651</v>
      </c>
      <c r="R1306" s="69">
        <f t="shared" si="41"/>
        <v>38803.35</v>
      </c>
      <c r="S1306" s="30"/>
      <c r="T1306" s="30"/>
    </row>
    <row r="1307" spans="1:20" ht="45" customHeight="1" x14ac:dyDescent="0.3">
      <c r="A1307" s="36">
        <v>1295</v>
      </c>
      <c r="B1307" s="32" t="s">
        <v>4428</v>
      </c>
      <c r="C1307" s="32" t="s">
        <v>4435</v>
      </c>
      <c r="D1307" s="32" t="s">
        <v>4436</v>
      </c>
      <c r="E1307" s="32">
        <v>1989</v>
      </c>
      <c r="F1307" s="32" t="s">
        <v>19</v>
      </c>
      <c r="G1307" s="32" t="s">
        <v>4534</v>
      </c>
      <c r="H1307" s="32" t="s">
        <v>4534</v>
      </c>
      <c r="I1307" s="32" t="s">
        <v>4613</v>
      </c>
      <c r="J1307" s="32">
        <v>6199</v>
      </c>
      <c r="K1307" s="32">
        <v>0</v>
      </c>
      <c r="L1307" s="32">
        <v>0</v>
      </c>
      <c r="M1307" s="32">
        <v>0</v>
      </c>
      <c r="N1307" s="32">
        <v>0</v>
      </c>
      <c r="O1307" s="32">
        <v>0</v>
      </c>
      <c r="P1307" s="32">
        <v>0</v>
      </c>
      <c r="Q1307" s="37">
        <f t="shared" si="40"/>
        <v>6199</v>
      </c>
      <c r="R1307" s="69">
        <f t="shared" si="41"/>
        <v>5269.15</v>
      </c>
      <c r="S1307" s="30"/>
      <c r="T1307" s="30"/>
    </row>
    <row r="1308" spans="1:20" ht="45" customHeight="1" x14ac:dyDescent="0.3">
      <c r="A1308" s="31">
        <v>1296</v>
      </c>
      <c r="B1308" s="32" t="s">
        <v>4428</v>
      </c>
      <c r="C1308" s="32" t="s">
        <v>4437</v>
      </c>
      <c r="D1308" s="32" t="s">
        <v>4438</v>
      </c>
      <c r="E1308" s="32">
        <v>2022</v>
      </c>
      <c r="F1308" s="32" t="s">
        <v>19</v>
      </c>
      <c r="G1308" s="32" t="s">
        <v>4535</v>
      </c>
      <c r="H1308" s="32" t="s">
        <v>4581</v>
      </c>
      <c r="I1308" s="32" t="s">
        <v>576</v>
      </c>
      <c r="J1308" s="32">
        <v>6199</v>
      </c>
      <c r="K1308" s="32">
        <v>0</v>
      </c>
      <c r="L1308" s="32">
        <v>0</v>
      </c>
      <c r="M1308" s="32">
        <v>0</v>
      </c>
      <c r="N1308" s="32">
        <v>0</v>
      </c>
      <c r="O1308" s="32">
        <v>0</v>
      </c>
      <c r="P1308" s="32">
        <v>0</v>
      </c>
      <c r="Q1308" s="37">
        <f t="shared" si="40"/>
        <v>6199</v>
      </c>
      <c r="R1308" s="69">
        <f t="shared" si="41"/>
        <v>5269.15</v>
      </c>
      <c r="S1308" s="30"/>
      <c r="T1308" s="30"/>
    </row>
    <row r="1309" spans="1:20" ht="45" customHeight="1" x14ac:dyDescent="0.3">
      <c r="A1309" s="31">
        <v>1297</v>
      </c>
      <c r="B1309" s="32" t="s">
        <v>4428</v>
      </c>
      <c r="C1309" s="32" t="s">
        <v>4439</v>
      </c>
      <c r="D1309" s="32" t="s">
        <v>4440</v>
      </c>
      <c r="E1309" s="32">
        <v>1976</v>
      </c>
      <c r="F1309" s="32" t="s">
        <v>19</v>
      </c>
      <c r="G1309" s="32" t="s">
        <v>4536</v>
      </c>
      <c r="H1309" s="32" t="s">
        <v>4582</v>
      </c>
      <c r="I1309" s="32" t="s">
        <v>4614</v>
      </c>
      <c r="J1309" s="32">
        <v>6199</v>
      </c>
      <c r="K1309" s="32">
        <f>6278+4484+2332+1346+2332+2332+2332+2332+6995+6995+6995+2332+1166+2801+2332+6995+6995+4484+4484</f>
        <v>76342</v>
      </c>
      <c r="L1309" s="32">
        <v>0</v>
      </c>
      <c r="M1309" s="32">
        <v>0</v>
      </c>
      <c r="N1309" s="32">
        <v>1793</v>
      </c>
      <c r="O1309" s="32">
        <v>0</v>
      </c>
      <c r="P1309" s="32">
        <v>0</v>
      </c>
      <c r="Q1309" s="37">
        <f t="shared" si="40"/>
        <v>84334</v>
      </c>
      <c r="R1309" s="69">
        <f t="shared" si="41"/>
        <v>71683.899999999994</v>
      </c>
      <c r="S1309" s="30"/>
      <c r="T1309" s="30"/>
    </row>
    <row r="1310" spans="1:20" ht="45" customHeight="1" x14ac:dyDescent="0.3">
      <c r="A1310" s="36">
        <v>1298</v>
      </c>
      <c r="B1310" s="32" t="s">
        <v>4428</v>
      </c>
      <c r="C1310" s="32" t="s">
        <v>4441</v>
      </c>
      <c r="D1310" s="32" t="s">
        <v>4442</v>
      </c>
      <c r="E1310" s="32">
        <v>2024</v>
      </c>
      <c r="F1310" s="32" t="s">
        <v>18</v>
      </c>
      <c r="G1310" s="32" t="s">
        <v>4537</v>
      </c>
      <c r="H1310" s="32" t="s">
        <v>4583</v>
      </c>
      <c r="I1310" s="32" t="s">
        <v>4615</v>
      </c>
      <c r="J1310" s="32">
        <v>6199</v>
      </c>
      <c r="K1310" s="32">
        <f>1346+6278+4484+4484+2332+2332+2332+1166+2332+2332+2332+6995+6995+2332+6995</f>
        <v>55067</v>
      </c>
      <c r="L1310" s="32">
        <v>0</v>
      </c>
      <c r="M1310" s="32">
        <v>0</v>
      </c>
      <c r="N1310" s="32">
        <v>3148</v>
      </c>
      <c r="O1310" s="32">
        <v>0</v>
      </c>
      <c r="P1310" s="32">
        <v>0</v>
      </c>
      <c r="Q1310" s="37">
        <f t="shared" si="40"/>
        <v>64414</v>
      </c>
      <c r="R1310" s="69">
        <f t="shared" si="41"/>
        <v>54751.9</v>
      </c>
      <c r="S1310" s="30"/>
      <c r="T1310" s="30"/>
    </row>
    <row r="1311" spans="1:20" ht="45" customHeight="1" x14ac:dyDescent="0.3">
      <c r="A1311" s="31">
        <v>1299</v>
      </c>
      <c r="B1311" s="32" t="s">
        <v>4428</v>
      </c>
      <c r="C1311" s="32" t="s">
        <v>4443</v>
      </c>
      <c r="D1311" s="32" t="s">
        <v>4444</v>
      </c>
      <c r="E1311" s="32">
        <v>1984</v>
      </c>
      <c r="F1311" s="32" t="s">
        <v>18</v>
      </c>
      <c r="G1311" s="32" t="s">
        <v>4538</v>
      </c>
      <c r="H1311" s="32" t="s">
        <v>4538</v>
      </c>
      <c r="I1311" s="32" t="s">
        <v>1050</v>
      </c>
      <c r="J1311" s="32">
        <v>6199</v>
      </c>
      <c r="K1311" s="32">
        <f>6278+4484+2332+1346+2332+2332+2332+2332+4484+4484+2332+4484+2332+6995+6995+6995+6995+2332+6995+4484</f>
        <v>83675</v>
      </c>
      <c r="L1311" s="32">
        <v>0</v>
      </c>
      <c r="M1311" s="32">
        <v>0</v>
      </c>
      <c r="N1311" s="32">
        <v>1793</v>
      </c>
      <c r="O1311" s="32">
        <v>0</v>
      </c>
      <c r="P1311" s="32">
        <v>0</v>
      </c>
      <c r="Q1311" s="37">
        <f t="shared" si="40"/>
        <v>91667</v>
      </c>
      <c r="R1311" s="69">
        <f t="shared" si="41"/>
        <v>77916.95</v>
      </c>
      <c r="S1311" s="30"/>
      <c r="T1311" s="30"/>
    </row>
    <row r="1312" spans="1:20" ht="45" customHeight="1" x14ac:dyDescent="0.3">
      <c r="A1312" s="31">
        <v>1300</v>
      </c>
      <c r="B1312" s="32" t="s">
        <v>4428</v>
      </c>
      <c r="C1312" s="32" t="s">
        <v>4445</v>
      </c>
      <c r="D1312" s="32" t="s">
        <v>4446</v>
      </c>
      <c r="E1312" s="32">
        <v>1991</v>
      </c>
      <c r="F1312" s="32" t="s">
        <v>19</v>
      </c>
      <c r="G1312" s="32" t="s">
        <v>4539</v>
      </c>
      <c r="H1312" s="32" t="s">
        <v>4539</v>
      </c>
      <c r="I1312" s="32" t="s">
        <v>1465</v>
      </c>
      <c r="J1312" s="32">
        <v>6199</v>
      </c>
      <c r="K1312" s="32">
        <v>0</v>
      </c>
      <c r="L1312" s="32">
        <v>0</v>
      </c>
      <c r="M1312" s="32">
        <v>0</v>
      </c>
      <c r="N1312" s="32">
        <v>0</v>
      </c>
      <c r="O1312" s="32">
        <v>0</v>
      </c>
      <c r="P1312" s="32">
        <v>0</v>
      </c>
      <c r="Q1312" s="37">
        <f t="shared" si="40"/>
        <v>6199</v>
      </c>
      <c r="R1312" s="69">
        <f t="shared" si="41"/>
        <v>5269.15</v>
      </c>
      <c r="S1312" s="30"/>
      <c r="T1312" s="30"/>
    </row>
    <row r="1313" spans="1:20" ht="45" customHeight="1" x14ac:dyDescent="0.3">
      <c r="A1313" s="36">
        <v>1301</v>
      </c>
      <c r="B1313" s="32" t="s">
        <v>4428</v>
      </c>
      <c r="C1313" s="32" t="s">
        <v>4447</v>
      </c>
      <c r="D1313" s="32" t="s">
        <v>4448</v>
      </c>
      <c r="E1313" s="32">
        <v>1985</v>
      </c>
      <c r="F1313" s="32" t="s">
        <v>18</v>
      </c>
      <c r="G1313" s="32" t="s">
        <v>4540</v>
      </c>
      <c r="H1313" s="32" t="s">
        <v>4540</v>
      </c>
      <c r="I1313" s="32" t="s">
        <v>4616</v>
      </c>
      <c r="J1313" s="32">
        <v>6199</v>
      </c>
      <c r="K1313" s="32">
        <f>4484+2332+1346+6278+4484+2332+2332+2332+2332+6995+6995+2332+6995+6995+4484+6995</f>
        <v>70043</v>
      </c>
      <c r="L1313" s="32">
        <v>0</v>
      </c>
      <c r="M1313" s="32">
        <v>0</v>
      </c>
      <c r="N1313" s="32">
        <v>1793</v>
      </c>
      <c r="O1313" s="32">
        <v>0</v>
      </c>
      <c r="P1313" s="32">
        <v>0</v>
      </c>
      <c r="Q1313" s="37">
        <f t="shared" si="40"/>
        <v>78035</v>
      </c>
      <c r="R1313" s="69">
        <f t="shared" si="41"/>
        <v>66329.75</v>
      </c>
      <c r="S1313" s="30"/>
      <c r="T1313" s="30"/>
    </row>
    <row r="1314" spans="1:20" ht="45" customHeight="1" x14ac:dyDescent="0.3">
      <c r="A1314" s="31">
        <v>1302</v>
      </c>
      <c r="B1314" s="32" t="s">
        <v>4428</v>
      </c>
      <c r="C1314" s="32" t="s">
        <v>4449</v>
      </c>
      <c r="D1314" s="32" t="s">
        <v>4450</v>
      </c>
      <c r="E1314" s="32">
        <v>2022</v>
      </c>
      <c r="F1314" s="32" t="s">
        <v>19</v>
      </c>
      <c r="G1314" s="32" t="s">
        <v>4541</v>
      </c>
      <c r="H1314" s="32" t="s">
        <v>4584</v>
      </c>
      <c r="I1314" s="32" t="s">
        <v>267</v>
      </c>
      <c r="J1314" s="32">
        <v>6199</v>
      </c>
      <c r="K1314" s="32">
        <f>1346+6278+4484+4484+2332+2332+2332+2332+2332+2332+6995+6995+2332+6995</f>
        <v>53901</v>
      </c>
      <c r="L1314" s="32">
        <v>0</v>
      </c>
      <c r="M1314" s="32">
        <v>0</v>
      </c>
      <c r="N1314" s="32">
        <f>3148+2088+4053+1178+3362</f>
        <v>13829</v>
      </c>
      <c r="O1314" s="32">
        <v>0</v>
      </c>
      <c r="P1314" s="32">
        <f>720+1080+720+112+60</f>
        <v>2692</v>
      </c>
      <c r="Q1314" s="37">
        <f t="shared" si="40"/>
        <v>76621</v>
      </c>
      <c r="R1314" s="69">
        <f t="shared" si="41"/>
        <v>65127.85</v>
      </c>
      <c r="S1314" s="30"/>
      <c r="T1314" s="30"/>
    </row>
    <row r="1315" spans="1:20" ht="45" customHeight="1" x14ac:dyDescent="0.3">
      <c r="A1315" s="31">
        <v>1303</v>
      </c>
      <c r="B1315" s="32" t="s">
        <v>4428</v>
      </c>
      <c r="C1315" s="32" t="s">
        <v>4451</v>
      </c>
      <c r="D1315" s="32" t="s">
        <v>4452</v>
      </c>
      <c r="E1315" s="32">
        <v>1999</v>
      </c>
      <c r="F1315" s="32" t="s">
        <v>19</v>
      </c>
      <c r="G1315" s="32" t="s">
        <v>4542</v>
      </c>
      <c r="H1315" s="32" t="s">
        <v>4542</v>
      </c>
      <c r="I1315" s="32" t="s">
        <v>4617</v>
      </c>
      <c r="J1315" s="32">
        <v>3582</v>
      </c>
      <c r="K1315" s="32">
        <v>0</v>
      </c>
      <c r="L1315" s="32">
        <v>0</v>
      </c>
      <c r="M1315" s="32">
        <v>0</v>
      </c>
      <c r="N1315" s="32">
        <f>15443+21194+13563</f>
        <v>50200</v>
      </c>
      <c r="O1315" s="32">
        <v>0</v>
      </c>
      <c r="P1315" s="32">
        <v>0</v>
      </c>
      <c r="Q1315" s="37">
        <f t="shared" si="40"/>
        <v>53782</v>
      </c>
      <c r="R1315" s="69">
        <f t="shared" si="41"/>
        <v>45714.7</v>
      </c>
      <c r="S1315" s="30"/>
      <c r="T1315" s="30"/>
    </row>
    <row r="1316" spans="1:20" ht="45" customHeight="1" x14ac:dyDescent="0.3">
      <c r="A1316" s="36">
        <v>1304</v>
      </c>
      <c r="B1316" s="32" t="s">
        <v>4428</v>
      </c>
      <c r="C1316" s="32" t="s">
        <v>4453</v>
      </c>
      <c r="D1316" s="32" t="s">
        <v>4454</v>
      </c>
      <c r="E1316" s="32">
        <v>2018</v>
      </c>
      <c r="F1316" s="32" t="s">
        <v>19</v>
      </c>
      <c r="G1316" s="32" t="s">
        <v>4543</v>
      </c>
      <c r="H1316" s="32" t="s">
        <v>4585</v>
      </c>
      <c r="I1316" s="32" t="s">
        <v>1460</v>
      </c>
      <c r="J1316" s="32">
        <v>3582</v>
      </c>
      <c r="K1316" s="32">
        <v>0</v>
      </c>
      <c r="L1316" s="32">
        <v>0</v>
      </c>
      <c r="M1316" s="32">
        <v>0</v>
      </c>
      <c r="N1316" s="32">
        <f>13563+17918</f>
        <v>31481</v>
      </c>
      <c r="O1316" s="32">
        <v>0</v>
      </c>
      <c r="P1316" s="32">
        <v>0</v>
      </c>
      <c r="Q1316" s="37">
        <f t="shared" si="40"/>
        <v>35063</v>
      </c>
      <c r="R1316" s="69">
        <f t="shared" si="41"/>
        <v>29803.55</v>
      </c>
      <c r="S1316" s="30"/>
      <c r="T1316" s="30"/>
    </row>
    <row r="1317" spans="1:20" ht="45" customHeight="1" x14ac:dyDescent="0.3">
      <c r="A1317" s="31">
        <v>1305</v>
      </c>
      <c r="B1317" s="32" t="s">
        <v>4428</v>
      </c>
      <c r="C1317" s="32" t="s">
        <v>4455</v>
      </c>
      <c r="D1317" s="32" t="s">
        <v>4456</v>
      </c>
      <c r="E1317" s="32">
        <v>1998</v>
      </c>
      <c r="F1317" s="32" t="s">
        <v>19</v>
      </c>
      <c r="G1317" s="32" t="s">
        <v>4544</v>
      </c>
      <c r="H1317" s="32" t="s">
        <v>4586</v>
      </c>
      <c r="I1317" s="32" t="s">
        <v>4618</v>
      </c>
      <c r="J1317" s="32">
        <v>6199</v>
      </c>
      <c r="K1317" s="32">
        <v>0</v>
      </c>
      <c r="L1317" s="32">
        <v>0</v>
      </c>
      <c r="M1317" s="32">
        <v>0</v>
      </c>
      <c r="N1317" s="32">
        <v>0</v>
      </c>
      <c r="O1317" s="32">
        <v>0</v>
      </c>
      <c r="P1317" s="32">
        <v>0</v>
      </c>
      <c r="Q1317" s="37">
        <f t="shared" si="40"/>
        <v>6199</v>
      </c>
      <c r="R1317" s="69">
        <f t="shared" si="41"/>
        <v>5269.15</v>
      </c>
      <c r="S1317" s="30"/>
      <c r="T1317" s="30"/>
    </row>
    <row r="1318" spans="1:20" ht="45" customHeight="1" x14ac:dyDescent="0.3">
      <c r="A1318" s="31">
        <v>1306</v>
      </c>
      <c r="B1318" s="32" t="s">
        <v>4428</v>
      </c>
      <c r="C1318" s="32" t="s">
        <v>4457</v>
      </c>
      <c r="D1318" s="32" t="s">
        <v>4458</v>
      </c>
      <c r="E1318" s="32">
        <v>2024</v>
      </c>
      <c r="F1318" s="32" t="s">
        <v>19</v>
      </c>
      <c r="G1318" s="32" t="s">
        <v>4545</v>
      </c>
      <c r="H1318" s="32" t="s">
        <v>4587</v>
      </c>
      <c r="I1318" s="32" t="s">
        <v>4619</v>
      </c>
      <c r="J1318" s="32">
        <v>6199</v>
      </c>
      <c r="K1318" s="32">
        <f>6278+4484+1346+2332+2332+2332+2332+6995+2332+6995+6995+2332+2332+4484</f>
        <v>53901</v>
      </c>
      <c r="L1318" s="32">
        <v>0</v>
      </c>
      <c r="M1318" s="32">
        <v>0</v>
      </c>
      <c r="N1318" s="32">
        <v>3148</v>
      </c>
      <c r="O1318" s="32">
        <v>0</v>
      </c>
      <c r="P1318" s="32">
        <v>0</v>
      </c>
      <c r="Q1318" s="37">
        <f t="shared" si="40"/>
        <v>63248</v>
      </c>
      <c r="R1318" s="69">
        <f t="shared" si="41"/>
        <v>53760.800000000003</v>
      </c>
      <c r="S1318" s="30"/>
      <c r="T1318" s="30"/>
    </row>
    <row r="1319" spans="1:20" ht="45" customHeight="1" x14ac:dyDescent="0.3">
      <c r="A1319" s="36">
        <v>1307</v>
      </c>
      <c r="B1319" s="32" t="s">
        <v>4428</v>
      </c>
      <c r="C1319" s="32" t="s">
        <v>4459</v>
      </c>
      <c r="D1319" s="32" t="s">
        <v>4460</v>
      </c>
      <c r="E1319" s="32">
        <v>2012</v>
      </c>
      <c r="F1319" s="32" t="s">
        <v>18</v>
      </c>
      <c r="G1319" s="32" t="s">
        <v>4546</v>
      </c>
      <c r="H1319" s="32" t="s">
        <v>4588</v>
      </c>
      <c r="I1319" s="32" t="s">
        <v>268</v>
      </c>
      <c r="J1319" s="32">
        <v>6199</v>
      </c>
      <c r="K1319" s="32">
        <f>6278+4484+6995+2332+2332+2332+3000+3000+1166+2801</f>
        <v>34720</v>
      </c>
      <c r="L1319" s="32">
        <v>0</v>
      </c>
      <c r="M1319" s="32">
        <v>0</v>
      </c>
      <c r="N1319" s="32">
        <v>1793</v>
      </c>
      <c r="O1319" s="32">
        <v>0</v>
      </c>
      <c r="P1319" s="32">
        <v>0</v>
      </c>
      <c r="Q1319" s="37">
        <f t="shared" si="40"/>
        <v>42712</v>
      </c>
      <c r="R1319" s="69">
        <f t="shared" si="41"/>
        <v>36305.199999999997</v>
      </c>
      <c r="S1319" s="30"/>
      <c r="T1319" s="30"/>
    </row>
    <row r="1320" spans="1:20" ht="45" customHeight="1" x14ac:dyDescent="0.3">
      <c r="A1320" s="31">
        <v>1308</v>
      </c>
      <c r="B1320" s="32" t="s">
        <v>4428</v>
      </c>
      <c r="C1320" s="32" t="s">
        <v>4461</v>
      </c>
      <c r="D1320" s="32" t="s">
        <v>4462</v>
      </c>
      <c r="E1320" s="32">
        <v>2011</v>
      </c>
      <c r="F1320" s="32" t="s">
        <v>18</v>
      </c>
      <c r="G1320" s="32" t="s">
        <v>4547</v>
      </c>
      <c r="H1320" s="32" t="s">
        <v>4589</v>
      </c>
      <c r="I1320" s="32" t="s">
        <v>1070</v>
      </c>
      <c r="J1320" s="32">
        <v>6199</v>
      </c>
      <c r="K1320" s="32">
        <v>0</v>
      </c>
      <c r="L1320" s="32">
        <v>0</v>
      </c>
      <c r="M1320" s="32">
        <v>0</v>
      </c>
      <c r="N1320" s="32">
        <v>30758</v>
      </c>
      <c r="O1320" s="32">
        <v>0</v>
      </c>
      <c r="P1320" s="32">
        <v>0</v>
      </c>
      <c r="Q1320" s="37">
        <f t="shared" si="40"/>
        <v>36957</v>
      </c>
      <c r="R1320" s="69">
        <f t="shared" si="41"/>
        <v>31413.45</v>
      </c>
      <c r="S1320" s="30"/>
      <c r="T1320" s="30"/>
    </row>
    <row r="1321" spans="1:20" ht="45" customHeight="1" x14ac:dyDescent="0.3">
      <c r="A1321" s="31">
        <v>1309</v>
      </c>
      <c r="B1321" s="32" t="s">
        <v>4428</v>
      </c>
      <c r="C1321" s="32" t="s">
        <v>4463</v>
      </c>
      <c r="D1321" s="32" t="s">
        <v>4464</v>
      </c>
      <c r="E1321" s="32">
        <v>1989</v>
      </c>
      <c r="F1321" s="32" t="s">
        <v>18</v>
      </c>
      <c r="G1321" s="32" t="s">
        <v>4548</v>
      </c>
      <c r="H1321" s="32" t="s">
        <v>4590</v>
      </c>
      <c r="I1321" s="32" t="s">
        <v>3102</v>
      </c>
      <c r="J1321" s="32">
        <v>6199</v>
      </c>
      <c r="K1321" s="32">
        <f>6278+4484+1346+2332+2332+2332+6995+2332+2332+2332+3228+3000+3000+4484+1166+2801</f>
        <v>50774</v>
      </c>
      <c r="L1321" s="32">
        <v>0</v>
      </c>
      <c r="M1321" s="32">
        <v>0</v>
      </c>
      <c r="N1321" s="32">
        <v>1793</v>
      </c>
      <c r="O1321" s="32">
        <v>0</v>
      </c>
      <c r="P1321" s="32">
        <v>0</v>
      </c>
      <c r="Q1321" s="37">
        <f t="shared" si="40"/>
        <v>58766</v>
      </c>
      <c r="R1321" s="69">
        <f t="shared" si="41"/>
        <v>49951.1</v>
      </c>
      <c r="S1321" s="30"/>
      <c r="T1321" s="30"/>
    </row>
    <row r="1322" spans="1:20" ht="45" customHeight="1" x14ac:dyDescent="0.3">
      <c r="A1322" s="36">
        <v>1310</v>
      </c>
      <c r="B1322" s="32" t="s">
        <v>4428</v>
      </c>
      <c r="C1322" s="32" t="s">
        <v>4465</v>
      </c>
      <c r="D1322" s="32" t="s">
        <v>4466</v>
      </c>
      <c r="E1322" s="32">
        <v>2008</v>
      </c>
      <c r="F1322" s="32" t="s">
        <v>19</v>
      </c>
      <c r="G1322" s="32" t="s">
        <v>4549</v>
      </c>
      <c r="H1322" s="32" t="s">
        <v>4591</v>
      </c>
      <c r="I1322" s="32" t="s">
        <v>4620</v>
      </c>
      <c r="J1322" s="32">
        <v>6199</v>
      </c>
      <c r="K1322" s="32">
        <v>0</v>
      </c>
      <c r="L1322" s="32">
        <v>0</v>
      </c>
      <c r="M1322" s="32">
        <v>0</v>
      </c>
      <c r="N1322" s="32">
        <v>0</v>
      </c>
      <c r="O1322" s="32">
        <v>0</v>
      </c>
      <c r="P1322" s="32">
        <v>0</v>
      </c>
      <c r="Q1322" s="37">
        <f t="shared" si="40"/>
        <v>6199</v>
      </c>
      <c r="R1322" s="69">
        <f t="shared" si="41"/>
        <v>5269.15</v>
      </c>
      <c r="S1322" s="30"/>
      <c r="T1322" s="30"/>
    </row>
    <row r="1323" spans="1:20" ht="45" customHeight="1" x14ac:dyDescent="0.3">
      <c r="A1323" s="31">
        <v>1311</v>
      </c>
      <c r="B1323" s="32" t="s">
        <v>4428</v>
      </c>
      <c r="C1323" s="32" t="s">
        <v>4467</v>
      </c>
      <c r="D1323" s="32" t="s">
        <v>4468</v>
      </c>
      <c r="E1323" s="32">
        <v>2021</v>
      </c>
      <c r="F1323" s="32" t="s">
        <v>18</v>
      </c>
      <c r="G1323" s="32" t="s">
        <v>4550</v>
      </c>
      <c r="H1323" s="32" t="s">
        <v>4592</v>
      </c>
      <c r="I1323" s="32" t="s">
        <v>4621</v>
      </c>
      <c r="J1323" s="32">
        <v>6199</v>
      </c>
      <c r="K1323" s="32">
        <f>6278+4484+1346+2332+2332+2332+2332+2332+6995+6995+2332+6995+4484+2332</f>
        <v>53901</v>
      </c>
      <c r="L1323" s="32">
        <v>0</v>
      </c>
      <c r="M1323" s="32">
        <v>0</v>
      </c>
      <c r="N1323" s="32">
        <v>3148</v>
      </c>
      <c r="O1323" s="32">
        <v>0</v>
      </c>
      <c r="P1323" s="32">
        <v>0</v>
      </c>
      <c r="Q1323" s="37">
        <f t="shared" si="40"/>
        <v>63248</v>
      </c>
      <c r="R1323" s="69">
        <f t="shared" si="41"/>
        <v>53760.800000000003</v>
      </c>
      <c r="S1323" s="30"/>
      <c r="T1323" s="30"/>
    </row>
    <row r="1324" spans="1:20" ht="45" customHeight="1" x14ac:dyDescent="0.3">
      <c r="A1324" s="31">
        <v>1312</v>
      </c>
      <c r="B1324" s="32" t="s">
        <v>4428</v>
      </c>
      <c r="C1324" s="32" t="s">
        <v>4469</v>
      </c>
      <c r="D1324" s="32" t="s">
        <v>4470</v>
      </c>
      <c r="E1324" s="32">
        <v>1975</v>
      </c>
      <c r="F1324" s="32" t="s">
        <v>19</v>
      </c>
      <c r="G1324" s="32" t="s">
        <v>4551</v>
      </c>
      <c r="H1324" s="32" t="s">
        <v>4593</v>
      </c>
      <c r="I1324" s="32" t="s">
        <v>1684</v>
      </c>
      <c r="J1324" s="32">
        <v>6199</v>
      </c>
      <c r="K1324" s="32">
        <f>6278+4484+1346+2332+2332+2332+2332+2332+6995+4484+6995+6995+6995+2332+6995+2332</f>
        <v>67891</v>
      </c>
      <c r="L1324" s="32">
        <v>0</v>
      </c>
      <c r="M1324" s="32">
        <v>0</v>
      </c>
      <c r="N1324" s="32">
        <v>1793</v>
      </c>
      <c r="O1324" s="32">
        <v>0</v>
      </c>
      <c r="P1324" s="32">
        <v>0</v>
      </c>
      <c r="Q1324" s="37">
        <f t="shared" si="40"/>
        <v>75883</v>
      </c>
      <c r="R1324" s="69">
        <f t="shared" si="41"/>
        <v>64500.55</v>
      </c>
      <c r="S1324" s="30"/>
      <c r="T1324" s="30"/>
    </row>
    <row r="1325" spans="1:20" ht="45" customHeight="1" x14ac:dyDescent="0.3">
      <c r="A1325" s="36">
        <v>1313</v>
      </c>
      <c r="B1325" s="32" t="s">
        <v>4428</v>
      </c>
      <c r="C1325" s="32" t="s">
        <v>4471</v>
      </c>
      <c r="D1325" s="32" t="s">
        <v>4472</v>
      </c>
      <c r="E1325" s="32">
        <v>2017</v>
      </c>
      <c r="F1325" s="32" t="s">
        <v>19</v>
      </c>
      <c r="G1325" s="32" t="s">
        <v>4552</v>
      </c>
      <c r="H1325" s="32" t="s">
        <v>4594</v>
      </c>
      <c r="I1325" s="32" t="s">
        <v>289</v>
      </c>
      <c r="J1325" s="32">
        <v>6199</v>
      </c>
      <c r="K1325" s="32">
        <f>1346+6278+4484</f>
        <v>12108</v>
      </c>
      <c r="L1325" s="32">
        <v>0</v>
      </c>
      <c r="M1325" s="32">
        <v>0</v>
      </c>
      <c r="N1325" s="32">
        <v>3148</v>
      </c>
      <c r="O1325" s="32">
        <v>0</v>
      </c>
      <c r="P1325" s="32">
        <v>0</v>
      </c>
      <c r="Q1325" s="37">
        <f t="shared" si="40"/>
        <v>21455</v>
      </c>
      <c r="R1325" s="69">
        <f t="shared" si="41"/>
        <v>18236.75</v>
      </c>
      <c r="S1325" s="30"/>
      <c r="T1325" s="30"/>
    </row>
    <row r="1326" spans="1:20" ht="45" customHeight="1" x14ac:dyDescent="0.3">
      <c r="A1326" s="31">
        <v>1314</v>
      </c>
      <c r="B1326" s="32" t="s">
        <v>4428</v>
      </c>
      <c r="C1326" s="32" t="s">
        <v>4473</v>
      </c>
      <c r="D1326" s="32" t="s">
        <v>4474</v>
      </c>
      <c r="E1326" s="32">
        <v>2022</v>
      </c>
      <c r="F1326" s="32" t="s">
        <v>18</v>
      </c>
      <c r="G1326" s="32" t="s">
        <v>4553</v>
      </c>
      <c r="H1326" s="32" t="s">
        <v>4595</v>
      </c>
      <c r="I1326" s="32" t="s">
        <v>1069</v>
      </c>
      <c r="J1326" s="32">
        <v>6199</v>
      </c>
      <c r="K1326" s="32">
        <f>1346+6278+4484+4484</f>
        <v>16592</v>
      </c>
      <c r="L1326" s="32">
        <v>0</v>
      </c>
      <c r="M1326" s="32">
        <v>0</v>
      </c>
      <c r="N1326" s="32">
        <v>3148</v>
      </c>
      <c r="O1326" s="32">
        <v>0</v>
      </c>
      <c r="P1326" s="32">
        <v>0</v>
      </c>
      <c r="Q1326" s="37">
        <f t="shared" si="40"/>
        <v>25939</v>
      </c>
      <c r="R1326" s="69">
        <f t="shared" si="41"/>
        <v>22048.15</v>
      </c>
      <c r="S1326" s="30"/>
      <c r="T1326" s="30"/>
    </row>
    <row r="1327" spans="1:20" ht="45" customHeight="1" x14ac:dyDescent="0.3">
      <c r="A1327" s="31">
        <v>1315</v>
      </c>
      <c r="B1327" s="32" t="s">
        <v>4428</v>
      </c>
      <c r="C1327" s="32" t="s">
        <v>4475</v>
      </c>
      <c r="D1327" s="32" t="s">
        <v>4476</v>
      </c>
      <c r="E1327" s="32">
        <v>2016</v>
      </c>
      <c r="F1327" s="32" t="s">
        <v>18</v>
      </c>
      <c r="G1327" s="32" t="s">
        <v>4554</v>
      </c>
      <c r="H1327" s="32" t="s">
        <v>473</v>
      </c>
      <c r="I1327" s="32" t="s">
        <v>4622</v>
      </c>
      <c r="J1327" s="32">
        <v>6199</v>
      </c>
      <c r="K1327" s="32">
        <f>6278+4484+1346+2332+2332+2332+2332+2332+6995+6995+2332+6995+4484+2332+1166+2801</f>
        <v>57868</v>
      </c>
      <c r="L1327" s="32">
        <v>0</v>
      </c>
      <c r="M1327" s="32">
        <v>0</v>
      </c>
      <c r="N1327" s="32">
        <v>3148</v>
      </c>
      <c r="O1327" s="32">
        <v>0</v>
      </c>
      <c r="P1327" s="32">
        <v>0</v>
      </c>
      <c r="Q1327" s="37">
        <f t="shared" si="40"/>
        <v>67215</v>
      </c>
      <c r="R1327" s="69">
        <f t="shared" si="41"/>
        <v>57132.75</v>
      </c>
      <c r="S1327" s="30"/>
      <c r="T1327" s="30"/>
    </row>
    <row r="1328" spans="1:20" ht="45" customHeight="1" x14ac:dyDescent="0.3">
      <c r="A1328" s="36">
        <v>1316</v>
      </c>
      <c r="B1328" s="32" t="s">
        <v>4428</v>
      </c>
      <c r="C1328" s="32" t="s">
        <v>4477</v>
      </c>
      <c r="D1328" s="32" t="s">
        <v>4478</v>
      </c>
      <c r="E1328" s="32">
        <v>2024</v>
      </c>
      <c r="F1328" s="32" t="s">
        <v>19</v>
      </c>
      <c r="G1328" s="32" t="s">
        <v>4555</v>
      </c>
      <c r="H1328" s="32" t="s">
        <v>4596</v>
      </c>
      <c r="I1328" s="32" t="s">
        <v>4623</v>
      </c>
      <c r="J1328" s="32">
        <v>6199</v>
      </c>
      <c r="K1328" s="32">
        <v>0</v>
      </c>
      <c r="L1328" s="32">
        <v>0</v>
      </c>
      <c r="M1328" s="32">
        <v>0</v>
      </c>
      <c r="N1328" s="32">
        <v>0</v>
      </c>
      <c r="O1328" s="32">
        <v>0</v>
      </c>
      <c r="P1328" s="32">
        <v>0</v>
      </c>
      <c r="Q1328" s="37">
        <f t="shared" si="40"/>
        <v>6199</v>
      </c>
      <c r="R1328" s="69">
        <f t="shared" si="41"/>
        <v>5269.15</v>
      </c>
      <c r="S1328" s="30"/>
      <c r="T1328" s="30"/>
    </row>
    <row r="1329" spans="1:20" ht="45" customHeight="1" x14ac:dyDescent="0.3">
      <c r="A1329" s="31">
        <v>1317</v>
      </c>
      <c r="B1329" s="32" t="s">
        <v>4428</v>
      </c>
      <c r="C1329" s="32" t="s">
        <v>4479</v>
      </c>
      <c r="D1329" s="32" t="s">
        <v>4480</v>
      </c>
      <c r="E1329" s="32">
        <v>2022</v>
      </c>
      <c r="F1329" s="32" t="s">
        <v>19</v>
      </c>
      <c r="G1329" s="32" t="s">
        <v>4556</v>
      </c>
      <c r="H1329" s="32" t="s">
        <v>4597</v>
      </c>
      <c r="I1329" s="32" t="s">
        <v>3324</v>
      </c>
      <c r="J1329" s="32">
        <v>6199</v>
      </c>
      <c r="K1329" s="32">
        <f>6278+4484+1346+2332+2332+2332+2332+4484+2332+2332+6995+6995+6995</f>
        <v>51569</v>
      </c>
      <c r="L1329" s="32">
        <v>0</v>
      </c>
      <c r="M1329" s="32">
        <v>0</v>
      </c>
      <c r="N1329" s="32">
        <v>3148</v>
      </c>
      <c r="O1329" s="32">
        <v>0</v>
      </c>
      <c r="P1329" s="32">
        <v>0</v>
      </c>
      <c r="Q1329" s="37">
        <f t="shared" si="40"/>
        <v>60916</v>
      </c>
      <c r="R1329" s="69">
        <f t="shared" si="41"/>
        <v>51778.6</v>
      </c>
      <c r="S1329" s="30"/>
      <c r="T1329" s="30"/>
    </row>
    <row r="1330" spans="1:20" ht="45" customHeight="1" x14ac:dyDescent="0.3">
      <c r="A1330" s="31">
        <v>1318</v>
      </c>
      <c r="B1330" s="32" t="s">
        <v>4428</v>
      </c>
      <c r="C1330" s="32" t="s">
        <v>4481</v>
      </c>
      <c r="D1330" s="32" t="s">
        <v>1794</v>
      </c>
      <c r="E1330" s="32">
        <v>1990</v>
      </c>
      <c r="F1330" s="32" t="s">
        <v>18</v>
      </c>
      <c r="G1330" s="32" t="s">
        <v>1842</v>
      </c>
      <c r="H1330" s="32" t="s">
        <v>1842</v>
      </c>
      <c r="I1330" s="32" t="s">
        <v>1903</v>
      </c>
      <c r="J1330" s="32">
        <v>3793</v>
      </c>
      <c r="K1330" s="32">
        <v>0</v>
      </c>
      <c r="L1330" s="32">
        <f>13298+15868</f>
        <v>29166</v>
      </c>
      <c r="M1330" s="32">
        <v>0</v>
      </c>
      <c r="N1330" s="32">
        <v>0</v>
      </c>
      <c r="O1330" s="32">
        <v>0</v>
      </c>
      <c r="P1330" s="32">
        <v>0</v>
      </c>
      <c r="Q1330" s="37">
        <f t="shared" si="40"/>
        <v>32959</v>
      </c>
      <c r="R1330" s="69">
        <f t="shared" si="41"/>
        <v>28015.15</v>
      </c>
      <c r="S1330" s="30"/>
      <c r="T1330" s="30"/>
    </row>
    <row r="1331" spans="1:20" ht="45" customHeight="1" x14ac:dyDescent="0.3">
      <c r="A1331" s="36">
        <v>1319</v>
      </c>
      <c r="B1331" s="32" t="s">
        <v>4428</v>
      </c>
      <c r="C1331" s="32" t="s">
        <v>4482</v>
      </c>
      <c r="D1331" s="32" t="s">
        <v>4483</v>
      </c>
      <c r="E1331" s="32">
        <v>1995</v>
      </c>
      <c r="F1331" s="32" t="s">
        <v>19</v>
      </c>
      <c r="G1331" s="32" t="s">
        <v>4557</v>
      </c>
      <c r="H1331" s="32" t="s">
        <v>4598</v>
      </c>
      <c r="I1331" s="32" t="s">
        <v>1460</v>
      </c>
      <c r="J1331" s="32">
        <v>6199</v>
      </c>
      <c r="K1331" s="32">
        <v>0</v>
      </c>
      <c r="L1331" s="32">
        <v>18406</v>
      </c>
      <c r="M1331" s="32">
        <v>0</v>
      </c>
      <c r="N1331" s="32">
        <v>0</v>
      </c>
      <c r="O1331" s="32">
        <v>0</v>
      </c>
      <c r="P1331" s="32">
        <v>0</v>
      </c>
      <c r="Q1331" s="37">
        <f t="shared" si="40"/>
        <v>24605</v>
      </c>
      <c r="R1331" s="69">
        <f t="shared" si="41"/>
        <v>20914.25</v>
      </c>
      <c r="S1331" s="30"/>
      <c r="T1331" s="30"/>
    </row>
    <row r="1332" spans="1:20" ht="45" customHeight="1" x14ac:dyDescent="0.3">
      <c r="A1332" s="31">
        <v>1320</v>
      </c>
      <c r="B1332" s="32" t="s">
        <v>4428</v>
      </c>
      <c r="C1332" s="32" t="s">
        <v>4484</v>
      </c>
      <c r="D1332" s="32" t="s">
        <v>4485</v>
      </c>
      <c r="E1332" s="32">
        <v>1994</v>
      </c>
      <c r="F1332" s="32" t="s">
        <v>19</v>
      </c>
      <c r="G1332" s="32" t="s">
        <v>4558</v>
      </c>
      <c r="H1332" s="32" t="s">
        <v>4558</v>
      </c>
      <c r="I1332" s="32" t="s">
        <v>1475</v>
      </c>
      <c r="J1332" s="32">
        <v>6199</v>
      </c>
      <c r="K1332" s="32">
        <v>0</v>
      </c>
      <c r="L1332" s="32">
        <v>18406</v>
      </c>
      <c r="M1332" s="32">
        <v>0</v>
      </c>
      <c r="N1332" s="32">
        <v>1681</v>
      </c>
      <c r="O1332" s="32">
        <v>0</v>
      </c>
      <c r="P1332" s="32">
        <v>2400</v>
      </c>
      <c r="Q1332" s="37">
        <f t="shared" si="40"/>
        <v>28686</v>
      </c>
      <c r="R1332" s="69">
        <f t="shared" si="41"/>
        <v>24383.1</v>
      </c>
      <c r="S1332" s="30"/>
      <c r="T1332" s="30"/>
    </row>
    <row r="1333" spans="1:20" ht="45" customHeight="1" x14ac:dyDescent="0.3">
      <c r="A1333" s="31">
        <v>1321</v>
      </c>
      <c r="B1333" s="32" t="s">
        <v>4428</v>
      </c>
      <c r="C1333" s="32" t="s">
        <v>4486</v>
      </c>
      <c r="D1333" s="32" t="s">
        <v>4487</v>
      </c>
      <c r="E1333" s="32">
        <v>1971</v>
      </c>
      <c r="F1333" s="32" t="s">
        <v>18</v>
      </c>
      <c r="G1333" s="32" t="s">
        <v>4559</v>
      </c>
      <c r="H1333" s="32" t="s">
        <v>4559</v>
      </c>
      <c r="I1333" s="32" t="s">
        <v>4624</v>
      </c>
      <c r="J1333" s="32">
        <v>6199</v>
      </c>
      <c r="K1333" s="32">
        <v>0</v>
      </c>
      <c r="L1333" s="32">
        <v>0</v>
      </c>
      <c r="M1333" s="32">
        <v>0</v>
      </c>
      <c r="N1333" s="32">
        <v>0</v>
      </c>
      <c r="O1333" s="32">
        <v>0</v>
      </c>
      <c r="P1333" s="32">
        <v>0</v>
      </c>
      <c r="Q1333" s="37">
        <f t="shared" si="40"/>
        <v>6199</v>
      </c>
      <c r="R1333" s="69">
        <f t="shared" si="41"/>
        <v>5269.15</v>
      </c>
      <c r="S1333" s="30"/>
      <c r="T1333" s="30"/>
    </row>
    <row r="1334" spans="1:20" ht="45" customHeight="1" x14ac:dyDescent="0.3">
      <c r="A1334" s="36">
        <v>1322</v>
      </c>
      <c r="B1334" s="32" t="s">
        <v>4428</v>
      </c>
      <c r="C1334" s="32" t="s">
        <v>4488</v>
      </c>
      <c r="D1334" s="32" t="s">
        <v>4489</v>
      </c>
      <c r="E1334" s="32">
        <v>1993</v>
      </c>
      <c r="F1334" s="32" t="s">
        <v>18</v>
      </c>
      <c r="G1334" s="32" t="s">
        <v>4560</v>
      </c>
      <c r="H1334" s="32" t="s">
        <v>4560</v>
      </c>
      <c r="I1334" s="32" t="s">
        <v>1050</v>
      </c>
      <c r="J1334" s="32">
        <v>6199</v>
      </c>
      <c r="K1334" s="32">
        <f>1346+6278+4484</f>
        <v>12108</v>
      </c>
      <c r="L1334" s="32">
        <v>0</v>
      </c>
      <c r="M1334" s="32">
        <v>0</v>
      </c>
      <c r="N1334" s="32">
        <v>1793</v>
      </c>
      <c r="O1334" s="32">
        <v>0</v>
      </c>
      <c r="P1334" s="32">
        <v>0</v>
      </c>
      <c r="Q1334" s="37">
        <f t="shared" si="40"/>
        <v>20100</v>
      </c>
      <c r="R1334" s="69">
        <f t="shared" si="41"/>
        <v>17085</v>
      </c>
      <c r="S1334" s="30"/>
      <c r="T1334" s="30"/>
    </row>
    <row r="1335" spans="1:20" ht="45" customHeight="1" x14ac:dyDescent="0.3">
      <c r="A1335" s="31">
        <v>1323</v>
      </c>
      <c r="B1335" s="32" t="s">
        <v>4428</v>
      </c>
      <c r="C1335" s="32" t="s">
        <v>4490</v>
      </c>
      <c r="D1335" s="32" t="s">
        <v>4491</v>
      </c>
      <c r="E1335" s="32">
        <v>1990</v>
      </c>
      <c r="F1335" s="32" t="s">
        <v>19</v>
      </c>
      <c r="G1335" s="32" t="s">
        <v>4561</v>
      </c>
      <c r="H1335" s="32" t="s">
        <v>4599</v>
      </c>
      <c r="I1335" s="32" t="s">
        <v>24</v>
      </c>
      <c r="J1335" s="32">
        <v>6199</v>
      </c>
      <c r="K1335" s="32">
        <v>0</v>
      </c>
      <c r="L1335" s="32">
        <v>17279</v>
      </c>
      <c r="M1335" s="32">
        <v>0</v>
      </c>
      <c r="N1335" s="32">
        <v>0</v>
      </c>
      <c r="O1335" s="32">
        <v>0</v>
      </c>
      <c r="P1335" s="32">
        <v>0</v>
      </c>
      <c r="Q1335" s="37">
        <f t="shared" si="40"/>
        <v>23478</v>
      </c>
      <c r="R1335" s="69">
        <f t="shared" si="41"/>
        <v>19956.3</v>
      </c>
      <c r="S1335" s="30"/>
      <c r="T1335" s="30"/>
    </row>
    <row r="1336" spans="1:20" ht="45" customHeight="1" x14ac:dyDescent="0.3">
      <c r="A1336" s="31">
        <v>1324</v>
      </c>
      <c r="B1336" s="32" t="s">
        <v>4428</v>
      </c>
      <c r="C1336" s="32" t="s">
        <v>4492</v>
      </c>
      <c r="D1336" s="32" t="s">
        <v>4493</v>
      </c>
      <c r="E1336" s="32">
        <v>2018</v>
      </c>
      <c r="F1336" s="32" t="s">
        <v>19</v>
      </c>
      <c r="G1336" s="32" t="s">
        <v>4562</v>
      </c>
      <c r="H1336" s="32" t="s">
        <v>4600</v>
      </c>
      <c r="I1336" s="32" t="s">
        <v>857</v>
      </c>
      <c r="J1336" s="32">
        <v>6199</v>
      </c>
      <c r="K1336" s="32">
        <f>1346+6278+4484+4484+2332+2332+2332+6995+6995+2332+6995+1166+2332+2332+2332</f>
        <v>55067</v>
      </c>
      <c r="L1336" s="32">
        <v>17620</v>
      </c>
      <c r="M1336" s="32">
        <v>0</v>
      </c>
      <c r="N1336" s="32">
        <v>3148</v>
      </c>
      <c r="O1336" s="32">
        <v>0</v>
      </c>
      <c r="P1336" s="32">
        <v>0</v>
      </c>
      <c r="Q1336" s="37">
        <f t="shared" si="40"/>
        <v>82034</v>
      </c>
      <c r="R1336" s="69">
        <f t="shared" si="41"/>
        <v>69728.899999999994</v>
      </c>
      <c r="S1336" s="30"/>
      <c r="T1336" s="30"/>
    </row>
    <row r="1337" spans="1:20" ht="45" customHeight="1" x14ac:dyDescent="0.3">
      <c r="A1337" s="36">
        <v>1325</v>
      </c>
      <c r="B1337" s="32" t="s">
        <v>4428</v>
      </c>
      <c r="C1337" s="32" t="s">
        <v>4494</v>
      </c>
      <c r="D1337" s="32" t="s">
        <v>4495</v>
      </c>
      <c r="E1337" s="32">
        <v>2013</v>
      </c>
      <c r="F1337" s="32" t="s">
        <v>18</v>
      </c>
      <c r="G1337" s="32" t="s">
        <v>4563</v>
      </c>
      <c r="H1337" s="32" t="s">
        <v>4601</v>
      </c>
      <c r="I1337" s="32" t="s">
        <v>4618</v>
      </c>
      <c r="J1337" s="32">
        <v>6199</v>
      </c>
      <c r="K1337" s="32">
        <v>0</v>
      </c>
      <c r="L1337" s="32">
        <v>0</v>
      </c>
      <c r="M1337" s="32">
        <v>0</v>
      </c>
      <c r="N1337" s="32">
        <v>0</v>
      </c>
      <c r="O1337" s="32">
        <v>0</v>
      </c>
      <c r="P1337" s="32">
        <v>0</v>
      </c>
      <c r="Q1337" s="37">
        <f t="shared" si="40"/>
        <v>6199</v>
      </c>
      <c r="R1337" s="69">
        <f t="shared" si="41"/>
        <v>5269.15</v>
      </c>
      <c r="S1337" s="30"/>
      <c r="T1337" s="30"/>
    </row>
    <row r="1338" spans="1:20" ht="45" customHeight="1" x14ac:dyDescent="0.3">
      <c r="A1338" s="31">
        <v>1326</v>
      </c>
      <c r="B1338" s="32" t="s">
        <v>4428</v>
      </c>
      <c r="C1338" s="32" t="s">
        <v>4496</v>
      </c>
      <c r="D1338" s="32" t="s">
        <v>4497</v>
      </c>
      <c r="E1338" s="32">
        <v>2022</v>
      </c>
      <c r="F1338" s="32" t="s">
        <v>18</v>
      </c>
      <c r="G1338" s="32" t="s">
        <v>4564</v>
      </c>
      <c r="H1338" s="32" t="s">
        <v>4601</v>
      </c>
      <c r="I1338" s="32" t="s">
        <v>2141</v>
      </c>
      <c r="J1338" s="32">
        <v>6199</v>
      </c>
      <c r="K1338" s="32">
        <v>0</v>
      </c>
      <c r="L1338" s="32">
        <v>0</v>
      </c>
      <c r="M1338" s="32">
        <v>0</v>
      </c>
      <c r="N1338" s="32">
        <v>0</v>
      </c>
      <c r="O1338" s="32">
        <v>0</v>
      </c>
      <c r="P1338" s="32">
        <v>0</v>
      </c>
      <c r="Q1338" s="37">
        <f t="shared" si="40"/>
        <v>6199</v>
      </c>
      <c r="R1338" s="69">
        <f t="shared" si="41"/>
        <v>5269.15</v>
      </c>
      <c r="S1338" s="30"/>
      <c r="T1338" s="30"/>
    </row>
    <row r="1339" spans="1:20" ht="45" customHeight="1" x14ac:dyDescent="0.3">
      <c r="A1339" s="31">
        <v>1327</v>
      </c>
      <c r="B1339" s="32" t="s">
        <v>4428</v>
      </c>
      <c r="C1339" s="32" t="s">
        <v>4498</v>
      </c>
      <c r="D1339" s="32" t="s">
        <v>4499</v>
      </c>
      <c r="E1339" s="32">
        <v>2025</v>
      </c>
      <c r="F1339" s="32" t="s">
        <v>19</v>
      </c>
      <c r="G1339" s="32" t="s">
        <v>4565</v>
      </c>
      <c r="H1339" s="32" t="s">
        <v>4601</v>
      </c>
      <c r="I1339" s="32" t="s">
        <v>1709</v>
      </c>
      <c r="J1339" s="32">
        <v>6199</v>
      </c>
      <c r="K1339" s="32">
        <v>0</v>
      </c>
      <c r="L1339" s="32">
        <v>0</v>
      </c>
      <c r="M1339" s="32">
        <v>0</v>
      </c>
      <c r="N1339" s="32">
        <v>0</v>
      </c>
      <c r="O1339" s="32">
        <v>0</v>
      </c>
      <c r="P1339" s="32">
        <v>0</v>
      </c>
      <c r="Q1339" s="37">
        <f t="shared" si="40"/>
        <v>6199</v>
      </c>
      <c r="R1339" s="69">
        <f t="shared" si="41"/>
        <v>5269.15</v>
      </c>
      <c r="S1339" s="30"/>
      <c r="T1339" s="30"/>
    </row>
    <row r="1340" spans="1:20" ht="45" customHeight="1" x14ac:dyDescent="0.3">
      <c r="A1340" s="36">
        <v>1328</v>
      </c>
      <c r="B1340" s="32" t="s">
        <v>4428</v>
      </c>
      <c r="C1340" s="32" t="s">
        <v>4500</v>
      </c>
      <c r="D1340" s="32" t="s">
        <v>4501</v>
      </c>
      <c r="E1340" s="32">
        <v>2012</v>
      </c>
      <c r="F1340" s="32" t="s">
        <v>19</v>
      </c>
      <c r="G1340" s="32" t="s">
        <v>4566</v>
      </c>
      <c r="H1340" s="32" t="s">
        <v>4602</v>
      </c>
      <c r="I1340" s="32" t="s">
        <v>4625</v>
      </c>
      <c r="J1340" s="32">
        <v>6199</v>
      </c>
      <c r="K1340" s="32">
        <v>0</v>
      </c>
      <c r="L1340" s="32">
        <v>13298</v>
      </c>
      <c r="M1340" s="32">
        <v>0</v>
      </c>
      <c r="N1340" s="32">
        <v>0</v>
      </c>
      <c r="O1340" s="32">
        <v>0</v>
      </c>
      <c r="P1340" s="32">
        <v>0</v>
      </c>
      <c r="Q1340" s="37">
        <f t="shared" si="40"/>
        <v>19497</v>
      </c>
      <c r="R1340" s="69">
        <f t="shared" si="41"/>
        <v>16572.45</v>
      </c>
      <c r="S1340" s="30"/>
      <c r="T1340" s="30"/>
    </row>
    <row r="1341" spans="1:20" ht="45" customHeight="1" x14ac:dyDescent="0.3">
      <c r="A1341" s="31">
        <v>1329</v>
      </c>
      <c r="B1341" s="32" t="s">
        <v>4428</v>
      </c>
      <c r="C1341" s="32" t="s">
        <v>4502</v>
      </c>
      <c r="D1341" s="32" t="s">
        <v>4503</v>
      </c>
      <c r="E1341" s="32">
        <v>1981</v>
      </c>
      <c r="F1341" s="32" t="s">
        <v>18</v>
      </c>
      <c r="G1341" s="32" t="s">
        <v>4567</v>
      </c>
      <c r="H1341" s="32" t="s">
        <v>4603</v>
      </c>
      <c r="I1341" s="32" t="s">
        <v>4626</v>
      </c>
      <c r="J1341" s="32">
        <v>6199</v>
      </c>
      <c r="K1341" s="32">
        <f>6278+4484+2332+2332+2332+6995+2332+2332+2332+3000+3000+4484+4484+2332+4484+1346+1346+3228+2332+2332</f>
        <v>64117</v>
      </c>
      <c r="L1341" s="32">
        <v>0</v>
      </c>
      <c r="M1341" s="32">
        <v>0</v>
      </c>
      <c r="N1341" s="32">
        <v>1793</v>
      </c>
      <c r="O1341" s="32">
        <v>0</v>
      </c>
      <c r="P1341" s="32">
        <v>0</v>
      </c>
      <c r="Q1341" s="37">
        <f t="shared" si="40"/>
        <v>72109</v>
      </c>
      <c r="R1341" s="69">
        <f t="shared" si="41"/>
        <v>61292.65</v>
      </c>
      <c r="S1341" s="30"/>
      <c r="T1341" s="30"/>
    </row>
    <row r="1342" spans="1:20" ht="45" customHeight="1" x14ac:dyDescent="0.3">
      <c r="A1342" s="31">
        <v>1330</v>
      </c>
      <c r="B1342" s="32" t="s">
        <v>4428</v>
      </c>
      <c r="C1342" s="32" t="s">
        <v>4504</v>
      </c>
      <c r="D1342" s="32" t="s">
        <v>4505</v>
      </c>
      <c r="E1342" s="32">
        <v>2018</v>
      </c>
      <c r="F1342" s="32" t="s">
        <v>19</v>
      </c>
      <c r="G1342" s="32" t="s">
        <v>4568</v>
      </c>
      <c r="H1342" s="32" t="s">
        <v>4604</v>
      </c>
      <c r="I1342" s="32" t="s">
        <v>4627</v>
      </c>
      <c r="J1342" s="32">
        <v>6199</v>
      </c>
      <c r="K1342" s="32">
        <f>1346+6278+4484+1166</f>
        <v>13274</v>
      </c>
      <c r="L1342" s="32">
        <v>17620</v>
      </c>
      <c r="M1342" s="32">
        <v>0</v>
      </c>
      <c r="N1342" s="32">
        <v>3148</v>
      </c>
      <c r="O1342" s="32">
        <v>0</v>
      </c>
      <c r="P1342" s="32">
        <v>0</v>
      </c>
      <c r="Q1342" s="37">
        <f t="shared" si="40"/>
        <v>40241</v>
      </c>
      <c r="R1342" s="69">
        <f t="shared" si="41"/>
        <v>34204.85</v>
      </c>
      <c r="S1342" s="30"/>
      <c r="T1342" s="30"/>
    </row>
    <row r="1343" spans="1:20" ht="45" customHeight="1" x14ac:dyDescent="0.3">
      <c r="A1343" s="36">
        <v>1331</v>
      </c>
      <c r="B1343" s="32" t="s">
        <v>4428</v>
      </c>
      <c r="C1343" s="32" t="s">
        <v>4506</v>
      </c>
      <c r="D1343" s="32" t="s">
        <v>3414</v>
      </c>
      <c r="E1343" s="32">
        <v>2003</v>
      </c>
      <c r="F1343" s="32" t="s">
        <v>19</v>
      </c>
      <c r="G1343" s="32" t="s">
        <v>3460</v>
      </c>
      <c r="H1343" s="32" t="s">
        <v>3460</v>
      </c>
      <c r="I1343" s="32" t="s">
        <v>3507</v>
      </c>
      <c r="J1343" s="32">
        <v>6199</v>
      </c>
      <c r="K1343" s="32">
        <v>0</v>
      </c>
      <c r="L1343" s="32">
        <v>17279</v>
      </c>
      <c r="M1343" s="32">
        <v>0</v>
      </c>
      <c r="N1343" s="32">
        <v>0</v>
      </c>
      <c r="O1343" s="32">
        <v>0</v>
      </c>
      <c r="P1343" s="32">
        <v>0</v>
      </c>
      <c r="Q1343" s="37">
        <f t="shared" si="40"/>
        <v>23478</v>
      </c>
      <c r="R1343" s="69">
        <f t="shared" si="41"/>
        <v>19956.3</v>
      </c>
      <c r="S1343" s="30"/>
      <c r="T1343" s="30"/>
    </row>
    <row r="1344" spans="1:20" ht="45" customHeight="1" x14ac:dyDescent="0.3">
      <c r="A1344" s="31">
        <v>1332</v>
      </c>
      <c r="B1344" s="32" t="s">
        <v>4428</v>
      </c>
      <c r="C1344" s="32" t="s">
        <v>4507</v>
      </c>
      <c r="D1344" s="32" t="s">
        <v>4508</v>
      </c>
      <c r="E1344" s="32">
        <v>2023</v>
      </c>
      <c r="F1344" s="32" t="s">
        <v>19</v>
      </c>
      <c r="G1344" s="32" t="s">
        <v>4569</v>
      </c>
      <c r="H1344" s="32" t="s">
        <v>4605</v>
      </c>
      <c r="I1344" s="32" t="s">
        <v>4628</v>
      </c>
      <c r="J1344" s="32">
        <v>6199</v>
      </c>
      <c r="K1344" s="32">
        <v>0</v>
      </c>
      <c r="L1344" s="32">
        <v>13298</v>
      </c>
      <c r="M1344" s="32">
        <v>0</v>
      </c>
      <c r="N1344" s="32">
        <v>0</v>
      </c>
      <c r="O1344" s="32">
        <v>0</v>
      </c>
      <c r="P1344" s="32">
        <v>0</v>
      </c>
      <c r="Q1344" s="37">
        <f t="shared" si="40"/>
        <v>19497</v>
      </c>
      <c r="R1344" s="69">
        <f t="shared" si="41"/>
        <v>16572.45</v>
      </c>
      <c r="S1344" s="30"/>
      <c r="T1344" s="30"/>
    </row>
    <row r="1345" spans="1:20" ht="45" customHeight="1" x14ac:dyDescent="0.3">
      <c r="A1345" s="31">
        <v>1333</v>
      </c>
      <c r="B1345" s="32" t="s">
        <v>4428</v>
      </c>
      <c r="C1345" s="32" t="s">
        <v>4509</v>
      </c>
      <c r="D1345" s="32" t="s">
        <v>4510</v>
      </c>
      <c r="E1345" s="32">
        <v>2000</v>
      </c>
      <c r="F1345" s="32" t="s">
        <v>19</v>
      </c>
      <c r="G1345" s="32" t="s">
        <v>4570</v>
      </c>
      <c r="H1345" s="32" t="s">
        <v>4570</v>
      </c>
      <c r="I1345" s="32" t="s">
        <v>2131</v>
      </c>
      <c r="J1345" s="32">
        <v>6199</v>
      </c>
      <c r="K1345" s="32">
        <v>0</v>
      </c>
      <c r="L1345" s="32">
        <v>18406</v>
      </c>
      <c r="M1345" s="32">
        <v>0</v>
      </c>
      <c r="N1345" s="32">
        <v>0</v>
      </c>
      <c r="O1345" s="32">
        <v>0</v>
      </c>
      <c r="P1345" s="32">
        <v>0</v>
      </c>
      <c r="Q1345" s="37">
        <f t="shared" si="40"/>
        <v>24605</v>
      </c>
      <c r="R1345" s="69">
        <f t="shared" si="41"/>
        <v>20914.25</v>
      </c>
      <c r="S1345" s="30"/>
      <c r="T1345" s="30"/>
    </row>
    <row r="1346" spans="1:20" ht="45" customHeight="1" x14ac:dyDescent="0.3">
      <c r="A1346" s="36">
        <v>1334</v>
      </c>
      <c r="B1346" s="32" t="s">
        <v>4428</v>
      </c>
      <c r="C1346" s="32" t="s">
        <v>4511</v>
      </c>
      <c r="D1346" s="32" t="s">
        <v>4512</v>
      </c>
      <c r="E1346" s="32">
        <v>2004</v>
      </c>
      <c r="F1346" s="32" t="s">
        <v>19</v>
      </c>
      <c r="G1346" s="32" t="s">
        <v>4571</v>
      </c>
      <c r="H1346" s="32" t="s">
        <v>4571</v>
      </c>
      <c r="I1346" s="32" t="s">
        <v>4629</v>
      </c>
      <c r="J1346" s="32">
        <v>6199</v>
      </c>
      <c r="K1346" s="32">
        <f>6278+2332+2332+2332+2332+2332</f>
        <v>17938</v>
      </c>
      <c r="L1346" s="32">
        <v>0</v>
      </c>
      <c r="M1346" s="32">
        <v>0</v>
      </c>
      <c r="N1346" s="32">
        <f>3179+1178+1793</f>
        <v>6150</v>
      </c>
      <c r="O1346" s="32">
        <v>0</v>
      </c>
      <c r="P1346" s="32">
        <f>720+144+720+120+374</f>
        <v>2078</v>
      </c>
      <c r="Q1346" s="37">
        <f t="shared" si="40"/>
        <v>32365</v>
      </c>
      <c r="R1346" s="69">
        <f t="shared" si="41"/>
        <v>27510.25</v>
      </c>
      <c r="S1346" s="30"/>
      <c r="T1346" s="30"/>
    </row>
    <row r="1347" spans="1:20" ht="45" customHeight="1" x14ac:dyDescent="0.3">
      <c r="A1347" s="31">
        <v>1335</v>
      </c>
      <c r="B1347" s="32" t="s">
        <v>4428</v>
      </c>
      <c r="C1347" s="32" t="s">
        <v>4513</v>
      </c>
      <c r="D1347" s="32" t="s">
        <v>4514</v>
      </c>
      <c r="E1347" s="32">
        <v>2023</v>
      </c>
      <c r="F1347" s="32" t="s">
        <v>18</v>
      </c>
      <c r="G1347" s="32" t="s">
        <v>4572</v>
      </c>
      <c r="H1347" s="32" t="s">
        <v>496</v>
      </c>
      <c r="I1347" s="32" t="s">
        <v>580</v>
      </c>
      <c r="J1347" s="32">
        <v>6199</v>
      </c>
      <c r="K1347" s="32">
        <f>6278+4484+1346+2332+2332+2332+2332+2332+6995+6995+2332+6995+2332+4484</f>
        <v>53901</v>
      </c>
      <c r="L1347" s="32">
        <v>0</v>
      </c>
      <c r="M1347" s="32">
        <v>0</v>
      </c>
      <c r="N1347" s="32">
        <v>3148</v>
      </c>
      <c r="O1347" s="32">
        <v>0</v>
      </c>
      <c r="P1347" s="32">
        <v>0</v>
      </c>
      <c r="Q1347" s="35">
        <f t="shared" si="40"/>
        <v>63248</v>
      </c>
      <c r="R1347" s="69">
        <f t="shared" si="41"/>
        <v>53760.800000000003</v>
      </c>
      <c r="S1347" s="30"/>
      <c r="T1347" s="30"/>
    </row>
    <row r="1348" spans="1:20" ht="45" customHeight="1" x14ac:dyDescent="0.3">
      <c r="A1348" s="31">
        <v>1336</v>
      </c>
      <c r="B1348" s="32" t="s">
        <v>4428</v>
      </c>
      <c r="C1348" s="32" t="s">
        <v>4515</v>
      </c>
      <c r="D1348" s="32" t="s">
        <v>4516</v>
      </c>
      <c r="E1348" s="32">
        <v>2013</v>
      </c>
      <c r="F1348" s="32" t="s">
        <v>19</v>
      </c>
      <c r="G1348" s="32" t="s">
        <v>4573</v>
      </c>
      <c r="H1348" s="32" t="s">
        <v>4606</v>
      </c>
      <c r="I1348" s="32" t="s">
        <v>4630</v>
      </c>
      <c r="J1348" s="32">
        <v>6199</v>
      </c>
      <c r="K1348" s="32">
        <f>6278+2332+1346+4484+2332+2332+2332+2332+2332+6995+6995+2332+6995+6995</f>
        <v>56412</v>
      </c>
      <c r="L1348" s="32">
        <v>0</v>
      </c>
      <c r="M1348" s="32">
        <v>0</v>
      </c>
      <c r="N1348" s="32">
        <v>3148</v>
      </c>
      <c r="O1348" s="32">
        <v>0</v>
      </c>
      <c r="P1348" s="32">
        <v>0</v>
      </c>
      <c r="Q1348" s="37">
        <f t="shared" si="40"/>
        <v>65759</v>
      </c>
      <c r="R1348" s="69">
        <f t="shared" si="41"/>
        <v>55895.15</v>
      </c>
      <c r="S1348" s="30"/>
      <c r="T1348" s="30"/>
    </row>
    <row r="1349" spans="1:20" ht="45" customHeight="1" x14ac:dyDescent="0.3">
      <c r="A1349" s="36">
        <v>1337</v>
      </c>
      <c r="B1349" s="32" t="s">
        <v>4428</v>
      </c>
      <c r="C1349" s="32" t="s">
        <v>4517</v>
      </c>
      <c r="D1349" s="32" t="s">
        <v>4518</v>
      </c>
      <c r="E1349" s="32">
        <v>1987</v>
      </c>
      <c r="F1349" s="32" t="s">
        <v>18</v>
      </c>
      <c r="G1349" s="32" t="s">
        <v>4574</v>
      </c>
      <c r="H1349" s="32" t="s">
        <v>4574</v>
      </c>
      <c r="I1349" s="32" t="s">
        <v>4631</v>
      </c>
      <c r="J1349" s="32">
        <v>6199</v>
      </c>
      <c r="K1349" s="32">
        <f>6278+2332+1346+4484+2332+2332+2332+2332+6995+6995+6995+2332+6995+2332+6995+4484</f>
        <v>67891</v>
      </c>
      <c r="L1349" s="32">
        <v>0</v>
      </c>
      <c r="M1349" s="32">
        <v>0</v>
      </c>
      <c r="N1349" s="32">
        <v>1793</v>
      </c>
      <c r="O1349" s="32">
        <v>0</v>
      </c>
      <c r="P1349" s="32">
        <v>0</v>
      </c>
      <c r="Q1349" s="37">
        <f t="shared" si="40"/>
        <v>75883</v>
      </c>
      <c r="R1349" s="69">
        <f t="shared" si="41"/>
        <v>64500.55</v>
      </c>
      <c r="S1349" s="30"/>
      <c r="T1349" s="30"/>
    </row>
    <row r="1350" spans="1:20" ht="45" customHeight="1" x14ac:dyDescent="0.3">
      <c r="A1350" s="31">
        <v>1338</v>
      </c>
      <c r="B1350" s="32" t="s">
        <v>4428</v>
      </c>
      <c r="C1350" s="32" t="s">
        <v>4519</v>
      </c>
      <c r="D1350" s="32" t="s">
        <v>4520</v>
      </c>
      <c r="E1350" s="32">
        <v>1980</v>
      </c>
      <c r="F1350" s="32" t="s">
        <v>18</v>
      </c>
      <c r="G1350" s="32" t="s">
        <v>4575</v>
      </c>
      <c r="H1350" s="32" t="s">
        <v>4575</v>
      </c>
      <c r="I1350" s="32" t="s">
        <v>272</v>
      </c>
      <c r="J1350" s="32">
        <v>6199</v>
      </c>
      <c r="K1350" s="32">
        <v>0</v>
      </c>
      <c r="L1350" s="32">
        <v>0</v>
      </c>
      <c r="M1350" s="32">
        <v>0</v>
      </c>
      <c r="N1350" s="32">
        <v>0</v>
      </c>
      <c r="O1350" s="32">
        <v>0</v>
      </c>
      <c r="P1350" s="32">
        <v>0</v>
      </c>
      <c r="Q1350" s="37">
        <f t="shared" si="40"/>
        <v>6199</v>
      </c>
      <c r="R1350" s="69">
        <f t="shared" si="41"/>
        <v>5269.15</v>
      </c>
      <c r="S1350" s="30"/>
      <c r="T1350" s="30"/>
    </row>
    <row r="1351" spans="1:20" ht="45" customHeight="1" x14ac:dyDescent="0.3">
      <c r="A1351" s="31">
        <v>1339</v>
      </c>
      <c r="B1351" s="32" t="s">
        <v>4428</v>
      </c>
      <c r="C1351" s="32" t="s">
        <v>4521</v>
      </c>
      <c r="D1351" s="32" t="s">
        <v>1364</v>
      </c>
      <c r="E1351" s="32">
        <v>1977</v>
      </c>
      <c r="F1351" s="32" t="s">
        <v>18</v>
      </c>
      <c r="G1351" s="32" t="s">
        <v>1420</v>
      </c>
      <c r="H1351" s="32" t="s">
        <v>1453</v>
      </c>
      <c r="I1351" s="32" t="s">
        <v>1481</v>
      </c>
      <c r="J1351" s="32">
        <v>3793</v>
      </c>
      <c r="K1351" s="32">
        <v>0</v>
      </c>
      <c r="L1351" s="32">
        <v>0</v>
      </c>
      <c r="M1351" s="32">
        <v>0</v>
      </c>
      <c r="N1351" s="32">
        <v>1681</v>
      </c>
      <c r="O1351" s="32">
        <v>0</v>
      </c>
      <c r="P1351" s="32">
        <f>240+56</f>
        <v>296</v>
      </c>
      <c r="Q1351" s="37">
        <f t="shared" si="40"/>
        <v>5770</v>
      </c>
      <c r="R1351" s="69">
        <f t="shared" si="41"/>
        <v>4904.5</v>
      </c>
      <c r="S1351" s="30"/>
      <c r="T1351" s="30"/>
    </row>
    <row r="1352" spans="1:20" ht="45" customHeight="1" x14ac:dyDescent="0.3">
      <c r="A1352" s="36">
        <v>1340</v>
      </c>
      <c r="B1352" s="32" t="s">
        <v>4428</v>
      </c>
      <c r="C1352" s="32" t="s">
        <v>4522</v>
      </c>
      <c r="D1352" s="32" t="s">
        <v>4523</v>
      </c>
      <c r="E1352" s="32">
        <v>2021</v>
      </c>
      <c r="F1352" s="32" t="s">
        <v>18</v>
      </c>
      <c r="G1352" s="32" t="s">
        <v>4576</v>
      </c>
      <c r="H1352" s="32" t="s">
        <v>4607</v>
      </c>
      <c r="I1352" s="32" t="s">
        <v>4632</v>
      </c>
      <c r="J1352" s="32">
        <v>6199</v>
      </c>
      <c r="K1352" s="32">
        <f>1346+6278+4484+4484+2332+2332+2332+2332+2332+2332+6995+6995+2332+6995</f>
        <v>53901</v>
      </c>
      <c r="L1352" s="32">
        <v>0</v>
      </c>
      <c r="M1352" s="32">
        <v>0</v>
      </c>
      <c r="N1352" s="32">
        <v>3148</v>
      </c>
      <c r="O1352" s="32">
        <v>0</v>
      </c>
      <c r="P1352" s="32">
        <v>0</v>
      </c>
      <c r="Q1352" s="37">
        <f t="shared" si="40"/>
        <v>63248</v>
      </c>
      <c r="R1352" s="69">
        <f t="shared" si="41"/>
        <v>53760.800000000003</v>
      </c>
      <c r="S1352" s="30"/>
      <c r="T1352" s="30"/>
    </row>
    <row r="1353" spans="1:20" ht="45" customHeight="1" x14ac:dyDescent="0.3">
      <c r="A1353" s="31">
        <v>1341</v>
      </c>
      <c r="B1353" s="32" t="s">
        <v>4428</v>
      </c>
      <c r="C1353" s="32" t="s">
        <v>4524</v>
      </c>
      <c r="D1353" s="32" t="s">
        <v>4525</v>
      </c>
      <c r="E1353" s="32">
        <v>2018</v>
      </c>
      <c r="F1353" s="32" t="s">
        <v>19</v>
      </c>
      <c r="G1353" s="32" t="s">
        <v>4577</v>
      </c>
      <c r="H1353" s="32" t="s">
        <v>4608</v>
      </c>
      <c r="I1353" s="32" t="s">
        <v>4632</v>
      </c>
      <c r="J1353" s="32">
        <v>6199</v>
      </c>
      <c r="K1353" s="32">
        <v>0</v>
      </c>
      <c r="L1353" s="32">
        <v>0</v>
      </c>
      <c r="M1353" s="32">
        <v>0</v>
      </c>
      <c r="N1353" s="32">
        <v>0</v>
      </c>
      <c r="O1353" s="32">
        <v>0</v>
      </c>
      <c r="P1353" s="32">
        <v>0</v>
      </c>
      <c r="Q1353" s="37">
        <f t="shared" si="40"/>
        <v>6199</v>
      </c>
      <c r="R1353" s="69">
        <f t="shared" si="41"/>
        <v>5269.15</v>
      </c>
      <c r="S1353" s="30"/>
      <c r="T1353" s="30"/>
    </row>
    <row r="1354" spans="1:20" ht="45" customHeight="1" x14ac:dyDescent="0.3">
      <c r="A1354" s="31">
        <v>1342</v>
      </c>
      <c r="B1354" s="32" t="s">
        <v>4428</v>
      </c>
      <c r="C1354" s="32" t="s">
        <v>4526</v>
      </c>
      <c r="D1354" s="32" t="s">
        <v>4527</v>
      </c>
      <c r="E1354" s="32">
        <v>2025</v>
      </c>
      <c r="F1354" s="32" t="s">
        <v>18</v>
      </c>
      <c r="G1354" s="32" t="s">
        <v>4578</v>
      </c>
      <c r="H1354" s="32" t="s">
        <v>4609</v>
      </c>
      <c r="I1354" s="32" t="s">
        <v>576</v>
      </c>
      <c r="J1354" s="32">
        <v>6199</v>
      </c>
      <c r="K1354" s="32">
        <v>0</v>
      </c>
      <c r="L1354" s="32">
        <v>0</v>
      </c>
      <c r="M1354" s="32">
        <v>0</v>
      </c>
      <c r="N1354" s="32">
        <v>0</v>
      </c>
      <c r="O1354" s="32">
        <v>0</v>
      </c>
      <c r="P1354" s="32">
        <v>0</v>
      </c>
      <c r="Q1354" s="37">
        <f t="shared" si="40"/>
        <v>6199</v>
      </c>
      <c r="R1354" s="69">
        <f t="shared" si="41"/>
        <v>5269.15</v>
      </c>
      <c r="S1354" s="30"/>
      <c r="T1354" s="30"/>
    </row>
    <row r="1355" spans="1:20" ht="45" customHeight="1" x14ac:dyDescent="0.3">
      <c r="A1355" s="36">
        <v>1343</v>
      </c>
      <c r="B1355" s="32" t="s">
        <v>4428</v>
      </c>
      <c r="C1355" s="32" t="s">
        <v>4528</v>
      </c>
      <c r="D1355" s="32" t="s">
        <v>4529</v>
      </c>
      <c r="E1355" s="32">
        <v>2022</v>
      </c>
      <c r="F1355" s="32" t="s">
        <v>19</v>
      </c>
      <c r="G1355" s="32" t="s">
        <v>4579</v>
      </c>
      <c r="H1355" s="32" t="s">
        <v>4610</v>
      </c>
      <c r="I1355" s="32" t="s">
        <v>4633</v>
      </c>
      <c r="J1355" s="32">
        <v>6199</v>
      </c>
      <c r="K1355" s="32">
        <f>1346+6278+4484</f>
        <v>12108</v>
      </c>
      <c r="L1355" s="32">
        <v>0</v>
      </c>
      <c r="M1355" s="32">
        <v>0</v>
      </c>
      <c r="N1355" s="32">
        <v>3148</v>
      </c>
      <c r="O1355" s="32">
        <v>0</v>
      </c>
      <c r="P1355" s="32">
        <v>0</v>
      </c>
      <c r="Q1355" s="37">
        <f t="shared" si="40"/>
        <v>21455</v>
      </c>
      <c r="R1355" s="69">
        <f t="shared" si="41"/>
        <v>18236.75</v>
      </c>
      <c r="S1355" s="30"/>
      <c r="T1355" s="30"/>
    </row>
    <row r="1356" spans="1:20" ht="45" customHeight="1" x14ac:dyDescent="0.3">
      <c r="A1356" s="31">
        <v>1344</v>
      </c>
      <c r="B1356" s="32" t="s">
        <v>4428</v>
      </c>
      <c r="C1356" s="32" t="s">
        <v>4530</v>
      </c>
      <c r="D1356" s="32" t="s">
        <v>2251</v>
      </c>
      <c r="E1356" s="32">
        <v>1993</v>
      </c>
      <c r="F1356" s="32" t="s">
        <v>19</v>
      </c>
      <c r="G1356" s="32" t="s">
        <v>2364</v>
      </c>
      <c r="H1356" s="32" t="s">
        <v>2364</v>
      </c>
      <c r="I1356" s="32" t="s">
        <v>2465</v>
      </c>
      <c r="J1356" s="32">
        <v>3793</v>
      </c>
      <c r="K1356" s="32">
        <f>4484+1166+2332+2332+2332+3228+6278</f>
        <v>22152</v>
      </c>
      <c r="L1356" s="32">
        <v>0</v>
      </c>
      <c r="M1356" s="32">
        <v>0</v>
      </c>
      <c r="N1356" s="32">
        <v>1793</v>
      </c>
      <c r="O1356" s="32">
        <v>0</v>
      </c>
      <c r="P1356" s="32">
        <v>0</v>
      </c>
      <c r="Q1356" s="37">
        <f t="shared" si="40"/>
        <v>27738</v>
      </c>
      <c r="R1356" s="69">
        <f t="shared" si="41"/>
        <v>23577.3</v>
      </c>
      <c r="S1356" s="30"/>
      <c r="T1356" s="30"/>
    </row>
    <row r="1357" spans="1:20" ht="45" customHeight="1" x14ac:dyDescent="0.3">
      <c r="A1357" s="31">
        <v>1345</v>
      </c>
      <c r="B1357" s="32" t="s">
        <v>4428</v>
      </c>
      <c r="C1357" s="32" t="s">
        <v>7274</v>
      </c>
      <c r="D1357" s="34" t="s">
        <v>6393</v>
      </c>
      <c r="E1357" s="32">
        <v>2021</v>
      </c>
      <c r="F1357" s="32" t="s">
        <v>18</v>
      </c>
      <c r="G1357" s="32" t="s">
        <v>6394</v>
      </c>
      <c r="H1357" s="32" t="s">
        <v>6395</v>
      </c>
      <c r="I1357" s="32" t="s">
        <v>539</v>
      </c>
      <c r="J1357" s="32">
        <v>2900</v>
      </c>
      <c r="K1357" s="32">
        <v>0</v>
      </c>
      <c r="L1357" s="32">
        <v>0</v>
      </c>
      <c r="M1357" s="32">
        <v>17688</v>
      </c>
      <c r="N1357" s="32">
        <v>2088</v>
      </c>
      <c r="O1357" s="32">
        <v>0</v>
      </c>
      <c r="P1357" s="32">
        <f>1080+168</f>
        <v>1248</v>
      </c>
      <c r="Q1357" s="37">
        <f t="shared" ref="Q1357:Q1420" si="42">SUM(J1357:P1357)</f>
        <v>23924</v>
      </c>
      <c r="R1357" s="69">
        <f t="shared" si="41"/>
        <v>20335.400000000001</v>
      </c>
      <c r="S1357" s="30"/>
      <c r="T1357" s="30"/>
    </row>
    <row r="1358" spans="1:20" ht="45" customHeight="1" x14ac:dyDescent="0.3">
      <c r="A1358" s="36">
        <v>1346</v>
      </c>
      <c r="B1358" s="32" t="s">
        <v>4428</v>
      </c>
      <c r="C1358" s="32" t="s">
        <v>7275</v>
      </c>
      <c r="D1358" s="34" t="s">
        <v>3346</v>
      </c>
      <c r="E1358" s="32">
        <v>2019</v>
      </c>
      <c r="F1358" s="32" t="s">
        <v>19</v>
      </c>
      <c r="G1358" s="32" t="s">
        <v>3428</v>
      </c>
      <c r="H1358" s="32" t="s">
        <v>3466</v>
      </c>
      <c r="I1358" s="32" t="s">
        <v>3495</v>
      </c>
      <c r="J1358" s="32">
        <v>2900</v>
      </c>
      <c r="K1358" s="32">
        <v>0</v>
      </c>
      <c r="L1358" s="32">
        <v>0</v>
      </c>
      <c r="M1358" s="32">
        <v>0</v>
      </c>
      <c r="N1358" s="32">
        <v>2088</v>
      </c>
      <c r="O1358" s="32">
        <v>0</v>
      </c>
      <c r="P1358" s="32">
        <f>360+56</f>
        <v>416</v>
      </c>
      <c r="Q1358" s="37">
        <f t="shared" si="42"/>
        <v>5404</v>
      </c>
      <c r="R1358" s="69">
        <f t="shared" ref="R1358:R1421" si="43">Q1358*85/100</f>
        <v>4593.3999999999996</v>
      </c>
      <c r="S1358" s="30"/>
      <c r="T1358" s="30"/>
    </row>
    <row r="1359" spans="1:20" ht="45" customHeight="1" x14ac:dyDescent="0.3">
      <c r="A1359" s="31">
        <v>1347</v>
      </c>
      <c r="B1359" s="32" t="s">
        <v>4428</v>
      </c>
      <c r="C1359" s="32" t="s">
        <v>7276</v>
      </c>
      <c r="D1359" s="34" t="s">
        <v>3556</v>
      </c>
      <c r="E1359" s="32">
        <v>2024</v>
      </c>
      <c r="F1359" s="32" t="s">
        <v>18</v>
      </c>
      <c r="G1359" s="32" t="s">
        <v>3640</v>
      </c>
      <c r="H1359" s="32" t="s">
        <v>3597</v>
      </c>
      <c r="I1359" s="32" t="s">
        <v>1704</v>
      </c>
      <c r="J1359" s="32">
        <v>2900</v>
      </c>
      <c r="K1359" s="32">
        <v>0</v>
      </c>
      <c r="L1359" s="32">
        <v>0</v>
      </c>
      <c r="M1359" s="32">
        <v>0</v>
      </c>
      <c r="N1359" s="32">
        <v>2088</v>
      </c>
      <c r="O1359" s="32">
        <v>0</v>
      </c>
      <c r="P1359" s="32">
        <f>360+56</f>
        <v>416</v>
      </c>
      <c r="Q1359" s="37">
        <f t="shared" si="42"/>
        <v>5404</v>
      </c>
      <c r="R1359" s="69">
        <f t="shared" si="43"/>
        <v>4593.3999999999996</v>
      </c>
      <c r="S1359" s="30"/>
      <c r="T1359" s="30"/>
    </row>
    <row r="1360" spans="1:20" ht="45" customHeight="1" x14ac:dyDescent="0.3">
      <c r="A1360" s="31">
        <v>1348</v>
      </c>
      <c r="B1360" s="32" t="s">
        <v>4428</v>
      </c>
      <c r="C1360" s="32" t="s">
        <v>7277</v>
      </c>
      <c r="D1360" s="34" t="s">
        <v>4246</v>
      </c>
      <c r="E1360" s="32">
        <v>2020</v>
      </c>
      <c r="F1360" s="32" t="s">
        <v>19</v>
      </c>
      <c r="G1360" s="32" t="s">
        <v>4340</v>
      </c>
      <c r="H1360" s="32" t="s">
        <v>4381</v>
      </c>
      <c r="I1360" s="32" t="s">
        <v>1702</v>
      </c>
      <c r="J1360" s="32">
        <v>2900</v>
      </c>
      <c r="K1360" s="32">
        <v>0</v>
      </c>
      <c r="L1360" s="32">
        <v>0</v>
      </c>
      <c r="M1360" s="32">
        <v>0</v>
      </c>
      <c r="N1360" s="32">
        <v>2088</v>
      </c>
      <c r="O1360" s="32">
        <v>0</v>
      </c>
      <c r="P1360" s="32">
        <f>360+56</f>
        <v>416</v>
      </c>
      <c r="Q1360" s="37">
        <f t="shared" si="42"/>
        <v>5404</v>
      </c>
      <c r="R1360" s="69">
        <f t="shared" si="43"/>
        <v>4593.3999999999996</v>
      </c>
      <c r="S1360" s="30"/>
      <c r="T1360" s="30"/>
    </row>
    <row r="1361" spans="1:20" ht="45" customHeight="1" x14ac:dyDescent="0.3">
      <c r="A1361" s="36">
        <v>1349</v>
      </c>
      <c r="B1361" s="32" t="s">
        <v>4634</v>
      </c>
      <c r="C1361" s="32" t="s">
        <v>4635</v>
      </c>
      <c r="D1361" s="32" t="s">
        <v>4636</v>
      </c>
      <c r="E1361" s="32">
        <v>2008</v>
      </c>
      <c r="F1361" s="32" t="s">
        <v>19</v>
      </c>
      <c r="G1361" s="32" t="s">
        <v>4773</v>
      </c>
      <c r="H1361" s="32" t="s">
        <v>4832</v>
      </c>
      <c r="I1361" s="32" t="s">
        <v>253</v>
      </c>
      <c r="J1361" s="32">
        <v>6199</v>
      </c>
      <c r="K1361" s="32">
        <v>0</v>
      </c>
      <c r="L1361" s="32">
        <v>0</v>
      </c>
      <c r="M1361" s="32">
        <v>0</v>
      </c>
      <c r="N1361" s="32">
        <f>1178+3179</f>
        <v>4357</v>
      </c>
      <c r="O1361" s="32">
        <v>0</v>
      </c>
      <c r="P1361" s="32">
        <f>1440+288+1440</f>
        <v>3168</v>
      </c>
      <c r="Q1361" s="37">
        <f t="shared" si="42"/>
        <v>13724</v>
      </c>
      <c r="R1361" s="69">
        <f t="shared" si="43"/>
        <v>11665.4</v>
      </c>
      <c r="S1361" s="30"/>
      <c r="T1361" s="30"/>
    </row>
    <row r="1362" spans="1:20" ht="45" customHeight="1" x14ac:dyDescent="0.3">
      <c r="A1362" s="31">
        <v>1350</v>
      </c>
      <c r="B1362" s="32" t="s">
        <v>4634</v>
      </c>
      <c r="C1362" s="32" t="s">
        <v>4637</v>
      </c>
      <c r="D1362" s="32" t="s">
        <v>4638</v>
      </c>
      <c r="E1362" s="32">
        <v>2023</v>
      </c>
      <c r="F1362" s="32" t="s">
        <v>18</v>
      </c>
      <c r="G1362" s="32" t="s">
        <v>4774</v>
      </c>
      <c r="H1362" s="32" t="s">
        <v>1614</v>
      </c>
      <c r="I1362" s="32" t="s">
        <v>4861</v>
      </c>
      <c r="J1362" s="32">
        <v>6199</v>
      </c>
      <c r="K1362" s="32">
        <f>6278+4484+1346+2332+2332+2332+2332+2332+6995+6995+6995+2332+2332+4484</f>
        <v>53901</v>
      </c>
      <c r="L1362" s="32">
        <v>0</v>
      </c>
      <c r="M1362" s="32">
        <v>0</v>
      </c>
      <c r="N1362" s="32">
        <v>3148</v>
      </c>
      <c r="O1362" s="32">
        <v>0</v>
      </c>
      <c r="P1362" s="32">
        <v>0</v>
      </c>
      <c r="Q1362" s="35">
        <f t="shared" si="42"/>
        <v>63248</v>
      </c>
      <c r="R1362" s="69">
        <f t="shared" si="43"/>
        <v>53760.800000000003</v>
      </c>
      <c r="S1362" s="30"/>
      <c r="T1362" s="30"/>
    </row>
    <row r="1363" spans="1:20" ht="45" customHeight="1" x14ac:dyDescent="0.3">
      <c r="A1363" s="31">
        <v>1351</v>
      </c>
      <c r="B1363" s="32" t="s">
        <v>4634</v>
      </c>
      <c r="C1363" s="32" t="s">
        <v>4637</v>
      </c>
      <c r="D1363" s="32" t="s">
        <v>4638</v>
      </c>
      <c r="E1363" s="32">
        <v>2023</v>
      </c>
      <c r="F1363" s="32" t="s">
        <v>18</v>
      </c>
      <c r="G1363" s="32" t="s">
        <v>4774</v>
      </c>
      <c r="H1363" s="32" t="s">
        <v>1614</v>
      </c>
      <c r="I1363" s="32" t="s">
        <v>4861</v>
      </c>
      <c r="J1363" s="32">
        <v>0</v>
      </c>
      <c r="K1363" s="32">
        <v>0</v>
      </c>
      <c r="L1363" s="32">
        <v>0</v>
      </c>
      <c r="M1363" s="32">
        <v>0</v>
      </c>
      <c r="N1363" s="32">
        <f>1178+4053+2088</f>
        <v>7319</v>
      </c>
      <c r="O1363" s="32">
        <v>0</v>
      </c>
      <c r="P1363" s="32">
        <f>720+1080+360+56+1200</f>
        <v>3416</v>
      </c>
      <c r="Q1363" s="35">
        <f t="shared" si="42"/>
        <v>10735</v>
      </c>
      <c r="R1363" s="69">
        <f t="shared" si="43"/>
        <v>9124.75</v>
      </c>
      <c r="S1363" s="30"/>
      <c r="T1363" s="30"/>
    </row>
    <row r="1364" spans="1:20" ht="45" customHeight="1" x14ac:dyDescent="0.3">
      <c r="A1364" s="36">
        <v>1352</v>
      </c>
      <c r="B1364" s="32" t="s">
        <v>4634</v>
      </c>
      <c r="C1364" s="32" t="s">
        <v>4637</v>
      </c>
      <c r="D1364" s="32" t="s">
        <v>4638</v>
      </c>
      <c r="E1364" s="32">
        <v>2023</v>
      </c>
      <c r="F1364" s="32" t="s">
        <v>18</v>
      </c>
      <c r="G1364" s="32" t="s">
        <v>4774</v>
      </c>
      <c r="H1364" s="32" t="s">
        <v>1614</v>
      </c>
      <c r="I1364" s="32" t="s">
        <v>4861</v>
      </c>
      <c r="J1364" s="32">
        <v>0</v>
      </c>
      <c r="K1364" s="32">
        <v>0</v>
      </c>
      <c r="L1364" s="32">
        <v>0</v>
      </c>
      <c r="M1364" s="32">
        <v>17688</v>
      </c>
      <c r="N1364" s="32">
        <v>0</v>
      </c>
      <c r="O1364" s="32">
        <v>0</v>
      </c>
      <c r="P1364" s="32">
        <f>360+56</f>
        <v>416</v>
      </c>
      <c r="Q1364" s="35">
        <f t="shared" si="42"/>
        <v>18104</v>
      </c>
      <c r="R1364" s="69">
        <f t="shared" si="43"/>
        <v>15388.4</v>
      </c>
      <c r="S1364" s="30"/>
      <c r="T1364" s="30"/>
    </row>
    <row r="1365" spans="1:20" ht="45" customHeight="1" x14ac:dyDescent="0.3">
      <c r="A1365" s="31">
        <v>1353</v>
      </c>
      <c r="B1365" s="32" t="s">
        <v>4634</v>
      </c>
      <c r="C1365" s="32" t="s">
        <v>4639</v>
      </c>
      <c r="D1365" s="32" t="s">
        <v>4640</v>
      </c>
      <c r="E1365" s="32">
        <v>1989</v>
      </c>
      <c r="F1365" s="32" t="s">
        <v>19</v>
      </c>
      <c r="G1365" s="32" t="s">
        <v>4775</v>
      </c>
      <c r="H1365" s="32" t="s">
        <v>4775</v>
      </c>
      <c r="I1365" s="32" t="s">
        <v>560</v>
      </c>
      <c r="J1365" s="32">
        <v>6199</v>
      </c>
      <c r="K1365" s="32">
        <f>6278+4484+2332+1346+2332+2332+2332+2332+6995+2332+6995+6995+2332+6995+6995+3228+3000+3000</f>
        <v>72635</v>
      </c>
      <c r="L1365" s="32">
        <v>0</v>
      </c>
      <c r="M1365" s="32">
        <v>0</v>
      </c>
      <c r="N1365" s="32">
        <v>1793</v>
      </c>
      <c r="O1365" s="32">
        <v>0</v>
      </c>
      <c r="P1365" s="32">
        <v>0</v>
      </c>
      <c r="Q1365" s="35">
        <f t="shared" si="42"/>
        <v>80627</v>
      </c>
      <c r="R1365" s="69">
        <f t="shared" si="43"/>
        <v>68532.95</v>
      </c>
      <c r="S1365" s="30"/>
      <c r="T1365" s="30"/>
    </row>
    <row r="1366" spans="1:20" ht="45" customHeight="1" x14ac:dyDescent="0.3">
      <c r="A1366" s="31">
        <v>1354</v>
      </c>
      <c r="B1366" s="32" t="s">
        <v>4634</v>
      </c>
      <c r="C1366" s="32" t="s">
        <v>4641</v>
      </c>
      <c r="D1366" s="32" t="s">
        <v>74</v>
      </c>
      <c r="E1366" s="32">
        <v>1993</v>
      </c>
      <c r="F1366" s="32" t="s">
        <v>18</v>
      </c>
      <c r="G1366" s="32" t="s">
        <v>166</v>
      </c>
      <c r="H1366" s="32" t="s">
        <v>222</v>
      </c>
      <c r="I1366" s="32" t="s">
        <v>265</v>
      </c>
      <c r="J1366" s="32">
        <v>3793</v>
      </c>
      <c r="K1366" s="32">
        <v>0</v>
      </c>
      <c r="L1366" s="32">
        <v>0</v>
      </c>
      <c r="M1366" s="32">
        <v>0</v>
      </c>
      <c r="N1366" s="32">
        <f>34016+27380</f>
        <v>61396</v>
      </c>
      <c r="O1366" s="32">
        <v>0</v>
      </c>
      <c r="P1366" s="32">
        <v>0</v>
      </c>
      <c r="Q1366" s="37">
        <f t="shared" si="42"/>
        <v>65189</v>
      </c>
      <c r="R1366" s="69">
        <f t="shared" si="43"/>
        <v>55410.65</v>
      </c>
      <c r="S1366" s="30"/>
      <c r="T1366" s="30"/>
    </row>
    <row r="1367" spans="1:20" ht="45" customHeight="1" x14ac:dyDescent="0.3">
      <c r="A1367" s="36">
        <v>1355</v>
      </c>
      <c r="B1367" s="32" t="s">
        <v>4634</v>
      </c>
      <c r="C1367" s="32" t="s">
        <v>4642</v>
      </c>
      <c r="D1367" s="32" t="s">
        <v>4643</v>
      </c>
      <c r="E1367" s="32">
        <v>1995</v>
      </c>
      <c r="F1367" s="32" t="s">
        <v>19</v>
      </c>
      <c r="G1367" s="32" t="s">
        <v>4776</v>
      </c>
      <c r="H1367" s="32" t="s">
        <v>4776</v>
      </c>
      <c r="I1367" s="32" t="s">
        <v>4862</v>
      </c>
      <c r="J1367" s="32">
        <v>6199</v>
      </c>
      <c r="K1367" s="32">
        <f>2332+2332+2243</f>
        <v>6907</v>
      </c>
      <c r="L1367" s="32">
        <v>17279</v>
      </c>
      <c r="M1367" s="32">
        <v>0</v>
      </c>
      <c r="N1367" s="32">
        <v>0</v>
      </c>
      <c r="O1367" s="32">
        <v>0</v>
      </c>
      <c r="P1367" s="32">
        <v>0</v>
      </c>
      <c r="Q1367" s="37">
        <f t="shared" si="42"/>
        <v>30385</v>
      </c>
      <c r="R1367" s="69">
        <f t="shared" si="43"/>
        <v>25827.25</v>
      </c>
      <c r="S1367" s="30"/>
      <c r="T1367" s="30"/>
    </row>
    <row r="1368" spans="1:20" ht="45" customHeight="1" x14ac:dyDescent="0.3">
      <c r="A1368" s="31">
        <v>1356</v>
      </c>
      <c r="B1368" s="32" t="s">
        <v>4634</v>
      </c>
      <c r="C1368" s="32" t="s">
        <v>4644</v>
      </c>
      <c r="D1368" s="32" t="s">
        <v>4645</v>
      </c>
      <c r="E1368" s="32">
        <v>2023</v>
      </c>
      <c r="F1368" s="32" t="s">
        <v>19</v>
      </c>
      <c r="G1368" s="32" t="s">
        <v>4777</v>
      </c>
      <c r="H1368" s="32" t="s">
        <v>4833</v>
      </c>
      <c r="I1368" s="32" t="s">
        <v>4863</v>
      </c>
      <c r="J1368" s="32">
        <v>6199</v>
      </c>
      <c r="K1368" s="32">
        <f>6278+4484+2332+1346+2332+2332+2332+2332+6995+6995+6995+2332+4484+2332</f>
        <v>53901</v>
      </c>
      <c r="L1368" s="32">
        <v>0</v>
      </c>
      <c r="M1368" s="32">
        <v>0</v>
      </c>
      <c r="N1368" s="32">
        <v>3148</v>
      </c>
      <c r="O1368" s="32">
        <v>0</v>
      </c>
      <c r="P1368" s="32">
        <v>0</v>
      </c>
      <c r="Q1368" s="37">
        <f t="shared" si="42"/>
        <v>63248</v>
      </c>
      <c r="R1368" s="69">
        <f t="shared" si="43"/>
        <v>53760.800000000003</v>
      </c>
      <c r="S1368" s="30"/>
      <c r="T1368" s="30"/>
    </row>
    <row r="1369" spans="1:20" ht="45" customHeight="1" x14ac:dyDescent="0.3">
      <c r="A1369" s="31">
        <v>1357</v>
      </c>
      <c r="B1369" s="32" t="s">
        <v>4634</v>
      </c>
      <c r="C1369" s="32" t="s">
        <v>4646</v>
      </c>
      <c r="D1369" s="32" t="s">
        <v>4647</v>
      </c>
      <c r="E1369" s="32">
        <v>2010</v>
      </c>
      <c r="F1369" s="32" t="s">
        <v>18</v>
      </c>
      <c r="G1369" s="32" t="s">
        <v>4778</v>
      </c>
      <c r="H1369" s="32" t="s">
        <v>1433</v>
      </c>
      <c r="I1369" s="32" t="s">
        <v>1460</v>
      </c>
      <c r="J1369" s="32">
        <v>6199</v>
      </c>
      <c r="K1369" s="32">
        <f>6278+4484+2332+2332+2332+2332+3000+3000+2332+2332+2332+1346+1166+4484</f>
        <v>40082</v>
      </c>
      <c r="L1369" s="32">
        <v>0</v>
      </c>
      <c r="M1369" s="32">
        <v>0</v>
      </c>
      <c r="N1369" s="32">
        <v>1793</v>
      </c>
      <c r="O1369" s="32">
        <v>0</v>
      </c>
      <c r="P1369" s="32">
        <v>0</v>
      </c>
      <c r="Q1369" s="37">
        <f t="shared" si="42"/>
        <v>48074</v>
      </c>
      <c r="R1369" s="69">
        <f t="shared" si="43"/>
        <v>40862.9</v>
      </c>
      <c r="S1369" s="30"/>
      <c r="T1369" s="30"/>
    </row>
    <row r="1370" spans="1:20" ht="45" customHeight="1" x14ac:dyDescent="0.3">
      <c r="A1370" s="36">
        <v>1358</v>
      </c>
      <c r="B1370" s="32" t="s">
        <v>4634</v>
      </c>
      <c r="C1370" s="32" t="s">
        <v>4648</v>
      </c>
      <c r="D1370" s="32" t="s">
        <v>4649</v>
      </c>
      <c r="E1370" s="32">
        <v>2021</v>
      </c>
      <c r="F1370" s="32" t="s">
        <v>19</v>
      </c>
      <c r="G1370" s="32" t="s">
        <v>4779</v>
      </c>
      <c r="H1370" s="32" t="s">
        <v>4834</v>
      </c>
      <c r="I1370" s="32" t="s">
        <v>4864</v>
      </c>
      <c r="J1370" s="32">
        <v>6199</v>
      </c>
      <c r="K1370" s="32">
        <f>6278+4484+1346+2332+4484+2332+2332+2332+2332+2332+1166+6995+6995+2332+6995</f>
        <v>55067</v>
      </c>
      <c r="L1370" s="32">
        <v>0</v>
      </c>
      <c r="M1370" s="32">
        <v>0</v>
      </c>
      <c r="N1370" s="32">
        <v>3148</v>
      </c>
      <c r="O1370" s="32">
        <v>0</v>
      </c>
      <c r="P1370" s="32">
        <v>0</v>
      </c>
      <c r="Q1370" s="37">
        <f t="shared" si="42"/>
        <v>64414</v>
      </c>
      <c r="R1370" s="69">
        <f t="shared" si="43"/>
        <v>54751.9</v>
      </c>
      <c r="S1370" s="30"/>
      <c r="T1370" s="30"/>
    </row>
    <row r="1371" spans="1:20" ht="45" customHeight="1" x14ac:dyDescent="0.3">
      <c r="A1371" s="31">
        <v>1359</v>
      </c>
      <c r="B1371" s="32" t="s">
        <v>4634</v>
      </c>
      <c r="C1371" s="32" t="s">
        <v>4650</v>
      </c>
      <c r="D1371" s="32" t="s">
        <v>4651</v>
      </c>
      <c r="E1371" s="32">
        <v>1960</v>
      </c>
      <c r="F1371" s="32" t="s">
        <v>19</v>
      </c>
      <c r="G1371" s="32" t="s">
        <v>4780</v>
      </c>
      <c r="H1371" s="32" t="s">
        <v>4835</v>
      </c>
      <c r="I1371" s="32" t="s">
        <v>276</v>
      </c>
      <c r="J1371" s="32">
        <v>6199</v>
      </c>
      <c r="K1371" s="32">
        <f>6278+4484+1346+2332+2332+2332+2332+2332</f>
        <v>23768</v>
      </c>
      <c r="L1371" s="32">
        <v>0</v>
      </c>
      <c r="M1371" s="32">
        <v>0</v>
      </c>
      <c r="N1371" s="32">
        <f>1793+3179+1178+1681+30758</f>
        <v>38589</v>
      </c>
      <c r="O1371" s="32">
        <v>0</v>
      </c>
      <c r="P1371" s="32">
        <f>720+360+1200</f>
        <v>2280</v>
      </c>
      <c r="Q1371" s="35">
        <f t="shared" si="42"/>
        <v>70836</v>
      </c>
      <c r="R1371" s="69">
        <f t="shared" si="43"/>
        <v>60210.6</v>
      </c>
      <c r="S1371" s="30"/>
      <c r="T1371" s="30"/>
    </row>
    <row r="1372" spans="1:20" ht="45" customHeight="1" x14ac:dyDescent="0.3">
      <c r="A1372" s="31">
        <v>1360</v>
      </c>
      <c r="B1372" s="32" t="s">
        <v>4634</v>
      </c>
      <c r="C1372" s="32" t="s">
        <v>4650</v>
      </c>
      <c r="D1372" s="32" t="s">
        <v>4651</v>
      </c>
      <c r="E1372" s="32">
        <v>1960</v>
      </c>
      <c r="F1372" s="32" t="s">
        <v>2635</v>
      </c>
      <c r="G1372" s="32" t="s">
        <v>4780</v>
      </c>
      <c r="H1372" s="32" t="s">
        <v>4835</v>
      </c>
      <c r="I1372" s="32" t="s">
        <v>276</v>
      </c>
      <c r="J1372" s="32">
        <v>0</v>
      </c>
      <c r="K1372" s="32">
        <v>0</v>
      </c>
      <c r="L1372" s="32">
        <v>0</v>
      </c>
      <c r="M1372" s="32">
        <v>17688</v>
      </c>
      <c r="N1372" s="32">
        <v>30758</v>
      </c>
      <c r="O1372" s="32">
        <v>0</v>
      </c>
      <c r="P1372" s="32">
        <f>624+112</f>
        <v>736</v>
      </c>
      <c r="Q1372" s="35">
        <f t="shared" si="42"/>
        <v>49182</v>
      </c>
      <c r="R1372" s="69">
        <f t="shared" si="43"/>
        <v>41804.699999999997</v>
      </c>
      <c r="S1372" s="30"/>
      <c r="T1372" s="30"/>
    </row>
    <row r="1373" spans="1:20" ht="45" customHeight="1" x14ac:dyDescent="0.3">
      <c r="A1373" s="36">
        <v>1361</v>
      </c>
      <c r="B1373" s="32" t="s">
        <v>4634</v>
      </c>
      <c r="C1373" s="32" t="s">
        <v>4652</v>
      </c>
      <c r="D1373" s="32" t="s">
        <v>3356</v>
      </c>
      <c r="E1373" s="32">
        <v>2015</v>
      </c>
      <c r="F1373" s="32" t="s">
        <v>19</v>
      </c>
      <c r="G1373" s="32" t="s">
        <v>3433</v>
      </c>
      <c r="H1373" s="32" t="s">
        <v>3471</v>
      </c>
      <c r="I1373" s="32" t="s">
        <v>3497</v>
      </c>
      <c r="J1373" s="32">
        <v>3582</v>
      </c>
      <c r="K1373" s="32">
        <v>0</v>
      </c>
      <c r="L1373" s="32">
        <v>0</v>
      </c>
      <c r="M1373" s="32">
        <v>0</v>
      </c>
      <c r="N1373" s="32">
        <f>34016+19239</f>
        <v>53255</v>
      </c>
      <c r="O1373" s="32">
        <v>0</v>
      </c>
      <c r="P1373" s="32">
        <v>0</v>
      </c>
      <c r="Q1373" s="37">
        <f t="shared" si="42"/>
        <v>56837</v>
      </c>
      <c r="R1373" s="69">
        <f t="shared" si="43"/>
        <v>48311.45</v>
      </c>
      <c r="S1373" s="30"/>
      <c r="T1373" s="30"/>
    </row>
    <row r="1374" spans="1:20" ht="45" customHeight="1" x14ac:dyDescent="0.3">
      <c r="A1374" s="31">
        <v>1362</v>
      </c>
      <c r="B1374" s="32" t="s">
        <v>4634</v>
      </c>
      <c r="C1374" s="32" t="s">
        <v>4653</v>
      </c>
      <c r="D1374" s="34">
        <v>10096752</v>
      </c>
      <c r="E1374" s="32">
        <v>1968</v>
      </c>
      <c r="F1374" s="32" t="s">
        <v>19</v>
      </c>
      <c r="G1374" s="32" t="s">
        <v>4781</v>
      </c>
      <c r="H1374" s="32" t="s">
        <v>4781</v>
      </c>
      <c r="I1374" s="32" t="s">
        <v>268</v>
      </c>
      <c r="J1374" s="32">
        <v>6199</v>
      </c>
      <c r="K1374" s="32">
        <v>0</v>
      </c>
      <c r="L1374" s="32">
        <v>0</v>
      </c>
      <c r="M1374" s="32">
        <v>0</v>
      </c>
      <c r="N1374" s="32">
        <v>0</v>
      </c>
      <c r="O1374" s="32">
        <v>0</v>
      </c>
      <c r="P1374" s="32">
        <v>0</v>
      </c>
      <c r="Q1374" s="37">
        <f t="shared" si="42"/>
        <v>6199</v>
      </c>
      <c r="R1374" s="69">
        <f t="shared" si="43"/>
        <v>5269.15</v>
      </c>
      <c r="S1374" s="30"/>
      <c r="T1374" s="30"/>
    </row>
    <row r="1375" spans="1:20" ht="45" customHeight="1" x14ac:dyDescent="0.3">
      <c r="A1375" s="31">
        <v>1363</v>
      </c>
      <c r="B1375" s="32" t="s">
        <v>4634</v>
      </c>
      <c r="C1375" s="32" t="s">
        <v>4654</v>
      </c>
      <c r="D1375" s="32" t="s">
        <v>4655</v>
      </c>
      <c r="E1375" s="32">
        <v>2010</v>
      </c>
      <c r="F1375" s="32" t="s">
        <v>18</v>
      </c>
      <c r="G1375" s="32" t="s">
        <v>4782</v>
      </c>
      <c r="H1375" s="32" t="s">
        <v>4836</v>
      </c>
      <c r="I1375" s="32" t="s">
        <v>27</v>
      </c>
      <c r="J1375" s="32">
        <v>6199</v>
      </c>
      <c r="K1375" s="32">
        <v>0</v>
      </c>
      <c r="L1375" s="32">
        <v>0</v>
      </c>
      <c r="M1375" s="32">
        <v>0</v>
      </c>
      <c r="N1375" s="32">
        <v>0</v>
      </c>
      <c r="O1375" s="32">
        <v>0</v>
      </c>
      <c r="P1375" s="32">
        <v>0</v>
      </c>
      <c r="Q1375" s="37">
        <f t="shared" si="42"/>
        <v>6199</v>
      </c>
      <c r="R1375" s="69">
        <f t="shared" si="43"/>
        <v>5269.15</v>
      </c>
      <c r="S1375" s="30"/>
      <c r="T1375" s="30"/>
    </row>
    <row r="1376" spans="1:20" ht="45" customHeight="1" x14ac:dyDescent="0.3">
      <c r="A1376" s="36">
        <v>1364</v>
      </c>
      <c r="B1376" s="32" t="s">
        <v>4634</v>
      </c>
      <c r="C1376" s="32" t="s">
        <v>4656</v>
      </c>
      <c r="D1376" s="32" t="s">
        <v>4657</v>
      </c>
      <c r="E1376" s="32">
        <v>2016</v>
      </c>
      <c r="F1376" s="32" t="s">
        <v>18</v>
      </c>
      <c r="G1376" s="32" t="s">
        <v>4783</v>
      </c>
      <c r="H1376" s="32" t="s">
        <v>4837</v>
      </c>
      <c r="I1376" s="32" t="s">
        <v>3505</v>
      </c>
      <c r="J1376" s="32">
        <v>6199</v>
      </c>
      <c r="K1376" s="32">
        <f>6278+4484+1346+4484+2332+2332+1166+2332+2332+2332+2332+6995+6995+2332+3000+3000</f>
        <v>54072</v>
      </c>
      <c r="L1376" s="32">
        <v>0</v>
      </c>
      <c r="M1376" s="32">
        <v>0</v>
      </c>
      <c r="N1376" s="32">
        <v>3148</v>
      </c>
      <c r="O1376" s="32">
        <v>0</v>
      </c>
      <c r="P1376" s="32">
        <v>0</v>
      </c>
      <c r="Q1376" s="37">
        <f t="shared" si="42"/>
        <v>63419</v>
      </c>
      <c r="R1376" s="69">
        <f t="shared" si="43"/>
        <v>53906.15</v>
      </c>
      <c r="S1376" s="30"/>
      <c r="T1376" s="30"/>
    </row>
    <row r="1377" spans="1:20" ht="45" customHeight="1" x14ac:dyDescent="0.3">
      <c r="A1377" s="31">
        <v>1365</v>
      </c>
      <c r="B1377" s="32" t="s">
        <v>4634</v>
      </c>
      <c r="C1377" s="32" t="s">
        <v>4658</v>
      </c>
      <c r="D1377" s="32" t="s">
        <v>3358</v>
      </c>
      <c r="E1377" s="32">
        <v>2020</v>
      </c>
      <c r="F1377" s="32" t="s">
        <v>18</v>
      </c>
      <c r="G1377" s="32" t="s">
        <v>3434</v>
      </c>
      <c r="H1377" s="32" t="s">
        <v>3472</v>
      </c>
      <c r="I1377" s="32" t="s">
        <v>1483</v>
      </c>
      <c r="J1377" s="32">
        <v>3793</v>
      </c>
      <c r="K1377" s="32">
        <v>0</v>
      </c>
      <c r="L1377" s="32">
        <v>0</v>
      </c>
      <c r="M1377" s="32">
        <v>0</v>
      </c>
      <c r="N1377" s="32">
        <f>15443+33601</f>
        <v>49044</v>
      </c>
      <c r="O1377" s="32">
        <v>0</v>
      </c>
      <c r="P1377" s="32">
        <v>0</v>
      </c>
      <c r="Q1377" s="37">
        <f t="shared" si="42"/>
        <v>52837</v>
      </c>
      <c r="R1377" s="69">
        <f t="shared" si="43"/>
        <v>44911.45</v>
      </c>
      <c r="S1377" s="30"/>
      <c r="T1377" s="30"/>
    </row>
    <row r="1378" spans="1:20" ht="45" customHeight="1" x14ac:dyDescent="0.3">
      <c r="A1378" s="31">
        <v>1366</v>
      </c>
      <c r="B1378" s="32" t="s">
        <v>4634</v>
      </c>
      <c r="C1378" s="32" t="s">
        <v>4659</v>
      </c>
      <c r="D1378" s="32" t="s">
        <v>4660</v>
      </c>
      <c r="E1378" s="32">
        <v>1982</v>
      </c>
      <c r="F1378" s="32" t="s">
        <v>19</v>
      </c>
      <c r="G1378" s="32" t="s">
        <v>4784</v>
      </c>
      <c r="H1378" s="32" t="s">
        <v>4784</v>
      </c>
      <c r="I1378" s="32" t="s">
        <v>856</v>
      </c>
      <c r="J1378" s="32">
        <v>6199</v>
      </c>
      <c r="K1378" s="32">
        <v>0</v>
      </c>
      <c r="L1378" s="32">
        <v>0</v>
      </c>
      <c r="M1378" s="32">
        <v>0</v>
      </c>
      <c r="N1378" s="32">
        <v>0</v>
      </c>
      <c r="O1378" s="32">
        <v>0</v>
      </c>
      <c r="P1378" s="32">
        <v>0</v>
      </c>
      <c r="Q1378" s="37">
        <f t="shared" si="42"/>
        <v>6199</v>
      </c>
      <c r="R1378" s="69">
        <f t="shared" si="43"/>
        <v>5269.15</v>
      </c>
      <c r="S1378" s="30"/>
      <c r="T1378" s="30"/>
    </row>
    <row r="1379" spans="1:20" ht="45" customHeight="1" x14ac:dyDescent="0.3">
      <c r="A1379" s="36">
        <v>1367</v>
      </c>
      <c r="B1379" s="32" t="s">
        <v>4634</v>
      </c>
      <c r="C1379" s="32" t="s">
        <v>4661</v>
      </c>
      <c r="D1379" s="32" t="s">
        <v>4662</v>
      </c>
      <c r="E1379" s="32">
        <v>2013</v>
      </c>
      <c r="F1379" s="32" t="s">
        <v>19</v>
      </c>
      <c r="G1379" s="32" t="s">
        <v>4785</v>
      </c>
      <c r="H1379" s="32" t="s">
        <v>4838</v>
      </c>
      <c r="I1379" s="32" t="s">
        <v>856</v>
      </c>
      <c r="J1379" s="32">
        <v>3582</v>
      </c>
      <c r="K1379" s="32">
        <v>0</v>
      </c>
      <c r="L1379" s="32">
        <v>0</v>
      </c>
      <c r="M1379" s="32">
        <v>0</v>
      </c>
      <c r="N1379" s="32">
        <f>19239+34016</f>
        <v>53255</v>
      </c>
      <c r="O1379" s="32">
        <v>0</v>
      </c>
      <c r="P1379" s="32">
        <v>0</v>
      </c>
      <c r="Q1379" s="37">
        <f t="shared" si="42"/>
        <v>56837</v>
      </c>
      <c r="R1379" s="69">
        <f t="shared" si="43"/>
        <v>48311.45</v>
      </c>
      <c r="S1379" s="30"/>
      <c r="T1379" s="30"/>
    </row>
    <row r="1380" spans="1:20" ht="45" customHeight="1" x14ac:dyDescent="0.3">
      <c r="A1380" s="31">
        <v>1368</v>
      </c>
      <c r="B1380" s="32" t="s">
        <v>4634</v>
      </c>
      <c r="C1380" s="32" t="s">
        <v>4663</v>
      </c>
      <c r="D1380" s="32" t="s">
        <v>4664</v>
      </c>
      <c r="E1380" s="32">
        <v>2022</v>
      </c>
      <c r="F1380" s="32" t="s">
        <v>18</v>
      </c>
      <c r="G1380" s="32" t="s">
        <v>4786</v>
      </c>
      <c r="H1380" s="32" t="s">
        <v>504</v>
      </c>
      <c r="I1380" s="32" t="s">
        <v>544</v>
      </c>
      <c r="J1380" s="32">
        <v>6199</v>
      </c>
      <c r="K1380" s="32">
        <f>6278+4484+1346+4484+2332+2332+2332+2332+2332+2332+1166+6995+6995+2332+6995</f>
        <v>55067</v>
      </c>
      <c r="L1380" s="32">
        <v>0</v>
      </c>
      <c r="M1380" s="32">
        <v>0</v>
      </c>
      <c r="N1380" s="32">
        <v>3148</v>
      </c>
      <c r="O1380" s="32">
        <v>0</v>
      </c>
      <c r="P1380" s="32">
        <v>0</v>
      </c>
      <c r="Q1380" s="37">
        <f t="shared" si="42"/>
        <v>64414</v>
      </c>
      <c r="R1380" s="69">
        <f t="shared" si="43"/>
        <v>54751.9</v>
      </c>
      <c r="S1380" s="30"/>
      <c r="T1380" s="30"/>
    </row>
    <row r="1381" spans="1:20" ht="45" customHeight="1" x14ac:dyDescent="0.3">
      <c r="A1381" s="31">
        <v>1369</v>
      </c>
      <c r="B1381" s="32" t="s">
        <v>4634</v>
      </c>
      <c r="C1381" s="32" t="s">
        <v>4665</v>
      </c>
      <c r="D1381" s="32" t="s">
        <v>1139</v>
      </c>
      <c r="E1381" s="32">
        <v>1989</v>
      </c>
      <c r="F1381" s="32" t="s">
        <v>19</v>
      </c>
      <c r="G1381" s="32" t="s">
        <v>4787</v>
      </c>
      <c r="H1381" s="32" t="s">
        <v>817</v>
      </c>
      <c r="I1381" s="32" t="s">
        <v>1272</v>
      </c>
      <c r="J1381" s="32">
        <v>6199</v>
      </c>
      <c r="K1381" s="32">
        <v>0</v>
      </c>
      <c r="L1381" s="32">
        <v>18406</v>
      </c>
      <c r="M1381" s="32">
        <v>0</v>
      </c>
      <c r="N1381" s="32">
        <v>0</v>
      </c>
      <c r="O1381" s="32">
        <v>0</v>
      </c>
      <c r="P1381" s="32">
        <v>0</v>
      </c>
      <c r="Q1381" s="37">
        <f t="shared" si="42"/>
        <v>24605</v>
      </c>
      <c r="R1381" s="69">
        <f t="shared" si="43"/>
        <v>20914.25</v>
      </c>
      <c r="S1381" s="30"/>
      <c r="T1381" s="30"/>
    </row>
    <row r="1382" spans="1:20" ht="45" customHeight="1" x14ac:dyDescent="0.3">
      <c r="A1382" s="36">
        <v>1370</v>
      </c>
      <c r="B1382" s="32" t="s">
        <v>4634</v>
      </c>
      <c r="C1382" s="32" t="s">
        <v>4666</v>
      </c>
      <c r="D1382" s="32" t="s">
        <v>1786</v>
      </c>
      <c r="E1382" s="32">
        <v>2019</v>
      </c>
      <c r="F1382" s="32" t="s">
        <v>19</v>
      </c>
      <c r="G1382" s="32" t="s">
        <v>1839</v>
      </c>
      <c r="H1382" s="32" t="s">
        <v>817</v>
      </c>
      <c r="I1382" s="32" t="s">
        <v>1272</v>
      </c>
      <c r="J1382" s="32">
        <v>6199</v>
      </c>
      <c r="K1382" s="32">
        <f>6278+4484+1346+4484+2332+1166+2332+2332+2332+2332+2332+2332+2332+6995+6995+2332+6995</f>
        <v>59731</v>
      </c>
      <c r="L1382" s="32">
        <v>0</v>
      </c>
      <c r="M1382" s="32">
        <v>0</v>
      </c>
      <c r="N1382" s="32">
        <v>3148</v>
      </c>
      <c r="O1382" s="32">
        <v>0</v>
      </c>
      <c r="P1382" s="32">
        <v>0</v>
      </c>
      <c r="Q1382" s="37">
        <f t="shared" si="42"/>
        <v>69078</v>
      </c>
      <c r="R1382" s="69">
        <f t="shared" si="43"/>
        <v>58716.3</v>
      </c>
      <c r="S1382" s="30"/>
      <c r="T1382" s="30"/>
    </row>
    <row r="1383" spans="1:20" ht="45" customHeight="1" x14ac:dyDescent="0.3">
      <c r="A1383" s="31">
        <v>1371</v>
      </c>
      <c r="B1383" s="32" t="s">
        <v>4634</v>
      </c>
      <c r="C1383" s="32" t="s">
        <v>4667</v>
      </c>
      <c r="D1383" s="32" t="s">
        <v>4668</v>
      </c>
      <c r="E1383" s="32">
        <v>2019</v>
      </c>
      <c r="F1383" s="32" t="s">
        <v>18</v>
      </c>
      <c r="G1383" s="32" t="s">
        <v>4788</v>
      </c>
      <c r="H1383" s="32" t="s">
        <v>4839</v>
      </c>
      <c r="I1383" s="32" t="s">
        <v>4865</v>
      </c>
      <c r="J1383" s="32">
        <v>6199</v>
      </c>
      <c r="K1383" s="32">
        <v>0</v>
      </c>
      <c r="L1383" s="32">
        <v>0</v>
      </c>
      <c r="M1383" s="32">
        <v>0</v>
      </c>
      <c r="N1383" s="32">
        <v>0</v>
      </c>
      <c r="O1383" s="32">
        <v>0</v>
      </c>
      <c r="P1383" s="32">
        <v>0</v>
      </c>
      <c r="Q1383" s="37">
        <f t="shared" si="42"/>
        <v>6199</v>
      </c>
      <c r="R1383" s="69">
        <f t="shared" si="43"/>
        <v>5269.15</v>
      </c>
      <c r="S1383" s="30"/>
      <c r="T1383" s="30"/>
    </row>
    <row r="1384" spans="1:20" ht="45" customHeight="1" x14ac:dyDescent="0.3">
      <c r="A1384" s="31">
        <v>1372</v>
      </c>
      <c r="B1384" s="32" t="s">
        <v>4634</v>
      </c>
      <c r="C1384" s="32" t="s">
        <v>4669</v>
      </c>
      <c r="D1384" s="32" t="s">
        <v>4670</v>
      </c>
      <c r="E1384" s="32">
        <v>1980</v>
      </c>
      <c r="F1384" s="32" t="s">
        <v>19</v>
      </c>
      <c r="G1384" s="32" t="s">
        <v>4789</v>
      </c>
      <c r="H1384" s="32" t="s">
        <v>4839</v>
      </c>
      <c r="I1384" s="32" t="s">
        <v>4866</v>
      </c>
      <c r="J1384" s="32">
        <v>3582</v>
      </c>
      <c r="K1384" s="32">
        <v>0</v>
      </c>
      <c r="L1384" s="32">
        <v>0</v>
      </c>
      <c r="M1384" s="32">
        <v>0</v>
      </c>
      <c r="N1384" s="32">
        <f>34016+27380</f>
        <v>61396</v>
      </c>
      <c r="O1384" s="32">
        <v>0</v>
      </c>
      <c r="P1384" s="32">
        <v>0</v>
      </c>
      <c r="Q1384" s="37">
        <f t="shared" si="42"/>
        <v>64978</v>
      </c>
      <c r="R1384" s="69">
        <f t="shared" si="43"/>
        <v>55231.3</v>
      </c>
      <c r="S1384" s="30"/>
      <c r="T1384" s="30"/>
    </row>
    <row r="1385" spans="1:20" ht="45" customHeight="1" x14ac:dyDescent="0.3">
      <c r="A1385" s="36">
        <v>1373</v>
      </c>
      <c r="B1385" s="32" t="s">
        <v>4634</v>
      </c>
      <c r="C1385" s="32" t="s">
        <v>4671</v>
      </c>
      <c r="D1385" s="32" t="s">
        <v>4672</v>
      </c>
      <c r="E1385" s="32">
        <v>1987</v>
      </c>
      <c r="F1385" s="32" t="s">
        <v>19</v>
      </c>
      <c r="G1385" s="32" t="s">
        <v>4790</v>
      </c>
      <c r="H1385" s="32" t="s">
        <v>4790</v>
      </c>
      <c r="I1385" s="32" t="s">
        <v>541</v>
      </c>
      <c r="J1385" s="32">
        <v>6199</v>
      </c>
      <c r="K1385" s="32">
        <f>2332+2332+2243+6278+2332</f>
        <v>15517</v>
      </c>
      <c r="L1385" s="32">
        <v>18406</v>
      </c>
      <c r="M1385" s="32">
        <v>0</v>
      </c>
      <c r="N1385" s="32">
        <v>1793</v>
      </c>
      <c r="O1385" s="32">
        <v>0</v>
      </c>
      <c r="P1385" s="32">
        <v>0</v>
      </c>
      <c r="Q1385" s="37">
        <f t="shared" si="42"/>
        <v>41915</v>
      </c>
      <c r="R1385" s="69">
        <f t="shared" si="43"/>
        <v>35627.75</v>
      </c>
      <c r="S1385" s="30"/>
      <c r="T1385" s="30"/>
    </row>
    <row r="1386" spans="1:20" ht="45" customHeight="1" x14ac:dyDescent="0.3">
      <c r="A1386" s="31">
        <v>1374</v>
      </c>
      <c r="B1386" s="32" t="s">
        <v>4634</v>
      </c>
      <c r="C1386" s="32" t="s">
        <v>4673</v>
      </c>
      <c r="D1386" s="32" t="s">
        <v>4674</v>
      </c>
      <c r="E1386" s="32">
        <v>2025</v>
      </c>
      <c r="F1386" s="32" t="s">
        <v>18</v>
      </c>
      <c r="G1386" s="32" t="s">
        <v>4791</v>
      </c>
      <c r="H1386" s="32" t="s">
        <v>4594</v>
      </c>
      <c r="I1386" s="32" t="s">
        <v>289</v>
      </c>
      <c r="J1386" s="32">
        <v>6199</v>
      </c>
      <c r="K1386" s="32">
        <f>6278+4484+2332+1346</f>
        <v>14440</v>
      </c>
      <c r="L1386" s="32">
        <v>0</v>
      </c>
      <c r="M1386" s="32">
        <v>0</v>
      </c>
      <c r="N1386" s="32">
        <v>3148</v>
      </c>
      <c r="O1386" s="32">
        <v>0</v>
      </c>
      <c r="P1386" s="32">
        <v>63</v>
      </c>
      <c r="Q1386" s="37">
        <f t="shared" si="42"/>
        <v>23850</v>
      </c>
      <c r="R1386" s="69">
        <f t="shared" si="43"/>
        <v>20272.5</v>
      </c>
      <c r="S1386" s="30"/>
      <c r="T1386" s="30"/>
    </row>
    <row r="1387" spans="1:20" ht="45" customHeight="1" x14ac:dyDescent="0.3">
      <c r="A1387" s="31">
        <v>1375</v>
      </c>
      <c r="B1387" s="32" t="s">
        <v>4634</v>
      </c>
      <c r="C1387" s="32" t="s">
        <v>4675</v>
      </c>
      <c r="D1387" s="32" t="s">
        <v>4676</v>
      </c>
      <c r="E1387" s="32">
        <v>1962</v>
      </c>
      <c r="F1387" s="32" t="s">
        <v>19</v>
      </c>
      <c r="G1387" s="32" t="s">
        <v>4792</v>
      </c>
      <c r="H1387" s="32" t="s">
        <v>4840</v>
      </c>
      <c r="I1387" s="32" t="s">
        <v>4867</v>
      </c>
      <c r="J1387" s="32">
        <v>6199</v>
      </c>
      <c r="K1387" s="32">
        <v>0</v>
      </c>
      <c r="L1387" s="32">
        <v>0</v>
      </c>
      <c r="M1387" s="32">
        <v>0</v>
      </c>
      <c r="N1387" s="32">
        <v>0</v>
      </c>
      <c r="O1387" s="32">
        <v>0</v>
      </c>
      <c r="P1387" s="32">
        <v>0</v>
      </c>
      <c r="Q1387" s="37">
        <f t="shared" si="42"/>
        <v>6199</v>
      </c>
      <c r="R1387" s="69">
        <f t="shared" si="43"/>
        <v>5269.15</v>
      </c>
      <c r="S1387" s="30"/>
      <c r="T1387" s="30"/>
    </row>
    <row r="1388" spans="1:20" ht="45" customHeight="1" x14ac:dyDescent="0.3">
      <c r="A1388" s="36">
        <v>1376</v>
      </c>
      <c r="B1388" s="32" t="s">
        <v>4634</v>
      </c>
      <c r="C1388" s="32" t="s">
        <v>4677</v>
      </c>
      <c r="D1388" s="32" t="s">
        <v>4678</v>
      </c>
      <c r="E1388" s="32">
        <v>2024</v>
      </c>
      <c r="F1388" s="32" t="s">
        <v>19</v>
      </c>
      <c r="G1388" s="32" t="s">
        <v>4793</v>
      </c>
      <c r="H1388" s="32" t="s">
        <v>4841</v>
      </c>
      <c r="I1388" s="32" t="s">
        <v>4868</v>
      </c>
      <c r="J1388" s="32">
        <v>6199</v>
      </c>
      <c r="K1388" s="32">
        <f>6278+4484+1346+2332+2332+2332+2332+2332+6995+6995+2332+6995+2332+4484</f>
        <v>53901</v>
      </c>
      <c r="L1388" s="32">
        <v>0</v>
      </c>
      <c r="M1388" s="32">
        <v>0</v>
      </c>
      <c r="N1388" s="32">
        <v>3148</v>
      </c>
      <c r="O1388" s="32">
        <v>0</v>
      </c>
      <c r="P1388" s="32">
        <v>0</v>
      </c>
      <c r="Q1388" s="37">
        <f t="shared" si="42"/>
        <v>63248</v>
      </c>
      <c r="R1388" s="69">
        <f t="shared" si="43"/>
        <v>53760.800000000003</v>
      </c>
      <c r="S1388" s="30"/>
      <c r="T1388" s="30"/>
    </row>
    <row r="1389" spans="1:20" ht="45" customHeight="1" x14ac:dyDescent="0.3">
      <c r="A1389" s="31">
        <v>1377</v>
      </c>
      <c r="B1389" s="32" t="s">
        <v>4634</v>
      </c>
      <c r="C1389" s="32" t="s">
        <v>4679</v>
      </c>
      <c r="D1389" s="32" t="s">
        <v>4680</v>
      </c>
      <c r="E1389" s="32">
        <v>2022</v>
      </c>
      <c r="F1389" s="32" t="s">
        <v>19</v>
      </c>
      <c r="G1389" s="32" t="s">
        <v>4794</v>
      </c>
      <c r="H1389" s="32" t="s">
        <v>4842</v>
      </c>
      <c r="I1389" s="32" t="s">
        <v>1262</v>
      </c>
      <c r="J1389" s="32">
        <v>6199</v>
      </c>
      <c r="K1389" s="32">
        <f>6278+4484+1346+2332+2332+2332+2332+2332+6995+6995+6995+2332+1166+2801+2332+4484</f>
        <v>57868</v>
      </c>
      <c r="L1389" s="32">
        <v>0</v>
      </c>
      <c r="M1389" s="32">
        <v>0</v>
      </c>
      <c r="N1389" s="32">
        <v>3148</v>
      </c>
      <c r="O1389" s="32">
        <v>0</v>
      </c>
      <c r="P1389" s="32">
        <v>0</v>
      </c>
      <c r="Q1389" s="37">
        <f t="shared" si="42"/>
        <v>67215</v>
      </c>
      <c r="R1389" s="69">
        <f t="shared" si="43"/>
        <v>57132.75</v>
      </c>
      <c r="S1389" s="30"/>
      <c r="T1389" s="30"/>
    </row>
    <row r="1390" spans="1:20" ht="45" customHeight="1" x14ac:dyDescent="0.3">
      <c r="A1390" s="31">
        <v>1378</v>
      </c>
      <c r="B1390" s="32" t="s">
        <v>4634</v>
      </c>
      <c r="C1390" s="32" t="s">
        <v>4681</v>
      </c>
      <c r="D1390" s="32" t="s">
        <v>4682</v>
      </c>
      <c r="E1390" s="32">
        <v>1987</v>
      </c>
      <c r="F1390" s="32" t="s">
        <v>19</v>
      </c>
      <c r="G1390" s="32" t="s">
        <v>4795</v>
      </c>
      <c r="H1390" s="32" t="s">
        <v>4841</v>
      </c>
      <c r="I1390" s="32" t="s">
        <v>4868</v>
      </c>
      <c r="J1390" s="32">
        <v>6199</v>
      </c>
      <c r="K1390" s="32">
        <f>6278+4484+2332+1346+2332+2332+2332+2332+2332+2332+2243+6995+2332+6995+6995+6995+2332+6995+4484+3587+1346+1346</f>
        <v>81077</v>
      </c>
      <c r="L1390" s="32">
        <v>0</v>
      </c>
      <c r="M1390" s="32">
        <v>0</v>
      </c>
      <c r="N1390" s="32">
        <v>1793</v>
      </c>
      <c r="O1390" s="32">
        <v>0</v>
      </c>
      <c r="P1390" s="32">
        <v>0</v>
      </c>
      <c r="Q1390" s="37">
        <f t="shared" si="42"/>
        <v>89069</v>
      </c>
      <c r="R1390" s="69">
        <f t="shared" si="43"/>
        <v>75708.649999999994</v>
      </c>
      <c r="S1390" s="30"/>
      <c r="T1390" s="30"/>
    </row>
    <row r="1391" spans="1:20" ht="45" customHeight="1" x14ac:dyDescent="0.3">
      <c r="A1391" s="36">
        <v>1379</v>
      </c>
      <c r="B1391" s="32" t="s">
        <v>4634</v>
      </c>
      <c r="C1391" s="32" t="s">
        <v>4683</v>
      </c>
      <c r="D1391" s="32" t="s">
        <v>4684</v>
      </c>
      <c r="E1391" s="32">
        <v>2020</v>
      </c>
      <c r="F1391" s="32" t="s">
        <v>19</v>
      </c>
      <c r="G1391" s="32" t="s">
        <v>4796</v>
      </c>
      <c r="H1391" s="32" t="s">
        <v>4843</v>
      </c>
      <c r="I1391" s="32" t="s">
        <v>4869</v>
      </c>
      <c r="J1391" s="32">
        <v>6199</v>
      </c>
      <c r="K1391" s="32">
        <f>6278+4484+1346+4484+2332+2332+2332+2332+2332</f>
        <v>28252</v>
      </c>
      <c r="L1391" s="32">
        <v>0</v>
      </c>
      <c r="M1391" s="32">
        <v>0</v>
      </c>
      <c r="N1391" s="32">
        <v>3148</v>
      </c>
      <c r="O1391" s="32">
        <v>0</v>
      </c>
      <c r="P1391" s="32">
        <v>0</v>
      </c>
      <c r="Q1391" s="37">
        <f t="shared" si="42"/>
        <v>37599</v>
      </c>
      <c r="R1391" s="69">
        <f t="shared" si="43"/>
        <v>31959.15</v>
      </c>
      <c r="S1391" s="30"/>
      <c r="T1391" s="30"/>
    </row>
    <row r="1392" spans="1:20" ht="45" customHeight="1" x14ac:dyDescent="0.3">
      <c r="A1392" s="31">
        <v>1380</v>
      </c>
      <c r="B1392" s="32" t="s">
        <v>4634</v>
      </c>
      <c r="C1392" s="32" t="s">
        <v>4685</v>
      </c>
      <c r="D1392" s="32" t="s">
        <v>4686</v>
      </c>
      <c r="E1392" s="32">
        <v>2023</v>
      </c>
      <c r="F1392" s="32" t="s">
        <v>18</v>
      </c>
      <c r="G1392" s="32" t="s">
        <v>4797</v>
      </c>
      <c r="H1392" s="32" t="s">
        <v>4844</v>
      </c>
      <c r="I1392" s="32" t="s">
        <v>4870</v>
      </c>
      <c r="J1392" s="32">
        <v>6199</v>
      </c>
      <c r="K1392" s="32">
        <f>6278+4484+1346</f>
        <v>12108</v>
      </c>
      <c r="L1392" s="32">
        <v>0</v>
      </c>
      <c r="M1392" s="32">
        <v>0</v>
      </c>
      <c r="N1392" s="32">
        <v>3148</v>
      </c>
      <c r="O1392" s="32">
        <v>0</v>
      </c>
      <c r="P1392" s="32">
        <v>0</v>
      </c>
      <c r="Q1392" s="37">
        <f t="shared" si="42"/>
        <v>21455</v>
      </c>
      <c r="R1392" s="69">
        <f t="shared" si="43"/>
        <v>18236.75</v>
      </c>
      <c r="S1392" s="30"/>
      <c r="T1392" s="30"/>
    </row>
    <row r="1393" spans="1:20" ht="45" customHeight="1" x14ac:dyDescent="0.3">
      <c r="A1393" s="31">
        <v>1381</v>
      </c>
      <c r="B1393" s="32" t="s">
        <v>4634</v>
      </c>
      <c r="C1393" s="32" t="s">
        <v>4687</v>
      </c>
      <c r="D1393" s="32" t="s">
        <v>4688</v>
      </c>
      <c r="E1393" s="32">
        <v>2012</v>
      </c>
      <c r="F1393" s="32" t="s">
        <v>19</v>
      </c>
      <c r="G1393" s="32" t="s">
        <v>4798</v>
      </c>
      <c r="H1393" s="32" t="s">
        <v>4845</v>
      </c>
      <c r="I1393" s="32" t="s">
        <v>2618</v>
      </c>
      <c r="J1393" s="32">
        <v>6199</v>
      </c>
      <c r="K1393" s="32">
        <f>6278+4484+1346+4484+2332+2332+2332+2332+2332</f>
        <v>28252</v>
      </c>
      <c r="L1393" s="32">
        <v>0</v>
      </c>
      <c r="M1393" s="32">
        <v>0</v>
      </c>
      <c r="N1393" s="32">
        <v>3148</v>
      </c>
      <c r="O1393" s="32">
        <v>0</v>
      </c>
      <c r="P1393" s="32">
        <v>0</v>
      </c>
      <c r="Q1393" s="37">
        <f t="shared" si="42"/>
        <v>37599</v>
      </c>
      <c r="R1393" s="69">
        <f t="shared" si="43"/>
        <v>31959.15</v>
      </c>
      <c r="S1393" s="30"/>
      <c r="T1393" s="30"/>
    </row>
    <row r="1394" spans="1:20" ht="45" customHeight="1" x14ac:dyDescent="0.3">
      <c r="A1394" s="36">
        <v>1382</v>
      </c>
      <c r="B1394" s="32" t="s">
        <v>4634</v>
      </c>
      <c r="C1394" s="32" t="s">
        <v>4689</v>
      </c>
      <c r="D1394" s="32" t="s">
        <v>4690</v>
      </c>
      <c r="E1394" s="32">
        <v>1991</v>
      </c>
      <c r="F1394" s="32" t="s">
        <v>19</v>
      </c>
      <c r="G1394" s="32" t="s">
        <v>4799</v>
      </c>
      <c r="H1394" s="32" t="s">
        <v>4799</v>
      </c>
      <c r="I1394" s="32" t="s">
        <v>272</v>
      </c>
      <c r="J1394" s="32">
        <v>6199</v>
      </c>
      <c r="K1394" s="32">
        <v>0</v>
      </c>
      <c r="L1394" s="32">
        <v>17279</v>
      </c>
      <c r="M1394" s="32">
        <v>0</v>
      </c>
      <c r="N1394" s="32">
        <v>19725</v>
      </c>
      <c r="O1394" s="32">
        <v>0</v>
      </c>
      <c r="P1394" s="32">
        <v>0</v>
      </c>
      <c r="Q1394" s="37">
        <f t="shared" si="42"/>
        <v>43203</v>
      </c>
      <c r="R1394" s="69">
        <f t="shared" si="43"/>
        <v>36722.550000000003</v>
      </c>
      <c r="S1394" s="30"/>
      <c r="T1394" s="30"/>
    </row>
    <row r="1395" spans="1:20" ht="45" customHeight="1" x14ac:dyDescent="0.3">
      <c r="A1395" s="31">
        <v>1383</v>
      </c>
      <c r="B1395" s="32" t="s">
        <v>4634</v>
      </c>
      <c r="C1395" s="32" t="s">
        <v>4691</v>
      </c>
      <c r="D1395" s="32" t="s">
        <v>4692</v>
      </c>
      <c r="E1395" s="32">
        <v>2015</v>
      </c>
      <c r="F1395" s="32" t="s">
        <v>18</v>
      </c>
      <c r="G1395" s="32" t="s">
        <v>4800</v>
      </c>
      <c r="H1395" s="32" t="s">
        <v>4846</v>
      </c>
      <c r="I1395" s="32" t="s">
        <v>4871</v>
      </c>
      <c r="J1395" s="32">
        <v>6199</v>
      </c>
      <c r="K1395" s="32">
        <f>6278+4484+2332+4484+4484+2332+2332+2332+2332+3000+3000</f>
        <v>37390</v>
      </c>
      <c r="L1395" s="32">
        <v>0</v>
      </c>
      <c r="M1395" s="32">
        <v>0</v>
      </c>
      <c r="N1395" s="32">
        <v>3148</v>
      </c>
      <c r="O1395" s="32">
        <v>0</v>
      </c>
      <c r="P1395" s="32">
        <v>0</v>
      </c>
      <c r="Q1395" s="37">
        <f t="shared" si="42"/>
        <v>46737</v>
      </c>
      <c r="R1395" s="69">
        <f t="shared" si="43"/>
        <v>39726.449999999997</v>
      </c>
      <c r="S1395" s="30"/>
      <c r="T1395" s="30"/>
    </row>
    <row r="1396" spans="1:20" ht="45" customHeight="1" x14ac:dyDescent="0.3">
      <c r="A1396" s="31">
        <v>1384</v>
      </c>
      <c r="B1396" s="32" t="s">
        <v>4634</v>
      </c>
      <c r="C1396" s="32" t="s">
        <v>4693</v>
      </c>
      <c r="D1396" s="32" t="s">
        <v>2151</v>
      </c>
      <c r="E1396" s="32">
        <v>1973</v>
      </c>
      <c r="F1396" s="32" t="s">
        <v>18</v>
      </c>
      <c r="G1396" s="32" t="s">
        <v>2316</v>
      </c>
      <c r="H1396" s="32" t="s">
        <v>2316</v>
      </c>
      <c r="I1396" s="32" t="s">
        <v>1277</v>
      </c>
      <c r="J1396" s="32">
        <v>3793</v>
      </c>
      <c r="K1396" s="32">
        <f>2332+2332+6278+2332+2332</f>
        <v>15606</v>
      </c>
      <c r="L1396" s="32">
        <v>0</v>
      </c>
      <c r="M1396" s="32">
        <v>0</v>
      </c>
      <c r="N1396" s="32">
        <f>1793+3179+1178</f>
        <v>6150</v>
      </c>
      <c r="O1396" s="32">
        <v>0</v>
      </c>
      <c r="P1396" s="32">
        <v>2640</v>
      </c>
      <c r="Q1396" s="35">
        <f t="shared" si="42"/>
        <v>28189</v>
      </c>
      <c r="R1396" s="69">
        <f t="shared" si="43"/>
        <v>23960.65</v>
      </c>
      <c r="S1396" s="30"/>
      <c r="T1396" s="30"/>
    </row>
    <row r="1397" spans="1:20" ht="45" customHeight="1" x14ac:dyDescent="0.3">
      <c r="A1397" s="36">
        <v>1385</v>
      </c>
      <c r="B1397" s="32" t="s">
        <v>4634</v>
      </c>
      <c r="C1397" s="32" t="s">
        <v>4694</v>
      </c>
      <c r="D1397" s="32" t="s">
        <v>4695</v>
      </c>
      <c r="E1397" s="32">
        <v>2020</v>
      </c>
      <c r="F1397" s="32" t="s">
        <v>19</v>
      </c>
      <c r="G1397" s="32" t="s">
        <v>4801</v>
      </c>
      <c r="H1397" s="32" t="s">
        <v>4847</v>
      </c>
      <c r="I1397" s="32" t="s">
        <v>547</v>
      </c>
      <c r="J1397" s="32">
        <v>6199</v>
      </c>
      <c r="K1397" s="32">
        <f>1166+2801</f>
        <v>3967</v>
      </c>
      <c r="L1397" s="32">
        <v>0</v>
      </c>
      <c r="M1397" s="32">
        <v>0</v>
      </c>
      <c r="N1397" s="32">
        <v>0</v>
      </c>
      <c r="O1397" s="32">
        <v>0</v>
      </c>
      <c r="P1397" s="32">
        <v>0</v>
      </c>
      <c r="Q1397" s="35">
        <f t="shared" si="42"/>
        <v>10166</v>
      </c>
      <c r="R1397" s="69">
        <f t="shared" si="43"/>
        <v>8641.1</v>
      </c>
      <c r="S1397" s="30"/>
      <c r="T1397" s="30"/>
    </row>
    <row r="1398" spans="1:20" ht="45" customHeight="1" x14ac:dyDescent="0.3">
      <c r="A1398" s="31">
        <v>1386</v>
      </c>
      <c r="B1398" s="32" t="s">
        <v>4634</v>
      </c>
      <c r="C1398" s="32" t="s">
        <v>4696</v>
      </c>
      <c r="D1398" s="32" t="s">
        <v>4697</v>
      </c>
      <c r="E1398" s="32">
        <v>1963</v>
      </c>
      <c r="F1398" s="32" t="s">
        <v>18</v>
      </c>
      <c r="G1398" s="32" t="s">
        <v>4802</v>
      </c>
      <c r="H1398" s="32" t="s">
        <v>4802</v>
      </c>
      <c r="I1398" s="32" t="s">
        <v>3317</v>
      </c>
      <c r="J1398" s="32">
        <v>6199</v>
      </c>
      <c r="K1398" s="32">
        <v>0</v>
      </c>
      <c r="L1398" s="32">
        <v>0</v>
      </c>
      <c r="M1398" s="32">
        <v>0</v>
      </c>
      <c r="N1398" s="32">
        <v>0</v>
      </c>
      <c r="O1398" s="32">
        <v>0</v>
      </c>
      <c r="P1398" s="32">
        <v>0</v>
      </c>
      <c r="Q1398" s="37">
        <f t="shared" si="42"/>
        <v>6199</v>
      </c>
      <c r="R1398" s="69">
        <f t="shared" si="43"/>
        <v>5269.15</v>
      </c>
      <c r="S1398" s="30"/>
      <c r="T1398" s="30"/>
    </row>
    <row r="1399" spans="1:20" ht="45" customHeight="1" x14ac:dyDescent="0.3">
      <c r="A1399" s="31">
        <v>1387</v>
      </c>
      <c r="B1399" s="32" t="s">
        <v>4634</v>
      </c>
      <c r="C1399" s="32" t="s">
        <v>4698</v>
      </c>
      <c r="D1399" s="32" t="s">
        <v>4699</v>
      </c>
      <c r="E1399" s="32">
        <v>2024</v>
      </c>
      <c r="F1399" s="32" t="s">
        <v>18</v>
      </c>
      <c r="G1399" s="32" t="s">
        <v>4803</v>
      </c>
      <c r="H1399" s="32" t="s">
        <v>4848</v>
      </c>
      <c r="I1399" s="32" t="s">
        <v>4872</v>
      </c>
      <c r="J1399" s="32">
        <v>6199</v>
      </c>
      <c r="K1399" s="32">
        <f>6278+4484+1346+2332+2332+2332+2332+2332+6995+6995+6995+2332+4484+2332</f>
        <v>53901</v>
      </c>
      <c r="L1399" s="32">
        <v>0</v>
      </c>
      <c r="M1399" s="32">
        <v>0</v>
      </c>
      <c r="N1399" s="32">
        <v>3148</v>
      </c>
      <c r="O1399" s="32">
        <v>0</v>
      </c>
      <c r="P1399" s="32">
        <v>0</v>
      </c>
      <c r="Q1399" s="37">
        <f t="shared" si="42"/>
        <v>63248</v>
      </c>
      <c r="R1399" s="69">
        <f t="shared" si="43"/>
        <v>53760.800000000003</v>
      </c>
      <c r="S1399" s="30"/>
      <c r="T1399" s="30"/>
    </row>
    <row r="1400" spans="1:20" ht="45" customHeight="1" x14ac:dyDescent="0.3">
      <c r="A1400" s="36">
        <v>1388</v>
      </c>
      <c r="B1400" s="32" t="s">
        <v>4634</v>
      </c>
      <c r="C1400" s="32" t="s">
        <v>4700</v>
      </c>
      <c r="D1400" s="32" t="s">
        <v>636</v>
      </c>
      <c r="E1400" s="32">
        <v>1964</v>
      </c>
      <c r="F1400" s="32" t="s">
        <v>19</v>
      </c>
      <c r="G1400" s="32" t="s">
        <v>746</v>
      </c>
      <c r="H1400" s="32" t="s">
        <v>746</v>
      </c>
      <c r="I1400" s="32" t="s">
        <v>839</v>
      </c>
      <c r="J1400" s="32">
        <v>3793</v>
      </c>
      <c r="K1400" s="32">
        <f>6278+2332+1166+2801</f>
        <v>12577</v>
      </c>
      <c r="L1400" s="32">
        <v>0</v>
      </c>
      <c r="M1400" s="32">
        <v>0</v>
      </c>
      <c r="N1400" s="32">
        <v>1793</v>
      </c>
      <c r="O1400" s="32">
        <v>0</v>
      </c>
      <c r="P1400" s="32">
        <v>0</v>
      </c>
      <c r="Q1400" s="37">
        <f t="shared" si="42"/>
        <v>18163</v>
      </c>
      <c r="R1400" s="69">
        <f t="shared" si="43"/>
        <v>15438.55</v>
      </c>
      <c r="S1400" s="30"/>
      <c r="T1400" s="30"/>
    </row>
    <row r="1401" spans="1:20" ht="45" customHeight="1" x14ac:dyDescent="0.3">
      <c r="A1401" s="31">
        <v>1389</v>
      </c>
      <c r="B1401" s="32" t="s">
        <v>4634</v>
      </c>
      <c r="C1401" s="32" t="s">
        <v>4701</v>
      </c>
      <c r="D1401" s="32" t="s">
        <v>4702</v>
      </c>
      <c r="E1401" s="32">
        <v>2002</v>
      </c>
      <c r="F1401" s="32" t="s">
        <v>19</v>
      </c>
      <c r="G1401" s="32" t="s">
        <v>4804</v>
      </c>
      <c r="H1401" s="32" t="s">
        <v>4804</v>
      </c>
      <c r="I1401" s="32" t="s">
        <v>4633</v>
      </c>
      <c r="J1401" s="32">
        <v>6199</v>
      </c>
      <c r="K1401" s="32">
        <v>0</v>
      </c>
      <c r="L1401" s="32">
        <v>0</v>
      </c>
      <c r="M1401" s="32">
        <v>0</v>
      </c>
      <c r="N1401" s="32">
        <f>3179+1681</f>
        <v>4860</v>
      </c>
      <c r="O1401" s="32">
        <v>0</v>
      </c>
      <c r="P1401" s="32">
        <f>312+56</f>
        <v>368</v>
      </c>
      <c r="Q1401" s="37">
        <f t="shared" si="42"/>
        <v>11427</v>
      </c>
      <c r="R1401" s="69">
        <f t="shared" si="43"/>
        <v>9712.9500000000007</v>
      </c>
      <c r="S1401" s="30"/>
      <c r="T1401" s="30"/>
    </row>
    <row r="1402" spans="1:20" ht="45" customHeight="1" x14ac:dyDescent="0.3">
      <c r="A1402" s="31">
        <v>1390</v>
      </c>
      <c r="B1402" s="32" t="s">
        <v>4634</v>
      </c>
      <c r="C1402" s="32" t="s">
        <v>4703</v>
      </c>
      <c r="D1402" s="32" t="s">
        <v>4704</v>
      </c>
      <c r="E1402" s="32">
        <v>1952</v>
      </c>
      <c r="F1402" s="32" t="s">
        <v>18</v>
      </c>
      <c r="G1402" s="32" t="s">
        <v>4805</v>
      </c>
      <c r="H1402" s="32" t="s">
        <v>4805</v>
      </c>
      <c r="I1402" s="32" t="s">
        <v>2454</v>
      </c>
      <c r="J1402" s="32">
        <v>6199</v>
      </c>
      <c r="K1402" s="32">
        <v>0</v>
      </c>
      <c r="L1402" s="32">
        <v>0</v>
      </c>
      <c r="M1402" s="32">
        <v>0</v>
      </c>
      <c r="N1402" s="32">
        <v>0</v>
      </c>
      <c r="O1402" s="32">
        <v>0</v>
      </c>
      <c r="P1402" s="32">
        <v>0</v>
      </c>
      <c r="Q1402" s="37">
        <f t="shared" si="42"/>
        <v>6199</v>
      </c>
      <c r="R1402" s="69">
        <f t="shared" si="43"/>
        <v>5269.15</v>
      </c>
      <c r="S1402" s="30"/>
      <c r="T1402" s="30"/>
    </row>
    <row r="1403" spans="1:20" ht="45" customHeight="1" x14ac:dyDescent="0.3">
      <c r="A1403" s="36">
        <v>1391</v>
      </c>
      <c r="B1403" s="32" t="s">
        <v>4634</v>
      </c>
      <c r="C1403" s="32" t="s">
        <v>4705</v>
      </c>
      <c r="D1403" s="32" t="s">
        <v>4706</v>
      </c>
      <c r="E1403" s="32">
        <v>1980</v>
      </c>
      <c r="F1403" s="32" t="s">
        <v>18</v>
      </c>
      <c r="G1403" s="32" t="s">
        <v>4806</v>
      </c>
      <c r="H1403" s="32" t="s">
        <v>4806</v>
      </c>
      <c r="I1403" s="32" t="s">
        <v>1050</v>
      </c>
      <c r="J1403" s="32">
        <v>6199</v>
      </c>
      <c r="K1403" s="32">
        <v>0</v>
      </c>
      <c r="L1403" s="32">
        <v>0</v>
      </c>
      <c r="M1403" s="32">
        <v>0</v>
      </c>
      <c r="N1403" s="32">
        <f>34016+27380+15443</f>
        <v>76839</v>
      </c>
      <c r="O1403" s="32">
        <v>0</v>
      </c>
      <c r="P1403" s="32">
        <v>0</v>
      </c>
      <c r="Q1403" s="37">
        <f t="shared" si="42"/>
        <v>83038</v>
      </c>
      <c r="R1403" s="69">
        <f t="shared" si="43"/>
        <v>70582.3</v>
      </c>
      <c r="S1403" s="30"/>
      <c r="T1403" s="30"/>
    </row>
    <row r="1404" spans="1:20" ht="45" customHeight="1" x14ac:dyDescent="0.3">
      <c r="A1404" s="31">
        <v>1392</v>
      </c>
      <c r="B1404" s="32" t="s">
        <v>4634</v>
      </c>
      <c r="C1404" s="32" t="s">
        <v>4707</v>
      </c>
      <c r="D1404" s="32" t="s">
        <v>4708</v>
      </c>
      <c r="E1404" s="32">
        <v>1989</v>
      </c>
      <c r="F1404" s="32" t="s">
        <v>19</v>
      </c>
      <c r="G1404" s="32" t="s">
        <v>4807</v>
      </c>
      <c r="H1404" s="32" t="s">
        <v>4807</v>
      </c>
      <c r="I1404" s="32" t="s">
        <v>539</v>
      </c>
      <c r="J1404" s="32">
        <v>6199</v>
      </c>
      <c r="K1404" s="32">
        <v>0</v>
      </c>
      <c r="L1404" s="32">
        <v>0</v>
      </c>
      <c r="M1404" s="32">
        <v>0</v>
      </c>
      <c r="N1404" s="32">
        <v>0</v>
      </c>
      <c r="O1404" s="32">
        <v>0</v>
      </c>
      <c r="P1404" s="32">
        <v>0</v>
      </c>
      <c r="Q1404" s="37">
        <f t="shared" si="42"/>
        <v>6199</v>
      </c>
      <c r="R1404" s="69">
        <f t="shared" si="43"/>
        <v>5269.15</v>
      </c>
      <c r="S1404" s="30"/>
      <c r="T1404" s="30"/>
    </row>
    <row r="1405" spans="1:20" ht="45" customHeight="1" x14ac:dyDescent="0.3">
      <c r="A1405" s="31">
        <v>1393</v>
      </c>
      <c r="B1405" s="32" t="s">
        <v>4634</v>
      </c>
      <c r="C1405" s="32" t="s">
        <v>4709</v>
      </c>
      <c r="D1405" s="32" t="s">
        <v>4710</v>
      </c>
      <c r="E1405" s="32">
        <v>2000</v>
      </c>
      <c r="F1405" s="32" t="s">
        <v>18</v>
      </c>
      <c r="G1405" s="32" t="s">
        <v>4808</v>
      </c>
      <c r="H1405" s="32" t="s">
        <v>4808</v>
      </c>
      <c r="I1405" s="32" t="s">
        <v>4873</v>
      </c>
      <c r="J1405" s="32">
        <v>6199</v>
      </c>
      <c r="K1405" s="32">
        <f>6278+2332+2332+2332+2332+2332</f>
        <v>17938</v>
      </c>
      <c r="L1405" s="32">
        <v>0</v>
      </c>
      <c r="M1405" s="32">
        <v>0</v>
      </c>
      <c r="N1405" s="32">
        <v>1793</v>
      </c>
      <c r="O1405" s="32">
        <v>0</v>
      </c>
      <c r="P1405" s="32">
        <v>0</v>
      </c>
      <c r="Q1405" s="37">
        <f t="shared" si="42"/>
        <v>25930</v>
      </c>
      <c r="R1405" s="69">
        <f t="shared" si="43"/>
        <v>22040.5</v>
      </c>
      <c r="S1405" s="30"/>
      <c r="T1405" s="30"/>
    </row>
    <row r="1406" spans="1:20" ht="45" customHeight="1" x14ac:dyDescent="0.3">
      <c r="A1406" s="36">
        <v>1394</v>
      </c>
      <c r="B1406" s="32" t="s">
        <v>4634</v>
      </c>
      <c r="C1406" s="32" t="s">
        <v>4711</v>
      </c>
      <c r="D1406" s="32" t="s">
        <v>4231</v>
      </c>
      <c r="E1406" s="32">
        <v>2023</v>
      </c>
      <c r="F1406" s="32" t="s">
        <v>18</v>
      </c>
      <c r="G1406" s="32" t="s">
        <v>4332</v>
      </c>
      <c r="H1406" s="32" t="s">
        <v>3870</v>
      </c>
      <c r="I1406" s="32" t="s">
        <v>1069</v>
      </c>
      <c r="J1406" s="32">
        <v>3793</v>
      </c>
      <c r="K1406" s="32">
        <v>0</v>
      </c>
      <c r="L1406" s="32">
        <v>0</v>
      </c>
      <c r="M1406" s="32">
        <v>0</v>
      </c>
      <c r="N1406" s="32">
        <v>0</v>
      </c>
      <c r="O1406" s="32">
        <v>0</v>
      </c>
      <c r="P1406" s="32">
        <v>0</v>
      </c>
      <c r="Q1406" s="37">
        <f t="shared" si="42"/>
        <v>3793</v>
      </c>
      <c r="R1406" s="69">
        <f t="shared" si="43"/>
        <v>3224.05</v>
      </c>
      <c r="S1406" s="30"/>
      <c r="T1406" s="30"/>
    </row>
    <row r="1407" spans="1:20" ht="45" customHeight="1" x14ac:dyDescent="0.3">
      <c r="A1407" s="31">
        <v>1395</v>
      </c>
      <c r="B1407" s="32" t="s">
        <v>4634</v>
      </c>
      <c r="C1407" s="32" t="s">
        <v>4712</v>
      </c>
      <c r="D1407" s="32" t="s">
        <v>4713</v>
      </c>
      <c r="E1407" s="32">
        <v>1996</v>
      </c>
      <c r="F1407" s="32" t="s">
        <v>19</v>
      </c>
      <c r="G1407" s="32" t="s">
        <v>4809</v>
      </c>
      <c r="H1407" s="32" t="s">
        <v>4849</v>
      </c>
      <c r="I1407" s="32" t="s">
        <v>4874</v>
      </c>
      <c r="J1407" s="32">
        <v>6199</v>
      </c>
      <c r="K1407" s="32">
        <f>2332+2332+2243</f>
        <v>6907</v>
      </c>
      <c r="L1407" s="32">
        <v>18406</v>
      </c>
      <c r="M1407" s="32">
        <v>0</v>
      </c>
      <c r="N1407" s="32">
        <v>0</v>
      </c>
      <c r="O1407" s="32">
        <v>0</v>
      </c>
      <c r="P1407" s="32">
        <v>0</v>
      </c>
      <c r="Q1407" s="37">
        <f t="shared" si="42"/>
        <v>31512</v>
      </c>
      <c r="R1407" s="69">
        <f t="shared" si="43"/>
        <v>26785.200000000001</v>
      </c>
      <c r="S1407" s="30"/>
      <c r="T1407" s="30"/>
    </row>
    <row r="1408" spans="1:20" ht="45" customHeight="1" x14ac:dyDescent="0.3">
      <c r="A1408" s="31">
        <v>1396</v>
      </c>
      <c r="B1408" s="32" t="s">
        <v>4634</v>
      </c>
      <c r="C1408" s="32" t="s">
        <v>4714</v>
      </c>
      <c r="D1408" s="32" t="s">
        <v>4715</v>
      </c>
      <c r="E1408" s="32">
        <v>1987</v>
      </c>
      <c r="F1408" s="32" t="s">
        <v>19</v>
      </c>
      <c r="G1408" s="32" t="s">
        <v>4810</v>
      </c>
      <c r="H1408" s="32" t="s">
        <v>4810</v>
      </c>
      <c r="I1408" s="32" t="s">
        <v>1069</v>
      </c>
      <c r="J1408" s="32">
        <v>6199</v>
      </c>
      <c r="K1408" s="32">
        <f>6278+4484+2332+1346+1166</f>
        <v>15606</v>
      </c>
      <c r="L1408" s="32">
        <v>0</v>
      </c>
      <c r="M1408" s="32">
        <v>0</v>
      </c>
      <c r="N1408" s="32">
        <v>1793</v>
      </c>
      <c r="O1408" s="32">
        <v>0</v>
      </c>
      <c r="P1408" s="32">
        <v>0</v>
      </c>
      <c r="Q1408" s="37">
        <f t="shared" si="42"/>
        <v>23598</v>
      </c>
      <c r="R1408" s="69">
        <f t="shared" si="43"/>
        <v>20058.3</v>
      </c>
      <c r="S1408" s="30"/>
      <c r="T1408" s="30"/>
    </row>
    <row r="1409" spans="1:20" ht="45" customHeight="1" x14ac:dyDescent="0.3">
      <c r="A1409" s="36">
        <v>1397</v>
      </c>
      <c r="B1409" s="32" t="s">
        <v>4634</v>
      </c>
      <c r="C1409" s="32" t="s">
        <v>4716</v>
      </c>
      <c r="D1409" s="32" t="s">
        <v>4717</v>
      </c>
      <c r="E1409" s="32">
        <v>1981</v>
      </c>
      <c r="F1409" s="32" t="s">
        <v>19</v>
      </c>
      <c r="G1409" s="32" t="s">
        <v>4811</v>
      </c>
      <c r="H1409" s="32" t="s">
        <v>4811</v>
      </c>
      <c r="I1409" s="32" t="s">
        <v>547</v>
      </c>
      <c r="J1409" s="32">
        <v>6199</v>
      </c>
      <c r="K1409" s="32">
        <f>6278+2332+3228+3000+3000+2332+2332+2243+3500+3500+6995</f>
        <v>38740</v>
      </c>
      <c r="L1409" s="32">
        <v>18406</v>
      </c>
      <c r="M1409" s="32">
        <v>0</v>
      </c>
      <c r="N1409" s="32">
        <v>1793</v>
      </c>
      <c r="O1409" s="32">
        <v>0</v>
      </c>
      <c r="P1409" s="32">
        <v>0</v>
      </c>
      <c r="Q1409" s="37">
        <f t="shared" si="42"/>
        <v>65138</v>
      </c>
      <c r="R1409" s="69">
        <f t="shared" si="43"/>
        <v>55367.3</v>
      </c>
      <c r="S1409" s="30"/>
      <c r="T1409" s="30"/>
    </row>
    <row r="1410" spans="1:20" ht="45" customHeight="1" x14ac:dyDescent="0.3">
      <c r="A1410" s="31">
        <v>1398</v>
      </c>
      <c r="B1410" s="32" t="s">
        <v>4634</v>
      </c>
      <c r="C1410" s="32" t="s">
        <v>4718</v>
      </c>
      <c r="D1410" s="32" t="s">
        <v>4719</v>
      </c>
      <c r="E1410" s="32">
        <v>2006</v>
      </c>
      <c r="F1410" s="32" t="s">
        <v>19</v>
      </c>
      <c r="G1410" s="32" t="s">
        <v>4812</v>
      </c>
      <c r="H1410" s="32" t="s">
        <v>4850</v>
      </c>
      <c r="I1410" s="32" t="s">
        <v>4875</v>
      </c>
      <c r="J1410" s="32">
        <v>6199</v>
      </c>
      <c r="K1410" s="32">
        <f>6278+1346+2332+2332+3587+2332+4484+2332+2332+2332+2332+6995+2332+4484+6995+6995+2332+6995</f>
        <v>69147</v>
      </c>
      <c r="L1410" s="32">
        <v>0</v>
      </c>
      <c r="M1410" s="32">
        <v>0</v>
      </c>
      <c r="N1410" s="32">
        <v>1793</v>
      </c>
      <c r="O1410" s="32">
        <v>0</v>
      </c>
      <c r="P1410" s="32">
        <v>0</v>
      </c>
      <c r="Q1410" s="37">
        <f t="shared" si="42"/>
        <v>77139</v>
      </c>
      <c r="R1410" s="69">
        <f t="shared" si="43"/>
        <v>65568.149999999994</v>
      </c>
      <c r="S1410" s="30"/>
      <c r="T1410" s="30"/>
    </row>
    <row r="1411" spans="1:20" ht="45" customHeight="1" x14ac:dyDescent="0.3">
      <c r="A1411" s="31">
        <v>1399</v>
      </c>
      <c r="B1411" s="32" t="s">
        <v>4634</v>
      </c>
      <c r="C1411" s="32" t="s">
        <v>4720</v>
      </c>
      <c r="D1411" s="32" t="s">
        <v>4721</v>
      </c>
      <c r="E1411" s="32">
        <v>2021</v>
      </c>
      <c r="F1411" s="32" t="s">
        <v>18</v>
      </c>
      <c r="G1411" s="32" t="s">
        <v>4813</v>
      </c>
      <c r="H1411" s="32" t="s">
        <v>4851</v>
      </c>
      <c r="I1411" s="32" t="s">
        <v>1464</v>
      </c>
      <c r="J1411" s="32">
        <v>3582</v>
      </c>
      <c r="K1411" s="32">
        <v>0</v>
      </c>
      <c r="L1411" s="32">
        <v>0</v>
      </c>
      <c r="M1411" s="32">
        <v>0</v>
      </c>
      <c r="N1411" s="32">
        <f>42388+27126</f>
        <v>69514</v>
      </c>
      <c r="O1411" s="32">
        <v>0</v>
      </c>
      <c r="P1411" s="32">
        <v>0</v>
      </c>
      <c r="Q1411" s="37">
        <f t="shared" si="42"/>
        <v>73096</v>
      </c>
      <c r="R1411" s="69">
        <f t="shared" si="43"/>
        <v>62131.6</v>
      </c>
      <c r="S1411" s="30"/>
      <c r="T1411" s="30"/>
    </row>
    <row r="1412" spans="1:20" ht="45" customHeight="1" x14ac:dyDescent="0.3">
      <c r="A1412" s="36">
        <v>1400</v>
      </c>
      <c r="B1412" s="32" t="s">
        <v>4634</v>
      </c>
      <c r="C1412" s="32" t="s">
        <v>4722</v>
      </c>
      <c r="D1412" s="32" t="s">
        <v>2890</v>
      </c>
      <c r="E1412" s="32">
        <v>1999</v>
      </c>
      <c r="F1412" s="32" t="s">
        <v>18</v>
      </c>
      <c r="G1412" s="32" t="s">
        <v>3000</v>
      </c>
      <c r="H1412" s="32" t="s">
        <v>3000</v>
      </c>
      <c r="I1412" s="32" t="s">
        <v>2134</v>
      </c>
      <c r="J1412" s="32">
        <v>3582</v>
      </c>
      <c r="K1412" s="32">
        <v>0</v>
      </c>
      <c r="L1412" s="32">
        <v>0</v>
      </c>
      <c r="M1412" s="32">
        <v>0</v>
      </c>
      <c r="N1412" s="32">
        <v>11573</v>
      </c>
      <c r="O1412" s="32">
        <v>0</v>
      </c>
      <c r="P1412" s="32">
        <v>0</v>
      </c>
      <c r="Q1412" s="37">
        <f t="shared" si="42"/>
        <v>15155</v>
      </c>
      <c r="R1412" s="69">
        <f t="shared" si="43"/>
        <v>12881.75</v>
      </c>
      <c r="S1412" s="30"/>
      <c r="T1412" s="30"/>
    </row>
    <row r="1413" spans="1:20" ht="45" customHeight="1" x14ac:dyDescent="0.3">
      <c r="A1413" s="31">
        <v>1401</v>
      </c>
      <c r="B1413" s="32" t="s">
        <v>4634</v>
      </c>
      <c r="C1413" s="32" t="s">
        <v>4723</v>
      </c>
      <c r="D1413" s="32" t="s">
        <v>4724</v>
      </c>
      <c r="E1413" s="32">
        <v>1994</v>
      </c>
      <c r="F1413" s="32" t="s">
        <v>19</v>
      </c>
      <c r="G1413" s="32" t="s">
        <v>4814</v>
      </c>
      <c r="H1413" s="32" t="s">
        <v>4852</v>
      </c>
      <c r="I1413" s="32" t="s">
        <v>299</v>
      </c>
      <c r="J1413" s="32">
        <v>6199</v>
      </c>
      <c r="K1413" s="32">
        <f>6278+2332+3228+2332+2332+2243+6995+3500+3500+3000+3000</f>
        <v>38740</v>
      </c>
      <c r="L1413" s="32">
        <v>18406</v>
      </c>
      <c r="M1413" s="32">
        <v>0</v>
      </c>
      <c r="N1413" s="32">
        <v>1793</v>
      </c>
      <c r="O1413" s="32">
        <v>0</v>
      </c>
      <c r="P1413" s="32">
        <v>0</v>
      </c>
      <c r="Q1413" s="37">
        <f t="shared" si="42"/>
        <v>65138</v>
      </c>
      <c r="R1413" s="69">
        <f t="shared" si="43"/>
        <v>55367.3</v>
      </c>
      <c r="S1413" s="30"/>
      <c r="T1413" s="30"/>
    </row>
    <row r="1414" spans="1:20" ht="45" customHeight="1" x14ac:dyDescent="0.3">
      <c r="A1414" s="31">
        <v>1402</v>
      </c>
      <c r="B1414" s="32" t="s">
        <v>4634</v>
      </c>
      <c r="C1414" s="32" t="s">
        <v>4725</v>
      </c>
      <c r="D1414" s="34">
        <v>10225682</v>
      </c>
      <c r="E1414" s="32">
        <v>1972</v>
      </c>
      <c r="F1414" s="32" t="s">
        <v>19</v>
      </c>
      <c r="G1414" s="32" t="s">
        <v>1632</v>
      </c>
      <c r="H1414" s="32" t="s">
        <v>1632</v>
      </c>
      <c r="I1414" s="32" t="s">
        <v>1047</v>
      </c>
      <c r="J1414" s="32">
        <v>6199</v>
      </c>
      <c r="K1414" s="32">
        <v>0</v>
      </c>
      <c r="L1414" s="32">
        <v>0</v>
      </c>
      <c r="M1414" s="32">
        <v>0</v>
      </c>
      <c r="N1414" s="32">
        <v>0</v>
      </c>
      <c r="O1414" s="32">
        <v>0</v>
      </c>
      <c r="P1414" s="32">
        <v>0</v>
      </c>
      <c r="Q1414" s="37">
        <f t="shared" si="42"/>
        <v>6199</v>
      </c>
      <c r="R1414" s="69">
        <f t="shared" si="43"/>
        <v>5269.15</v>
      </c>
      <c r="S1414" s="30"/>
      <c r="T1414" s="30"/>
    </row>
    <row r="1415" spans="1:20" ht="45" customHeight="1" x14ac:dyDescent="0.3">
      <c r="A1415" s="36">
        <v>1403</v>
      </c>
      <c r="B1415" s="32" t="s">
        <v>4634</v>
      </c>
      <c r="C1415" s="32" t="s">
        <v>4726</v>
      </c>
      <c r="D1415" s="32" t="s">
        <v>4727</v>
      </c>
      <c r="E1415" s="32">
        <v>1983</v>
      </c>
      <c r="F1415" s="32" t="s">
        <v>19</v>
      </c>
      <c r="G1415" s="32" t="s">
        <v>4815</v>
      </c>
      <c r="H1415" s="32" t="s">
        <v>4815</v>
      </c>
      <c r="I1415" s="32" t="s">
        <v>30</v>
      </c>
      <c r="J1415" s="32">
        <v>6199</v>
      </c>
      <c r="K1415" s="32">
        <v>0</v>
      </c>
      <c r="L1415" s="32">
        <v>18406</v>
      </c>
      <c r="M1415" s="32">
        <v>0</v>
      </c>
      <c r="N1415" s="32">
        <v>0</v>
      </c>
      <c r="O1415" s="32">
        <v>0</v>
      </c>
      <c r="P1415" s="32">
        <v>0</v>
      </c>
      <c r="Q1415" s="37">
        <f t="shared" si="42"/>
        <v>24605</v>
      </c>
      <c r="R1415" s="69">
        <f t="shared" si="43"/>
        <v>20914.25</v>
      </c>
      <c r="S1415" s="30"/>
      <c r="T1415" s="30"/>
    </row>
    <row r="1416" spans="1:20" ht="45" customHeight="1" x14ac:dyDescent="0.3">
      <c r="A1416" s="31">
        <v>1404</v>
      </c>
      <c r="B1416" s="32" t="s">
        <v>4634</v>
      </c>
      <c r="C1416" s="32" t="s">
        <v>4728</v>
      </c>
      <c r="D1416" s="32" t="s">
        <v>4729</v>
      </c>
      <c r="E1416" s="32">
        <v>1990</v>
      </c>
      <c r="F1416" s="32" t="s">
        <v>18</v>
      </c>
      <c r="G1416" s="32" t="s">
        <v>3494</v>
      </c>
      <c r="H1416" s="32" t="s">
        <v>3494</v>
      </c>
      <c r="I1416" s="32" t="s">
        <v>2466</v>
      </c>
      <c r="J1416" s="32">
        <v>6199</v>
      </c>
      <c r="K1416" s="32">
        <f>1166+2801</f>
        <v>3967</v>
      </c>
      <c r="L1416" s="32">
        <v>0</v>
      </c>
      <c r="M1416" s="32">
        <v>0</v>
      </c>
      <c r="N1416" s="32">
        <v>0</v>
      </c>
      <c r="O1416" s="32">
        <v>0</v>
      </c>
      <c r="P1416" s="32">
        <v>0</v>
      </c>
      <c r="Q1416" s="37">
        <f t="shared" si="42"/>
        <v>10166</v>
      </c>
      <c r="R1416" s="69">
        <f t="shared" si="43"/>
        <v>8641.1</v>
      </c>
      <c r="S1416" s="30"/>
      <c r="T1416" s="30"/>
    </row>
    <row r="1417" spans="1:20" ht="45" customHeight="1" x14ac:dyDescent="0.3">
      <c r="A1417" s="31">
        <v>1405</v>
      </c>
      <c r="B1417" s="32" t="s">
        <v>4634</v>
      </c>
      <c r="C1417" s="32" t="s">
        <v>4730</v>
      </c>
      <c r="D1417" s="32" t="s">
        <v>4731</v>
      </c>
      <c r="E1417" s="32">
        <v>1976</v>
      </c>
      <c r="F1417" s="32" t="s">
        <v>19</v>
      </c>
      <c r="G1417" s="32" t="s">
        <v>4816</v>
      </c>
      <c r="H1417" s="32" t="s">
        <v>4816</v>
      </c>
      <c r="I1417" s="32" t="s">
        <v>251</v>
      </c>
      <c r="J1417" s="32">
        <v>3582</v>
      </c>
      <c r="K1417" s="32">
        <v>0</v>
      </c>
      <c r="L1417" s="32">
        <v>0</v>
      </c>
      <c r="M1417" s="32">
        <v>0</v>
      </c>
      <c r="N1417" s="32">
        <v>0</v>
      </c>
      <c r="O1417" s="32">
        <v>0</v>
      </c>
      <c r="P1417" s="32">
        <v>0</v>
      </c>
      <c r="Q1417" s="37">
        <f t="shared" si="42"/>
        <v>3582</v>
      </c>
      <c r="R1417" s="69">
        <f t="shared" si="43"/>
        <v>3044.7</v>
      </c>
      <c r="S1417" s="30"/>
      <c r="T1417" s="30"/>
    </row>
    <row r="1418" spans="1:20" ht="45" customHeight="1" x14ac:dyDescent="0.3">
      <c r="A1418" s="36">
        <v>1406</v>
      </c>
      <c r="B1418" s="32" t="s">
        <v>4634</v>
      </c>
      <c r="C1418" s="32" t="s">
        <v>4732</v>
      </c>
      <c r="D1418" s="32" t="s">
        <v>4731</v>
      </c>
      <c r="E1418" s="32">
        <v>1976</v>
      </c>
      <c r="F1418" s="32" t="s">
        <v>19</v>
      </c>
      <c r="G1418" s="32" t="s">
        <v>4816</v>
      </c>
      <c r="H1418" s="32" t="s">
        <v>4816</v>
      </c>
      <c r="I1418" s="32" t="s">
        <v>251</v>
      </c>
      <c r="J1418" s="32">
        <v>6199</v>
      </c>
      <c r="K1418" s="32">
        <v>0</v>
      </c>
      <c r="L1418" s="32">
        <v>0</v>
      </c>
      <c r="M1418" s="32">
        <v>0</v>
      </c>
      <c r="N1418" s="32">
        <v>0</v>
      </c>
      <c r="O1418" s="32">
        <v>0</v>
      </c>
      <c r="P1418" s="32">
        <v>0</v>
      </c>
      <c r="Q1418" s="37">
        <f t="shared" si="42"/>
        <v>6199</v>
      </c>
      <c r="R1418" s="69">
        <f t="shared" si="43"/>
        <v>5269.15</v>
      </c>
      <c r="S1418" s="30"/>
      <c r="T1418" s="30"/>
    </row>
    <row r="1419" spans="1:20" ht="45" customHeight="1" x14ac:dyDescent="0.3">
      <c r="A1419" s="31">
        <v>1407</v>
      </c>
      <c r="B1419" s="32" t="s">
        <v>4634</v>
      </c>
      <c r="C1419" s="32" t="s">
        <v>4733</v>
      </c>
      <c r="D1419" s="32" t="s">
        <v>4734</v>
      </c>
      <c r="E1419" s="32">
        <v>2002</v>
      </c>
      <c r="F1419" s="32" t="s">
        <v>19</v>
      </c>
      <c r="G1419" s="32" t="s">
        <v>4817</v>
      </c>
      <c r="H1419" s="32" t="s">
        <v>4853</v>
      </c>
      <c r="I1419" s="32" t="s">
        <v>1465</v>
      </c>
      <c r="J1419" s="32">
        <v>6199</v>
      </c>
      <c r="K1419" s="32">
        <f>2332+2332+2243+1346</f>
        <v>8253</v>
      </c>
      <c r="L1419" s="32">
        <v>0</v>
      </c>
      <c r="M1419" s="32">
        <v>0</v>
      </c>
      <c r="N1419" s="32">
        <v>0</v>
      </c>
      <c r="O1419" s="32">
        <v>0</v>
      </c>
      <c r="P1419" s="32">
        <v>0</v>
      </c>
      <c r="Q1419" s="37">
        <f t="shared" si="42"/>
        <v>14452</v>
      </c>
      <c r="R1419" s="69">
        <f t="shared" si="43"/>
        <v>12284.2</v>
      </c>
      <c r="S1419" s="30"/>
      <c r="T1419" s="30"/>
    </row>
    <row r="1420" spans="1:20" ht="45" customHeight="1" x14ac:dyDescent="0.3">
      <c r="A1420" s="31">
        <v>1408</v>
      </c>
      <c r="B1420" s="32" t="s">
        <v>4634</v>
      </c>
      <c r="C1420" s="32" t="s">
        <v>4735</v>
      </c>
      <c r="D1420" s="32" t="s">
        <v>1135</v>
      </c>
      <c r="E1420" s="32">
        <v>2006</v>
      </c>
      <c r="F1420" s="32" t="s">
        <v>19</v>
      </c>
      <c r="G1420" s="32" t="s">
        <v>1194</v>
      </c>
      <c r="H1420" s="32" t="s">
        <v>1236</v>
      </c>
      <c r="I1420" s="32" t="s">
        <v>1270</v>
      </c>
      <c r="J1420" s="32">
        <v>3582</v>
      </c>
      <c r="K1420" s="32">
        <v>0</v>
      </c>
      <c r="L1420" s="32">
        <v>0</v>
      </c>
      <c r="M1420" s="32">
        <v>0</v>
      </c>
      <c r="N1420" s="32">
        <f>15443+20859</f>
        <v>36302</v>
      </c>
      <c r="O1420" s="32">
        <v>0</v>
      </c>
      <c r="P1420" s="32">
        <v>0</v>
      </c>
      <c r="Q1420" s="35">
        <f t="shared" si="42"/>
        <v>39884</v>
      </c>
      <c r="R1420" s="69">
        <f t="shared" si="43"/>
        <v>33901.4</v>
      </c>
      <c r="S1420" s="30"/>
      <c r="T1420" s="30"/>
    </row>
    <row r="1421" spans="1:20" ht="45" customHeight="1" x14ac:dyDescent="0.3">
      <c r="A1421" s="36">
        <v>1409</v>
      </c>
      <c r="B1421" s="32" t="s">
        <v>4634</v>
      </c>
      <c r="C1421" s="32" t="s">
        <v>4736</v>
      </c>
      <c r="D1421" s="32" t="s">
        <v>4737</v>
      </c>
      <c r="E1421" s="32">
        <v>1973</v>
      </c>
      <c r="F1421" s="32" t="s">
        <v>19</v>
      </c>
      <c r="G1421" s="32" t="s">
        <v>1236</v>
      </c>
      <c r="H1421" s="32" t="s">
        <v>1236</v>
      </c>
      <c r="I1421" s="32" t="s">
        <v>4876</v>
      </c>
      <c r="J1421" s="32">
        <v>6199</v>
      </c>
      <c r="K1421" s="32">
        <v>0</v>
      </c>
      <c r="L1421" s="32">
        <v>0</v>
      </c>
      <c r="M1421" s="32">
        <v>0</v>
      </c>
      <c r="N1421" s="32">
        <v>0</v>
      </c>
      <c r="O1421" s="32">
        <v>0</v>
      </c>
      <c r="P1421" s="32">
        <v>0</v>
      </c>
      <c r="Q1421" s="35">
        <f t="shared" ref="Q1421:Q1484" si="44">SUM(J1421:P1421)</f>
        <v>6199</v>
      </c>
      <c r="R1421" s="69">
        <f t="shared" si="43"/>
        <v>5269.15</v>
      </c>
      <c r="S1421" s="30"/>
      <c r="T1421" s="30"/>
    </row>
    <row r="1422" spans="1:20" ht="45" customHeight="1" x14ac:dyDescent="0.3">
      <c r="A1422" s="31">
        <v>1410</v>
      </c>
      <c r="B1422" s="32" t="s">
        <v>4634</v>
      </c>
      <c r="C1422" s="32" t="s">
        <v>4738</v>
      </c>
      <c r="D1422" s="32" t="s">
        <v>4739</v>
      </c>
      <c r="E1422" s="32">
        <v>2016</v>
      </c>
      <c r="F1422" s="32" t="s">
        <v>19</v>
      </c>
      <c r="G1422" s="32" t="s">
        <v>4818</v>
      </c>
      <c r="H1422" s="32" t="s">
        <v>4854</v>
      </c>
      <c r="I1422" s="32" t="s">
        <v>830</v>
      </c>
      <c r="J1422" s="32">
        <v>6199</v>
      </c>
      <c r="K1422" s="32">
        <f>1166+2801</f>
        <v>3967</v>
      </c>
      <c r="L1422" s="32">
        <v>0</v>
      </c>
      <c r="M1422" s="32">
        <v>0</v>
      </c>
      <c r="N1422" s="32">
        <v>0</v>
      </c>
      <c r="O1422" s="32">
        <v>0</v>
      </c>
      <c r="P1422" s="32">
        <v>0</v>
      </c>
      <c r="Q1422" s="37">
        <f t="shared" si="44"/>
        <v>10166</v>
      </c>
      <c r="R1422" s="69">
        <f t="shared" ref="R1422:R1485" si="45">Q1422*85/100</f>
        <v>8641.1</v>
      </c>
      <c r="S1422" s="30"/>
      <c r="T1422" s="30"/>
    </row>
    <row r="1423" spans="1:20" ht="45" customHeight="1" x14ac:dyDescent="0.3">
      <c r="A1423" s="31">
        <v>1411</v>
      </c>
      <c r="B1423" s="32" t="s">
        <v>4634</v>
      </c>
      <c r="C1423" s="32" t="s">
        <v>4740</v>
      </c>
      <c r="D1423" s="32" t="s">
        <v>4741</v>
      </c>
      <c r="E1423" s="32">
        <v>1996</v>
      </c>
      <c r="F1423" s="32" t="s">
        <v>18</v>
      </c>
      <c r="G1423" s="32" t="s">
        <v>4819</v>
      </c>
      <c r="H1423" s="32" t="s">
        <v>4819</v>
      </c>
      <c r="I1423" s="32" t="s">
        <v>1465</v>
      </c>
      <c r="J1423" s="32">
        <v>6199</v>
      </c>
      <c r="K1423" s="32">
        <f>2332+2332+1346</f>
        <v>6010</v>
      </c>
      <c r="L1423" s="32">
        <v>0</v>
      </c>
      <c r="M1423" s="32">
        <v>0</v>
      </c>
      <c r="N1423" s="32">
        <v>0</v>
      </c>
      <c r="O1423" s="32">
        <v>0</v>
      </c>
      <c r="P1423" s="32">
        <v>0</v>
      </c>
      <c r="Q1423" s="37">
        <f t="shared" si="44"/>
        <v>12209</v>
      </c>
      <c r="R1423" s="69">
        <f t="shared" si="45"/>
        <v>10377.65</v>
      </c>
      <c r="S1423" s="30"/>
      <c r="T1423" s="30"/>
    </row>
    <row r="1424" spans="1:20" ht="45" customHeight="1" x14ac:dyDescent="0.3">
      <c r="A1424" s="36">
        <v>1412</v>
      </c>
      <c r="B1424" s="32" t="s">
        <v>4634</v>
      </c>
      <c r="C1424" s="32" t="s">
        <v>4742</v>
      </c>
      <c r="D1424" s="32" t="s">
        <v>4743</v>
      </c>
      <c r="E1424" s="32">
        <v>2008</v>
      </c>
      <c r="F1424" s="32" t="s">
        <v>18</v>
      </c>
      <c r="G1424" s="32" t="s">
        <v>4820</v>
      </c>
      <c r="H1424" s="32" t="s">
        <v>4855</v>
      </c>
      <c r="I1424" s="32" t="s">
        <v>1267</v>
      </c>
      <c r="J1424" s="32">
        <v>6199</v>
      </c>
      <c r="K1424" s="32">
        <v>0</v>
      </c>
      <c r="L1424" s="32">
        <v>0</v>
      </c>
      <c r="M1424" s="32">
        <v>0</v>
      </c>
      <c r="N1424" s="32">
        <v>0</v>
      </c>
      <c r="O1424" s="32">
        <v>0</v>
      </c>
      <c r="P1424" s="32">
        <v>0</v>
      </c>
      <c r="Q1424" s="35">
        <f t="shared" si="44"/>
        <v>6199</v>
      </c>
      <c r="R1424" s="69">
        <f t="shared" si="45"/>
        <v>5269.15</v>
      </c>
      <c r="S1424" s="30"/>
      <c r="T1424" s="30"/>
    </row>
    <row r="1425" spans="1:20" ht="45" customHeight="1" x14ac:dyDescent="0.3">
      <c r="A1425" s="31">
        <v>1413</v>
      </c>
      <c r="B1425" s="32" t="s">
        <v>4634</v>
      </c>
      <c r="C1425" s="32" t="s">
        <v>4744</v>
      </c>
      <c r="D1425" s="32" t="s">
        <v>394</v>
      </c>
      <c r="E1425" s="32">
        <v>2012</v>
      </c>
      <c r="F1425" s="32" t="s">
        <v>18</v>
      </c>
      <c r="G1425" s="32" t="s">
        <v>476</v>
      </c>
      <c r="H1425" s="32" t="s">
        <v>519</v>
      </c>
      <c r="I1425" s="32" t="s">
        <v>567</v>
      </c>
      <c r="J1425" s="32">
        <v>6199</v>
      </c>
      <c r="K1425" s="32">
        <v>0</v>
      </c>
      <c r="L1425" s="32">
        <v>0</v>
      </c>
      <c r="M1425" s="32">
        <v>0</v>
      </c>
      <c r="N1425" s="32">
        <v>0</v>
      </c>
      <c r="O1425" s="32">
        <v>0</v>
      </c>
      <c r="P1425" s="32">
        <v>0</v>
      </c>
      <c r="Q1425" s="37">
        <f t="shared" si="44"/>
        <v>6199</v>
      </c>
      <c r="R1425" s="69">
        <f t="shared" si="45"/>
        <v>5269.15</v>
      </c>
      <c r="S1425" s="30"/>
      <c r="T1425" s="30"/>
    </row>
    <row r="1426" spans="1:20" ht="45" customHeight="1" x14ac:dyDescent="0.3">
      <c r="A1426" s="31">
        <v>1414</v>
      </c>
      <c r="B1426" s="32" t="s">
        <v>4634</v>
      </c>
      <c r="C1426" s="32" t="s">
        <v>4745</v>
      </c>
      <c r="D1426" s="32" t="s">
        <v>4746</v>
      </c>
      <c r="E1426" s="32">
        <v>1989</v>
      </c>
      <c r="F1426" s="32" t="s">
        <v>18</v>
      </c>
      <c r="G1426" s="32" t="s">
        <v>4821</v>
      </c>
      <c r="H1426" s="32" t="s">
        <v>4821</v>
      </c>
      <c r="I1426" s="32" t="s">
        <v>4877</v>
      </c>
      <c r="J1426" s="32">
        <v>6199</v>
      </c>
      <c r="K1426" s="32">
        <v>0</v>
      </c>
      <c r="L1426" s="32">
        <v>13298</v>
      </c>
      <c r="M1426" s="32">
        <v>0</v>
      </c>
      <c r="N1426" s="32">
        <v>0</v>
      </c>
      <c r="O1426" s="32">
        <v>0</v>
      </c>
      <c r="P1426" s="32">
        <v>0</v>
      </c>
      <c r="Q1426" s="37">
        <f t="shared" si="44"/>
        <v>19497</v>
      </c>
      <c r="R1426" s="69">
        <f t="shared" si="45"/>
        <v>16572.45</v>
      </c>
      <c r="S1426" s="30"/>
      <c r="T1426" s="30"/>
    </row>
    <row r="1427" spans="1:20" ht="45" customHeight="1" x14ac:dyDescent="0.3">
      <c r="A1427" s="36">
        <v>1415</v>
      </c>
      <c r="B1427" s="32" t="s">
        <v>4634</v>
      </c>
      <c r="C1427" s="32" t="s">
        <v>4747</v>
      </c>
      <c r="D1427" s="32" t="s">
        <v>1135</v>
      </c>
      <c r="E1427" s="32">
        <v>2006</v>
      </c>
      <c r="F1427" s="32" t="s">
        <v>19</v>
      </c>
      <c r="G1427" s="32" t="s">
        <v>1194</v>
      </c>
      <c r="H1427" s="32" t="s">
        <v>1236</v>
      </c>
      <c r="I1427" s="32" t="s">
        <v>1270</v>
      </c>
      <c r="J1427" s="32">
        <v>6199</v>
      </c>
      <c r="K1427" s="32">
        <v>0</v>
      </c>
      <c r="L1427" s="32">
        <v>0</v>
      </c>
      <c r="M1427" s="32">
        <v>0</v>
      </c>
      <c r="N1427" s="32">
        <v>0</v>
      </c>
      <c r="O1427" s="32">
        <v>0</v>
      </c>
      <c r="P1427" s="32">
        <v>0</v>
      </c>
      <c r="Q1427" s="37">
        <f t="shared" si="44"/>
        <v>6199</v>
      </c>
      <c r="R1427" s="69">
        <f t="shared" si="45"/>
        <v>5269.15</v>
      </c>
      <c r="S1427" s="30"/>
      <c r="T1427" s="30"/>
    </row>
    <row r="1428" spans="1:20" s="41" customFormat="1" ht="45" customHeight="1" x14ac:dyDescent="0.3">
      <c r="A1428" s="31">
        <v>1416</v>
      </c>
      <c r="B1428" s="38" t="s">
        <v>4634</v>
      </c>
      <c r="C1428" s="38" t="s">
        <v>4748</v>
      </c>
      <c r="D1428" s="38" t="s">
        <v>4749</v>
      </c>
      <c r="E1428" s="38">
        <v>1995</v>
      </c>
      <c r="F1428" s="38" t="s">
        <v>19</v>
      </c>
      <c r="G1428" s="38" t="s">
        <v>4822</v>
      </c>
      <c r="H1428" s="38" t="s">
        <v>4822</v>
      </c>
      <c r="I1428" s="38" t="s">
        <v>1069</v>
      </c>
      <c r="J1428" s="38">
        <v>6199</v>
      </c>
      <c r="K1428" s="38">
        <f>6278+6995+3228+3500+3500+2332+2332+3587+4484+2332+3000+3000</f>
        <v>44568</v>
      </c>
      <c r="L1428" s="38">
        <v>9422</v>
      </c>
      <c r="M1428" s="38">
        <v>0</v>
      </c>
      <c r="N1428" s="38">
        <v>1793</v>
      </c>
      <c r="O1428" s="38">
        <v>0</v>
      </c>
      <c r="P1428" s="38">
        <v>0</v>
      </c>
      <c r="Q1428" s="37">
        <f t="shared" si="44"/>
        <v>61982</v>
      </c>
      <c r="R1428" s="69">
        <f t="shared" si="45"/>
        <v>52684.7</v>
      </c>
      <c r="S1428" s="40"/>
      <c r="T1428" s="40"/>
    </row>
    <row r="1429" spans="1:20" ht="45" customHeight="1" x14ac:dyDescent="0.3">
      <c r="A1429" s="31">
        <v>1417</v>
      </c>
      <c r="B1429" s="32" t="s">
        <v>4634</v>
      </c>
      <c r="C1429" s="32" t="s">
        <v>4750</v>
      </c>
      <c r="D1429" s="32" t="s">
        <v>4743</v>
      </c>
      <c r="E1429" s="32">
        <v>2008</v>
      </c>
      <c r="F1429" s="32" t="s">
        <v>18</v>
      </c>
      <c r="G1429" s="32" t="s">
        <v>4820</v>
      </c>
      <c r="H1429" s="32" t="s">
        <v>4855</v>
      </c>
      <c r="I1429" s="32" t="s">
        <v>1267</v>
      </c>
      <c r="J1429" s="32">
        <v>6199</v>
      </c>
      <c r="K1429" s="32">
        <v>0</v>
      </c>
      <c r="L1429" s="32">
        <v>0</v>
      </c>
      <c r="M1429" s="32">
        <v>0</v>
      </c>
      <c r="N1429" s="32">
        <f>15443+47999</f>
        <v>63442</v>
      </c>
      <c r="O1429" s="32">
        <v>0</v>
      </c>
      <c r="P1429" s="32">
        <v>0</v>
      </c>
      <c r="Q1429" s="37">
        <f t="shared" si="44"/>
        <v>69641</v>
      </c>
      <c r="R1429" s="69">
        <f t="shared" si="45"/>
        <v>59194.85</v>
      </c>
      <c r="S1429" s="30"/>
      <c r="T1429" s="30"/>
    </row>
    <row r="1430" spans="1:20" ht="45" customHeight="1" x14ac:dyDescent="0.3">
      <c r="A1430" s="36">
        <v>1418</v>
      </c>
      <c r="B1430" s="32" t="s">
        <v>4634</v>
      </c>
      <c r="C1430" s="32" t="s">
        <v>4751</v>
      </c>
      <c r="D1430" s="32" t="s">
        <v>3583</v>
      </c>
      <c r="E1430" s="32">
        <v>2023</v>
      </c>
      <c r="F1430" s="32" t="s">
        <v>19</v>
      </c>
      <c r="G1430" s="32" t="s">
        <v>3664</v>
      </c>
      <c r="H1430" s="32" t="s">
        <v>1649</v>
      </c>
      <c r="I1430" s="32" t="s">
        <v>278</v>
      </c>
      <c r="J1430" s="32">
        <v>3793</v>
      </c>
      <c r="K1430" s="32">
        <f>6278+4484+1346</f>
        <v>12108</v>
      </c>
      <c r="L1430" s="32">
        <v>0</v>
      </c>
      <c r="M1430" s="32">
        <v>0</v>
      </c>
      <c r="N1430" s="32">
        <v>3148</v>
      </c>
      <c r="O1430" s="32">
        <v>0</v>
      </c>
      <c r="P1430" s="32">
        <v>0</v>
      </c>
      <c r="Q1430" s="37">
        <f t="shared" si="44"/>
        <v>19049</v>
      </c>
      <c r="R1430" s="69">
        <f t="shared" si="45"/>
        <v>16191.65</v>
      </c>
      <c r="S1430" s="30"/>
      <c r="T1430" s="30"/>
    </row>
    <row r="1431" spans="1:20" ht="45" customHeight="1" x14ac:dyDescent="0.3">
      <c r="A1431" s="31">
        <v>1419</v>
      </c>
      <c r="B1431" s="32" t="s">
        <v>4634</v>
      </c>
      <c r="C1431" s="32" t="s">
        <v>4752</v>
      </c>
      <c r="D1431" s="32" t="s">
        <v>4753</v>
      </c>
      <c r="E1431" s="32">
        <v>1982</v>
      </c>
      <c r="F1431" s="32" t="s">
        <v>18</v>
      </c>
      <c r="G1431" s="32" t="s">
        <v>4823</v>
      </c>
      <c r="H1431" s="32" t="s">
        <v>4823</v>
      </c>
      <c r="I1431" s="32" t="s">
        <v>300</v>
      </c>
      <c r="J1431" s="32">
        <v>6199</v>
      </c>
      <c r="K1431" s="32">
        <v>0</v>
      </c>
      <c r="L1431" s="32">
        <v>0</v>
      </c>
      <c r="M1431" s="32">
        <v>0</v>
      </c>
      <c r="N1431" s="32">
        <v>0</v>
      </c>
      <c r="O1431" s="32">
        <v>0</v>
      </c>
      <c r="P1431" s="32">
        <v>0</v>
      </c>
      <c r="Q1431" s="37">
        <f t="shared" si="44"/>
        <v>6199</v>
      </c>
      <c r="R1431" s="69">
        <f t="shared" si="45"/>
        <v>5269.15</v>
      </c>
      <c r="S1431" s="30"/>
      <c r="T1431" s="30"/>
    </row>
    <row r="1432" spans="1:20" ht="45" customHeight="1" x14ac:dyDescent="0.3">
      <c r="A1432" s="31">
        <v>1420</v>
      </c>
      <c r="B1432" s="32" t="s">
        <v>4634</v>
      </c>
      <c r="C1432" s="32" t="s">
        <v>4754</v>
      </c>
      <c r="D1432" s="32" t="s">
        <v>4755</v>
      </c>
      <c r="E1432" s="32">
        <v>2025</v>
      </c>
      <c r="F1432" s="32" t="s">
        <v>18</v>
      </c>
      <c r="G1432" s="32" t="s">
        <v>4824</v>
      </c>
      <c r="H1432" s="32" t="s">
        <v>4856</v>
      </c>
      <c r="I1432" s="32" t="s">
        <v>1483</v>
      </c>
      <c r="J1432" s="32">
        <v>6199</v>
      </c>
      <c r="K1432" s="32">
        <v>0</v>
      </c>
      <c r="L1432" s="32">
        <v>0</v>
      </c>
      <c r="M1432" s="32">
        <v>0</v>
      </c>
      <c r="N1432" s="32">
        <v>0</v>
      </c>
      <c r="O1432" s="32">
        <v>0</v>
      </c>
      <c r="P1432" s="32">
        <v>0</v>
      </c>
      <c r="Q1432" s="37">
        <f t="shared" si="44"/>
        <v>6199</v>
      </c>
      <c r="R1432" s="69">
        <f t="shared" si="45"/>
        <v>5269.15</v>
      </c>
      <c r="S1432" s="30"/>
      <c r="T1432" s="30"/>
    </row>
    <row r="1433" spans="1:20" ht="45" customHeight="1" x14ac:dyDescent="0.3">
      <c r="A1433" s="36">
        <v>1421</v>
      </c>
      <c r="B1433" s="32" t="s">
        <v>4634</v>
      </c>
      <c r="C1433" s="32" t="s">
        <v>4756</v>
      </c>
      <c r="D1433" s="32" t="s">
        <v>4757</v>
      </c>
      <c r="E1433" s="32">
        <v>1993</v>
      </c>
      <c r="F1433" s="32" t="s">
        <v>18</v>
      </c>
      <c r="G1433" s="32" t="s">
        <v>4825</v>
      </c>
      <c r="H1433" s="32" t="s">
        <v>4825</v>
      </c>
      <c r="I1433" s="32" t="s">
        <v>299</v>
      </c>
      <c r="J1433" s="32">
        <v>6199</v>
      </c>
      <c r="K1433" s="32">
        <v>1166</v>
      </c>
      <c r="L1433" s="32">
        <v>0</v>
      </c>
      <c r="M1433" s="32">
        <v>0</v>
      </c>
      <c r="N1433" s="32">
        <v>0</v>
      </c>
      <c r="O1433" s="32">
        <v>0</v>
      </c>
      <c r="P1433" s="32">
        <v>0</v>
      </c>
      <c r="Q1433" s="37">
        <f t="shared" si="44"/>
        <v>7365</v>
      </c>
      <c r="R1433" s="69">
        <f t="shared" si="45"/>
        <v>6260.25</v>
      </c>
      <c r="S1433" s="30"/>
      <c r="T1433" s="30"/>
    </row>
    <row r="1434" spans="1:20" ht="45" customHeight="1" x14ac:dyDescent="0.3">
      <c r="A1434" s="31">
        <v>1422</v>
      </c>
      <c r="B1434" s="32" t="s">
        <v>4634</v>
      </c>
      <c r="C1434" s="32" t="s">
        <v>4758</v>
      </c>
      <c r="D1434" s="32" t="s">
        <v>3344</v>
      </c>
      <c r="E1434" s="32">
        <v>1981</v>
      </c>
      <c r="F1434" s="32" t="s">
        <v>19</v>
      </c>
      <c r="G1434" s="32" t="s">
        <v>3427</v>
      </c>
      <c r="H1434" s="32" t="s">
        <v>3427</v>
      </c>
      <c r="I1434" s="32" t="s">
        <v>300</v>
      </c>
      <c r="J1434" s="32">
        <v>3793</v>
      </c>
      <c r="K1434" s="32">
        <v>0</v>
      </c>
      <c r="L1434" s="32">
        <v>0</v>
      </c>
      <c r="M1434" s="32">
        <v>0</v>
      </c>
      <c r="N1434" s="32">
        <v>24937</v>
      </c>
      <c r="O1434" s="32">
        <v>0</v>
      </c>
      <c r="P1434" s="32">
        <v>0</v>
      </c>
      <c r="Q1434" s="37">
        <f t="shared" si="44"/>
        <v>28730</v>
      </c>
      <c r="R1434" s="69">
        <f t="shared" si="45"/>
        <v>24420.5</v>
      </c>
      <c r="S1434" s="30"/>
      <c r="T1434" s="30"/>
    </row>
    <row r="1435" spans="1:20" ht="45" customHeight="1" x14ac:dyDescent="0.3">
      <c r="A1435" s="31">
        <v>1423</v>
      </c>
      <c r="B1435" s="32" t="s">
        <v>4634</v>
      </c>
      <c r="C1435" s="32" t="s">
        <v>4759</v>
      </c>
      <c r="D1435" s="32" t="s">
        <v>4760</v>
      </c>
      <c r="E1435" s="32">
        <v>2017</v>
      </c>
      <c r="F1435" s="32" t="s">
        <v>18</v>
      </c>
      <c r="G1435" s="32" t="s">
        <v>4826</v>
      </c>
      <c r="H1435" s="32" t="s">
        <v>4857</v>
      </c>
      <c r="I1435" s="32" t="s">
        <v>4878</v>
      </c>
      <c r="J1435" s="32">
        <v>6199</v>
      </c>
      <c r="K1435" s="32">
        <f>6278+4484+1346+4484+2332+1166+2332+2332+2332+2332+2332+2332</f>
        <v>34082</v>
      </c>
      <c r="L1435" s="32">
        <v>0</v>
      </c>
      <c r="M1435" s="32">
        <v>0</v>
      </c>
      <c r="N1435" s="32">
        <v>3148</v>
      </c>
      <c r="O1435" s="32">
        <v>0</v>
      </c>
      <c r="P1435" s="32">
        <v>0</v>
      </c>
      <c r="Q1435" s="37">
        <f t="shared" si="44"/>
        <v>43429</v>
      </c>
      <c r="R1435" s="69">
        <f t="shared" si="45"/>
        <v>36914.65</v>
      </c>
      <c r="S1435" s="30"/>
      <c r="T1435" s="30"/>
    </row>
    <row r="1436" spans="1:20" ht="45" customHeight="1" x14ac:dyDescent="0.3">
      <c r="A1436" s="36">
        <v>1424</v>
      </c>
      <c r="B1436" s="32" t="s">
        <v>4634</v>
      </c>
      <c r="C1436" s="32" t="s">
        <v>4761</v>
      </c>
      <c r="D1436" s="32" t="s">
        <v>4762</v>
      </c>
      <c r="E1436" s="32">
        <v>2025</v>
      </c>
      <c r="F1436" s="32" t="s">
        <v>19</v>
      </c>
      <c r="G1436" s="32" t="s">
        <v>4827</v>
      </c>
      <c r="H1436" s="32" t="s">
        <v>4858</v>
      </c>
      <c r="I1436" s="32" t="s">
        <v>4878</v>
      </c>
      <c r="J1436" s="32">
        <v>6199</v>
      </c>
      <c r="K1436" s="32">
        <v>0</v>
      </c>
      <c r="L1436" s="32">
        <v>0</v>
      </c>
      <c r="M1436" s="32">
        <v>0</v>
      </c>
      <c r="N1436" s="32">
        <v>0</v>
      </c>
      <c r="O1436" s="32">
        <v>0</v>
      </c>
      <c r="P1436" s="32">
        <v>0</v>
      </c>
      <c r="Q1436" s="37">
        <f t="shared" si="44"/>
        <v>6199</v>
      </c>
      <c r="R1436" s="69">
        <f t="shared" si="45"/>
        <v>5269.15</v>
      </c>
      <c r="S1436" s="30"/>
      <c r="T1436" s="30"/>
    </row>
    <row r="1437" spans="1:20" ht="45" customHeight="1" x14ac:dyDescent="0.3">
      <c r="A1437" s="31">
        <v>1425</v>
      </c>
      <c r="B1437" s="32" t="s">
        <v>4634</v>
      </c>
      <c r="C1437" s="32" t="s">
        <v>4763</v>
      </c>
      <c r="D1437" s="32" t="s">
        <v>4764</v>
      </c>
      <c r="E1437" s="32">
        <v>1993</v>
      </c>
      <c r="F1437" s="32" t="s">
        <v>18</v>
      </c>
      <c r="G1437" s="32" t="s">
        <v>4828</v>
      </c>
      <c r="H1437" s="32" t="s">
        <v>4859</v>
      </c>
      <c r="I1437" s="32" t="s">
        <v>4879</v>
      </c>
      <c r="J1437" s="32">
        <v>6199</v>
      </c>
      <c r="K1437" s="32">
        <v>0</v>
      </c>
      <c r="L1437" s="32">
        <v>0</v>
      </c>
      <c r="M1437" s="32">
        <v>0</v>
      </c>
      <c r="N1437" s="32">
        <v>0</v>
      </c>
      <c r="O1437" s="32">
        <v>0</v>
      </c>
      <c r="P1437" s="32">
        <v>0</v>
      </c>
      <c r="Q1437" s="37">
        <f t="shared" si="44"/>
        <v>6199</v>
      </c>
      <c r="R1437" s="69">
        <f t="shared" si="45"/>
        <v>5269.15</v>
      </c>
      <c r="S1437" s="30"/>
      <c r="T1437" s="30"/>
    </row>
    <row r="1438" spans="1:20" ht="45" customHeight="1" x14ac:dyDescent="0.3">
      <c r="A1438" s="31">
        <v>1426</v>
      </c>
      <c r="B1438" s="32" t="s">
        <v>4634</v>
      </c>
      <c r="C1438" s="32" t="s">
        <v>4765</v>
      </c>
      <c r="D1438" s="32" t="s">
        <v>4766</v>
      </c>
      <c r="E1438" s="32">
        <v>1983</v>
      </c>
      <c r="F1438" s="32" t="s">
        <v>19</v>
      </c>
      <c r="G1438" s="32" t="s">
        <v>4606</v>
      </c>
      <c r="H1438" s="32" t="s">
        <v>4606</v>
      </c>
      <c r="I1438" s="32" t="s">
        <v>4880</v>
      </c>
      <c r="J1438" s="32">
        <v>6199</v>
      </c>
      <c r="K1438" s="32">
        <v>0</v>
      </c>
      <c r="L1438" s="32">
        <v>0</v>
      </c>
      <c r="M1438" s="32">
        <v>0</v>
      </c>
      <c r="N1438" s="32">
        <v>0</v>
      </c>
      <c r="O1438" s="32">
        <v>0</v>
      </c>
      <c r="P1438" s="32">
        <v>0</v>
      </c>
      <c r="Q1438" s="37">
        <f t="shared" si="44"/>
        <v>6199</v>
      </c>
      <c r="R1438" s="69">
        <f t="shared" si="45"/>
        <v>5269.15</v>
      </c>
      <c r="S1438" s="30"/>
      <c r="T1438" s="30"/>
    </row>
    <row r="1439" spans="1:20" ht="45" customHeight="1" x14ac:dyDescent="0.3">
      <c r="A1439" s="36">
        <v>1427</v>
      </c>
      <c r="B1439" s="32" t="s">
        <v>4634</v>
      </c>
      <c r="C1439" s="32" t="s">
        <v>4767</v>
      </c>
      <c r="D1439" s="32" t="s">
        <v>4768</v>
      </c>
      <c r="E1439" s="32">
        <v>2014</v>
      </c>
      <c r="F1439" s="32" t="s">
        <v>18</v>
      </c>
      <c r="G1439" s="32" t="s">
        <v>4829</v>
      </c>
      <c r="H1439" s="32" t="s">
        <v>2421</v>
      </c>
      <c r="I1439" s="32" t="s">
        <v>4881</v>
      </c>
      <c r="J1439" s="32">
        <v>6199</v>
      </c>
      <c r="K1439" s="32">
        <v>0</v>
      </c>
      <c r="L1439" s="32">
        <v>0</v>
      </c>
      <c r="M1439" s="32">
        <v>0</v>
      </c>
      <c r="N1439" s="32">
        <v>0</v>
      </c>
      <c r="O1439" s="32">
        <v>0</v>
      </c>
      <c r="P1439" s="32">
        <v>0</v>
      </c>
      <c r="Q1439" s="37">
        <f t="shared" si="44"/>
        <v>6199</v>
      </c>
      <c r="R1439" s="69">
        <f t="shared" si="45"/>
        <v>5269.15</v>
      </c>
      <c r="S1439" s="30"/>
      <c r="T1439" s="30"/>
    </row>
    <row r="1440" spans="1:20" s="41" customFormat="1" ht="45" customHeight="1" x14ac:dyDescent="0.3">
      <c r="A1440" s="31">
        <v>1428</v>
      </c>
      <c r="B1440" s="38" t="s">
        <v>4634</v>
      </c>
      <c r="C1440" s="38" t="s">
        <v>4769</v>
      </c>
      <c r="D1440" s="38" t="s">
        <v>4770</v>
      </c>
      <c r="E1440" s="38">
        <v>1996</v>
      </c>
      <c r="F1440" s="38" t="s">
        <v>19</v>
      </c>
      <c r="G1440" s="38" t="s">
        <v>4830</v>
      </c>
      <c r="H1440" s="38" t="s">
        <v>4830</v>
      </c>
      <c r="I1440" s="38" t="s">
        <v>4882</v>
      </c>
      <c r="J1440" s="38">
        <v>6199</v>
      </c>
      <c r="K1440" s="38">
        <v>0</v>
      </c>
      <c r="L1440" s="38">
        <v>0</v>
      </c>
      <c r="M1440" s="38">
        <v>0</v>
      </c>
      <c r="N1440" s="38">
        <v>0</v>
      </c>
      <c r="O1440" s="38">
        <v>0</v>
      </c>
      <c r="P1440" s="38">
        <v>0</v>
      </c>
      <c r="Q1440" s="37">
        <f t="shared" si="44"/>
        <v>6199</v>
      </c>
      <c r="R1440" s="69">
        <f t="shared" si="45"/>
        <v>5269.15</v>
      </c>
      <c r="S1440" s="40"/>
      <c r="T1440" s="40"/>
    </row>
    <row r="1441" spans="1:20" ht="45" customHeight="1" x14ac:dyDescent="0.3">
      <c r="A1441" s="31">
        <v>1429</v>
      </c>
      <c r="B1441" s="32" t="s">
        <v>4634</v>
      </c>
      <c r="C1441" s="32" t="s">
        <v>4771</v>
      </c>
      <c r="D1441" s="32" t="s">
        <v>4772</v>
      </c>
      <c r="E1441" s="32">
        <v>2018</v>
      </c>
      <c r="F1441" s="32" t="s">
        <v>18</v>
      </c>
      <c r="G1441" s="32" t="s">
        <v>4831</v>
      </c>
      <c r="H1441" s="32" t="s">
        <v>4860</v>
      </c>
      <c r="I1441" s="32" t="s">
        <v>4883</v>
      </c>
      <c r="J1441" s="32">
        <v>6199</v>
      </c>
      <c r="K1441" s="32">
        <v>0</v>
      </c>
      <c r="L1441" s="32">
        <v>0</v>
      </c>
      <c r="M1441" s="32">
        <v>0</v>
      </c>
      <c r="N1441" s="32">
        <v>0</v>
      </c>
      <c r="O1441" s="32">
        <v>0</v>
      </c>
      <c r="P1441" s="32">
        <v>0</v>
      </c>
      <c r="Q1441" s="35">
        <f t="shared" si="44"/>
        <v>6199</v>
      </c>
      <c r="R1441" s="69">
        <f t="shared" si="45"/>
        <v>5269.15</v>
      </c>
      <c r="S1441" s="30"/>
      <c r="T1441" s="30"/>
    </row>
    <row r="1442" spans="1:20" ht="45" customHeight="1" x14ac:dyDescent="0.3">
      <c r="A1442" s="36">
        <v>1430</v>
      </c>
      <c r="B1442" s="32" t="s">
        <v>4634</v>
      </c>
      <c r="C1442" s="32" t="s">
        <v>7411</v>
      </c>
      <c r="D1442" s="34" t="s">
        <v>6393</v>
      </c>
      <c r="E1442" s="32">
        <v>2021</v>
      </c>
      <c r="F1442" s="32" t="s">
        <v>18</v>
      </c>
      <c r="G1442" s="32" t="s">
        <v>6394</v>
      </c>
      <c r="H1442" s="32" t="s">
        <v>6395</v>
      </c>
      <c r="I1442" s="32" t="s">
        <v>539</v>
      </c>
      <c r="J1442" s="32">
        <v>2900</v>
      </c>
      <c r="K1442" s="32">
        <v>0</v>
      </c>
      <c r="L1442" s="32">
        <v>0</v>
      </c>
      <c r="M1442" s="32">
        <v>0</v>
      </c>
      <c r="N1442" s="32">
        <v>2088</v>
      </c>
      <c r="O1442" s="32">
        <v>0</v>
      </c>
      <c r="P1442" s="32">
        <f>360+56</f>
        <v>416</v>
      </c>
      <c r="Q1442" s="35">
        <f t="shared" si="44"/>
        <v>5404</v>
      </c>
      <c r="R1442" s="69">
        <f t="shared" si="45"/>
        <v>4593.3999999999996</v>
      </c>
      <c r="S1442" s="30"/>
      <c r="T1442" s="30"/>
    </row>
    <row r="1443" spans="1:20" ht="45" customHeight="1" x14ac:dyDescent="0.3">
      <c r="A1443" s="31">
        <v>1431</v>
      </c>
      <c r="B1443" s="32" t="s">
        <v>4884</v>
      </c>
      <c r="C1443" s="32" t="s">
        <v>4885</v>
      </c>
      <c r="D1443" s="32" t="s">
        <v>1741</v>
      </c>
      <c r="E1443" s="32">
        <v>2012</v>
      </c>
      <c r="F1443" s="32" t="s">
        <v>19</v>
      </c>
      <c r="G1443" s="32" t="s">
        <v>1817</v>
      </c>
      <c r="H1443" s="32" t="s">
        <v>1861</v>
      </c>
      <c r="I1443" s="32" t="s">
        <v>1889</v>
      </c>
      <c r="J1443" s="32">
        <v>6199</v>
      </c>
      <c r="K1443" s="32">
        <v>0</v>
      </c>
      <c r="L1443" s="32">
        <v>0</v>
      </c>
      <c r="M1443" s="32">
        <v>0</v>
      </c>
      <c r="N1443" s="32">
        <f>15443+63167</f>
        <v>78610</v>
      </c>
      <c r="O1443" s="32">
        <v>0</v>
      </c>
      <c r="P1443" s="32">
        <v>0</v>
      </c>
      <c r="Q1443" s="35">
        <f t="shared" si="44"/>
        <v>84809</v>
      </c>
      <c r="R1443" s="69">
        <f t="shared" si="45"/>
        <v>72087.649999999994</v>
      </c>
      <c r="S1443" s="30"/>
      <c r="T1443" s="30"/>
    </row>
    <row r="1444" spans="1:20" ht="45" customHeight="1" x14ac:dyDescent="0.3">
      <c r="A1444" s="31">
        <v>1432</v>
      </c>
      <c r="B1444" s="32" t="s">
        <v>4884</v>
      </c>
      <c r="C1444" s="32" t="s">
        <v>4886</v>
      </c>
      <c r="D1444" s="32" t="s">
        <v>4887</v>
      </c>
      <c r="E1444" s="32">
        <v>2022</v>
      </c>
      <c r="F1444" s="32" t="s">
        <v>19</v>
      </c>
      <c r="G1444" s="32" t="s">
        <v>5018</v>
      </c>
      <c r="H1444" s="32" t="s">
        <v>5085</v>
      </c>
      <c r="I1444" s="32" t="s">
        <v>5122</v>
      </c>
      <c r="J1444" s="32">
        <v>6199</v>
      </c>
      <c r="K1444" s="32">
        <v>0</v>
      </c>
      <c r="L1444" s="32">
        <v>0</v>
      </c>
      <c r="M1444" s="32">
        <v>0</v>
      </c>
      <c r="N1444" s="32">
        <v>0</v>
      </c>
      <c r="O1444" s="32">
        <v>0</v>
      </c>
      <c r="P1444" s="32">
        <v>0</v>
      </c>
      <c r="Q1444" s="37">
        <f t="shared" si="44"/>
        <v>6199</v>
      </c>
      <c r="R1444" s="69">
        <f t="shared" si="45"/>
        <v>5269.15</v>
      </c>
      <c r="S1444" s="30"/>
      <c r="T1444" s="30"/>
    </row>
    <row r="1445" spans="1:20" ht="45" customHeight="1" x14ac:dyDescent="0.3">
      <c r="A1445" s="36">
        <v>1433</v>
      </c>
      <c r="B1445" s="32" t="s">
        <v>4884</v>
      </c>
      <c r="C1445" s="32" t="s">
        <v>4888</v>
      </c>
      <c r="D1445" s="32" t="s">
        <v>4889</v>
      </c>
      <c r="E1445" s="32">
        <v>2024</v>
      </c>
      <c r="F1445" s="32" t="s">
        <v>18</v>
      </c>
      <c r="G1445" s="32" t="s">
        <v>5019</v>
      </c>
      <c r="H1445" s="32" t="s">
        <v>5086</v>
      </c>
      <c r="I1445" s="32" t="s">
        <v>5122</v>
      </c>
      <c r="J1445" s="32">
        <v>6199</v>
      </c>
      <c r="K1445" s="32">
        <v>0</v>
      </c>
      <c r="L1445" s="32">
        <v>0</v>
      </c>
      <c r="M1445" s="32">
        <v>0</v>
      </c>
      <c r="N1445" s="32">
        <v>0</v>
      </c>
      <c r="O1445" s="32">
        <v>0</v>
      </c>
      <c r="P1445" s="32">
        <v>0</v>
      </c>
      <c r="Q1445" s="37">
        <f t="shared" si="44"/>
        <v>6199</v>
      </c>
      <c r="R1445" s="69">
        <f t="shared" si="45"/>
        <v>5269.15</v>
      </c>
      <c r="S1445" s="30"/>
      <c r="T1445" s="30"/>
    </row>
    <row r="1446" spans="1:20" ht="45" customHeight="1" x14ac:dyDescent="0.3">
      <c r="A1446" s="31">
        <v>1434</v>
      </c>
      <c r="B1446" s="32" t="s">
        <v>4884</v>
      </c>
      <c r="C1446" s="32" t="s">
        <v>4890</v>
      </c>
      <c r="D1446" s="32" t="s">
        <v>4891</v>
      </c>
      <c r="E1446" s="32">
        <v>1981</v>
      </c>
      <c r="F1446" s="32" t="s">
        <v>19</v>
      </c>
      <c r="G1446" s="32" t="s">
        <v>5020</v>
      </c>
      <c r="H1446" s="32" t="s">
        <v>5020</v>
      </c>
      <c r="I1446" s="32" t="s">
        <v>5123</v>
      </c>
      <c r="J1446" s="32">
        <v>6199</v>
      </c>
      <c r="K1446" s="32">
        <v>0</v>
      </c>
      <c r="L1446" s="32">
        <v>0</v>
      </c>
      <c r="M1446" s="32">
        <v>0</v>
      </c>
      <c r="N1446" s="32">
        <f>15443+34016+27380</f>
        <v>76839</v>
      </c>
      <c r="O1446" s="32">
        <v>0</v>
      </c>
      <c r="P1446" s="32">
        <v>0</v>
      </c>
      <c r="Q1446" s="35">
        <f t="shared" si="44"/>
        <v>83038</v>
      </c>
      <c r="R1446" s="69">
        <f t="shared" si="45"/>
        <v>70582.3</v>
      </c>
      <c r="S1446" s="30"/>
      <c r="T1446" s="30"/>
    </row>
    <row r="1447" spans="1:20" ht="45" customHeight="1" x14ac:dyDescent="0.3">
      <c r="A1447" s="31">
        <v>1435</v>
      </c>
      <c r="B1447" s="32" t="s">
        <v>4884</v>
      </c>
      <c r="C1447" s="32" t="s">
        <v>4892</v>
      </c>
      <c r="D1447" s="32" t="s">
        <v>1498</v>
      </c>
      <c r="E1447" s="32">
        <v>1981</v>
      </c>
      <c r="F1447" s="32" t="s">
        <v>19</v>
      </c>
      <c r="G1447" s="32" t="s">
        <v>1605</v>
      </c>
      <c r="H1447" s="32" t="s">
        <v>1605</v>
      </c>
      <c r="I1447" s="32" t="s">
        <v>1685</v>
      </c>
      <c r="J1447" s="32">
        <v>6199</v>
      </c>
      <c r="K1447" s="32">
        <v>0</v>
      </c>
      <c r="L1447" s="32">
        <v>0</v>
      </c>
      <c r="M1447" s="32">
        <v>0</v>
      </c>
      <c r="N1447" s="32">
        <v>0</v>
      </c>
      <c r="O1447" s="32">
        <v>0</v>
      </c>
      <c r="P1447" s="32">
        <v>0</v>
      </c>
      <c r="Q1447" s="37">
        <f t="shared" si="44"/>
        <v>6199</v>
      </c>
      <c r="R1447" s="69">
        <f t="shared" si="45"/>
        <v>5269.15</v>
      </c>
      <c r="S1447" s="30"/>
      <c r="T1447" s="30"/>
    </row>
    <row r="1448" spans="1:20" ht="45" customHeight="1" x14ac:dyDescent="0.3">
      <c r="A1448" s="36">
        <v>1436</v>
      </c>
      <c r="B1448" s="32" t="s">
        <v>4884</v>
      </c>
      <c r="C1448" s="32" t="s">
        <v>4893</v>
      </c>
      <c r="D1448" s="32" t="s">
        <v>4319</v>
      </c>
      <c r="E1448" s="32">
        <v>1988</v>
      </c>
      <c r="F1448" s="32" t="s">
        <v>19</v>
      </c>
      <c r="G1448" s="32" t="s">
        <v>808</v>
      </c>
      <c r="H1448" s="32" t="s">
        <v>808</v>
      </c>
      <c r="I1448" s="32" t="s">
        <v>4422</v>
      </c>
      <c r="J1448" s="32">
        <v>3793</v>
      </c>
      <c r="K1448" s="32">
        <v>0</v>
      </c>
      <c r="L1448" s="32">
        <v>0</v>
      </c>
      <c r="M1448" s="32">
        <v>0</v>
      </c>
      <c r="N1448" s="32">
        <f>3179+1178</f>
        <v>4357</v>
      </c>
      <c r="O1448" s="32">
        <v>0</v>
      </c>
      <c r="P1448" s="32">
        <f>720+1200+120</f>
        <v>2040</v>
      </c>
      <c r="Q1448" s="37">
        <f t="shared" si="44"/>
        <v>10190</v>
      </c>
      <c r="R1448" s="69">
        <f t="shared" si="45"/>
        <v>8661.5</v>
      </c>
      <c r="S1448" s="30"/>
      <c r="T1448" s="30"/>
    </row>
    <row r="1449" spans="1:20" ht="45" customHeight="1" x14ac:dyDescent="0.3">
      <c r="A1449" s="31">
        <v>1437</v>
      </c>
      <c r="B1449" s="32" t="s">
        <v>4884</v>
      </c>
      <c r="C1449" s="32" t="s">
        <v>4894</v>
      </c>
      <c r="D1449" s="32" t="s">
        <v>4895</v>
      </c>
      <c r="E1449" s="32">
        <v>2020</v>
      </c>
      <c r="F1449" s="32" t="s">
        <v>19</v>
      </c>
      <c r="G1449" s="32" t="s">
        <v>5021</v>
      </c>
      <c r="H1449" s="32" t="s">
        <v>5087</v>
      </c>
      <c r="I1449" s="32" t="s">
        <v>5124</v>
      </c>
      <c r="J1449" s="32">
        <v>3793</v>
      </c>
      <c r="K1449" s="32">
        <v>0</v>
      </c>
      <c r="L1449" s="32">
        <v>0</v>
      </c>
      <c r="M1449" s="32">
        <v>0</v>
      </c>
      <c r="N1449" s="32">
        <f>30886+60787</f>
        <v>91673</v>
      </c>
      <c r="O1449" s="32">
        <v>0</v>
      </c>
      <c r="P1449" s="32">
        <v>0</v>
      </c>
      <c r="Q1449" s="37">
        <f t="shared" si="44"/>
        <v>95466</v>
      </c>
      <c r="R1449" s="69">
        <f t="shared" si="45"/>
        <v>81146.100000000006</v>
      </c>
      <c r="S1449" s="30"/>
      <c r="T1449" s="30"/>
    </row>
    <row r="1450" spans="1:20" ht="45" customHeight="1" x14ac:dyDescent="0.3">
      <c r="A1450" s="31">
        <v>1438</v>
      </c>
      <c r="B1450" s="32" t="s">
        <v>4884</v>
      </c>
      <c r="C1450" s="32" t="s">
        <v>4896</v>
      </c>
      <c r="D1450" s="32" t="s">
        <v>4897</v>
      </c>
      <c r="E1450" s="32">
        <v>2018</v>
      </c>
      <c r="F1450" s="32" t="s">
        <v>18</v>
      </c>
      <c r="G1450" s="32" t="s">
        <v>5022</v>
      </c>
      <c r="H1450" s="32" t="s">
        <v>5087</v>
      </c>
      <c r="I1450" s="32" t="s">
        <v>5124</v>
      </c>
      <c r="J1450" s="32">
        <v>6199</v>
      </c>
      <c r="K1450" s="32">
        <v>0</v>
      </c>
      <c r="L1450" s="32">
        <v>0</v>
      </c>
      <c r="M1450" s="32">
        <v>0</v>
      </c>
      <c r="N1450" s="32">
        <v>0</v>
      </c>
      <c r="O1450" s="32">
        <v>0</v>
      </c>
      <c r="P1450" s="32">
        <v>0</v>
      </c>
      <c r="Q1450" s="37">
        <f t="shared" si="44"/>
        <v>6199</v>
      </c>
      <c r="R1450" s="69">
        <f t="shared" si="45"/>
        <v>5269.15</v>
      </c>
      <c r="S1450" s="30"/>
      <c r="T1450" s="30"/>
    </row>
    <row r="1451" spans="1:20" ht="45" customHeight="1" x14ac:dyDescent="0.3">
      <c r="A1451" s="36">
        <v>1439</v>
      </c>
      <c r="B1451" s="32" t="s">
        <v>4884</v>
      </c>
      <c r="C1451" s="32" t="s">
        <v>4898</v>
      </c>
      <c r="D1451" s="32" t="s">
        <v>4899</v>
      </c>
      <c r="E1451" s="32">
        <v>1983</v>
      </c>
      <c r="F1451" s="32" t="s">
        <v>18</v>
      </c>
      <c r="G1451" s="32" t="s">
        <v>5023</v>
      </c>
      <c r="H1451" s="32" t="s">
        <v>5020</v>
      </c>
      <c r="I1451" s="32" t="s">
        <v>5125</v>
      </c>
      <c r="J1451" s="32">
        <v>6199</v>
      </c>
      <c r="K1451" s="32">
        <f>1166+2801</f>
        <v>3967</v>
      </c>
      <c r="L1451" s="32">
        <v>19396</v>
      </c>
      <c r="M1451" s="32">
        <v>0</v>
      </c>
      <c r="N1451" s="32">
        <v>0</v>
      </c>
      <c r="O1451" s="32">
        <v>0</v>
      </c>
      <c r="P1451" s="32">
        <v>0</v>
      </c>
      <c r="Q1451" s="37">
        <f t="shared" si="44"/>
        <v>29562</v>
      </c>
      <c r="R1451" s="69">
        <f t="shared" si="45"/>
        <v>25127.7</v>
      </c>
      <c r="S1451" s="30"/>
      <c r="T1451" s="30"/>
    </row>
    <row r="1452" spans="1:20" ht="45" customHeight="1" x14ac:dyDescent="0.3">
      <c r="A1452" s="31">
        <v>1440</v>
      </c>
      <c r="B1452" s="32" t="s">
        <v>4884</v>
      </c>
      <c r="C1452" s="32" t="s">
        <v>4900</v>
      </c>
      <c r="D1452" s="32" t="s">
        <v>4901</v>
      </c>
      <c r="E1452" s="32">
        <v>2011</v>
      </c>
      <c r="F1452" s="32" t="s">
        <v>19</v>
      </c>
      <c r="G1452" s="32" t="s">
        <v>5024</v>
      </c>
      <c r="H1452" s="32" t="s">
        <v>5088</v>
      </c>
      <c r="I1452" s="32" t="s">
        <v>1460</v>
      </c>
      <c r="J1452" s="32">
        <v>6199</v>
      </c>
      <c r="K1452" s="32">
        <v>0</v>
      </c>
      <c r="L1452" s="32">
        <v>0</v>
      </c>
      <c r="M1452" s="32">
        <v>0</v>
      </c>
      <c r="N1452" s="32">
        <v>0</v>
      </c>
      <c r="O1452" s="32">
        <v>0</v>
      </c>
      <c r="P1452" s="32">
        <v>0</v>
      </c>
      <c r="Q1452" s="37">
        <f t="shared" si="44"/>
        <v>6199</v>
      </c>
      <c r="R1452" s="69">
        <f t="shared" si="45"/>
        <v>5269.15</v>
      </c>
      <c r="S1452" s="30"/>
      <c r="T1452" s="30"/>
    </row>
    <row r="1453" spans="1:20" ht="45" customHeight="1" x14ac:dyDescent="0.3">
      <c r="A1453" s="31">
        <v>1441</v>
      </c>
      <c r="B1453" s="32" t="s">
        <v>4884</v>
      </c>
      <c r="C1453" s="32" t="s">
        <v>4902</v>
      </c>
      <c r="D1453" s="32" t="s">
        <v>4903</v>
      </c>
      <c r="E1453" s="32">
        <v>2011</v>
      </c>
      <c r="F1453" s="32" t="s">
        <v>19</v>
      </c>
      <c r="G1453" s="32" t="s">
        <v>5025</v>
      </c>
      <c r="H1453" s="32" t="s">
        <v>5089</v>
      </c>
      <c r="I1453" s="32" t="s">
        <v>5126</v>
      </c>
      <c r="J1453" s="32">
        <v>6199</v>
      </c>
      <c r="K1453" s="32">
        <v>0</v>
      </c>
      <c r="L1453" s="32">
        <v>0</v>
      </c>
      <c r="M1453" s="32">
        <v>0</v>
      </c>
      <c r="N1453" s="32">
        <v>0</v>
      </c>
      <c r="O1453" s="32">
        <v>0</v>
      </c>
      <c r="P1453" s="32">
        <v>0</v>
      </c>
      <c r="Q1453" s="35">
        <f t="shared" si="44"/>
        <v>6199</v>
      </c>
      <c r="R1453" s="69">
        <f t="shared" si="45"/>
        <v>5269.15</v>
      </c>
      <c r="S1453" s="30"/>
      <c r="T1453" s="30"/>
    </row>
    <row r="1454" spans="1:20" ht="45" customHeight="1" x14ac:dyDescent="0.3">
      <c r="A1454" s="36">
        <v>1442</v>
      </c>
      <c r="B1454" s="32" t="s">
        <v>4884</v>
      </c>
      <c r="C1454" s="32" t="s">
        <v>4904</v>
      </c>
      <c r="D1454" s="32" t="s">
        <v>4905</v>
      </c>
      <c r="E1454" s="32">
        <v>1992</v>
      </c>
      <c r="F1454" s="32" t="s">
        <v>18</v>
      </c>
      <c r="G1454" s="32" t="s">
        <v>5026</v>
      </c>
      <c r="H1454" s="32" t="s">
        <v>5090</v>
      </c>
      <c r="I1454" s="32" t="s">
        <v>272</v>
      </c>
      <c r="J1454" s="32">
        <v>6199</v>
      </c>
      <c r="K1454" s="32">
        <f>6278+4484+1346+2332+2332+2332+2332+2332+6995+6995+2332+6995+2332+6995+6995+2332+2332+3000+3000+3228</f>
        <v>77299</v>
      </c>
      <c r="L1454" s="32">
        <v>0</v>
      </c>
      <c r="M1454" s="32">
        <v>0</v>
      </c>
      <c r="N1454" s="32">
        <v>1793</v>
      </c>
      <c r="O1454" s="32">
        <v>0</v>
      </c>
      <c r="P1454" s="32">
        <v>0</v>
      </c>
      <c r="Q1454" s="37">
        <f t="shared" si="44"/>
        <v>85291</v>
      </c>
      <c r="R1454" s="69">
        <f t="shared" si="45"/>
        <v>72497.350000000006</v>
      </c>
      <c r="S1454" s="30"/>
      <c r="T1454" s="30"/>
    </row>
    <row r="1455" spans="1:20" ht="45" customHeight="1" x14ac:dyDescent="0.3">
      <c r="A1455" s="31">
        <v>1443</v>
      </c>
      <c r="B1455" s="32" t="s">
        <v>4884</v>
      </c>
      <c r="C1455" s="32" t="s">
        <v>4906</v>
      </c>
      <c r="D1455" s="32" t="s">
        <v>4907</v>
      </c>
      <c r="E1455" s="32">
        <v>1993</v>
      </c>
      <c r="F1455" s="32" t="s">
        <v>18</v>
      </c>
      <c r="G1455" s="32" t="s">
        <v>5027</v>
      </c>
      <c r="H1455" s="32" t="s">
        <v>5027</v>
      </c>
      <c r="I1455" s="32" t="s">
        <v>300</v>
      </c>
      <c r="J1455" s="32">
        <v>6199</v>
      </c>
      <c r="K1455" s="32">
        <v>0</v>
      </c>
      <c r="L1455" s="32">
        <v>0</v>
      </c>
      <c r="M1455" s="32">
        <v>0</v>
      </c>
      <c r="N1455" s="32">
        <f>15443+181140</f>
        <v>196583</v>
      </c>
      <c r="O1455" s="32">
        <v>0</v>
      </c>
      <c r="P1455" s="32">
        <v>0</v>
      </c>
      <c r="Q1455" s="37">
        <f t="shared" si="44"/>
        <v>202782</v>
      </c>
      <c r="R1455" s="69">
        <f t="shared" si="45"/>
        <v>172364.7</v>
      </c>
      <c r="S1455" s="30"/>
      <c r="T1455" s="30"/>
    </row>
    <row r="1456" spans="1:20" ht="45" customHeight="1" x14ac:dyDescent="0.3">
      <c r="A1456" s="31">
        <v>1444</v>
      </c>
      <c r="B1456" s="32" t="s">
        <v>4884</v>
      </c>
      <c r="C1456" s="32" t="s">
        <v>4908</v>
      </c>
      <c r="D1456" s="32" t="s">
        <v>4909</v>
      </c>
      <c r="E1456" s="32">
        <v>2023</v>
      </c>
      <c r="F1456" s="32" t="s">
        <v>19</v>
      </c>
      <c r="G1456" s="32" t="s">
        <v>5028</v>
      </c>
      <c r="H1456" s="32" t="s">
        <v>5091</v>
      </c>
      <c r="I1456" s="32" t="s">
        <v>5127</v>
      </c>
      <c r="J1456" s="32">
        <v>6199</v>
      </c>
      <c r="K1456" s="32">
        <v>0</v>
      </c>
      <c r="L1456" s="32">
        <v>0</v>
      </c>
      <c r="M1456" s="32">
        <v>0</v>
      </c>
      <c r="N1456" s="32">
        <v>0</v>
      </c>
      <c r="O1456" s="32">
        <v>0</v>
      </c>
      <c r="P1456" s="32">
        <v>0</v>
      </c>
      <c r="Q1456" s="37">
        <f t="shared" si="44"/>
        <v>6199</v>
      </c>
      <c r="R1456" s="69">
        <f t="shared" si="45"/>
        <v>5269.15</v>
      </c>
      <c r="S1456" s="30"/>
      <c r="T1456" s="30"/>
    </row>
    <row r="1457" spans="1:20" ht="45" customHeight="1" x14ac:dyDescent="0.3">
      <c r="A1457" s="36">
        <v>1445</v>
      </c>
      <c r="B1457" s="32" t="s">
        <v>4884</v>
      </c>
      <c r="C1457" s="32" t="s">
        <v>4910</v>
      </c>
      <c r="D1457" s="32" t="s">
        <v>4911</v>
      </c>
      <c r="E1457" s="32">
        <v>2024</v>
      </c>
      <c r="F1457" s="32" t="s">
        <v>18</v>
      </c>
      <c r="G1457" s="32" t="s">
        <v>5029</v>
      </c>
      <c r="H1457" s="32" t="s">
        <v>1044</v>
      </c>
      <c r="I1457" s="32" t="s">
        <v>5128</v>
      </c>
      <c r="J1457" s="32">
        <v>6199</v>
      </c>
      <c r="K1457" s="32">
        <f>6278+4484+2332+1346+2332+2332+2332+2332+6995+6995+2332+6995+2332+4484</f>
        <v>53901</v>
      </c>
      <c r="L1457" s="32">
        <v>0</v>
      </c>
      <c r="M1457" s="32">
        <v>0</v>
      </c>
      <c r="N1457" s="32">
        <f>3148+4053+2088+1178</f>
        <v>10467</v>
      </c>
      <c r="O1457" s="32">
        <v>0</v>
      </c>
      <c r="P1457" s="32">
        <f>360+56+720+1080+120+1200</f>
        <v>3536</v>
      </c>
      <c r="Q1457" s="35">
        <f t="shared" si="44"/>
        <v>74103</v>
      </c>
      <c r="R1457" s="69">
        <f t="shared" si="45"/>
        <v>62987.55</v>
      </c>
      <c r="S1457" s="30"/>
      <c r="T1457" s="30"/>
    </row>
    <row r="1458" spans="1:20" ht="45" customHeight="1" x14ac:dyDescent="0.3">
      <c r="A1458" s="31">
        <v>1446</v>
      </c>
      <c r="B1458" s="32" t="s">
        <v>4884</v>
      </c>
      <c r="C1458" s="32" t="s">
        <v>4910</v>
      </c>
      <c r="D1458" s="32" t="s">
        <v>4911</v>
      </c>
      <c r="E1458" s="32">
        <v>2024</v>
      </c>
      <c r="F1458" s="32" t="s">
        <v>18</v>
      </c>
      <c r="G1458" s="32" t="s">
        <v>5029</v>
      </c>
      <c r="H1458" s="32" t="s">
        <v>1044</v>
      </c>
      <c r="I1458" s="32" t="s">
        <v>5128</v>
      </c>
      <c r="J1458" s="32">
        <v>0</v>
      </c>
      <c r="K1458" s="32">
        <v>0</v>
      </c>
      <c r="L1458" s="32">
        <v>0</v>
      </c>
      <c r="M1458" s="32">
        <v>17688</v>
      </c>
      <c r="N1458" s="32">
        <v>0</v>
      </c>
      <c r="O1458" s="32">
        <v>0</v>
      </c>
      <c r="P1458" s="32">
        <f>360+56</f>
        <v>416</v>
      </c>
      <c r="Q1458" s="35">
        <f t="shared" si="44"/>
        <v>18104</v>
      </c>
      <c r="R1458" s="69">
        <f t="shared" si="45"/>
        <v>15388.4</v>
      </c>
      <c r="S1458" s="30"/>
      <c r="T1458" s="30"/>
    </row>
    <row r="1459" spans="1:20" ht="45" customHeight="1" x14ac:dyDescent="0.3">
      <c r="A1459" s="31">
        <v>1447</v>
      </c>
      <c r="B1459" s="32" t="s">
        <v>4884</v>
      </c>
      <c r="C1459" s="32" t="s">
        <v>4912</v>
      </c>
      <c r="D1459" s="32" t="s">
        <v>927</v>
      </c>
      <c r="E1459" s="32">
        <v>1986</v>
      </c>
      <c r="F1459" s="32" t="s">
        <v>18</v>
      </c>
      <c r="G1459" s="32" t="s">
        <v>995</v>
      </c>
      <c r="H1459" s="32" t="s">
        <v>995</v>
      </c>
      <c r="I1459" s="32" t="s">
        <v>1068</v>
      </c>
      <c r="J1459" s="32">
        <v>6199</v>
      </c>
      <c r="K1459" s="32">
        <v>0</v>
      </c>
      <c r="L1459" s="32">
        <v>0</v>
      </c>
      <c r="M1459" s="32">
        <v>0</v>
      </c>
      <c r="N1459" s="32">
        <f>15443+181140</f>
        <v>196583</v>
      </c>
      <c r="O1459" s="32">
        <v>0</v>
      </c>
      <c r="P1459" s="32">
        <v>0</v>
      </c>
      <c r="Q1459" s="37">
        <f t="shared" si="44"/>
        <v>202782</v>
      </c>
      <c r="R1459" s="69">
        <f t="shared" si="45"/>
        <v>172364.7</v>
      </c>
      <c r="S1459" s="30"/>
      <c r="T1459" s="30"/>
    </row>
    <row r="1460" spans="1:20" ht="45" customHeight="1" x14ac:dyDescent="0.3">
      <c r="A1460" s="36">
        <v>1448</v>
      </c>
      <c r="B1460" s="32" t="s">
        <v>4884</v>
      </c>
      <c r="C1460" s="32" t="s">
        <v>4913</v>
      </c>
      <c r="D1460" s="32" t="s">
        <v>4914</v>
      </c>
      <c r="E1460" s="32">
        <v>2022</v>
      </c>
      <c r="F1460" s="32" t="s">
        <v>18</v>
      </c>
      <c r="G1460" s="32" t="s">
        <v>5030</v>
      </c>
      <c r="H1460" s="32" t="s">
        <v>2816</v>
      </c>
      <c r="I1460" s="32" t="s">
        <v>5129</v>
      </c>
      <c r="J1460" s="32">
        <v>6199</v>
      </c>
      <c r="K1460" s="32">
        <v>0</v>
      </c>
      <c r="L1460" s="32">
        <v>0</v>
      </c>
      <c r="M1460" s="32">
        <v>0</v>
      </c>
      <c r="N1460" s="32">
        <v>0</v>
      </c>
      <c r="O1460" s="32">
        <v>0</v>
      </c>
      <c r="P1460" s="32">
        <v>0</v>
      </c>
      <c r="Q1460" s="37">
        <f t="shared" si="44"/>
        <v>6199</v>
      </c>
      <c r="R1460" s="69">
        <f t="shared" si="45"/>
        <v>5269.15</v>
      </c>
      <c r="S1460" s="30"/>
      <c r="T1460" s="30"/>
    </row>
    <row r="1461" spans="1:20" ht="45" customHeight="1" x14ac:dyDescent="0.3">
      <c r="A1461" s="31">
        <v>1449</v>
      </c>
      <c r="B1461" s="32" t="s">
        <v>4884</v>
      </c>
      <c r="C1461" s="32" t="s">
        <v>4915</v>
      </c>
      <c r="D1461" s="32" t="s">
        <v>4916</v>
      </c>
      <c r="E1461" s="32">
        <v>2023</v>
      </c>
      <c r="F1461" s="32" t="s">
        <v>18</v>
      </c>
      <c r="G1461" s="32" t="s">
        <v>5031</v>
      </c>
      <c r="H1461" s="32" t="s">
        <v>5092</v>
      </c>
      <c r="I1461" s="32" t="s">
        <v>5130</v>
      </c>
      <c r="J1461" s="32">
        <v>6199</v>
      </c>
      <c r="K1461" s="32">
        <f>6278+4484+1346+2332+2332+2332+2332+2332+6995+6995+2332+6995+2332+4484+1166+2801</f>
        <v>57868</v>
      </c>
      <c r="L1461" s="32">
        <v>0</v>
      </c>
      <c r="M1461" s="32">
        <v>0</v>
      </c>
      <c r="N1461" s="32">
        <v>3148</v>
      </c>
      <c r="O1461" s="32">
        <v>0</v>
      </c>
      <c r="P1461" s="32">
        <v>0</v>
      </c>
      <c r="Q1461" s="37">
        <f t="shared" si="44"/>
        <v>67215</v>
      </c>
      <c r="R1461" s="69">
        <f t="shared" si="45"/>
        <v>57132.75</v>
      </c>
      <c r="S1461" s="30"/>
      <c r="T1461" s="30"/>
    </row>
    <row r="1462" spans="1:20" ht="45" customHeight="1" x14ac:dyDescent="0.3">
      <c r="A1462" s="31">
        <v>1450</v>
      </c>
      <c r="B1462" s="32" t="s">
        <v>4884</v>
      </c>
      <c r="C1462" s="32" t="s">
        <v>4917</v>
      </c>
      <c r="D1462" s="32" t="s">
        <v>2682</v>
      </c>
      <c r="E1462" s="32">
        <v>2017</v>
      </c>
      <c r="F1462" s="32" t="s">
        <v>18</v>
      </c>
      <c r="G1462" s="32" t="s">
        <v>5032</v>
      </c>
      <c r="H1462" s="32" t="s">
        <v>2816</v>
      </c>
      <c r="I1462" s="32" t="s">
        <v>2851</v>
      </c>
      <c r="J1462" s="32">
        <v>3793</v>
      </c>
      <c r="K1462" s="32">
        <v>0</v>
      </c>
      <c r="L1462" s="32">
        <v>0</v>
      </c>
      <c r="M1462" s="32">
        <v>0</v>
      </c>
      <c r="N1462" s="32">
        <v>0</v>
      </c>
      <c r="O1462" s="32">
        <v>0</v>
      </c>
      <c r="P1462" s="32">
        <v>0</v>
      </c>
      <c r="Q1462" s="37">
        <f t="shared" si="44"/>
        <v>3793</v>
      </c>
      <c r="R1462" s="69">
        <f t="shared" si="45"/>
        <v>3224.05</v>
      </c>
      <c r="S1462" s="30"/>
      <c r="T1462" s="30"/>
    </row>
    <row r="1463" spans="1:20" ht="45" customHeight="1" x14ac:dyDescent="0.3">
      <c r="A1463" s="36">
        <v>1451</v>
      </c>
      <c r="B1463" s="32" t="s">
        <v>4884</v>
      </c>
      <c r="C1463" s="32" t="s">
        <v>4918</v>
      </c>
      <c r="D1463" s="32" t="s">
        <v>4919</v>
      </c>
      <c r="E1463" s="32">
        <v>2018</v>
      </c>
      <c r="F1463" s="32" t="s">
        <v>18</v>
      </c>
      <c r="G1463" s="32" t="s">
        <v>5033</v>
      </c>
      <c r="H1463" s="32" t="s">
        <v>5093</v>
      </c>
      <c r="I1463" s="32" t="s">
        <v>5131</v>
      </c>
      <c r="J1463" s="32">
        <v>6199</v>
      </c>
      <c r="K1463" s="32">
        <v>0</v>
      </c>
      <c r="L1463" s="32">
        <v>0</v>
      </c>
      <c r="M1463" s="32">
        <v>0</v>
      </c>
      <c r="N1463" s="32">
        <v>0</v>
      </c>
      <c r="O1463" s="32">
        <v>0</v>
      </c>
      <c r="P1463" s="32">
        <v>0</v>
      </c>
      <c r="Q1463" s="37">
        <f t="shared" si="44"/>
        <v>6199</v>
      </c>
      <c r="R1463" s="69">
        <f t="shared" si="45"/>
        <v>5269.15</v>
      </c>
      <c r="S1463" s="30"/>
      <c r="T1463" s="30"/>
    </row>
    <row r="1464" spans="1:20" ht="45" customHeight="1" x14ac:dyDescent="0.3">
      <c r="A1464" s="31">
        <v>1452</v>
      </c>
      <c r="B1464" s="32" t="s">
        <v>4884</v>
      </c>
      <c r="C1464" s="32" t="s">
        <v>4920</v>
      </c>
      <c r="D1464" s="32" t="s">
        <v>2486</v>
      </c>
      <c r="E1464" s="32">
        <v>2022</v>
      </c>
      <c r="F1464" s="32" t="s">
        <v>19</v>
      </c>
      <c r="G1464" s="32" t="s">
        <v>2553</v>
      </c>
      <c r="H1464" s="32" t="s">
        <v>2554</v>
      </c>
      <c r="I1464" s="32" t="s">
        <v>2617</v>
      </c>
      <c r="J1464" s="32">
        <v>3793</v>
      </c>
      <c r="K1464" s="32">
        <f>6278+4484+1346+2332+2332+2332+2332+4484+2332</f>
        <v>28252</v>
      </c>
      <c r="L1464" s="32">
        <v>0</v>
      </c>
      <c r="M1464" s="32">
        <v>0</v>
      </c>
      <c r="N1464" s="32">
        <v>3148</v>
      </c>
      <c r="O1464" s="32">
        <v>0</v>
      </c>
      <c r="P1464" s="32">
        <v>0</v>
      </c>
      <c r="Q1464" s="37">
        <f t="shared" si="44"/>
        <v>35193</v>
      </c>
      <c r="R1464" s="69">
        <f t="shared" si="45"/>
        <v>29914.05</v>
      </c>
      <c r="S1464" s="30"/>
      <c r="T1464" s="30"/>
    </row>
    <row r="1465" spans="1:20" ht="45" customHeight="1" x14ac:dyDescent="0.3">
      <c r="A1465" s="31">
        <v>1453</v>
      </c>
      <c r="B1465" s="32" t="s">
        <v>4884</v>
      </c>
      <c r="C1465" s="32" t="s">
        <v>4921</v>
      </c>
      <c r="D1465" s="32" t="s">
        <v>1555</v>
      </c>
      <c r="E1465" s="32">
        <v>1977</v>
      </c>
      <c r="F1465" s="32" t="s">
        <v>18</v>
      </c>
      <c r="G1465" s="32" t="s">
        <v>1631</v>
      </c>
      <c r="H1465" s="32" t="s">
        <v>1631</v>
      </c>
      <c r="I1465" s="32" t="s">
        <v>278</v>
      </c>
      <c r="J1465" s="32">
        <v>6199</v>
      </c>
      <c r="K1465" s="32">
        <v>0</v>
      </c>
      <c r="L1465" s="32">
        <v>13298</v>
      </c>
      <c r="M1465" s="32">
        <v>0</v>
      </c>
      <c r="N1465" s="32">
        <v>0</v>
      </c>
      <c r="O1465" s="32">
        <v>0</v>
      </c>
      <c r="P1465" s="32">
        <v>0</v>
      </c>
      <c r="Q1465" s="37">
        <f t="shared" si="44"/>
        <v>19497</v>
      </c>
      <c r="R1465" s="69">
        <f t="shared" si="45"/>
        <v>16572.45</v>
      </c>
      <c r="S1465" s="30"/>
      <c r="T1465" s="30"/>
    </row>
    <row r="1466" spans="1:20" ht="45" customHeight="1" x14ac:dyDescent="0.3">
      <c r="A1466" s="36">
        <v>1454</v>
      </c>
      <c r="B1466" s="32" t="s">
        <v>4884</v>
      </c>
      <c r="C1466" s="32" t="s">
        <v>4922</v>
      </c>
      <c r="D1466" s="32" t="s">
        <v>4923</v>
      </c>
      <c r="E1466" s="32">
        <v>1988</v>
      </c>
      <c r="F1466" s="32" t="s">
        <v>19</v>
      </c>
      <c r="G1466" s="32" t="s">
        <v>5034</v>
      </c>
      <c r="H1466" s="32" t="s">
        <v>5094</v>
      </c>
      <c r="I1466" s="32" t="s">
        <v>5132</v>
      </c>
      <c r="J1466" s="32">
        <v>6199</v>
      </c>
      <c r="K1466" s="32">
        <v>0</v>
      </c>
      <c r="L1466" s="32">
        <v>0</v>
      </c>
      <c r="M1466" s="32">
        <v>0</v>
      </c>
      <c r="N1466" s="32">
        <v>0</v>
      </c>
      <c r="O1466" s="32">
        <v>0</v>
      </c>
      <c r="P1466" s="32">
        <v>0</v>
      </c>
      <c r="Q1466" s="37">
        <f t="shared" si="44"/>
        <v>6199</v>
      </c>
      <c r="R1466" s="69">
        <f t="shared" si="45"/>
        <v>5269.15</v>
      </c>
      <c r="S1466" s="30"/>
      <c r="T1466" s="30"/>
    </row>
    <row r="1467" spans="1:20" ht="45" customHeight="1" x14ac:dyDescent="0.3">
      <c r="A1467" s="31">
        <v>1455</v>
      </c>
      <c r="B1467" s="32" t="s">
        <v>4884</v>
      </c>
      <c r="C1467" s="32" t="s">
        <v>4924</v>
      </c>
      <c r="D1467" s="32" t="s">
        <v>4925</v>
      </c>
      <c r="E1467" s="32">
        <v>2008</v>
      </c>
      <c r="F1467" s="32" t="s">
        <v>19</v>
      </c>
      <c r="G1467" s="32" t="s">
        <v>5035</v>
      </c>
      <c r="H1467" s="32" t="s">
        <v>5095</v>
      </c>
      <c r="I1467" s="32" t="s">
        <v>554</v>
      </c>
      <c r="J1467" s="32">
        <v>6199</v>
      </c>
      <c r="K1467" s="32">
        <v>0</v>
      </c>
      <c r="L1467" s="32">
        <v>0</v>
      </c>
      <c r="M1467" s="32">
        <v>0</v>
      </c>
      <c r="N1467" s="32">
        <v>15443</v>
      </c>
      <c r="O1467" s="32">
        <v>0</v>
      </c>
      <c r="P1467" s="32">
        <v>0</v>
      </c>
      <c r="Q1467" s="37">
        <f t="shared" si="44"/>
        <v>21642</v>
      </c>
      <c r="R1467" s="69">
        <f t="shared" si="45"/>
        <v>18395.7</v>
      </c>
      <c r="S1467" s="30"/>
      <c r="T1467" s="30"/>
    </row>
    <row r="1468" spans="1:20" ht="45" customHeight="1" x14ac:dyDescent="0.3">
      <c r="A1468" s="31">
        <v>1456</v>
      </c>
      <c r="B1468" s="32" t="s">
        <v>4884</v>
      </c>
      <c r="C1468" s="32" t="s">
        <v>4926</v>
      </c>
      <c r="D1468" s="32" t="s">
        <v>4927</v>
      </c>
      <c r="E1468" s="32">
        <v>1999</v>
      </c>
      <c r="F1468" s="32" t="s">
        <v>19</v>
      </c>
      <c r="G1468" s="32" t="s">
        <v>5036</v>
      </c>
      <c r="H1468" s="32" t="s">
        <v>5036</v>
      </c>
      <c r="I1468" s="32" t="s">
        <v>1257</v>
      </c>
      <c r="J1468" s="32">
        <v>6199</v>
      </c>
      <c r="K1468" s="32">
        <f>6278+4484+2332+2243</f>
        <v>15337</v>
      </c>
      <c r="L1468" s="32">
        <v>17279</v>
      </c>
      <c r="M1468" s="32">
        <v>0</v>
      </c>
      <c r="N1468" s="32">
        <v>1793</v>
      </c>
      <c r="O1468" s="32">
        <v>0</v>
      </c>
      <c r="P1468" s="32">
        <v>0</v>
      </c>
      <c r="Q1468" s="35">
        <f t="shared" si="44"/>
        <v>40608</v>
      </c>
      <c r="R1468" s="69">
        <f t="shared" si="45"/>
        <v>34516.800000000003</v>
      </c>
      <c r="S1468" s="30"/>
      <c r="T1468" s="30"/>
    </row>
    <row r="1469" spans="1:20" ht="45" customHeight="1" x14ac:dyDescent="0.3">
      <c r="A1469" s="36">
        <v>1457</v>
      </c>
      <c r="B1469" s="32" t="s">
        <v>4884</v>
      </c>
      <c r="C1469" s="32" t="s">
        <v>4928</v>
      </c>
      <c r="D1469" s="32" t="s">
        <v>4929</v>
      </c>
      <c r="E1469" s="32">
        <v>2000</v>
      </c>
      <c r="F1469" s="32" t="s">
        <v>19</v>
      </c>
      <c r="G1469" s="32" t="s">
        <v>5037</v>
      </c>
      <c r="H1469" s="32" t="s">
        <v>5037</v>
      </c>
      <c r="I1469" s="32" t="s">
        <v>5133</v>
      </c>
      <c r="J1469" s="32">
        <v>6199</v>
      </c>
      <c r="K1469" s="32">
        <f>6278+3252+2332</f>
        <v>11862</v>
      </c>
      <c r="L1469" s="32">
        <v>17279</v>
      </c>
      <c r="M1469" s="32">
        <v>0</v>
      </c>
      <c r="N1469" s="32">
        <v>1793</v>
      </c>
      <c r="O1469" s="32">
        <v>0</v>
      </c>
      <c r="P1469" s="32">
        <v>0</v>
      </c>
      <c r="Q1469" s="37">
        <f t="shared" si="44"/>
        <v>37133</v>
      </c>
      <c r="R1469" s="69">
        <f t="shared" si="45"/>
        <v>31563.05</v>
      </c>
      <c r="S1469" s="30"/>
      <c r="T1469" s="30"/>
    </row>
    <row r="1470" spans="1:20" ht="45" customHeight="1" x14ac:dyDescent="0.3">
      <c r="A1470" s="31">
        <v>1458</v>
      </c>
      <c r="B1470" s="32" t="s">
        <v>4884</v>
      </c>
      <c r="C1470" s="32" t="s">
        <v>4930</v>
      </c>
      <c r="D1470" s="32" t="s">
        <v>4931</v>
      </c>
      <c r="E1470" s="32">
        <v>1990</v>
      </c>
      <c r="F1470" s="32" t="s">
        <v>19</v>
      </c>
      <c r="G1470" s="32" t="s">
        <v>5038</v>
      </c>
      <c r="H1470" s="32" t="s">
        <v>5038</v>
      </c>
      <c r="I1470" s="32" t="s">
        <v>5134</v>
      </c>
      <c r="J1470" s="32">
        <v>6199</v>
      </c>
      <c r="K1470" s="32">
        <v>0</v>
      </c>
      <c r="L1470" s="32">
        <v>17279</v>
      </c>
      <c r="M1470" s="32">
        <v>0</v>
      </c>
      <c r="N1470" s="32">
        <v>9871</v>
      </c>
      <c r="O1470" s="32">
        <v>0</v>
      </c>
      <c r="P1470" s="32">
        <v>0</v>
      </c>
      <c r="Q1470" s="37">
        <f t="shared" si="44"/>
        <v>33349</v>
      </c>
      <c r="R1470" s="69">
        <f t="shared" si="45"/>
        <v>28346.65</v>
      </c>
      <c r="S1470" s="30"/>
      <c r="T1470" s="30"/>
    </row>
    <row r="1471" spans="1:20" ht="45" customHeight="1" x14ac:dyDescent="0.3">
      <c r="A1471" s="31">
        <v>1459</v>
      </c>
      <c r="B1471" s="32" t="s">
        <v>4884</v>
      </c>
      <c r="C1471" s="32" t="s">
        <v>4932</v>
      </c>
      <c r="D1471" s="32" t="s">
        <v>4933</v>
      </c>
      <c r="E1471" s="32">
        <v>2023</v>
      </c>
      <c r="F1471" s="32" t="s">
        <v>18</v>
      </c>
      <c r="G1471" s="32" t="s">
        <v>5039</v>
      </c>
      <c r="H1471" s="32" t="s">
        <v>5096</v>
      </c>
      <c r="I1471" s="32" t="s">
        <v>5135</v>
      </c>
      <c r="J1471" s="32">
        <v>6199</v>
      </c>
      <c r="K1471" s="32">
        <f>6278+4484+2332+1346+2332+2332+2332+2332+6995+6995+2332+6995+2332+4484+1166+2801</f>
        <v>57868</v>
      </c>
      <c r="L1471" s="32">
        <v>0</v>
      </c>
      <c r="M1471" s="32">
        <v>0</v>
      </c>
      <c r="N1471" s="32">
        <v>0</v>
      </c>
      <c r="O1471" s="32">
        <v>0</v>
      </c>
      <c r="P1471" s="32">
        <v>0</v>
      </c>
      <c r="Q1471" s="37">
        <f t="shared" si="44"/>
        <v>64067</v>
      </c>
      <c r="R1471" s="69">
        <f t="shared" si="45"/>
        <v>54456.95</v>
      </c>
      <c r="S1471" s="30"/>
      <c r="T1471" s="30"/>
    </row>
    <row r="1472" spans="1:20" ht="45" customHeight="1" x14ac:dyDescent="0.3">
      <c r="A1472" s="36">
        <v>1460</v>
      </c>
      <c r="B1472" s="32" t="s">
        <v>4884</v>
      </c>
      <c r="C1472" s="32" t="s">
        <v>4934</v>
      </c>
      <c r="D1472" s="32" t="s">
        <v>4935</v>
      </c>
      <c r="E1472" s="32">
        <v>2021</v>
      </c>
      <c r="F1472" s="32" t="s">
        <v>19</v>
      </c>
      <c r="G1472" s="32" t="s">
        <v>5040</v>
      </c>
      <c r="H1472" s="32" t="s">
        <v>5097</v>
      </c>
      <c r="I1472" s="32" t="s">
        <v>1684</v>
      </c>
      <c r="J1472" s="32">
        <v>6199</v>
      </c>
      <c r="K1472" s="32">
        <v>0</v>
      </c>
      <c r="L1472" s="32">
        <v>0</v>
      </c>
      <c r="M1472" s="32">
        <v>0</v>
      </c>
      <c r="N1472" s="32">
        <v>54760</v>
      </c>
      <c r="O1472" s="32">
        <v>0</v>
      </c>
      <c r="P1472" s="32">
        <v>0</v>
      </c>
      <c r="Q1472" s="37">
        <f t="shared" si="44"/>
        <v>60959</v>
      </c>
      <c r="R1472" s="69">
        <f t="shared" si="45"/>
        <v>51815.15</v>
      </c>
      <c r="S1472" s="30"/>
      <c r="T1472" s="30"/>
    </row>
    <row r="1473" spans="1:20" ht="45" customHeight="1" x14ac:dyDescent="0.3">
      <c r="A1473" s="31">
        <v>1461</v>
      </c>
      <c r="B1473" s="32" t="s">
        <v>4884</v>
      </c>
      <c r="C1473" s="32" t="s">
        <v>4936</v>
      </c>
      <c r="D1473" s="32" t="s">
        <v>4937</v>
      </c>
      <c r="E1473" s="32">
        <v>1982</v>
      </c>
      <c r="F1473" s="32" t="s">
        <v>18</v>
      </c>
      <c r="G1473" s="32" t="s">
        <v>5041</v>
      </c>
      <c r="H1473" s="32" t="s">
        <v>5041</v>
      </c>
      <c r="I1473" s="32" t="s">
        <v>853</v>
      </c>
      <c r="J1473" s="32">
        <v>6199</v>
      </c>
      <c r="K1473" s="32">
        <f>1166+2801</f>
        <v>3967</v>
      </c>
      <c r="L1473" s="32">
        <v>0</v>
      </c>
      <c r="M1473" s="32">
        <v>0</v>
      </c>
      <c r="N1473" s="32">
        <v>0</v>
      </c>
      <c r="O1473" s="32">
        <v>0</v>
      </c>
      <c r="P1473" s="32">
        <v>0</v>
      </c>
      <c r="Q1473" s="37">
        <f t="shared" si="44"/>
        <v>10166</v>
      </c>
      <c r="R1473" s="69">
        <f t="shared" si="45"/>
        <v>8641.1</v>
      </c>
      <c r="S1473" s="30"/>
      <c r="T1473" s="30"/>
    </row>
    <row r="1474" spans="1:20" ht="45" customHeight="1" x14ac:dyDescent="0.3">
      <c r="A1474" s="31">
        <v>1462</v>
      </c>
      <c r="B1474" s="32" t="s">
        <v>4884</v>
      </c>
      <c r="C1474" s="32" t="s">
        <v>4938</v>
      </c>
      <c r="D1474" s="32" t="s">
        <v>4939</v>
      </c>
      <c r="E1474" s="32">
        <v>2022</v>
      </c>
      <c r="F1474" s="32" t="s">
        <v>18</v>
      </c>
      <c r="G1474" s="32" t="s">
        <v>5042</v>
      </c>
      <c r="H1474" s="32" t="s">
        <v>5098</v>
      </c>
      <c r="I1474" s="32" t="s">
        <v>5136</v>
      </c>
      <c r="J1474" s="32">
        <v>6199</v>
      </c>
      <c r="K1474" s="32">
        <f>6278+4484+1346+2332+4484+2332+1166+2332+2332+2332+2332+6995+6995+2332+6995+3000+3000+3228</f>
        <v>64295</v>
      </c>
      <c r="L1474" s="32">
        <v>0</v>
      </c>
      <c r="M1474" s="32">
        <v>0</v>
      </c>
      <c r="N1474" s="32">
        <v>3148</v>
      </c>
      <c r="O1474" s="32">
        <v>0</v>
      </c>
      <c r="P1474" s="32">
        <v>0</v>
      </c>
      <c r="Q1474" s="37">
        <f t="shared" si="44"/>
        <v>73642</v>
      </c>
      <c r="R1474" s="69">
        <f t="shared" si="45"/>
        <v>62595.7</v>
      </c>
      <c r="S1474" s="30"/>
      <c r="T1474" s="30"/>
    </row>
    <row r="1475" spans="1:20" ht="45" customHeight="1" x14ac:dyDescent="0.3">
      <c r="A1475" s="36">
        <v>1463</v>
      </c>
      <c r="B1475" s="32" t="s">
        <v>4884</v>
      </c>
      <c r="C1475" s="32" t="s">
        <v>4940</v>
      </c>
      <c r="D1475" s="32" t="s">
        <v>4941</v>
      </c>
      <c r="E1475" s="32">
        <v>2001</v>
      </c>
      <c r="F1475" s="32" t="s">
        <v>19</v>
      </c>
      <c r="G1475" s="32" t="s">
        <v>5043</v>
      </c>
      <c r="H1475" s="32" t="s">
        <v>5043</v>
      </c>
      <c r="I1475" s="32" t="s">
        <v>5137</v>
      </c>
      <c r="J1475" s="32">
        <v>6199</v>
      </c>
      <c r="K1475" s="32">
        <v>0</v>
      </c>
      <c r="L1475" s="32">
        <v>0</v>
      </c>
      <c r="M1475" s="32">
        <v>0</v>
      </c>
      <c r="N1475" s="32">
        <f>15443+34016+27380</f>
        <v>76839</v>
      </c>
      <c r="O1475" s="32">
        <v>0</v>
      </c>
      <c r="P1475" s="32">
        <v>0</v>
      </c>
      <c r="Q1475" s="35">
        <f t="shared" si="44"/>
        <v>83038</v>
      </c>
      <c r="R1475" s="69">
        <f t="shared" si="45"/>
        <v>70582.3</v>
      </c>
      <c r="S1475" s="30"/>
      <c r="T1475" s="30"/>
    </row>
    <row r="1476" spans="1:20" ht="45" customHeight="1" x14ac:dyDescent="0.3">
      <c r="A1476" s="31">
        <v>1464</v>
      </c>
      <c r="B1476" s="32" t="s">
        <v>4884</v>
      </c>
      <c r="C1476" s="32" t="s">
        <v>4942</v>
      </c>
      <c r="D1476" s="32" t="s">
        <v>4943</v>
      </c>
      <c r="E1476" s="32">
        <v>1992</v>
      </c>
      <c r="F1476" s="32" t="s">
        <v>19</v>
      </c>
      <c r="G1476" s="32" t="s">
        <v>5044</v>
      </c>
      <c r="H1476" s="32" t="s">
        <v>5044</v>
      </c>
      <c r="I1476" s="32" t="s">
        <v>288</v>
      </c>
      <c r="J1476" s="32">
        <v>6199</v>
      </c>
      <c r="K1476" s="32">
        <v>0</v>
      </c>
      <c r="L1476" s="32">
        <v>18406</v>
      </c>
      <c r="M1476" s="32">
        <v>0</v>
      </c>
      <c r="N1476" s="32">
        <v>0</v>
      </c>
      <c r="O1476" s="32">
        <v>0</v>
      </c>
      <c r="P1476" s="32">
        <v>0</v>
      </c>
      <c r="Q1476" s="37">
        <f t="shared" si="44"/>
        <v>24605</v>
      </c>
      <c r="R1476" s="69">
        <f t="shared" si="45"/>
        <v>20914.25</v>
      </c>
      <c r="S1476" s="30"/>
      <c r="T1476" s="30"/>
    </row>
    <row r="1477" spans="1:20" ht="45" customHeight="1" x14ac:dyDescent="0.3">
      <c r="A1477" s="31">
        <v>1465</v>
      </c>
      <c r="B1477" s="32" t="s">
        <v>4884</v>
      </c>
      <c r="C1477" s="32" t="s">
        <v>4944</v>
      </c>
      <c r="D1477" s="32" t="s">
        <v>4945</v>
      </c>
      <c r="E1477" s="32">
        <v>2011</v>
      </c>
      <c r="F1477" s="32" t="s">
        <v>19</v>
      </c>
      <c r="G1477" s="32" t="s">
        <v>5045</v>
      </c>
      <c r="H1477" s="32" t="s">
        <v>5099</v>
      </c>
      <c r="I1477" s="32" t="s">
        <v>263</v>
      </c>
      <c r="J1477" s="32">
        <v>6199</v>
      </c>
      <c r="K1477" s="32">
        <v>0</v>
      </c>
      <c r="L1477" s="32">
        <v>0</v>
      </c>
      <c r="M1477" s="32">
        <v>0</v>
      </c>
      <c r="N1477" s="32">
        <f>47999+21194</f>
        <v>69193</v>
      </c>
      <c r="O1477" s="32">
        <v>0</v>
      </c>
      <c r="P1477" s="32">
        <v>0</v>
      </c>
      <c r="Q1477" s="35">
        <f t="shared" si="44"/>
        <v>75392</v>
      </c>
      <c r="R1477" s="69">
        <f t="shared" si="45"/>
        <v>64083.199999999997</v>
      </c>
      <c r="S1477" s="30"/>
      <c r="T1477" s="30"/>
    </row>
    <row r="1478" spans="1:20" ht="45" customHeight="1" x14ac:dyDescent="0.3">
      <c r="A1478" s="36">
        <v>1466</v>
      </c>
      <c r="B1478" s="32" t="s">
        <v>4884</v>
      </c>
      <c r="C1478" s="32" t="s">
        <v>4946</v>
      </c>
      <c r="D1478" s="32" t="s">
        <v>4947</v>
      </c>
      <c r="E1478" s="32">
        <v>2015</v>
      </c>
      <c r="F1478" s="32" t="s">
        <v>19</v>
      </c>
      <c r="G1478" s="32" t="s">
        <v>5046</v>
      </c>
      <c r="H1478" s="32" t="s">
        <v>5100</v>
      </c>
      <c r="I1478" s="32" t="s">
        <v>5138</v>
      </c>
      <c r="J1478" s="32">
        <v>6199</v>
      </c>
      <c r="K1478" s="32">
        <f>6278+4484+1346+2332+2332+2332+2332+2332+6995+6995+2332+6995+2332+4484</f>
        <v>53901</v>
      </c>
      <c r="L1478" s="32">
        <v>0</v>
      </c>
      <c r="M1478" s="32">
        <v>0</v>
      </c>
      <c r="N1478" s="32">
        <v>3148</v>
      </c>
      <c r="O1478" s="32">
        <v>0</v>
      </c>
      <c r="P1478" s="32">
        <v>0</v>
      </c>
      <c r="Q1478" s="37">
        <f t="shared" si="44"/>
        <v>63248</v>
      </c>
      <c r="R1478" s="69">
        <f t="shared" si="45"/>
        <v>53760.800000000003</v>
      </c>
      <c r="S1478" s="30"/>
      <c r="T1478" s="30"/>
    </row>
    <row r="1479" spans="1:20" ht="45" customHeight="1" x14ac:dyDescent="0.3">
      <c r="A1479" s="31">
        <v>1467</v>
      </c>
      <c r="B1479" s="32" t="s">
        <v>4884</v>
      </c>
      <c r="C1479" s="32" t="s">
        <v>4946</v>
      </c>
      <c r="D1479" s="32" t="s">
        <v>4947</v>
      </c>
      <c r="E1479" s="32">
        <v>2015</v>
      </c>
      <c r="F1479" s="32" t="s">
        <v>2635</v>
      </c>
      <c r="G1479" s="32" t="s">
        <v>5046</v>
      </c>
      <c r="H1479" s="32" t="s">
        <v>5100</v>
      </c>
      <c r="I1479" s="32" t="s">
        <v>5138</v>
      </c>
      <c r="J1479" s="32">
        <v>0</v>
      </c>
      <c r="K1479" s="32">
        <v>0</v>
      </c>
      <c r="L1479" s="32">
        <v>0</v>
      </c>
      <c r="M1479" s="32">
        <v>17688</v>
      </c>
      <c r="N1479" s="32">
        <f>4053+2088</f>
        <v>6141</v>
      </c>
      <c r="O1479" s="32">
        <v>0</v>
      </c>
      <c r="P1479" s="32">
        <f>360+56+1200+1080+720</f>
        <v>3416</v>
      </c>
      <c r="Q1479" s="37">
        <f t="shared" si="44"/>
        <v>27245</v>
      </c>
      <c r="R1479" s="69">
        <f t="shared" si="45"/>
        <v>23158.25</v>
      </c>
      <c r="S1479" s="30"/>
      <c r="T1479" s="30"/>
    </row>
    <row r="1480" spans="1:20" ht="45" customHeight="1" x14ac:dyDescent="0.3">
      <c r="A1480" s="31">
        <v>1468</v>
      </c>
      <c r="B1480" s="32" t="s">
        <v>4884</v>
      </c>
      <c r="C1480" s="32" t="s">
        <v>4948</v>
      </c>
      <c r="D1480" s="32" t="s">
        <v>2276</v>
      </c>
      <c r="E1480" s="32">
        <v>2019</v>
      </c>
      <c r="F1480" s="32" t="s">
        <v>18</v>
      </c>
      <c r="G1480" s="32" t="s">
        <v>5047</v>
      </c>
      <c r="H1480" s="32" t="s">
        <v>2426</v>
      </c>
      <c r="I1480" s="32" t="s">
        <v>2469</v>
      </c>
      <c r="J1480" s="32">
        <v>3793</v>
      </c>
      <c r="K1480" s="32">
        <v>0</v>
      </c>
      <c r="L1480" s="32">
        <v>0</v>
      </c>
      <c r="M1480" s="32">
        <v>0</v>
      </c>
      <c r="N1480" s="32">
        <f>53754+30886</f>
        <v>84640</v>
      </c>
      <c r="O1480" s="32">
        <v>0</v>
      </c>
      <c r="P1480" s="32">
        <v>0</v>
      </c>
      <c r="Q1480" s="37">
        <f t="shared" si="44"/>
        <v>88433</v>
      </c>
      <c r="R1480" s="69">
        <f t="shared" si="45"/>
        <v>75168.05</v>
      </c>
      <c r="S1480" s="30"/>
      <c r="T1480" s="30"/>
    </row>
    <row r="1481" spans="1:20" ht="45" customHeight="1" x14ac:dyDescent="0.3">
      <c r="A1481" s="36">
        <v>1469</v>
      </c>
      <c r="B1481" s="32" t="s">
        <v>4884</v>
      </c>
      <c r="C1481" s="32" t="s">
        <v>4949</v>
      </c>
      <c r="D1481" s="32" t="s">
        <v>4937</v>
      </c>
      <c r="E1481" s="32">
        <v>1982</v>
      </c>
      <c r="F1481" s="32" t="s">
        <v>18</v>
      </c>
      <c r="G1481" s="32" t="s">
        <v>5041</v>
      </c>
      <c r="H1481" s="32" t="s">
        <v>5041</v>
      </c>
      <c r="I1481" s="32" t="s">
        <v>853</v>
      </c>
      <c r="J1481" s="32">
        <v>6199</v>
      </c>
      <c r="K1481" s="32">
        <v>0</v>
      </c>
      <c r="L1481" s="32">
        <v>0</v>
      </c>
      <c r="M1481" s="32">
        <v>0</v>
      </c>
      <c r="N1481" s="32">
        <f>15443+303362</f>
        <v>318805</v>
      </c>
      <c r="O1481" s="32">
        <v>0</v>
      </c>
      <c r="P1481" s="32">
        <v>0</v>
      </c>
      <c r="Q1481" s="35">
        <f t="shared" si="44"/>
        <v>325004</v>
      </c>
      <c r="R1481" s="69">
        <f t="shared" si="45"/>
        <v>276253.40000000002</v>
      </c>
      <c r="S1481" s="30"/>
      <c r="T1481" s="30"/>
    </row>
    <row r="1482" spans="1:20" ht="45" customHeight="1" x14ac:dyDescent="0.3">
      <c r="A1482" s="31">
        <v>1470</v>
      </c>
      <c r="B1482" s="32" t="s">
        <v>4884</v>
      </c>
      <c r="C1482" s="32" t="s">
        <v>4950</v>
      </c>
      <c r="D1482" s="32" t="s">
        <v>4951</v>
      </c>
      <c r="E1482" s="32">
        <v>1999</v>
      </c>
      <c r="F1482" s="32" t="s">
        <v>19</v>
      </c>
      <c r="G1482" s="32" t="s">
        <v>5048</v>
      </c>
      <c r="H1482" s="32" t="s">
        <v>5101</v>
      </c>
      <c r="I1482" s="32" t="s">
        <v>5139</v>
      </c>
      <c r="J1482" s="32">
        <v>6199</v>
      </c>
      <c r="K1482" s="32">
        <f>6278+6995+6995+2332+2332+2332+2332+2332</f>
        <v>31928</v>
      </c>
      <c r="L1482" s="32">
        <v>18406</v>
      </c>
      <c r="M1482" s="32">
        <v>0</v>
      </c>
      <c r="N1482" s="32">
        <v>1793</v>
      </c>
      <c r="O1482" s="32">
        <v>0</v>
      </c>
      <c r="P1482" s="32">
        <v>0</v>
      </c>
      <c r="Q1482" s="37">
        <f t="shared" si="44"/>
        <v>58326</v>
      </c>
      <c r="R1482" s="69">
        <f t="shared" si="45"/>
        <v>49577.1</v>
      </c>
      <c r="S1482" s="30"/>
      <c r="T1482" s="30"/>
    </row>
    <row r="1483" spans="1:20" ht="45" customHeight="1" x14ac:dyDescent="0.3">
      <c r="A1483" s="31">
        <v>1471</v>
      </c>
      <c r="B1483" s="32" t="s">
        <v>4884</v>
      </c>
      <c r="C1483" s="32" t="s">
        <v>4952</v>
      </c>
      <c r="D1483" s="32" t="s">
        <v>4953</v>
      </c>
      <c r="E1483" s="32">
        <v>2024</v>
      </c>
      <c r="F1483" s="32" t="s">
        <v>18</v>
      </c>
      <c r="G1483" s="32" t="s">
        <v>5049</v>
      </c>
      <c r="H1483" s="32" t="s">
        <v>5102</v>
      </c>
      <c r="I1483" s="32" t="s">
        <v>5140</v>
      </c>
      <c r="J1483" s="32">
        <v>6199</v>
      </c>
      <c r="K1483" s="32">
        <f>6278+4484+2332+2332+1346+2332+2332+2332+6995+6995+2332+6995+2332+4484</f>
        <v>53901</v>
      </c>
      <c r="L1483" s="32">
        <v>0</v>
      </c>
      <c r="M1483" s="32">
        <v>0</v>
      </c>
      <c r="N1483" s="32">
        <v>0</v>
      </c>
      <c r="O1483" s="32">
        <v>0</v>
      </c>
      <c r="P1483" s="32">
        <v>0</v>
      </c>
      <c r="Q1483" s="37">
        <f t="shared" si="44"/>
        <v>60100</v>
      </c>
      <c r="R1483" s="69">
        <f t="shared" si="45"/>
        <v>51085</v>
      </c>
      <c r="S1483" s="30"/>
      <c r="T1483" s="30"/>
    </row>
    <row r="1484" spans="1:20" ht="45" customHeight="1" x14ac:dyDescent="0.3">
      <c r="A1484" s="36">
        <v>1472</v>
      </c>
      <c r="B1484" s="32" t="s">
        <v>4884</v>
      </c>
      <c r="C1484" s="32" t="s">
        <v>4954</v>
      </c>
      <c r="D1484" s="32" t="s">
        <v>4955</v>
      </c>
      <c r="E1484" s="32">
        <v>2024</v>
      </c>
      <c r="F1484" s="32" t="s">
        <v>19</v>
      </c>
      <c r="G1484" s="32" t="s">
        <v>5050</v>
      </c>
      <c r="H1484" s="32" t="s">
        <v>2391</v>
      </c>
      <c r="I1484" s="32" t="s">
        <v>5141</v>
      </c>
      <c r="J1484" s="32">
        <v>6199</v>
      </c>
      <c r="K1484" s="32">
        <f>6278+4484+1346+4484+2332+2332+2332+2332+2332</f>
        <v>28252</v>
      </c>
      <c r="L1484" s="32">
        <v>13298</v>
      </c>
      <c r="M1484" s="32">
        <v>0</v>
      </c>
      <c r="N1484" s="32">
        <v>3148</v>
      </c>
      <c r="O1484" s="32">
        <v>0</v>
      </c>
      <c r="P1484" s="32">
        <v>0</v>
      </c>
      <c r="Q1484" s="37">
        <f t="shared" si="44"/>
        <v>50897</v>
      </c>
      <c r="R1484" s="69">
        <f t="shared" si="45"/>
        <v>43262.45</v>
      </c>
      <c r="S1484" s="30"/>
      <c r="T1484" s="30"/>
    </row>
    <row r="1485" spans="1:20" ht="45" customHeight="1" x14ac:dyDescent="0.3">
      <c r="A1485" s="31">
        <v>1473</v>
      </c>
      <c r="B1485" s="32" t="s">
        <v>4884</v>
      </c>
      <c r="C1485" s="32" t="s">
        <v>4956</v>
      </c>
      <c r="D1485" s="32" t="s">
        <v>4957</v>
      </c>
      <c r="E1485" s="32">
        <v>1988</v>
      </c>
      <c r="F1485" s="32" t="s">
        <v>19</v>
      </c>
      <c r="G1485" s="32" t="s">
        <v>5051</v>
      </c>
      <c r="H1485" s="32" t="s">
        <v>5051</v>
      </c>
      <c r="I1485" s="32" t="s">
        <v>2846</v>
      </c>
      <c r="J1485" s="32">
        <v>6199</v>
      </c>
      <c r="K1485" s="32">
        <f>2243+2332</f>
        <v>4575</v>
      </c>
      <c r="L1485" s="32">
        <v>17279</v>
      </c>
      <c r="M1485" s="32">
        <v>0</v>
      </c>
      <c r="N1485" s="32">
        <v>0</v>
      </c>
      <c r="O1485" s="32">
        <v>0</v>
      </c>
      <c r="P1485" s="32">
        <v>0</v>
      </c>
      <c r="Q1485" s="37">
        <f t="shared" ref="Q1485:Q1548" si="46">SUM(J1485:P1485)</f>
        <v>28053</v>
      </c>
      <c r="R1485" s="69">
        <f t="shared" si="45"/>
        <v>23845.05</v>
      </c>
      <c r="S1485" s="30"/>
      <c r="T1485" s="30"/>
    </row>
    <row r="1486" spans="1:20" ht="45" customHeight="1" x14ac:dyDescent="0.3">
      <c r="A1486" s="31">
        <v>1474</v>
      </c>
      <c r="B1486" s="32" t="s">
        <v>4884</v>
      </c>
      <c r="C1486" s="32" t="s">
        <v>4958</v>
      </c>
      <c r="D1486" s="32" t="s">
        <v>4959</v>
      </c>
      <c r="E1486" s="32">
        <v>1993</v>
      </c>
      <c r="F1486" s="32" t="s">
        <v>19</v>
      </c>
      <c r="G1486" s="32" t="s">
        <v>5052</v>
      </c>
      <c r="H1486" s="32" t="s">
        <v>5052</v>
      </c>
      <c r="I1486" s="32" t="s">
        <v>1046</v>
      </c>
      <c r="J1486" s="32">
        <v>6199</v>
      </c>
      <c r="K1486" s="32">
        <v>0</v>
      </c>
      <c r="L1486" s="32">
        <v>20807</v>
      </c>
      <c r="M1486" s="32">
        <v>0</v>
      </c>
      <c r="N1486" s="32">
        <v>0</v>
      </c>
      <c r="O1486" s="32">
        <v>0</v>
      </c>
      <c r="P1486" s="32">
        <v>0</v>
      </c>
      <c r="Q1486" s="37">
        <f t="shared" si="46"/>
        <v>27006</v>
      </c>
      <c r="R1486" s="69">
        <f t="shared" ref="R1486:R1549" si="47">Q1486*85/100</f>
        <v>22955.1</v>
      </c>
      <c r="S1486" s="30"/>
      <c r="T1486" s="30"/>
    </row>
    <row r="1487" spans="1:20" ht="45" customHeight="1" x14ac:dyDescent="0.3">
      <c r="A1487" s="36">
        <v>1475</v>
      </c>
      <c r="B1487" s="32" t="s">
        <v>4884</v>
      </c>
      <c r="C1487" s="32" t="s">
        <v>4960</v>
      </c>
      <c r="D1487" s="32" t="s">
        <v>4891</v>
      </c>
      <c r="E1487" s="32">
        <v>1981</v>
      </c>
      <c r="F1487" s="32" t="s">
        <v>19</v>
      </c>
      <c r="G1487" s="32" t="s">
        <v>5053</v>
      </c>
      <c r="H1487" s="32" t="s">
        <v>5053</v>
      </c>
      <c r="I1487" s="32" t="s">
        <v>2850</v>
      </c>
      <c r="J1487" s="32">
        <v>6199</v>
      </c>
      <c r="K1487" s="32">
        <v>0</v>
      </c>
      <c r="L1487" s="32">
        <v>17279</v>
      </c>
      <c r="M1487" s="32">
        <v>0</v>
      </c>
      <c r="N1487" s="32">
        <v>0</v>
      </c>
      <c r="O1487" s="32">
        <v>0</v>
      </c>
      <c r="P1487" s="32">
        <v>0</v>
      </c>
      <c r="Q1487" s="37">
        <f t="shared" si="46"/>
        <v>23478</v>
      </c>
      <c r="R1487" s="69">
        <f t="shared" si="47"/>
        <v>19956.3</v>
      </c>
      <c r="S1487" s="30"/>
      <c r="T1487" s="30"/>
    </row>
    <row r="1488" spans="1:20" ht="45" customHeight="1" x14ac:dyDescent="0.3">
      <c r="A1488" s="31">
        <v>1476</v>
      </c>
      <c r="B1488" s="32" t="s">
        <v>4884</v>
      </c>
      <c r="C1488" s="32" t="s">
        <v>4961</v>
      </c>
      <c r="D1488" s="32" t="s">
        <v>4962</v>
      </c>
      <c r="E1488" s="32">
        <v>2014</v>
      </c>
      <c r="F1488" s="32" t="s">
        <v>19</v>
      </c>
      <c r="G1488" s="32" t="s">
        <v>5054</v>
      </c>
      <c r="H1488" s="32" t="s">
        <v>5103</v>
      </c>
      <c r="I1488" s="32" t="s">
        <v>5142</v>
      </c>
      <c r="J1488" s="32">
        <v>6199</v>
      </c>
      <c r="K1488" s="32">
        <v>1166</v>
      </c>
      <c r="L1488" s="32">
        <v>0</v>
      </c>
      <c r="M1488" s="32">
        <v>0</v>
      </c>
      <c r="N1488" s="32">
        <v>0</v>
      </c>
      <c r="O1488" s="32">
        <v>0</v>
      </c>
      <c r="P1488" s="32">
        <v>0</v>
      </c>
      <c r="Q1488" s="37">
        <f t="shared" si="46"/>
        <v>7365</v>
      </c>
      <c r="R1488" s="69">
        <f t="shared" si="47"/>
        <v>6260.25</v>
      </c>
      <c r="S1488" s="30"/>
      <c r="T1488" s="30"/>
    </row>
    <row r="1489" spans="1:20" ht="45" customHeight="1" x14ac:dyDescent="0.3">
      <c r="A1489" s="31">
        <v>1477</v>
      </c>
      <c r="B1489" s="32" t="s">
        <v>4884</v>
      </c>
      <c r="C1489" s="32" t="s">
        <v>4963</v>
      </c>
      <c r="D1489" s="32" t="s">
        <v>4964</v>
      </c>
      <c r="E1489" s="32">
        <v>1991</v>
      </c>
      <c r="F1489" s="32" t="s">
        <v>19</v>
      </c>
      <c r="G1489" s="32" t="s">
        <v>5055</v>
      </c>
      <c r="H1489" s="32" t="s">
        <v>5055</v>
      </c>
      <c r="I1489" s="32" t="s">
        <v>1056</v>
      </c>
      <c r="J1489" s="32">
        <v>6199</v>
      </c>
      <c r="K1489" s="32">
        <v>3587</v>
      </c>
      <c r="L1489" s="32">
        <v>17279</v>
      </c>
      <c r="M1489" s="32">
        <v>0</v>
      </c>
      <c r="N1489" s="32">
        <v>0</v>
      </c>
      <c r="O1489" s="32">
        <v>0</v>
      </c>
      <c r="P1489" s="32">
        <v>0</v>
      </c>
      <c r="Q1489" s="37">
        <f t="shared" si="46"/>
        <v>27065</v>
      </c>
      <c r="R1489" s="69">
        <f t="shared" si="47"/>
        <v>23005.25</v>
      </c>
      <c r="S1489" s="30"/>
      <c r="T1489" s="30"/>
    </row>
    <row r="1490" spans="1:20" ht="45" customHeight="1" x14ac:dyDescent="0.3">
      <c r="A1490" s="36">
        <v>1478</v>
      </c>
      <c r="B1490" s="32" t="s">
        <v>4884</v>
      </c>
      <c r="C1490" s="32" t="s">
        <v>4965</v>
      </c>
      <c r="D1490" s="32" t="s">
        <v>4966</v>
      </c>
      <c r="E1490" s="32">
        <v>2005</v>
      </c>
      <c r="F1490" s="32" t="s">
        <v>19</v>
      </c>
      <c r="G1490" s="32" t="s">
        <v>5056</v>
      </c>
      <c r="H1490" s="32" t="s">
        <v>5104</v>
      </c>
      <c r="I1490" s="32" t="s">
        <v>2622</v>
      </c>
      <c r="J1490" s="32">
        <v>6199</v>
      </c>
      <c r="K1490" s="32">
        <v>0</v>
      </c>
      <c r="L1490" s="32">
        <v>18406</v>
      </c>
      <c r="M1490" s="32">
        <v>0</v>
      </c>
      <c r="N1490" s="32">
        <v>0</v>
      </c>
      <c r="O1490" s="32">
        <v>0</v>
      </c>
      <c r="P1490" s="32">
        <v>0</v>
      </c>
      <c r="Q1490" s="37">
        <f t="shared" si="46"/>
        <v>24605</v>
      </c>
      <c r="R1490" s="69">
        <f t="shared" si="47"/>
        <v>20914.25</v>
      </c>
      <c r="S1490" s="30"/>
      <c r="T1490" s="30"/>
    </row>
    <row r="1491" spans="1:20" ht="45" customHeight="1" x14ac:dyDescent="0.3">
      <c r="A1491" s="31">
        <v>1479</v>
      </c>
      <c r="B1491" s="32" t="s">
        <v>4884</v>
      </c>
      <c r="C1491" s="32" t="s">
        <v>4967</v>
      </c>
      <c r="D1491" s="32" t="s">
        <v>4968</v>
      </c>
      <c r="E1491" s="32">
        <v>1989</v>
      </c>
      <c r="F1491" s="32" t="s">
        <v>19</v>
      </c>
      <c r="G1491" s="32" t="s">
        <v>5057</v>
      </c>
      <c r="H1491" s="32" t="s">
        <v>5057</v>
      </c>
      <c r="I1491" s="32" t="s">
        <v>34</v>
      </c>
      <c r="J1491" s="32">
        <v>6199</v>
      </c>
      <c r="K1491" s="32">
        <v>0</v>
      </c>
      <c r="L1491" s="32">
        <v>0</v>
      </c>
      <c r="M1491" s="32">
        <v>0</v>
      </c>
      <c r="N1491" s="32">
        <v>0</v>
      </c>
      <c r="O1491" s="32">
        <v>0</v>
      </c>
      <c r="P1491" s="32">
        <v>0</v>
      </c>
      <c r="Q1491" s="37">
        <f t="shared" si="46"/>
        <v>6199</v>
      </c>
      <c r="R1491" s="69">
        <f t="shared" si="47"/>
        <v>5269.15</v>
      </c>
      <c r="S1491" s="30"/>
      <c r="T1491" s="30"/>
    </row>
    <row r="1492" spans="1:20" ht="45" customHeight="1" x14ac:dyDescent="0.3">
      <c r="A1492" s="31">
        <v>1480</v>
      </c>
      <c r="B1492" s="32" t="s">
        <v>4884</v>
      </c>
      <c r="C1492" s="32" t="s">
        <v>4969</v>
      </c>
      <c r="D1492" s="32" t="s">
        <v>4970</v>
      </c>
      <c r="E1492" s="32">
        <v>2024</v>
      </c>
      <c r="F1492" s="32" t="s">
        <v>19</v>
      </c>
      <c r="G1492" s="32" t="s">
        <v>5058</v>
      </c>
      <c r="H1492" s="32" t="s">
        <v>5105</v>
      </c>
      <c r="I1492" s="32" t="s">
        <v>5143</v>
      </c>
      <c r="J1492" s="32">
        <v>6199</v>
      </c>
      <c r="K1492" s="32">
        <f>1166+2801</f>
        <v>3967</v>
      </c>
      <c r="L1492" s="32">
        <v>0</v>
      </c>
      <c r="M1492" s="32">
        <v>0</v>
      </c>
      <c r="N1492" s="32">
        <v>0</v>
      </c>
      <c r="O1492" s="32">
        <v>0</v>
      </c>
      <c r="P1492" s="32">
        <v>0</v>
      </c>
      <c r="Q1492" s="37">
        <f t="shared" si="46"/>
        <v>10166</v>
      </c>
      <c r="R1492" s="69">
        <f t="shared" si="47"/>
        <v>8641.1</v>
      </c>
      <c r="S1492" s="30"/>
      <c r="T1492" s="30"/>
    </row>
    <row r="1493" spans="1:20" ht="45" customHeight="1" x14ac:dyDescent="0.3">
      <c r="A1493" s="36">
        <v>1481</v>
      </c>
      <c r="B1493" s="32" t="s">
        <v>4884</v>
      </c>
      <c r="C1493" s="32" t="s">
        <v>4971</v>
      </c>
      <c r="D1493" s="32" t="s">
        <v>4972</v>
      </c>
      <c r="E1493" s="32">
        <v>1997</v>
      </c>
      <c r="F1493" s="32" t="s">
        <v>19</v>
      </c>
      <c r="G1493" s="32" t="s">
        <v>5059</v>
      </c>
      <c r="H1493" s="32" t="s">
        <v>5059</v>
      </c>
      <c r="I1493" s="32" t="s">
        <v>1905</v>
      </c>
      <c r="J1493" s="32">
        <v>6199</v>
      </c>
      <c r="K1493" s="32">
        <v>0</v>
      </c>
      <c r="L1493" s="32">
        <v>0</v>
      </c>
      <c r="M1493" s="32">
        <v>0</v>
      </c>
      <c r="N1493" s="32">
        <v>0</v>
      </c>
      <c r="O1493" s="32">
        <v>0</v>
      </c>
      <c r="P1493" s="32">
        <v>0</v>
      </c>
      <c r="Q1493" s="35">
        <f t="shared" si="46"/>
        <v>6199</v>
      </c>
      <c r="R1493" s="69">
        <f t="shared" si="47"/>
        <v>5269.15</v>
      </c>
      <c r="S1493" s="30"/>
      <c r="T1493" s="30"/>
    </row>
    <row r="1494" spans="1:20" ht="45" customHeight="1" x14ac:dyDescent="0.3">
      <c r="A1494" s="31">
        <v>1482</v>
      </c>
      <c r="B1494" s="32" t="s">
        <v>4884</v>
      </c>
      <c r="C1494" s="32" t="s">
        <v>4973</v>
      </c>
      <c r="D1494" s="32" t="s">
        <v>4974</v>
      </c>
      <c r="E1494" s="32">
        <v>1996</v>
      </c>
      <c r="F1494" s="32" t="s">
        <v>19</v>
      </c>
      <c r="G1494" s="32" t="s">
        <v>5060</v>
      </c>
      <c r="H1494" s="32" t="s">
        <v>5106</v>
      </c>
      <c r="I1494" s="32" t="s">
        <v>5144</v>
      </c>
      <c r="J1494" s="32">
        <v>6199</v>
      </c>
      <c r="K1494" s="32">
        <v>0</v>
      </c>
      <c r="L1494" s="32">
        <v>0</v>
      </c>
      <c r="M1494" s="32">
        <v>0</v>
      </c>
      <c r="N1494" s="32">
        <v>9871</v>
      </c>
      <c r="O1494" s="32">
        <v>0</v>
      </c>
      <c r="P1494" s="32">
        <v>0</v>
      </c>
      <c r="Q1494" s="37">
        <f t="shared" si="46"/>
        <v>16070</v>
      </c>
      <c r="R1494" s="69">
        <f t="shared" si="47"/>
        <v>13659.5</v>
      </c>
      <c r="S1494" s="30"/>
      <c r="T1494" s="30"/>
    </row>
    <row r="1495" spans="1:20" ht="45" customHeight="1" x14ac:dyDescent="0.3">
      <c r="A1495" s="31">
        <v>1483</v>
      </c>
      <c r="B1495" s="32" t="s">
        <v>4884</v>
      </c>
      <c r="C1495" s="32" t="s">
        <v>4975</v>
      </c>
      <c r="D1495" s="32" t="s">
        <v>4976</v>
      </c>
      <c r="E1495" s="32">
        <v>1986</v>
      </c>
      <c r="F1495" s="32" t="s">
        <v>19</v>
      </c>
      <c r="G1495" s="32" t="s">
        <v>5061</v>
      </c>
      <c r="H1495" s="32" t="s">
        <v>5061</v>
      </c>
      <c r="I1495" s="32" t="s">
        <v>1278</v>
      </c>
      <c r="J1495" s="32">
        <v>6199</v>
      </c>
      <c r="K1495" s="32">
        <f>6278+4484+1346+4484+2332+2332+2332+2332+2332+3000+3000+1166</f>
        <v>35418</v>
      </c>
      <c r="L1495" s="32">
        <v>0</v>
      </c>
      <c r="M1495" s="32">
        <v>0</v>
      </c>
      <c r="N1495" s="32">
        <v>1793</v>
      </c>
      <c r="O1495" s="32">
        <v>0</v>
      </c>
      <c r="P1495" s="32">
        <v>0</v>
      </c>
      <c r="Q1495" s="35">
        <f t="shared" si="46"/>
        <v>43410</v>
      </c>
      <c r="R1495" s="69">
        <f t="shared" si="47"/>
        <v>36898.5</v>
      </c>
      <c r="S1495" s="30"/>
      <c r="T1495" s="30"/>
    </row>
    <row r="1496" spans="1:20" ht="45" customHeight="1" x14ac:dyDescent="0.3">
      <c r="A1496" s="36">
        <v>1484</v>
      </c>
      <c r="B1496" s="32" t="s">
        <v>4884</v>
      </c>
      <c r="C1496" s="32" t="s">
        <v>4977</v>
      </c>
      <c r="D1496" s="32" t="s">
        <v>4978</v>
      </c>
      <c r="E1496" s="32">
        <v>2021</v>
      </c>
      <c r="F1496" s="32" t="s">
        <v>18</v>
      </c>
      <c r="G1496" s="32" t="s">
        <v>5062</v>
      </c>
      <c r="H1496" s="32" t="s">
        <v>5061</v>
      </c>
      <c r="I1496" s="32" t="s">
        <v>5145</v>
      </c>
      <c r="J1496" s="32">
        <v>6199</v>
      </c>
      <c r="K1496" s="32">
        <f>6278+4484+1346+4484+2332+2332+2332+2332+2332</f>
        <v>28252</v>
      </c>
      <c r="L1496" s="32">
        <v>0</v>
      </c>
      <c r="M1496" s="32">
        <v>0</v>
      </c>
      <c r="N1496" s="32">
        <v>3148</v>
      </c>
      <c r="O1496" s="32">
        <v>0</v>
      </c>
      <c r="P1496" s="32">
        <v>0</v>
      </c>
      <c r="Q1496" s="37">
        <f t="shared" si="46"/>
        <v>37599</v>
      </c>
      <c r="R1496" s="69">
        <f t="shared" si="47"/>
        <v>31959.15</v>
      </c>
      <c r="S1496" s="30"/>
      <c r="T1496" s="30"/>
    </row>
    <row r="1497" spans="1:20" ht="45" customHeight="1" x14ac:dyDescent="0.3">
      <c r="A1497" s="31">
        <v>1485</v>
      </c>
      <c r="B1497" s="32" t="s">
        <v>4884</v>
      </c>
      <c r="C1497" s="32" t="s">
        <v>4979</v>
      </c>
      <c r="D1497" s="32" t="s">
        <v>4980</v>
      </c>
      <c r="E1497" s="32">
        <v>2017</v>
      </c>
      <c r="F1497" s="32" t="s">
        <v>18</v>
      </c>
      <c r="G1497" s="32" t="s">
        <v>5063</v>
      </c>
      <c r="H1497" s="32" t="s">
        <v>5107</v>
      </c>
      <c r="I1497" s="32" t="s">
        <v>1278</v>
      </c>
      <c r="J1497" s="32">
        <v>6199</v>
      </c>
      <c r="K1497" s="32">
        <f>6278+4484+1346+4484+2332+2332+2332+2332+2332</f>
        <v>28252</v>
      </c>
      <c r="L1497" s="32">
        <v>0</v>
      </c>
      <c r="M1497" s="32">
        <v>0</v>
      </c>
      <c r="N1497" s="32">
        <v>3148</v>
      </c>
      <c r="O1497" s="32">
        <v>0</v>
      </c>
      <c r="P1497" s="32">
        <v>0</v>
      </c>
      <c r="Q1497" s="37">
        <f t="shared" si="46"/>
        <v>37599</v>
      </c>
      <c r="R1497" s="69">
        <f t="shared" si="47"/>
        <v>31959.15</v>
      </c>
      <c r="S1497" s="30"/>
      <c r="T1497" s="30"/>
    </row>
    <row r="1498" spans="1:20" ht="45" customHeight="1" x14ac:dyDescent="0.3">
      <c r="A1498" s="31">
        <v>1486</v>
      </c>
      <c r="B1498" s="32" t="s">
        <v>4884</v>
      </c>
      <c r="C1498" s="32" t="s">
        <v>4981</v>
      </c>
      <c r="D1498" s="32" t="s">
        <v>4982</v>
      </c>
      <c r="E1498" s="32">
        <v>2018</v>
      </c>
      <c r="F1498" s="32" t="s">
        <v>18</v>
      </c>
      <c r="G1498" s="32" t="s">
        <v>5064</v>
      </c>
      <c r="H1498" s="32" t="s">
        <v>5108</v>
      </c>
      <c r="I1498" s="32" t="s">
        <v>3313</v>
      </c>
      <c r="J1498" s="32">
        <v>6199</v>
      </c>
      <c r="K1498" s="32">
        <f>6278+4484+4484+2332+2332+1346+2332+2332+2332+2332+6995+6995+2332+6995</f>
        <v>53901</v>
      </c>
      <c r="L1498" s="32">
        <v>0</v>
      </c>
      <c r="M1498" s="32">
        <v>0</v>
      </c>
      <c r="N1498" s="32">
        <v>3148</v>
      </c>
      <c r="O1498" s="32">
        <v>0</v>
      </c>
      <c r="P1498" s="32">
        <v>0</v>
      </c>
      <c r="Q1498" s="37">
        <f t="shared" si="46"/>
        <v>63248</v>
      </c>
      <c r="R1498" s="69">
        <f t="shared" si="47"/>
        <v>53760.800000000003</v>
      </c>
      <c r="S1498" s="30"/>
      <c r="T1498" s="30"/>
    </row>
    <row r="1499" spans="1:20" ht="45" customHeight="1" x14ac:dyDescent="0.3">
      <c r="A1499" s="36">
        <v>1487</v>
      </c>
      <c r="B1499" s="32" t="s">
        <v>4884</v>
      </c>
      <c r="C1499" s="32" t="s">
        <v>4983</v>
      </c>
      <c r="D1499" s="32" t="s">
        <v>4984</v>
      </c>
      <c r="E1499" s="32">
        <v>1993</v>
      </c>
      <c r="F1499" s="32" t="s">
        <v>18</v>
      </c>
      <c r="G1499" s="32" t="s">
        <v>5065</v>
      </c>
      <c r="H1499" s="32" t="s">
        <v>5065</v>
      </c>
      <c r="I1499" s="32" t="s">
        <v>853</v>
      </c>
      <c r="J1499" s="32">
        <v>6199</v>
      </c>
      <c r="K1499" s="32">
        <v>0</v>
      </c>
      <c r="L1499" s="32">
        <v>0</v>
      </c>
      <c r="M1499" s="32">
        <v>0</v>
      </c>
      <c r="N1499" s="32">
        <f>15443+20859</f>
        <v>36302</v>
      </c>
      <c r="O1499" s="32">
        <v>0</v>
      </c>
      <c r="P1499" s="32">
        <v>0</v>
      </c>
      <c r="Q1499" s="35">
        <f t="shared" si="46"/>
        <v>42501</v>
      </c>
      <c r="R1499" s="69">
        <f t="shared" si="47"/>
        <v>36125.85</v>
      </c>
      <c r="S1499" s="30"/>
      <c r="T1499" s="30"/>
    </row>
    <row r="1500" spans="1:20" ht="45" customHeight="1" x14ac:dyDescent="0.3">
      <c r="A1500" s="31">
        <v>1488</v>
      </c>
      <c r="B1500" s="32" t="s">
        <v>4884</v>
      </c>
      <c r="C1500" s="32" t="s">
        <v>4985</v>
      </c>
      <c r="D1500" s="32" t="s">
        <v>4986</v>
      </c>
      <c r="E1500" s="32">
        <v>2025</v>
      </c>
      <c r="F1500" s="32" t="s">
        <v>19</v>
      </c>
      <c r="G1500" s="32" t="s">
        <v>5066</v>
      </c>
      <c r="H1500" s="32" t="s">
        <v>5109</v>
      </c>
      <c r="I1500" s="32" t="s">
        <v>570</v>
      </c>
      <c r="J1500" s="32">
        <v>6199</v>
      </c>
      <c r="K1500" s="32">
        <v>0</v>
      </c>
      <c r="L1500" s="32">
        <v>0</v>
      </c>
      <c r="M1500" s="32">
        <v>0</v>
      </c>
      <c r="N1500" s="32">
        <v>0</v>
      </c>
      <c r="O1500" s="32">
        <v>0</v>
      </c>
      <c r="P1500" s="32">
        <v>0</v>
      </c>
      <c r="Q1500" s="37">
        <f t="shared" si="46"/>
        <v>6199</v>
      </c>
      <c r="R1500" s="69">
        <f t="shared" si="47"/>
        <v>5269.15</v>
      </c>
      <c r="S1500" s="30"/>
      <c r="T1500" s="30"/>
    </row>
    <row r="1501" spans="1:20" ht="45" customHeight="1" x14ac:dyDescent="0.3">
      <c r="A1501" s="31">
        <v>1489</v>
      </c>
      <c r="B1501" s="32" t="s">
        <v>4884</v>
      </c>
      <c r="C1501" s="32" t="s">
        <v>4987</v>
      </c>
      <c r="D1501" s="32" t="s">
        <v>1147</v>
      </c>
      <c r="E1501" s="32">
        <v>2000</v>
      </c>
      <c r="F1501" s="32" t="s">
        <v>19</v>
      </c>
      <c r="G1501" s="32" t="s">
        <v>1201</v>
      </c>
      <c r="H1501" s="32" t="s">
        <v>1242</v>
      </c>
      <c r="I1501" s="32" t="s">
        <v>32</v>
      </c>
      <c r="J1501" s="32">
        <v>6199</v>
      </c>
      <c r="K1501" s="32">
        <v>0</v>
      </c>
      <c r="L1501" s="32">
        <v>0</v>
      </c>
      <c r="M1501" s="32">
        <v>0</v>
      </c>
      <c r="N1501" s="32">
        <v>55832</v>
      </c>
      <c r="O1501" s="32">
        <v>0</v>
      </c>
      <c r="P1501" s="32">
        <v>0</v>
      </c>
      <c r="Q1501" s="37">
        <f t="shared" si="46"/>
        <v>62031</v>
      </c>
      <c r="R1501" s="69">
        <f t="shared" si="47"/>
        <v>52726.35</v>
      </c>
      <c r="S1501" s="30"/>
      <c r="T1501" s="30"/>
    </row>
    <row r="1502" spans="1:20" ht="45" customHeight="1" x14ac:dyDescent="0.3">
      <c r="A1502" s="36">
        <v>1490</v>
      </c>
      <c r="B1502" s="32" t="s">
        <v>4884</v>
      </c>
      <c r="C1502" s="32" t="s">
        <v>4988</v>
      </c>
      <c r="D1502" s="32" t="s">
        <v>4989</v>
      </c>
      <c r="E1502" s="32">
        <v>1997</v>
      </c>
      <c r="F1502" s="32" t="s">
        <v>19</v>
      </c>
      <c r="G1502" s="32" t="s">
        <v>5067</v>
      </c>
      <c r="H1502" s="32" t="s">
        <v>5067</v>
      </c>
      <c r="I1502" s="32" t="s">
        <v>4872</v>
      </c>
      <c r="J1502" s="32">
        <v>6199</v>
      </c>
      <c r="K1502" s="32">
        <f>2332+2332+2243+1346+3587</f>
        <v>11840</v>
      </c>
      <c r="L1502" s="32">
        <v>0</v>
      </c>
      <c r="M1502" s="32">
        <v>0</v>
      </c>
      <c r="N1502" s="32">
        <f>3179+1681</f>
        <v>4860</v>
      </c>
      <c r="O1502" s="32">
        <v>0</v>
      </c>
      <c r="P1502" s="32">
        <f>624+112</f>
        <v>736</v>
      </c>
      <c r="Q1502" s="37">
        <f t="shared" si="46"/>
        <v>23635</v>
      </c>
      <c r="R1502" s="69">
        <f t="shared" si="47"/>
        <v>20089.75</v>
      </c>
      <c r="S1502" s="30"/>
      <c r="T1502" s="30"/>
    </row>
    <row r="1503" spans="1:20" ht="45" customHeight="1" x14ac:dyDescent="0.3">
      <c r="A1503" s="31">
        <v>1491</v>
      </c>
      <c r="B1503" s="32" t="s">
        <v>4884</v>
      </c>
      <c r="C1503" s="32" t="s">
        <v>4990</v>
      </c>
      <c r="D1503" s="32" t="s">
        <v>4991</v>
      </c>
      <c r="E1503" s="32">
        <v>1992</v>
      </c>
      <c r="F1503" s="32" t="s">
        <v>18</v>
      </c>
      <c r="G1503" s="32" t="s">
        <v>5068</v>
      </c>
      <c r="H1503" s="32" t="s">
        <v>5068</v>
      </c>
      <c r="I1503" s="32" t="s">
        <v>32</v>
      </c>
      <c r="J1503" s="32">
        <v>6199</v>
      </c>
      <c r="K1503" s="32">
        <v>0</v>
      </c>
      <c r="L1503" s="32">
        <v>0</v>
      </c>
      <c r="M1503" s="32">
        <v>0</v>
      </c>
      <c r="N1503" s="32">
        <f>34016+27380</f>
        <v>61396</v>
      </c>
      <c r="O1503" s="32">
        <v>0</v>
      </c>
      <c r="P1503" s="32">
        <v>0</v>
      </c>
      <c r="Q1503" s="35">
        <f t="shared" si="46"/>
        <v>67595</v>
      </c>
      <c r="R1503" s="69">
        <f t="shared" si="47"/>
        <v>57455.75</v>
      </c>
      <c r="S1503" s="30"/>
      <c r="T1503" s="30"/>
    </row>
    <row r="1504" spans="1:20" ht="45" customHeight="1" x14ac:dyDescent="0.3">
      <c r="A1504" s="31">
        <v>1492</v>
      </c>
      <c r="B1504" s="32" t="s">
        <v>4884</v>
      </c>
      <c r="C1504" s="32" t="s">
        <v>4992</v>
      </c>
      <c r="D1504" s="32" t="s">
        <v>4993</v>
      </c>
      <c r="E1504" s="32">
        <v>2021</v>
      </c>
      <c r="F1504" s="32" t="s">
        <v>18</v>
      </c>
      <c r="G1504" s="32" t="s">
        <v>5069</v>
      </c>
      <c r="H1504" s="32" t="s">
        <v>5110</v>
      </c>
      <c r="I1504" s="32" t="s">
        <v>1081</v>
      </c>
      <c r="J1504" s="32">
        <v>6199</v>
      </c>
      <c r="K1504" s="32">
        <f>6278+4484</f>
        <v>10762</v>
      </c>
      <c r="L1504" s="32">
        <v>0</v>
      </c>
      <c r="M1504" s="32">
        <v>0</v>
      </c>
      <c r="N1504" s="32">
        <v>3148</v>
      </c>
      <c r="O1504" s="32">
        <v>0</v>
      </c>
      <c r="P1504" s="32">
        <v>0</v>
      </c>
      <c r="Q1504" s="37">
        <f t="shared" si="46"/>
        <v>20109</v>
      </c>
      <c r="R1504" s="69">
        <f t="shared" si="47"/>
        <v>17092.650000000001</v>
      </c>
      <c r="S1504" s="30"/>
      <c r="T1504" s="30"/>
    </row>
    <row r="1505" spans="1:20" ht="45" customHeight="1" x14ac:dyDescent="0.3">
      <c r="A1505" s="36">
        <v>1493</v>
      </c>
      <c r="B1505" s="32" t="s">
        <v>4884</v>
      </c>
      <c r="C1505" s="32" t="s">
        <v>4994</v>
      </c>
      <c r="D1505" s="32" t="s">
        <v>4995</v>
      </c>
      <c r="E1505" s="32">
        <v>2023</v>
      </c>
      <c r="F1505" s="32" t="s">
        <v>19</v>
      </c>
      <c r="G1505" s="32" t="s">
        <v>5070</v>
      </c>
      <c r="H1505" s="32" t="s">
        <v>5111</v>
      </c>
      <c r="I1505" s="32" t="s">
        <v>5146</v>
      </c>
      <c r="J1505" s="32">
        <v>6199</v>
      </c>
      <c r="K1505" s="32">
        <v>0</v>
      </c>
      <c r="L1505" s="32">
        <v>0</v>
      </c>
      <c r="M1505" s="32">
        <v>0</v>
      </c>
      <c r="N1505" s="32">
        <v>0</v>
      </c>
      <c r="O1505" s="32">
        <v>0</v>
      </c>
      <c r="P1505" s="32">
        <v>0</v>
      </c>
      <c r="Q1505" s="37">
        <f t="shared" si="46"/>
        <v>6199</v>
      </c>
      <c r="R1505" s="69">
        <f t="shared" si="47"/>
        <v>5269.15</v>
      </c>
      <c r="S1505" s="30"/>
      <c r="T1505" s="30"/>
    </row>
    <row r="1506" spans="1:20" ht="45" customHeight="1" x14ac:dyDescent="0.3">
      <c r="A1506" s="31">
        <v>1494</v>
      </c>
      <c r="B1506" s="32" t="s">
        <v>4884</v>
      </c>
      <c r="C1506" s="32" t="s">
        <v>4996</v>
      </c>
      <c r="D1506" s="32" t="s">
        <v>4997</v>
      </c>
      <c r="E1506" s="32">
        <v>2021</v>
      </c>
      <c r="F1506" s="32" t="s">
        <v>18</v>
      </c>
      <c r="G1506" s="32" t="s">
        <v>5071</v>
      </c>
      <c r="H1506" s="32" t="s">
        <v>5112</v>
      </c>
      <c r="I1506" s="32" t="s">
        <v>5147</v>
      </c>
      <c r="J1506" s="32">
        <v>6199</v>
      </c>
      <c r="K1506" s="32">
        <v>0</v>
      </c>
      <c r="L1506" s="32">
        <v>0</v>
      </c>
      <c r="M1506" s="32">
        <v>0</v>
      </c>
      <c r="N1506" s="32">
        <v>0</v>
      </c>
      <c r="O1506" s="32">
        <v>0</v>
      </c>
      <c r="P1506" s="32">
        <v>0</v>
      </c>
      <c r="Q1506" s="37">
        <f t="shared" si="46"/>
        <v>6199</v>
      </c>
      <c r="R1506" s="69">
        <f t="shared" si="47"/>
        <v>5269.15</v>
      </c>
      <c r="S1506" s="30"/>
      <c r="T1506" s="30"/>
    </row>
    <row r="1507" spans="1:20" ht="45" customHeight="1" x14ac:dyDescent="0.3">
      <c r="A1507" s="31">
        <v>1495</v>
      </c>
      <c r="B1507" s="32" t="s">
        <v>4884</v>
      </c>
      <c r="C1507" s="32" t="s">
        <v>4998</v>
      </c>
      <c r="D1507" s="32" t="s">
        <v>4999</v>
      </c>
      <c r="E1507" s="32">
        <v>1988</v>
      </c>
      <c r="F1507" s="32" t="s">
        <v>19</v>
      </c>
      <c r="G1507" s="32" t="s">
        <v>5072</v>
      </c>
      <c r="H1507" s="32" t="s">
        <v>5112</v>
      </c>
      <c r="I1507" s="32" t="s">
        <v>5148</v>
      </c>
      <c r="J1507" s="32">
        <v>6199</v>
      </c>
      <c r="K1507" s="32">
        <v>0</v>
      </c>
      <c r="L1507" s="32">
        <v>0</v>
      </c>
      <c r="M1507" s="32">
        <v>0</v>
      </c>
      <c r="N1507" s="32">
        <v>0</v>
      </c>
      <c r="O1507" s="32">
        <v>0</v>
      </c>
      <c r="P1507" s="32">
        <v>0</v>
      </c>
      <c r="Q1507" s="37">
        <f t="shared" si="46"/>
        <v>6199</v>
      </c>
      <c r="R1507" s="69">
        <f t="shared" si="47"/>
        <v>5269.15</v>
      </c>
      <c r="S1507" s="30"/>
      <c r="T1507" s="30"/>
    </row>
    <row r="1508" spans="1:20" ht="45" customHeight="1" x14ac:dyDescent="0.3">
      <c r="A1508" s="36">
        <v>1496</v>
      </c>
      <c r="B1508" s="32" t="s">
        <v>4884</v>
      </c>
      <c r="C1508" s="32" t="s">
        <v>5000</v>
      </c>
      <c r="D1508" s="32" t="s">
        <v>5001</v>
      </c>
      <c r="E1508" s="32">
        <v>2024</v>
      </c>
      <c r="F1508" s="32" t="s">
        <v>18</v>
      </c>
      <c r="G1508" s="32" t="s">
        <v>5073</v>
      </c>
      <c r="H1508" s="32" t="s">
        <v>5113</v>
      </c>
      <c r="I1508" s="32" t="s">
        <v>5149</v>
      </c>
      <c r="J1508" s="32">
        <v>6199</v>
      </c>
      <c r="K1508" s="32">
        <f>6278+4484+2332+1346+2332+2332+2332+2332+6995+6995+2332+6995+2332+4484</f>
        <v>53901</v>
      </c>
      <c r="L1508" s="32">
        <v>0</v>
      </c>
      <c r="M1508" s="32">
        <v>0</v>
      </c>
      <c r="N1508" s="32">
        <v>3148</v>
      </c>
      <c r="O1508" s="32">
        <v>0</v>
      </c>
      <c r="P1508" s="32">
        <v>63</v>
      </c>
      <c r="Q1508" s="37">
        <f t="shared" si="46"/>
        <v>63311</v>
      </c>
      <c r="R1508" s="69">
        <f t="shared" si="47"/>
        <v>53814.35</v>
      </c>
      <c r="S1508" s="30"/>
      <c r="T1508" s="30"/>
    </row>
    <row r="1509" spans="1:20" ht="45" customHeight="1" x14ac:dyDescent="0.3">
      <c r="A1509" s="31">
        <v>1497</v>
      </c>
      <c r="B1509" s="32" t="s">
        <v>4884</v>
      </c>
      <c r="C1509" s="32" t="s">
        <v>5002</v>
      </c>
      <c r="D1509" s="32" t="s">
        <v>687</v>
      </c>
      <c r="E1509" s="32">
        <v>2008</v>
      </c>
      <c r="F1509" s="32" t="s">
        <v>19</v>
      </c>
      <c r="G1509" s="32" t="s">
        <v>770</v>
      </c>
      <c r="H1509" s="32" t="s">
        <v>815</v>
      </c>
      <c r="I1509" s="32" t="s">
        <v>26</v>
      </c>
      <c r="J1509" s="32">
        <v>6199</v>
      </c>
      <c r="K1509" s="32">
        <v>0</v>
      </c>
      <c r="L1509" s="32">
        <v>0</v>
      </c>
      <c r="M1509" s="32">
        <v>0</v>
      </c>
      <c r="N1509" s="32">
        <v>0</v>
      </c>
      <c r="O1509" s="32">
        <v>0</v>
      </c>
      <c r="P1509" s="32">
        <v>0</v>
      </c>
      <c r="Q1509" s="37">
        <f t="shared" si="46"/>
        <v>6199</v>
      </c>
      <c r="R1509" s="69">
        <f t="shared" si="47"/>
        <v>5269.15</v>
      </c>
      <c r="S1509" s="30"/>
      <c r="T1509" s="30"/>
    </row>
    <row r="1510" spans="1:20" ht="45" customHeight="1" x14ac:dyDescent="0.3">
      <c r="A1510" s="31">
        <v>1498</v>
      </c>
      <c r="B1510" s="32" t="s">
        <v>4884</v>
      </c>
      <c r="C1510" s="32" t="s">
        <v>5003</v>
      </c>
      <c r="D1510" s="32" t="s">
        <v>5004</v>
      </c>
      <c r="E1510" s="32">
        <v>2025</v>
      </c>
      <c r="F1510" s="32" t="s">
        <v>18</v>
      </c>
      <c r="G1510" s="32" t="s">
        <v>5074</v>
      </c>
      <c r="H1510" s="32" t="s">
        <v>5114</v>
      </c>
      <c r="I1510" s="32" t="s">
        <v>5150</v>
      </c>
      <c r="J1510" s="32">
        <v>6199</v>
      </c>
      <c r="K1510" s="32">
        <v>0</v>
      </c>
      <c r="L1510" s="32">
        <v>0</v>
      </c>
      <c r="M1510" s="32">
        <v>0</v>
      </c>
      <c r="N1510" s="32">
        <v>0</v>
      </c>
      <c r="O1510" s="32">
        <v>0</v>
      </c>
      <c r="P1510" s="32">
        <v>0</v>
      </c>
      <c r="Q1510" s="37">
        <f t="shared" si="46"/>
        <v>6199</v>
      </c>
      <c r="R1510" s="69">
        <f t="shared" si="47"/>
        <v>5269.15</v>
      </c>
      <c r="S1510" s="30"/>
      <c r="T1510" s="30"/>
    </row>
    <row r="1511" spans="1:20" ht="45" customHeight="1" x14ac:dyDescent="0.3">
      <c r="A1511" s="36">
        <v>1499</v>
      </c>
      <c r="B1511" s="32" t="s">
        <v>4884</v>
      </c>
      <c r="C1511" s="32" t="s">
        <v>5005</v>
      </c>
      <c r="D1511" s="32" t="s">
        <v>1147</v>
      </c>
      <c r="E1511" s="32">
        <v>2000</v>
      </c>
      <c r="F1511" s="32" t="s">
        <v>19</v>
      </c>
      <c r="G1511" s="32" t="s">
        <v>1201</v>
      </c>
      <c r="H1511" s="32" t="s">
        <v>1242</v>
      </c>
      <c r="I1511" s="32" t="s">
        <v>32</v>
      </c>
      <c r="J1511" s="32">
        <v>6199</v>
      </c>
      <c r="K1511" s="32">
        <v>0</v>
      </c>
      <c r="L1511" s="32">
        <v>0</v>
      </c>
      <c r="M1511" s="32">
        <v>0</v>
      </c>
      <c r="N1511" s="32">
        <v>0</v>
      </c>
      <c r="O1511" s="32">
        <v>0</v>
      </c>
      <c r="P1511" s="32">
        <v>0</v>
      </c>
      <c r="Q1511" s="35">
        <f t="shared" si="46"/>
        <v>6199</v>
      </c>
      <c r="R1511" s="69">
        <f t="shared" si="47"/>
        <v>5269.15</v>
      </c>
      <c r="S1511" s="30"/>
      <c r="T1511" s="30"/>
    </row>
    <row r="1512" spans="1:20" ht="45" customHeight="1" x14ac:dyDescent="0.3">
      <c r="A1512" s="31">
        <v>1500</v>
      </c>
      <c r="B1512" s="32" t="s">
        <v>4884</v>
      </c>
      <c r="C1512" s="32" t="s">
        <v>5006</v>
      </c>
      <c r="D1512" s="32" t="s">
        <v>959</v>
      </c>
      <c r="E1512" s="32">
        <v>1990</v>
      </c>
      <c r="F1512" s="32" t="s">
        <v>19</v>
      </c>
      <c r="G1512" s="32" t="s">
        <v>1011</v>
      </c>
      <c r="H1512" s="32" t="s">
        <v>1044</v>
      </c>
      <c r="I1512" s="32" t="s">
        <v>1082</v>
      </c>
      <c r="J1512" s="32">
        <v>6199</v>
      </c>
      <c r="K1512" s="32">
        <v>0</v>
      </c>
      <c r="L1512" s="32">
        <v>18406</v>
      </c>
      <c r="M1512" s="32">
        <v>0</v>
      </c>
      <c r="N1512" s="32">
        <v>0</v>
      </c>
      <c r="O1512" s="32">
        <v>0</v>
      </c>
      <c r="P1512" s="32">
        <v>0</v>
      </c>
      <c r="Q1512" s="35">
        <f t="shared" si="46"/>
        <v>24605</v>
      </c>
      <c r="R1512" s="69">
        <f t="shared" si="47"/>
        <v>20914.25</v>
      </c>
      <c r="S1512" s="30"/>
      <c r="T1512" s="30"/>
    </row>
    <row r="1513" spans="1:20" ht="45" customHeight="1" x14ac:dyDescent="0.3">
      <c r="A1513" s="31">
        <v>1501</v>
      </c>
      <c r="B1513" s="32" t="s">
        <v>4884</v>
      </c>
      <c r="C1513" s="32" t="s">
        <v>5007</v>
      </c>
      <c r="D1513" s="34" t="s">
        <v>7172</v>
      </c>
      <c r="E1513" s="32">
        <v>2025</v>
      </c>
      <c r="F1513" s="32" t="s">
        <v>19</v>
      </c>
      <c r="G1513" s="32" t="s">
        <v>5075</v>
      </c>
      <c r="H1513" s="32" t="s">
        <v>5113</v>
      </c>
      <c r="I1513" s="32" t="s">
        <v>5149</v>
      </c>
      <c r="J1513" s="32">
        <v>6199</v>
      </c>
      <c r="K1513" s="32">
        <f>6278+4484+2332</f>
        <v>13094</v>
      </c>
      <c r="L1513" s="32">
        <v>0</v>
      </c>
      <c r="M1513" s="32">
        <v>0</v>
      </c>
      <c r="N1513" s="32">
        <v>3148</v>
      </c>
      <c r="O1513" s="32">
        <v>0</v>
      </c>
      <c r="P1513" s="32">
        <v>0</v>
      </c>
      <c r="Q1513" s="35">
        <f t="shared" si="46"/>
        <v>22441</v>
      </c>
      <c r="R1513" s="69">
        <f t="shared" si="47"/>
        <v>19074.849999999999</v>
      </c>
      <c r="S1513" s="30"/>
      <c r="T1513" s="30"/>
    </row>
    <row r="1514" spans="1:20" ht="45" customHeight="1" x14ac:dyDescent="0.3">
      <c r="A1514" s="36">
        <v>1502</v>
      </c>
      <c r="B1514" s="32" t="s">
        <v>4884</v>
      </c>
      <c r="C1514" s="32" t="s">
        <v>5008</v>
      </c>
      <c r="D1514" s="32" t="s">
        <v>5009</v>
      </c>
      <c r="E1514" s="32">
        <v>2022</v>
      </c>
      <c r="F1514" s="32" t="s">
        <v>18</v>
      </c>
      <c r="G1514" s="32" t="s">
        <v>5076</v>
      </c>
      <c r="H1514" s="32" t="s">
        <v>5115</v>
      </c>
      <c r="I1514" s="32" t="s">
        <v>1282</v>
      </c>
      <c r="J1514" s="32">
        <v>6199</v>
      </c>
      <c r="K1514" s="32">
        <v>0</v>
      </c>
      <c r="L1514" s="32">
        <v>0</v>
      </c>
      <c r="M1514" s="32">
        <v>0</v>
      </c>
      <c r="N1514" s="32">
        <v>0</v>
      </c>
      <c r="O1514" s="32">
        <v>0</v>
      </c>
      <c r="P1514" s="32">
        <v>0</v>
      </c>
      <c r="Q1514" s="37">
        <f t="shared" si="46"/>
        <v>6199</v>
      </c>
      <c r="R1514" s="69">
        <f t="shared" si="47"/>
        <v>5269.15</v>
      </c>
      <c r="S1514" s="30"/>
      <c r="T1514" s="30"/>
    </row>
    <row r="1515" spans="1:20" ht="45" customHeight="1" x14ac:dyDescent="0.3">
      <c r="A1515" s="31">
        <v>1503</v>
      </c>
      <c r="B1515" s="32" t="s">
        <v>4884</v>
      </c>
      <c r="C1515" s="32" t="s">
        <v>7412</v>
      </c>
      <c r="D1515" s="32" t="s">
        <v>634</v>
      </c>
      <c r="E1515" s="32">
        <v>2022</v>
      </c>
      <c r="F1515" s="32" t="s">
        <v>18</v>
      </c>
      <c r="G1515" s="32" t="s">
        <v>745</v>
      </c>
      <c r="H1515" s="32" t="s">
        <v>802</v>
      </c>
      <c r="I1515" s="32" t="s">
        <v>838</v>
      </c>
      <c r="J1515" s="32">
        <v>6199</v>
      </c>
      <c r="K1515" s="32">
        <v>0</v>
      </c>
      <c r="L1515" s="32">
        <v>0</v>
      </c>
      <c r="M1515" s="32">
        <v>0</v>
      </c>
      <c r="N1515" s="32">
        <v>0</v>
      </c>
      <c r="O1515" s="32">
        <v>0</v>
      </c>
      <c r="P1515" s="32">
        <v>0</v>
      </c>
      <c r="Q1515" s="37">
        <f t="shared" si="46"/>
        <v>6199</v>
      </c>
      <c r="R1515" s="69">
        <f t="shared" si="47"/>
        <v>5269.15</v>
      </c>
      <c r="S1515" s="30"/>
      <c r="T1515" s="30"/>
    </row>
    <row r="1516" spans="1:20" ht="45" customHeight="1" x14ac:dyDescent="0.3">
      <c r="A1516" s="31">
        <v>1504</v>
      </c>
      <c r="B1516" s="32" t="s">
        <v>4884</v>
      </c>
      <c r="C1516" s="32" t="s">
        <v>7413</v>
      </c>
      <c r="D1516" s="32" t="s">
        <v>5010</v>
      </c>
      <c r="E1516" s="32">
        <v>1997</v>
      </c>
      <c r="F1516" s="32" t="s">
        <v>19</v>
      </c>
      <c r="G1516" s="32" t="s">
        <v>5077</v>
      </c>
      <c r="H1516" s="32" t="s">
        <v>5116</v>
      </c>
      <c r="I1516" s="32" t="s">
        <v>300</v>
      </c>
      <c r="J1516" s="32">
        <v>6199</v>
      </c>
      <c r="K1516" s="32">
        <v>0</v>
      </c>
      <c r="L1516" s="32">
        <v>0</v>
      </c>
      <c r="M1516" s="32">
        <v>0</v>
      </c>
      <c r="N1516" s="32">
        <v>0</v>
      </c>
      <c r="O1516" s="32">
        <v>0</v>
      </c>
      <c r="P1516" s="32">
        <v>0</v>
      </c>
      <c r="Q1516" s="35">
        <f t="shared" si="46"/>
        <v>6199</v>
      </c>
      <c r="R1516" s="69">
        <f t="shared" si="47"/>
        <v>5269.15</v>
      </c>
      <c r="S1516" s="30"/>
      <c r="T1516" s="30"/>
    </row>
    <row r="1517" spans="1:20" ht="45" customHeight="1" x14ac:dyDescent="0.3">
      <c r="A1517" s="36">
        <v>1505</v>
      </c>
      <c r="B1517" s="32" t="s">
        <v>4884</v>
      </c>
      <c r="C1517" s="32" t="s">
        <v>7414</v>
      </c>
      <c r="D1517" s="32" t="s">
        <v>1985</v>
      </c>
      <c r="E1517" s="32">
        <v>1997</v>
      </c>
      <c r="F1517" s="32" t="s">
        <v>19</v>
      </c>
      <c r="G1517" s="32" t="s">
        <v>2063</v>
      </c>
      <c r="H1517" s="32" t="s">
        <v>2063</v>
      </c>
      <c r="I1517" s="32" t="s">
        <v>2133</v>
      </c>
      <c r="J1517" s="32">
        <v>6199</v>
      </c>
      <c r="K1517" s="32">
        <v>0</v>
      </c>
      <c r="L1517" s="32">
        <v>0</v>
      </c>
      <c r="M1517" s="32">
        <v>0</v>
      </c>
      <c r="N1517" s="32">
        <v>0</v>
      </c>
      <c r="O1517" s="32">
        <v>0</v>
      </c>
      <c r="P1517" s="32">
        <v>0</v>
      </c>
      <c r="Q1517" s="37">
        <f t="shared" si="46"/>
        <v>6199</v>
      </c>
      <c r="R1517" s="69">
        <f t="shared" si="47"/>
        <v>5269.15</v>
      </c>
      <c r="S1517" s="30"/>
      <c r="T1517" s="30"/>
    </row>
    <row r="1518" spans="1:20" ht="45" customHeight="1" x14ac:dyDescent="0.3">
      <c r="A1518" s="31">
        <v>1506</v>
      </c>
      <c r="B1518" s="32" t="s">
        <v>4884</v>
      </c>
      <c r="C1518" s="32" t="s">
        <v>7415</v>
      </c>
      <c r="D1518" s="32" t="s">
        <v>5011</v>
      </c>
      <c r="E1518" s="32">
        <v>2011</v>
      </c>
      <c r="F1518" s="32" t="s">
        <v>18</v>
      </c>
      <c r="G1518" s="32" t="s">
        <v>5078</v>
      </c>
      <c r="H1518" s="32" t="s">
        <v>5117</v>
      </c>
      <c r="I1518" s="32" t="s">
        <v>5151</v>
      </c>
      <c r="J1518" s="32">
        <v>6199</v>
      </c>
      <c r="K1518" s="32">
        <f>6278+1346+4484+2332</f>
        <v>14440</v>
      </c>
      <c r="L1518" s="32">
        <v>0</v>
      </c>
      <c r="M1518" s="32">
        <v>0</v>
      </c>
      <c r="N1518" s="32">
        <v>1793</v>
      </c>
      <c r="O1518" s="32">
        <v>0</v>
      </c>
      <c r="P1518" s="32">
        <v>0</v>
      </c>
      <c r="Q1518" s="37">
        <f t="shared" si="46"/>
        <v>22432</v>
      </c>
      <c r="R1518" s="69">
        <f t="shared" si="47"/>
        <v>19067.2</v>
      </c>
      <c r="S1518" s="30"/>
      <c r="T1518" s="30"/>
    </row>
    <row r="1519" spans="1:20" ht="45" customHeight="1" x14ac:dyDescent="0.3">
      <c r="A1519" s="31">
        <v>1507</v>
      </c>
      <c r="B1519" s="32" t="s">
        <v>4884</v>
      </c>
      <c r="C1519" s="32" t="s">
        <v>7416</v>
      </c>
      <c r="D1519" s="32" t="s">
        <v>5012</v>
      </c>
      <c r="E1519" s="32">
        <v>2025</v>
      </c>
      <c r="F1519" s="32" t="s">
        <v>19</v>
      </c>
      <c r="G1519" s="32" t="s">
        <v>5079</v>
      </c>
      <c r="H1519" s="32" t="s">
        <v>5118</v>
      </c>
      <c r="I1519" s="32" t="s">
        <v>1483</v>
      </c>
      <c r="J1519" s="32">
        <v>6199</v>
      </c>
      <c r="K1519" s="32">
        <v>0</v>
      </c>
      <c r="L1519" s="32">
        <v>0</v>
      </c>
      <c r="M1519" s="32">
        <v>0</v>
      </c>
      <c r="N1519" s="32">
        <v>0</v>
      </c>
      <c r="O1519" s="32">
        <v>0</v>
      </c>
      <c r="P1519" s="32">
        <v>0</v>
      </c>
      <c r="Q1519" s="37">
        <f t="shared" si="46"/>
        <v>6199</v>
      </c>
      <c r="R1519" s="69">
        <f t="shared" si="47"/>
        <v>5269.15</v>
      </c>
      <c r="S1519" s="30"/>
      <c r="T1519" s="30"/>
    </row>
    <row r="1520" spans="1:20" ht="45" customHeight="1" x14ac:dyDescent="0.3">
      <c r="A1520" s="36">
        <v>1508</v>
      </c>
      <c r="B1520" s="32" t="s">
        <v>4884</v>
      </c>
      <c r="C1520" s="32" t="s">
        <v>7417</v>
      </c>
      <c r="D1520" s="32" t="s">
        <v>5013</v>
      </c>
      <c r="E1520" s="32">
        <v>2015</v>
      </c>
      <c r="F1520" s="32" t="s">
        <v>19</v>
      </c>
      <c r="G1520" s="32" t="s">
        <v>5080</v>
      </c>
      <c r="H1520" s="32" t="s">
        <v>5119</v>
      </c>
      <c r="I1520" s="32" t="s">
        <v>5152</v>
      </c>
      <c r="J1520" s="32">
        <v>6199</v>
      </c>
      <c r="K1520" s="32">
        <v>0</v>
      </c>
      <c r="L1520" s="32">
        <v>0</v>
      </c>
      <c r="M1520" s="32">
        <v>0</v>
      </c>
      <c r="N1520" s="32">
        <v>0</v>
      </c>
      <c r="O1520" s="32">
        <v>0</v>
      </c>
      <c r="P1520" s="32">
        <v>0</v>
      </c>
      <c r="Q1520" s="37">
        <f t="shared" si="46"/>
        <v>6199</v>
      </c>
      <c r="R1520" s="69">
        <f t="shared" si="47"/>
        <v>5269.15</v>
      </c>
      <c r="S1520" s="30"/>
      <c r="T1520" s="30"/>
    </row>
    <row r="1521" spans="1:20" ht="45" customHeight="1" x14ac:dyDescent="0.3">
      <c r="A1521" s="31">
        <v>1509</v>
      </c>
      <c r="B1521" s="32" t="s">
        <v>4884</v>
      </c>
      <c r="C1521" s="32" t="s">
        <v>7418</v>
      </c>
      <c r="D1521" s="32" t="s">
        <v>5014</v>
      </c>
      <c r="E1521" s="32">
        <v>2015</v>
      </c>
      <c r="F1521" s="32" t="s">
        <v>19</v>
      </c>
      <c r="G1521" s="32" t="s">
        <v>5081</v>
      </c>
      <c r="H1521" s="32" t="s">
        <v>5119</v>
      </c>
      <c r="I1521" s="32" t="s">
        <v>5153</v>
      </c>
      <c r="J1521" s="32">
        <v>6199</v>
      </c>
      <c r="K1521" s="32">
        <v>0</v>
      </c>
      <c r="L1521" s="32">
        <v>0</v>
      </c>
      <c r="M1521" s="32">
        <v>0</v>
      </c>
      <c r="N1521" s="32">
        <v>0</v>
      </c>
      <c r="O1521" s="32">
        <v>0</v>
      </c>
      <c r="P1521" s="32">
        <v>0</v>
      </c>
      <c r="Q1521" s="37">
        <f t="shared" si="46"/>
        <v>6199</v>
      </c>
      <c r="R1521" s="69">
        <f t="shared" si="47"/>
        <v>5269.15</v>
      </c>
      <c r="S1521" s="30"/>
      <c r="T1521" s="30"/>
    </row>
    <row r="1522" spans="1:20" ht="45" customHeight="1" x14ac:dyDescent="0.3">
      <c r="A1522" s="31">
        <v>1510</v>
      </c>
      <c r="B1522" s="32" t="s">
        <v>4884</v>
      </c>
      <c r="C1522" s="32" t="s">
        <v>7419</v>
      </c>
      <c r="D1522" s="32" t="s">
        <v>5015</v>
      </c>
      <c r="E1522" s="32">
        <v>1986</v>
      </c>
      <c r="F1522" s="32" t="s">
        <v>18</v>
      </c>
      <c r="G1522" s="32" t="s">
        <v>5082</v>
      </c>
      <c r="H1522" s="32" t="s">
        <v>5082</v>
      </c>
      <c r="I1522" s="32" t="s">
        <v>3684</v>
      </c>
      <c r="J1522" s="32">
        <v>6199</v>
      </c>
      <c r="K1522" s="32">
        <v>0</v>
      </c>
      <c r="L1522" s="32">
        <v>0</v>
      </c>
      <c r="M1522" s="32">
        <v>0</v>
      </c>
      <c r="N1522" s="32">
        <v>0</v>
      </c>
      <c r="O1522" s="32">
        <v>0</v>
      </c>
      <c r="P1522" s="32">
        <v>0</v>
      </c>
      <c r="Q1522" s="37">
        <f t="shared" si="46"/>
        <v>6199</v>
      </c>
      <c r="R1522" s="69">
        <f t="shared" si="47"/>
        <v>5269.15</v>
      </c>
      <c r="S1522" s="30"/>
      <c r="T1522" s="30"/>
    </row>
    <row r="1523" spans="1:20" ht="45" customHeight="1" x14ac:dyDescent="0.3">
      <c r="A1523" s="36">
        <v>1511</v>
      </c>
      <c r="B1523" s="32" t="s">
        <v>4884</v>
      </c>
      <c r="C1523" s="32" t="s">
        <v>7420</v>
      </c>
      <c r="D1523" s="32" t="s">
        <v>5016</v>
      </c>
      <c r="E1523" s="32">
        <v>2025</v>
      </c>
      <c r="F1523" s="32" t="s">
        <v>18</v>
      </c>
      <c r="G1523" s="32" t="s">
        <v>5083</v>
      </c>
      <c r="H1523" s="32" t="s">
        <v>5120</v>
      </c>
      <c r="I1523" s="32" t="s">
        <v>5154</v>
      </c>
      <c r="J1523" s="32">
        <v>6199</v>
      </c>
      <c r="K1523" s="32">
        <v>0</v>
      </c>
      <c r="L1523" s="32">
        <v>0</v>
      </c>
      <c r="M1523" s="32">
        <v>0</v>
      </c>
      <c r="N1523" s="32">
        <v>0</v>
      </c>
      <c r="O1523" s="32">
        <v>0</v>
      </c>
      <c r="P1523" s="32">
        <v>0</v>
      </c>
      <c r="Q1523" s="37">
        <f t="shared" si="46"/>
        <v>6199</v>
      </c>
      <c r="R1523" s="69">
        <f t="shared" si="47"/>
        <v>5269.15</v>
      </c>
      <c r="S1523" s="30"/>
      <c r="T1523" s="30"/>
    </row>
    <row r="1524" spans="1:20" ht="45" customHeight="1" x14ac:dyDescent="0.3">
      <c r="A1524" s="31">
        <v>1512</v>
      </c>
      <c r="B1524" s="32" t="s">
        <v>4884</v>
      </c>
      <c r="C1524" s="32" t="s">
        <v>7421</v>
      </c>
      <c r="D1524" s="32" t="s">
        <v>5017</v>
      </c>
      <c r="E1524" s="32">
        <v>2015</v>
      </c>
      <c r="F1524" s="32" t="s">
        <v>18</v>
      </c>
      <c r="G1524" s="32" t="s">
        <v>5084</v>
      </c>
      <c r="H1524" s="32" t="s">
        <v>5121</v>
      </c>
      <c r="I1524" s="32" t="s">
        <v>300</v>
      </c>
      <c r="J1524" s="32">
        <v>6199</v>
      </c>
      <c r="K1524" s="32">
        <v>0</v>
      </c>
      <c r="L1524" s="32">
        <v>0</v>
      </c>
      <c r="M1524" s="32">
        <v>0</v>
      </c>
      <c r="N1524" s="32">
        <v>0</v>
      </c>
      <c r="O1524" s="32">
        <v>0</v>
      </c>
      <c r="P1524" s="32">
        <v>0</v>
      </c>
      <c r="Q1524" s="37">
        <f t="shared" si="46"/>
        <v>6199</v>
      </c>
      <c r="R1524" s="69">
        <f t="shared" si="47"/>
        <v>5269.15</v>
      </c>
      <c r="S1524" s="30"/>
      <c r="T1524" s="30"/>
    </row>
    <row r="1525" spans="1:20" ht="45" customHeight="1" x14ac:dyDescent="0.3">
      <c r="A1525" s="31">
        <v>1513</v>
      </c>
      <c r="B1525" s="32" t="s">
        <v>4884</v>
      </c>
      <c r="C1525" s="32" t="s">
        <v>6396</v>
      </c>
      <c r="D1525" s="34" t="s">
        <v>4638</v>
      </c>
      <c r="E1525" s="32">
        <v>2023</v>
      </c>
      <c r="F1525" s="32" t="s">
        <v>18</v>
      </c>
      <c r="G1525" s="32" t="s">
        <v>4774</v>
      </c>
      <c r="H1525" s="32" t="s">
        <v>1614</v>
      </c>
      <c r="I1525" s="32" t="s">
        <v>4861</v>
      </c>
      <c r="J1525" s="32">
        <v>2900</v>
      </c>
      <c r="K1525" s="32">
        <v>0</v>
      </c>
      <c r="L1525" s="32">
        <v>0</v>
      </c>
      <c r="M1525" s="32">
        <v>17688</v>
      </c>
      <c r="N1525" s="32">
        <v>2088</v>
      </c>
      <c r="O1525" s="32">
        <v>0</v>
      </c>
      <c r="P1525" s="32">
        <f>1080+168</f>
        <v>1248</v>
      </c>
      <c r="Q1525" s="37">
        <f t="shared" si="46"/>
        <v>23924</v>
      </c>
      <c r="R1525" s="69">
        <f t="shared" si="47"/>
        <v>20335.400000000001</v>
      </c>
      <c r="S1525" s="30"/>
      <c r="T1525" s="30"/>
    </row>
    <row r="1526" spans="1:20" ht="45" customHeight="1" x14ac:dyDescent="0.3">
      <c r="A1526" s="36">
        <v>1514</v>
      </c>
      <c r="B1526" s="32" t="s">
        <v>4884</v>
      </c>
      <c r="C1526" s="32" t="s">
        <v>7422</v>
      </c>
      <c r="D1526" s="34" t="s">
        <v>4651</v>
      </c>
      <c r="E1526" s="32">
        <v>1960</v>
      </c>
      <c r="F1526" s="32" t="s">
        <v>19</v>
      </c>
      <c r="G1526" s="32" t="s">
        <v>4780</v>
      </c>
      <c r="H1526" s="32" t="s">
        <v>4835</v>
      </c>
      <c r="I1526" s="32" t="s">
        <v>276</v>
      </c>
      <c r="J1526" s="32">
        <v>2900</v>
      </c>
      <c r="K1526" s="32">
        <v>0</v>
      </c>
      <c r="L1526" s="32">
        <v>0</v>
      </c>
      <c r="M1526" s="32">
        <v>0</v>
      </c>
      <c r="N1526" s="32">
        <v>1681</v>
      </c>
      <c r="O1526" s="32">
        <v>0</v>
      </c>
      <c r="P1526" s="32">
        <f>312+56</f>
        <v>368</v>
      </c>
      <c r="Q1526" s="37">
        <f t="shared" si="46"/>
        <v>4949</v>
      </c>
      <c r="R1526" s="69">
        <f t="shared" si="47"/>
        <v>4206.6499999999996</v>
      </c>
      <c r="S1526" s="30"/>
      <c r="T1526" s="30"/>
    </row>
    <row r="1527" spans="1:20" ht="45" customHeight="1" x14ac:dyDescent="0.3">
      <c r="A1527" s="31">
        <v>1515</v>
      </c>
      <c r="B1527" s="32" t="s">
        <v>5155</v>
      </c>
      <c r="C1527" s="32" t="s">
        <v>5156</v>
      </c>
      <c r="D1527" s="32" t="s">
        <v>5157</v>
      </c>
      <c r="E1527" s="32">
        <v>2003</v>
      </c>
      <c r="F1527" s="32" t="s">
        <v>19</v>
      </c>
      <c r="G1527" s="32" t="s">
        <v>5292</v>
      </c>
      <c r="H1527" s="32" t="s">
        <v>5292</v>
      </c>
      <c r="I1527" s="32" t="s">
        <v>5391</v>
      </c>
      <c r="J1527" s="32">
        <v>6199</v>
      </c>
      <c r="K1527" s="32">
        <f>1166+2801+2332+2332+3587+2243+6278+4484+2332+1346+2332+2332+2332+2332+6995+4484+6995+6995+6995+2332+6995</f>
        <v>80020</v>
      </c>
      <c r="L1527" s="32">
        <v>0</v>
      </c>
      <c r="M1527" s="32">
        <v>0</v>
      </c>
      <c r="N1527" s="32">
        <v>1793</v>
      </c>
      <c r="O1527" s="32">
        <v>0</v>
      </c>
      <c r="P1527" s="32">
        <v>0</v>
      </c>
      <c r="Q1527" s="37">
        <f t="shared" si="46"/>
        <v>88012</v>
      </c>
      <c r="R1527" s="69">
        <f t="shared" si="47"/>
        <v>74810.2</v>
      </c>
      <c r="S1527" s="30"/>
      <c r="T1527" s="30"/>
    </row>
    <row r="1528" spans="1:20" ht="45" customHeight="1" x14ac:dyDescent="0.3">
      <c r="A1528" s="31">
        <v>1516</v>
      </c>
      <c r="B1528" s="32" t="s">
        <v>5155</v>
      </c>
      <c r="C1528" s="32" t="s">
        <v>5158</v>
      </c>
      <c r="D1528" s="32" t="s">
        <v>5159</v>
      </c>
      <c r="E1528" s="32">
        <v>2023</v>
      </c>
      <c r="F1528" s="32" t="s">
        <v>19</v>
      </c>
      <c r="G1528" s="32" t="s">
        <v>5293</v>
      </c>
      <c r="H1528" s="32" t="s">
        <v>2589</v>
      </c>
      <c r="I1528" s="32" t="s">
        <v>862</v>
      </c>
      <c r="J1528" s="32">
        <v>6199</v>
      </c>
      <c r="K1528" s="32">
        <v>0</v>
      </c>
      <c r="L1528" s="32">
        <v>0</v>
      </c>
      <c r="M1528" s="32">
        <v>0</v>
      </c>
      <c r="N1528" s="32">
        <v>0</v>
      </c>
      <c r="O1528" s="32">
        <v>0</v>
      </c>
      <c r="P1528" s="32">
        <v>0</v>
      </c>
      <c r="Q1528" s="37">
        <f t="shared" si="46"/>
        <v>6199</v>
      </c>
      <c r="R1528" s="69">
        <f t="shared" si="47"/>
        <v>5269.15</v>
      </c>
      <c r="S1528" s="30"/>
      <c r="T1528" s="30"/>
    </row>
    <row r="1529" spans="1:20" ht="45" customHeight="1" x14ac:dyDescent="0.3">
      <c r="A1529" s="36">
        <v>1517</v>
      </c>
      <c r="B1529" s="32" t="s">
        <v>5155</v>
      </c>
      <c r="C1529" s="32" t="s">
        <v>5160</v>
      </c>
      <c r="D1529" s="32" t="s">
        <v>5161</v>
      </c>
      <c r="E1529" s="32">
        <v>2022</v>
      </c>
      <c r="F1529" s="32" t="s">
        <v>19</v>
      </c>
      <c r="G1529" s="32" t="s">
        <v>5294</v>
      </c>
      <c r="H1529" s="32" t="s">
        <v>3071</v>
      </c>
      <c r="I1529" s="32" t="s">
        <v>3101</v>
      </c>
      <c r="J1529" s="32">
        <v>3582</v>
      </c>
      <c r="K1529" s="32">
        <v>0</v>
      </c>
      <c r="L1529" s="32">
        <v>0</v>
      </c>
      <c r="M1529" s="32">
        <v>0</v>
      </c>
      <c r="N1529" s="32">
        <f>21194+13563</f>
        <v>34757</v>
      </c>
      <c r="O1529" s="32">
        <v>0</v>
      </c>
      <c r="P1529" s="32">
        <v>0</v>
      </c>
      <c r="Q1529" s="37">
        <f t="shared" si="46"/>
        <v>38339</v>
      </c>
      <c r="R1529" s="69">
        <f t="shared" si="47"/>
        <v>32588.15</v>
      </c>
      <c r="S1529" s="30"/>
      <c r="T1529" s="30"/>
    </row>
    <row r="1530" spans="1:20" ht="45" customHeight="1" x14ac:dyDescent="0.3">
      <c r="A1530" s="31">
        <v>1518</v>
      </c>
      <c r="B1530" s="32" t="s">
        <v>5155</v>
      </c>
      <c r="C1530" s="32" t="s">
        <v>5162</v>
      </c>
      <c r="D1530" s="32" t="s">
        <v>378</v>
      </c>
      <c r="E1530" s="32">
        <v>1992</v>
      </c>
      <c r="F1530" s="32" t="s">
        <v>19</v>
      </c>
      <c r="G1530" s="32" t="s">
        <v>468</v>
      </c>
      <c r="H1530" s="32" t="s">
        <v>468</v>
      </c>
      <c r="I1530" s="32" t="s">
        <v>560</v>
      </c>
      <c r="J1530" s="32">
        <v>6199</v>
      </c>
      <c r="K1530" s="32">
        <f>2332+2332+2243</f>
        <v>6907</v>
      </c>
      <c r="L1530" s="32">
        <v>17279</v>
      </c>
      <c r="M1530" s="32">
        <v>0</v>
      </c>
      <c r="N1530" s="32">
        <v>0</v>
      </c>
      <c r="O1530" s="32">
        <v>0</v>
      </c>
      <c r="P1530" s="32">
        <v>0</v>
      </c>
      <c r="Q1530" s="37">
        <f t="shared" si="46"/>
        <v>30385</v>
      </c>
      <c r="R1530" s="69">
        <f t="shared" si="47"/>
        <v>25827.25</v>
      </c>
      <c r="S1530" s="30"/>
      <c r="T1530" s="30"/>
    </row>
    <row r="1531" spans="1:20" ht="45" customHeight="1" x14ac:dyDescent="0.3">
      <c r="A1531" s="31">
        <v>1519</v>
      </c>
      <c r="B1531" s="32" t="s">
        <v>5155</v>
      </c>
      <c r="C1531" s="32" t="s">
        <v>5163</v>
      </c>
      <c r="D1531" s="32" t="s">
        <v>5164</v>
      </c>
      <c r="E1531" s="32">
        <v>1990</v>
      </c>
      <c r="F1531" s="32" t="s">
        <v>18</v>
      </c>
      <c r="G1531" s="32" t="s">
        <v>5295</v>
      </c>
      <c r="H1531" s="32" t="s">
        <v>5295</v>
      </c>
      <c r="I1531" s="32" t="s">
        <v>1704</v>
      </c>
      <c r="J1531" s="32">
        <v>6199</v>
      </c>
      <c r="K1531" s="32">
        <f>6278+4484+2332+6995+2332+2332+2332+2332+2332+2332+3228+3000+3000+6995</f>
        <v>50304</v>
      </c>
      <c r="L1531" s="32">
        <v>0</v>
      </c>
      <c r="M1531" s="32">
        <v>0</v>
      </c>
      <c r="N1531" s="32">
        <v>1793</v>
      </c>
      <c r="O1531" s="32">
        <v>0</v>
      </c>
      <c r="P1531" s="32">
        <v>0</v>
      </c>
      <c r="Q1531" s="37">
        <f t="shared" si="46"/>
        <v>58296</v>
      </c>
      <c r="R1531" s="69">
        <f t="shared" si="47"/>
        <v>49551.6</v>
      </c>
      <c r="S1531" s="30"/>
      <c r="T1531" s="30"/>
    </row>
    <row r="1532" spans="1:20" ht="45" customHeight="1" x14ac:dyDescent="0.3">
      <c r="A1532" s="36">
        <v>1520</v>
      </c>
      <c r="B1532" s="32" t="s">
        <v>5155</v>
      </c>
      <c r="C1532" s="32" t="s">
        <v>5165</v>
      </c>
      <c r="D1532" s="32" t="s">
        <v>5166</v>
      </c>
      <c r="E1532" s="32">
        <v>2016</v>
      </c>
      <c r="F1532" s="32" t="s">
        <v>18</v>
      </c>
      <c r="G1532" s="32" t="s">
        <v>5296</v>
      </c>
      <c r="H1532" s="32" t="s">
        <v>5356</v>
      </c>
      <c r="I1532" s="32" t="s">
        <v>5392</v>
      </c>
      <c r="J1532" s="32">
        <v>6199</v>
      </c>
      <c r="K1532" s="32">
        <v>0</v>
      </c>
      <c r="L1532" s="32">
        <v>0</v>
      </c>
      <c r="M1532" s="32">
        <v>0</v>
      </c>
      <c r="N1532" s="32">
        <v>0</v>
      </c>
      <c r="O1532" s="32">
        <v>0</v>
      </c>
      <c r="P1532" s="32">
        <v>0</v>
      </c>
      <c r="Q1532" s="37">
        <f t="shared" si="46"/>
        <v>6199</v>
      </c>
      <c r="R1532" s="69">
        <f t="shared" si="47"/>
        <v>5269.15</v>
      </c>
      <c r="S1532" s="30"/>
      <c r="T1532" s="30"/>
    </row>
    <row r="1533" spans="1:20" ht="45" customHeight="1" x14ac:dyDescent="0.3">
      <c r="A1533" s="31">
        <v>1521</v>
      </c>
      <c r="B1533" s="32" t="s">
        <v>5155</v>
      </c>
      <c r="C1533" s="32" t="s">
        <v>5167</v>
      </c>
      <c r="D1533" s="32" t="s">
        <v>5168</v>
      </c>
      <c r="E1533" s="32">
        <v>2017</v>
      </c>
      <c r="F1533" s="32" t="s">
        <v>18</v>
      </c>
      <c r="G1533" s="32" t="s">
        <v>5297</v>
      </c>
      <c r="H1533" s="32" t="s">
        <v>5357</v>
      </c>
      <c r="I1533" s="32" t="s">
        <v>5393</v>
      </c>
      <c r="J1533" s="32">
        <v>6199</v>
      </c>
      <c r="K1533" s="32">
        <v>0</v>
      </c>
      <c r="L1533" s="32">
        <v>0</v>
      </c>
      <c r="M1533" s="32">
        <v>0</v>
      </c>
      <c r="N1533" s="32">
        <v>0</v>
      </c>
      <c r="O1533" s="32">
        <v>0</v>
      </c>
      <c r="P1533" s="32">
        <v>0</v>
      </c>
      <c r="Q1533" s="37">
        <f t="shared" si="46"/>
        <v>6199</v>
      </c>
      <c r="R1533" s="69">
        <f t="shared" si="47"/>
        <v>5269.15</v>
      </c>
      <c r="S1533" s="30"/>
      <c r="T1533" s="30"/>
    </row>
    <row r="1534" spans="1:20" ht="45" customHeight="1" x14ac:dyDescent="0.3">
      <c r="A1534" s="31">
        <v>1522</v>
      </c>
      <c r="B1534" s="32" t="s">
        <v>5155</v>
      </c>
      <c r="C1534" s="32" t="s">
        <v>5169</v>
      </c>
      <c r="D1534" s="32" t="s">
        <v>5170</v>
      </c>
      <c r="E1534" s="32">
        <v>2012</v>
      </c>
      <c r="F1534" s="32" t="s">
        <v>19</v>
      </c>
      <c r="G1534" s="32" t="s">
        <v>5298</v>
      </c>
      <c r="H1534" s="32" t="s">
        <v>5358</v>
      </c>
      <c r="I1534" s="32" t="s">
        <v>269</v>
      </c>
      <c r="J1534" s="32">
        <v>6199</v>
      </c>
      <c r="K1534" s="32">
        <f>6278+4484+2332+1346+2332+2332+2332+2332+6995+6995+2332+6995+2332+4484</f>
        <v>53901</v>
      </c>
      <c r="L1534" s="32">
        <v>0</v>
      </c>
      <c r="M1534" s="32">
        <v>0</v>
      </c>
      <c r="N1534" s="32">
        <v>3148</v>
      </c>
      <c r="O1534" s="32">
        <v>0</v>
      </c>
      <c r="P1534" s="32">
        <v>0</v>
      </c>
      <c r="Q1534" s="35">
        <f t="shared" si="46"/>
        <v>63248</v>
      </c>
      <c r="R1534" s="69">
        <f t="shared" si="47"/>
        <v>53760.800000000003</v>
      </c>
      <c r="S1534" s="30"/>
      <c r="T1534" s="30"/>
    </row>
    <row r="1535" spans="1:20" ht="45" customHeight="1" x14ac:dyDescent="0.3">
      <c r="A1535" s="36">
        <v>1523</v>
      </c>
      <c r="B1535" s="32" t="s">
        <v>5155</v>
      </c>
      <c r="C1535" s="32" t="s">
        <v>5171</v>
      </c>
      <c r="D1535" s="32" t="s">
        <v>5172</v>
      </c>
      <c r="E1535" s="32">
        <v>1986</v>
      </c>
      <c r="F1535" s="32" t="s">
        <v>19</v>
      </c>
      <c r="G1535" s="32" t="s">
        <v>5299</v>
      </c>
      <c r="H1535" s="32" t="s">
        <v>5299</v>
      </c>
      <c r="I1535" s="32" t="s">
        <v>826</v>
      </c>
      <c r="J1535" s="32">
        <v>6199</v>
      </c>
      <c r="K1535" s="32">
        <f>2332+2332+2243+3587+1166</f>
        <v>11660</v>
      </c>
      <c r="L1535" s="32">
        <v>17279</v>
      </c>
      <c r="M1535" s="32">
        <v>0</v>
      </c>
      <c r="N1535" s="32">
        <v>0</v>
      </c>
      <c r="O1535" s="32">
        <v>0</v>
      </c>
      <c r="P1535" s="32">
        <v>0</v>
      </c>
      <c r="Q1535" s="37">
        <f t="shared" si="46"/>
        <v>35138</v>
      </c>
      <c r="R1535" s="69">
        <f t="shared" si="47"/>
        <v>29867.3</v>
      </c>
      <c r="S1535" s="30"/>
      <c r="T1535" s="30"/>
    </row>
    <row r="1536" spans="1:20" ht="45" customHeight="1" x14ac:dyDescent="0.3">
      <c r="A1536" s="31">
        <v>1524</v>
      </c>
      <c r="B1536" s="32" t="s">
        <v>5155</v>
      </c>
      <c r="C1536" s="32" t="s">
        <v>5173</v>
      </c>
      <c r="D1536" s="32" t="s">
        <v>1315</v>
      </c>
      <c r="E1536" s="32">
        <v>2012</v>
      </c>
      <c r="F1536" s="32" t="s">
        <v>18</v>
      </c>
      <c r="G1536" s="32" t="s">
        <v>1396</v>
      </c>
      <c r="H1536" s="32" t="s">
        <v>1440</v>
      </c>
      <c r="I1536" s="32" t="s">
        <v>1468</v>
      </c>
      <c r="J1536" s="32">
        <v>3582</v>
      </c>
      <c r="K1536" s="32">
        <v>0</v>
      </c>
      <c r="L1536" s="32">
        <v>0</v>
      </c>
      <c r="M1536" s="32">
        <v>0</v>
      </c>
      <c r="N1536" s="32">
        <f>34016+27380</f>
        <v>61396</v>
      </c>
      <c r="O1536" s="32">
        <v>0</v>
      </c>
      <c r="P1536" s="32">
        <v>0</v>
      </c>
      <c r="Q1536" s="37">
        <f t="shared" si="46"/>
        <v>64978</v>
      </c>
      <c r="R1536" s="69">
        <f t="shared" si="47"/>
        <v>55231.3</v>
      </c>
      <c r="S1536" s="30"/>
      <c r="T1536" s="30"/>
    </row>
    <row r="1537" spans="1:20" ht="45" customHeight="1" x14ac:dyDescent="0.3">
      <c r="A1537" s="31">
        <v>1525</v>
      </c>
      <c r="B1537" s="32" t="s">
        <v>5155</v>
      </c>
      <c r="C1537" s="32" t="s">
        <v>5174</v>
      </c>
      <c r="D1537" s="32" t="s">
        <v>5175</v>
      </c>
      <c r="E1537" s="32">
        <v>1992</v>
      </c>
      <c r="F1537" s="32" t="s">
        <v>19</v>
      </c>
      <c r="G1537" s="32" t="s">
        <v>5300</v>
      </c>
      <c r="H1537" s="32" t="s">
        <v>5300</v>
      </c>
      <c r="I1537" s="32" t="s">
        <v>1069</v>
      </c>
      <c r="J1537" s="32">
        <v>6199</v>
      </c>
      <c r="K1537" s="32">
        <f>6278+4484+2332+3228+3000+3000+2332+2332+2243+3500+3500+6995</f>
        <v>43224</v>
      </c>
      <c r="L1537" s="32">
        <v>18406</v>
      </c>
      <c r="M1537" s="32">
        <v>0</v>
      </c>
      <c r="N1537" s="32">
        <v>1793</v>
      </c>
      <c r="O1537" s="32">
        <v>0</v>
      </c>
      <c r="P1537" s="32">
        <v>0</v>
      </c>
      <c r="Q1537" s="37">
        <f t="shared" si="46"/>
        <v>69622</v>
      </c>
      <c r="R1537" s="69">
        <f t="shared" si="47"/>
        <v>59178.7</v>
      </c>
      <c r="S1537" s="30"/>
      <c r="T1537" s="30"/>
    </row>
    <row r="1538" spans="1:20" ht="45" customHeight="1" x14ac:dyDescent="0.3">
      <c r="A1538" s="36">
        <v>1526</v>
      </c>
      <c r="B1538" s="32" t="s">
        <v>5155</v>
      </c>
      <c r="C1538" s="32" t="s">
        <v>5176</v>
      </c>
      <c r="D1538" s="32" t="s">
        <v>5177</v>
      </c>
      <c r="E1538" s="32">
        <v>2022</v>
      </c>
      <c r="F1538" s="32" t="s">
        <v>19</v>
      </c>
      <c r="G1538" s="32" t="s">
        <v>5301</v>
      </c>
      <c r="H1538" s="32" t="s">
        <v>4401</v>
      </c>
      <c r="I1538" s="32" t="s">
        <v>2137</v>
      </c>
      <c r="J1538" s="32">
        <v>6199</v>
      </c>
      <c r="K1538" s="32">
        <v>0</v>
      </c>
      <c r="L1538" s="32">
        <v>0</v>
      </c>
      <c r="M1538" s="32">
        <v>0</v>
      </c>
      <c r="N1538" s="32">
        <v>0</v>
      </c>
      <c r="O1538" s="32">
        <v>0</v>
      </c>
      <c r="P1538" s="32">
        <v>0</v>
      </c>
      <c r="Q1538" s="37">
        <f t="shared" si="46"/>
        <v>6199</v>
      </c>
      <c r="R1538" s="69">
        <f t="shared" si="47"/>
        <v>5269.15</v>
      </c>
      <c r="S1538" s="30"/>
      <c r="T1538" s="30"/>
    </row>
    <row r="1539" spans="1:20" ht="45" customHeight="1" x14ac:dyDescent="0.3">
      <c r="A1539" s="31">
        <v>1527</v>
      </c>
      <c r="B1539" s="32" t="s">
        <v>5155</v>
      </c>
      <c r="C1539" s="32" t="s">
        <v>5178</v>
      </c>
      <c r="D1539" s="32" t="s">
        <v>683</v>
      </c>
      <c r="E1539" s="32">
        <v>2013</v>
      </c>
      <c r="F1539" s="32" t="s">
        <v>19</v>
      </c>
      <c r="G1539" s="32" t="s">
        <v>768</v>
      </c>
      <c r="H1539" s="32" t="s">
        <v>814</v>
      </c>
      <c r="I1539" s="32" t="s">
        <v>852</v>
      </c>
      <c r="J1539" s="32">
        <v>3582</v>
      </c>
      <c r="K1539" s="32">
        <v>0</v>
      </c>
      <c r="L1539" s="32">
        <v>0</v>
      </c>
      <c r="M1539" s="32">
        <v>0</v>
      </c>
      <c r="N1539" s="32">
        <f>34016+19239</f>
        <v>53255</v>
      </c>
      <c r="O1539" s="32">
        <v>0</v>
      </c>
      <c r="P1539" s="32">
        <v>0</v>
      </c>
      <c r="Q1539" s="37">
        <f t="shared" si="46"/>
        <v>56837</v>
      </c>
      <c r="R1539" s="69">
        <f t="shared" si="47"/>
        <v>48311.45</v>
      </c>
      <c r="S1539" s="30"/>
      <c r="T1539" s="30"/>
    </row>
    <row r="1540" spans="1:20" ht="45" customHeight="1" x14ac:dyDescent="0.3">
      <c r="A1540" s="31">
        <v>1528</v>
      </c>
      <c r="B1540" s="32" t="s">
        <v>5155</v>
      </c>
      <c r="C1540" s="32" t="s">
        <v>5179</v>
      </c>
      <c r="D1540" s="32" t="s">
        <v>5180</v>
      </c>
      <c r="E1540" s="32">
        <v>1990</v>
      </c>
      <c r="F1540" s="32" t="s">
        <v>19</v>
      </c>
      <c r="G1540" s="32" t="s">
        <v>5302</v>
      </c>
      <c r="H1540" s="32" t="s">
        <v>5302</v>
      </c>
      <c r="I1540" s="32" t="s">
        <v>2137</v>
      </c>
      <c r="J1540" s="32">
        <v>6199</v>
      </c>
      <c r="K1540" s="32">
        <v>0</v>
      </c>
      <c r="L1540" s="32">
        <v>0</v>
      </c>
      <c r="M1540" s="32">
        <v>0</v>
      </c>
      <c r="N1540" s="32">
        <v>0</v>
      </c>
      <c r="O1540" s="32">
        <v>0</v>
      </c>
      <c r="P1540" s="32">
        <v>0</v>
      </c>
      <c r="Q1540" s="37">
        <f t="shared" si="46"/>
        <v>6199</v>
      </c>
      <c r="R1540" s="69">
        <f t="shared" si="47"/>
        <v>5269.15</v>
      </c>
      <c r="S1540" s="30"/>
      <c r="T1540" s="30"/>
    </row>
    <row r="1541" spans="1:20" ht="45" customHeight="1" x14ac:dyDescent="0.3">
      <c r="A1541" s="36">
        <v>1529</v>
      </c>
      <c r="B1541" s="32" t="s">
        <v>5155</v>
      </c>
      <c r="C1541" s="32" t="s">
        <v>5181</v>
      </c>
      <c r="D1541" s="32" t="s">
        <v>5182</v>
      </c>
      <c r="E1541" s="32">
        <v>1983</v>
      </c>
      <c r="F1541" s="32" t="s">
        <v>18</v>
      </c>
      <c r="G1541" s="32" t="s">
        <v>5303</v>
      </c>
      <c r="H1541" s="32" t="s">
        <v>5303</v>
      </c>
      <c r="I1541" s="32" t="s">
        <v>3089</v>
      </c>
      <c r="J1541" s="32">
        <v>6199</v>
      </c>
      <c r="K1541" s="32">
        <f>6278+2332+2332+2332</f>
        <v>13274</v>
      </c>
      <c r="L1541" s="32">
        <v>0</v>
      </c>
      <c r="M1541" s="32">
        <v>0</v>
      </c>
      <c r="N1541" s="32">
        <v>1793</v>
      </c>
      <c r="O1541" s="32">
        <v>0</v>
      </c>
      <c r="P1541" s="32">
        <v>0</v>
      </c>
      <c r="Q1541" s="37">
        <f t="shared" si="46"/>
        <v>21266</v>
      </c>
      <c r="R1541" s="69">
        <f t="shared" si="47"/>
        <v>18076.099999999999</v>
      </c>
      <c r="S1541" s="30"/>
      <c r="T1541" s="30"/>
    </row>
    <row r="1542" spans="1:20" ht="45" customHeight="1" x14ac:dyDescent="0.3">
      <c r="A1542" s="31">
        <v>1530</v>
      </c>
      <c r="B1542" s="32" t="s">
        <v>5155</v>
      </c>
      <c r="C1542" s="32" t="s">
        <v>5183</v>
      </c>
      <c r="D1542" s="32" t="s">
        <v>5184</v>
      </c>
      <c r="E1542" s="32">
        <v>2010</v>
      </c>
      <c r="F1542" s="32" t="s">
        <v>19</v>
      </c>
      <c r="G1542" s="32" t="s">
        <v>5304</v>
      </c>
      <c r="H1542" s="32" t="s">
        <v>5359</v>
      </c>
      <c r="I1542" s="32" t="s">
        <v>2476</v>
      </c>
      <c r="J1542" s="32">
        <v>6199</v>
      </c>
      <c r="K1542" s="32">
        <f>2332+2332+1166+2801+3587</f>
        <v>12218</v>
      </c>
      <c r="L1542" s="32">
        <v>0</v>
      </c>
      <c r="M1542" s="32">
        <v>0</v>
      </c>
      <c r="N1542" s="32">
        <v>0</v>
      </c>
      <c r="O1542" s="32">
        <v>0</v>
      </c>
      <c r="P1542" s="32">
        <v>0</v>
      </c>
      <c r="Q1542" s="37">
        <f t="shared" si="46"/>
        <v>18417</v>
      </c>
      <c r="R1542" s="69">
        <f t="shared" si="47"/>
        <v>15654.45</v>
      </c>
      <c r="S1542" s="30"/>
      <c r="T1542" s="30"/>
    </row>
    <row r="1543" spans="1:20" ht="45" customHeight="1" x14ac:dyDescent="0.3">
      <c r="A1543" s="31">
        <v>1531</v>
      </c>
      <c r="B1543" s="32" t="s">
        <v>5155</v>
      </c>
      <c r="C1543" s="32" t="s">
        <v>5185</v>
      </c>
      <c r="D1543" s="32" t="s">
        <v>5186</v>
      </c>
      <c r="E1543" s="32">
        <v>2023</v>
      </c>
      <c r="F1543" s="32" t="s">
        <v>19</v>
      </c>
      <c r="G1543" s="32" t="s">
        <v>5305</v>
      </c>
      <c r="H1543" s="32" t="s">
        <v>5360</v>
      </c>
      <c r="I1543" s="32" t="s">
        <v>5394</v>
      </c>
      <c r="J1543" s="32">
        <v>6199</v>
      </c>
      <c r="K1543" s="32">
        <v>0</v>
      </c>
      <c r="L1543" s="32">
        <v>0</v>
      </c>
      <c r="M1543" s="32">
        <v>0</v>
      </c>
      <c r="N1543" s="32">
        <v>0</v>
      </c>
      <c r="O1543" s="32">
        <v>0</v>
      </c>
      <c r="P1543" s="32">
        <v>0</v>
      </c>
      <c r="Q1543" s="37">
        <f t="shared" si="46"/>
        <v>6199</v>
      </c>
      <c r="R1543" s="69">
        <f t="shared" si="47"/>
        <v>5269.15</v>
      </c>
      <c r="S1543" s="30"/>
      <c r="T1543" s="30"/>
    </row>
    <row r="1544" spans="1:20" ht="45" customHeight="1" x14ac:dyDescent="0.3">
      <c r="A1544" s="36">
        <v>1532</v>
      </c>
      <c r="B1544" s="32" t="s">
        <v>5155</v>
      </c>
      <c r="C1544" s="32" t="s">
        <v>5187</v>
      </c>
      <c r="D1544" s="32" t="s">
        <v>5188</v>
      </c>
      <c r="E1544" s="32">
        <v>2016</v>
      </c>
      <c r="F1544" s="32" t="s">
        <v>18</v>
      </c>
      <c r="G1544" s="32" t="s">
        <v>5306</v>
      </c>
      <c r="H1544" s="32" t="s">
        <v>5361</v>
      </c>
      <c r="I1544" s="32" t="s">
        <v>5395</v>
      </c>
      <c r="J1544" s="32">
        <v>6199</v>
      </c>
      <c r="K1544" s="32">
        <f>1166+2801+2332+2332</f>
        <v>8631</v>
      </c>
      <c r="L1544" s="32">
        <v>0</v>
      </c>
      <c r="M1544" s="32">
        <v>0</v>
      </c>
      <c r="N1544" s="32">
        <v>0</v>
      </c>
      <c r="O1544" s="32">
        <v>0</v>
      </c>
      <c r="P1544" s="32">
        <v>0</v>
      </c>
      <c r="Q1544" s="37">
        <f t="shared" si="46"/>
        <v>14830</v>
      </c>
      <c r="R1544" s="69">
        <f t="shared" si="47"/>
        <v>12605.5</v>
      </c>
      <c r="S1544" s="30"/>
      <c r="T1544" s="30"/>
    </row>
    <row r="1545" spans="1:20" ht="45" customHeight="1" x14ac:dyDescent="0.3">
      <c r="A1545" s="31">
        <v>1533</v>
      </c>
      <c r="B1545" s="32" t="s">
        <v>5155</v>
      </c>
      <c r="C1545" s="32" t="s">
        <v>5189</v>
      </c>
      <c r="D1545" s="32" t="s">
        <v>5190</v>
      </c>
      <c r="E1545" s="32">
        <v>1975</v>
      </c>
      <c r="F1545" s="32" t="s">
        <v>19</v>
      </c>
      <c r="G1545" s="32" t="s">
        <v>5307</v>
      </c>
      <c r="H1545" s="32" t="s">
        <v>5307</v>
      </c>
      <c r="I1545" s="32" t="s">
        <v>5395</v>
      </c>
      <c r="J1545" s="32">
        <v>6199</v>
      </c>
      <c r="K1545" s="32">
        <f>2332+1166+2801+6278</f>
        <v>12577</v>
      </c>
      <c r="L1545" s="32">
        <v>0</v>
      </c>
      <c r="M1545" s="32">
        <v>0</v>
      </c>
      <c r="N1545" s="32">
        <v>1793</v>
      </c>
      <c r="O1545" s="32">
        <v>0</v>
      </c>
      <c r="P1545" s="32">
        <v>0</v>
      </c>
      <c r="Q1545" s="37">
        <f t="shared" si="46"/>
        <v>20569</v>
      </c>
      <c r="R1545" s="69">
        <f t="shared" si="47"/>
        <v>17483.650000000001</v>
      </c>
      <c r="S1545" s="30"/>
      <c r="T1545" s="30"/>
    </row>
    <row r="1546" spans="1:20" ht="45" customHeight="1" x14ac:dyDescent="0.3">
      <c r="A1546" s="31">
        <v>1534</v>
      </c>
      <c r="B1546" s="32" t="s">
        <v>5155</v>
      </c>
      <c r="C1546" s="32" t="s">
        <v>5191</v>
      </c>
      <c r="D1546" s="32" t="s">
        <v>5192</v>
      </c>
      <c r="E1546" s="32">
        <v>2024</v>
      </c>
      <c r="F1546" s="32" t="s">
        <v>19</v>
      </c>
      <c r="G1546" s="32" t="s">
        <v>5308</v>
      </c>
      <c r="H1546" s="32" t="s">
        <v>3848</v>
      </c>
      <c r="I1546" s="32" t="s">
        <v>1704</v>
      </c>
      <c r="J1546" s="32">
        <v>6199</v>
      </c>
      <c r="K1546" s="32">
        <f>6278+4484+1166</f>
        <v>11928</v>
      </c>
      <c r="L1546" s="32">
        <v>0</v>
      </c>
      <c r="M1546" s="32">
        <v>0</v>
      </c>
      <c r="N1546" s="32">
        <v>3148</v>
      </c>
      <c r="O1546" s="32">
        <v>0</v>
      </c>
      <c r="P1546" s="32">
        <v>0</v>
      </c>
      <c r="Q1546" s="37">
        <f t="shared" si="46"/>
        <v>21275</v>
      </c>
      <c r="R1546" s="69">
        <f t="shared" si="47"/>
        <v>18083.75</v>
      </c>
      <c r="S1546" s="30"/>
      <c r="T1546" s="30"/>
    </row>
    <row r="1547" spans="1:20" ht="45" customHeight="1" x14ac:dyDescent="0.3">
      <c r="A1547" s="36">
        <v>1535</v>
      </c>
      <c r="B1547" s="32" t="s">
        <v>5155</v>
      </c>
      <c r="C1547" s="32" t="s">
        <v>5193</v>
      </c>
      <c r="D1547" s="32" t="s">
        <v>5194</v>
      </c>
      <c r="E1547" s="32">
        <v>1999</v>
      </c>
      <c r="F1547" s="32" t="s">
        <v>19</v>
      </c>
      <c r="G1547" s="32" t="s">
        <v>5309</v>
      </c>
      <c r="H1547" s="32" t="s">
        <v>5309</v>
      </c>
      <c r="I1547" s="32" t="s">
        <v>576</v>
      </c>
      <c r="J1547" s="32">
        <v>6199</v>
      </c>
      <c r="K1547" s="32">
        <f>6278+4484+2332+3228+3000+3000+2332+2332+2243+3500+3500+6995</f>
        <v>43224</v>
      </c>
      <c r="L1547" s="32">
        <v>18406</v>
      </c>
      <c r="M1547" s="32">
        <v>0</v>
      </c>
      <c r="N1547" s="32">
        <f>1793+1681</f>
        <v>3474</v>
      </c>
      <c r="O1547" s="32">
        <v>0</v>
      </c>
      <c r="P1547" s="32">
        <v>2400</v>
      </c>
      <c r="Q1547" s="37">
        <f t="shared" si="46"/>
        <v>73703</v>
      </c>
      <c r="R1547" s="69">
        <f t="shared" si="47"/>
        <v>62647.55</v>
      </c>
      <c r="S1547" s="30"/>
      <c r="T1547" s="30"/>
    </row>
    <row r="1548" spans="1:20" ht="45" customHeight="1" x14ac:dyDescent="0.3">
      <c r="A1548" s="31">
        <v>1536</v>
      </c>
      <c r="B1548" s="32" t="s">
        <v>5155</v>
      </c>
      <c r="C1548" s="32" t="s">
        <v>5195</v>
      </c>
      <c r="D1548" s="32" t="s">
        <v>5196</v>
      </c>
      <c r="E1548" s="32">
        <v>1992</v>
      </c>
      <c r="F1548" s="32" t="s">
        <v>19</v>
      </c>
      <c r="G1548" s="32" t="s">
        <v>5310</v>
      </c>
      <c r="H1548" s="32" t="s">
        <v>5310</v>
      </c>
      <c r="I1548" s="32" t="s">
        <v>289</v>
      </c>
      <c r="J1548" s="32">
        <v>6199</v>
      </c>
      <c r="K1548" s="32">
        <v>0</v>
      </c>
      <c r="L1548" s="32">
        <v>18406</v>
      </c>
      <c r="M1548" s="32">
        <v>0</v>
      </c>
      <c r="N1548" s="32">
        <v>0</v>
      </c>
      <c r="O1548" s="32">
        <v>0</v>
      </c>
      <c r="P1548" s="32">
        <v>0</v>
      </c>
      <c r="Q1548" s="37">
        <f t="shared" si="46"/>
        <v>24605</v>
      </c>
      <c r="R1548" s="69">
        <f t="shared" si="47"/>
        <v>20914.25</v>
      </c>
      <c r="S1548" s="30"/>
      <c r="T1548" s="30"/>
    </row>
    <row r="1549" spans="1:20" ht="45" customHeight="1" x14ac:dyDescent="0.3">
      <c r="A1549" s="31">
        <v>1537</v>
      </c>
      <c r="B1549" s="32" t="s">
        <v>5155</v>
      </c>
      <c r="C1549" s="32" t="s">
        <v>5197</v>
      </c>
      <c r="D1549" s="32" t="s">
        <v>5198</v>
      </c>
      <c r="E1549" s="32">
        <v>1987</v>
      </c>
      <c r="F1549" s="32" t="s">
        <v>19</v>
      </c>
      <c r="G1549" s="32" t="s">
        <v>5311</v>
      </c>
      <c r="H1549" s="32" t="s">
        <v>5362</v>
      </c>
      <c r="I1549" s="32" t="s">
        <v>5396</v>
      </c>
      <c r="J1549" s="32">
        <v>6199</v>
      </c>
      <c r="K1549" s="32">
        <v>0</v>
      </c>
      <c r="L1549" s="32">
        <v>0</v>
      </c>
      <c r="M1549" s="32">
        <v>0</v>
      </c>
      <c r="N1549" s="32">
        <v>9871</v>
      </c>
      <c r="O1549" s="32">
        <v>0</v>
      </c>
      <c r="P1549" s="32">
        <v>0</v>
      </c>
      <c r="Q1549" s="35">
        <f t="shared" ref="Q1549:Q1612" si="48">SUM(J1549:P1549)</f>
        <v>16070</v>
      </c>
      <c r="R1549" s="69">
        <f t="shared" si="47"/>
        <v>13659.5</v>
      </c>
      <c r="S1549" s="30"/>
      <c r="T1549" s="30"/>
    </row>
    <row r="1550" spans="1:20" ht="45" customHeight="1" x14ac:dyDescent="0.3">
      <c r="A1550" s="36">
        <v>1538</v>
      </c>
      <c r="B1550" s="32" t="s">
        <v>5155</v>
      </c>
      <c r="C1550" s="32" t="s">
        <v>5199</v>
      </c>
      <c r="D1550" s="32" t="s">
        <v>5200</v>
      </c>
      <c r="E1550" s="32">
        <v>2025</v>
      </c>
      <c r="F1550" s="32" t="s">
        <v>18</v>
      </c>
      <c r="G1550" s="32" t="s">
        <v>5312</v>
      </c>
      <c r="H1550" s="32" t="s">
        <v>5363</v>
      </c>
      <c r="I1550" s="32" t="s">
        <v>5397</v>
      </c>
      <c r="J1550" s="32">
        <v>6199</v>
      </c>
      <c r="K1550" s="32">
        <v>0</v>
      </c>
      <c r="L1550" s="32">
        <v>0</v>
      </c>
      <c r="M1550" s="32">
        <v>0</v>
      </c>
      <c r="N1550" s="32">
        <v>61829</v>
      </c>
      <c r="O1550" s="32">
        <v>0</v>
      </c>
      <c r="P1550" s="32">
        <v>0</v>
      </c>
      <c r="Q1550" s="37">
        <f t="shared" si="48"/>
        <v>68028</v>
      </c>
      <c r="R1550" s="69">
        <f t="shared" ref="R1550:R1613" si="49">Q1550*85/100</f>
        <v>57823.8</v>
      </c>
      <c r="S1550" s="30"/>
      <c r="T1550" s="30"/>
    </row>
    <row r="1551" spans="1:20" ht="45" customHeight="1" x14ac:dyDescent="0.3">
      <c r="A1551" s="31">
        <v>1539</v>
      </c>
      <c r="B1551" s="32" t="s">
        <v>5155</v>
      </c>
      <c r="C1551" s="32" t="s">
        <v>5201</v>
      </c>
      <c r="D1551" s="32" t="s">
        <v>5202</v>
      </c>
      <c r="E1551" s="32">
        <v>2020</v>
      </c>
      <c r="F1551" s="32" t="s">
        <v>19</v>
      </c>
      <c r="G1551" s="32" t="s">
        <v>5313</v>
      </c>
      <c r="H1551" s="32" t="s">
        <v>5364</v>
      </c>
      <c r="I1551" s="32" t="s">
        <v>300</v>
      </c>
      <c r="J1551" s="32">
        <v>3582</v>
      </c>
      <c r="K1551" s="32">
        <v>0</v>
      </c>
      <c r="L1551" s="32">
        <v>0</v>
      </c>
      <c r="M1551" s="32">
        <v>0</v>
      </c>
      <c r="N1551" s="32">
        <f>15443+35836</f>
        <v>51279</v>
      </c>
      <c r="O1551" s="32">
        <v>0</v>
      </c>
      <c r="P1551" s="32">
        <v>0</v>
      </c>
      <c r="Q1551" s="37">
        <f t="shared" si="48"/>
        <v>54861</v>
      </c>
      <c r="R1551" s="69">
        <f t="shared" si="49"/>
        <v>46631.85</v>
      </c>
      <c r="S1551" s="30"/>
      <c r="T1551" s="30"/>
    </row>
    <row r="1552" spans="1:20" ht="45" customHeight="1" x14ac:dyDescent="0.3">
      <c r="A1552" s="31">
        <v>1540</v>
      </c>
      <c r="B1552" s="32" t="s">
        <v>5155</v>
      </c>
      <c r="C1552" s="32" t="s">
        <v>5203</v>
      </c>
      <c r="D1552" s="32" t="s">
        <v>5204</v>
      </c>
      <c r="E1552" s="32">
        <v>1988</v>
      </c>
      <c r="F1552" s="32" t="s">
        <v>18</v>
      </c>
      <c r="G1552" s="32" t="s">
        <v>5314</v>
      </c>
      <c r="H1552" s="32" t="s">
        <v>5365</v>
      </c>
      <c r="I1552" s="32" t="s">
        <v>300</v>
      </c>
      <c r="J1552" s="32">
        <v>6199</v>
      </c>
      <c r="K1552" s="32">
        <v>0</v>
      </c>
      <c r="L1552" s="32">
        <v>0</v>
      </c>
      <c r="M1552" s="32">
        <v>0</v>
      </c>
      <c r="N1552" s="32">
        <v>0</v>
      </c>
      <c r="O1552" s="32">
        <v>0</v>
      </c>
      <c r="P1552" s="32">
        <v>0</v>
      </c>
      <c r="Q1552" s="37">
        <f t="shared" si="48"/>
        <v>6199</v>
      </c>
      <c r="R1552" s="69">
        <f t="shared" si="49"/>
        <v>5269.15</v>
      </c>
      <c r="S1552" s="30"/>
      <c r="T1552" s="30"/>
    </row>
    <row r="1553" spans="1:20" ht="45" customHeight="1" x14ac:dyDescent="0.3">
      <c r="A1553" s="36">
        <v>1541</v>
      </c>
      <c r="B1553" s="32" t="s">
        <v>5155</v>
      </c>
      <c r="C1553" s="32" t="s">
        <v>5205</v>
      </c>
      <c r="D1553" s="32" t="s">
        <v>5206</v>
      </c>
      <c r="E1553" s="32">
        <v>1993</v>
      </c>
      <c r="F1553" s="32" t="s">
        <v>19</v>
      </c>
      <c r="G1553" s="32" t="s">
        <v>5315</v>
      </c>
      <c r="H1553" s="32" t="s">
        <v>5366</v>
      </c>
      <c r="I1553" s="32" t="s">
        <v>1063</v>
      </c>
      <c r="J1553" s="32">
        <v>6199</v>
      </c>
      <c r="K1553" s="32">
        <f>2332+3587+2243+2332</f>
        <v>10494</v>
      </c>
      <c r="L1553" s="32">
        <v>17279</v>
      </c>
      <c r="M1553" s="32">
        <v>0</v>
      </c>
      <c r="N1553" s="32">
        <v>0</v>
      </c>
      <c r="O1553" s="32">
        <v>0</v>
      </c>
      <c r="P1553" s="32">
        <v>0</v>
      </c>
      <c r="Q1553" s="37">
        <f t="shared" si="48"/>
        <v>33972</v>
      </c>
      <c r="R1553" s="69">
        <f t="shared" si="49"/>
        <v>28876.2</v>
      </c>
      <c r="S1553" s="30"/>
      <c r="T1553" s="30"/>
    </row>
    <row r="1554" spans="1:20" ht="45" customHeight="1" x14ac:dyDescent="0.3">
      <c r="A1554" s="31">
        <v>1542</v>
      </c>
      <c r="B1554" s="32" t="s">
        <v>5155</v>
      </c>
      <c r="C1554" s="32" t="s">
        <v>5207</v>
      </c>
      <c r="D1554" s="32" t="s">
        <v>5208</v>
      </c>
      <c r="E1554" s="32">
        <v>2017</v>
      </c>
      <c r="F1554" s="32" t="s">
        <v>19</v>
      </c>
      <c r="G1554" s="32" t="s">
        <v>5316</v>
      </c>
      <c r="H1554" s="32" t="s">
        <v>5367</v>
      </c>
      <c r="I1554" s="32" t="s">
        <v>24</v>
      </c>
      <c r="J1554" s="32">
        <v>3582</v>
      </c>
      <c r="K1554" s="32">
        <v>0</v>
      </c>
      <c r="L1554" s="32">
        <v>0</v>
      </c>
      <c r="M1554" s="32">
        <v>0</v>
      </c>
      <c r="N1554" s="32">
        <f>15443+21194+13563</f>
        <v>50200</v>
      </c>
      <c r="O1554" s="32">
        <v>0</v>
      </c>
      <c r="P1554" s="32">
        <v>0</v>
      </c>
      <c r="Q1554" s="37">
        <f t="shared" si="48"/>
        <v>53782</v>
      </c>
      <c r="R1554" s="69">
        <f t="shared" si="49"/>
        <v>45714.7</v>
      </c>
      <c r="S1554" s="30"/>
      <c r="T1554" s="30"/>
    </row>
    <row r="1555" spans="1:20" ht="45" customHeight="1" x14ac:dyDescent="0.3">
      <c r="A1555" s="31">
        <v>1543</v>
      </c>
      <c r="B1555" s="32" t="s">
        <v>5155</v>
      </c>
      <c r="C1555" s="32" t="s">
        <v>5209</v>
      </c>
      <c r="D1555" s="32" t="s">
        <v>5210</v>
      </c>
      <c r="E1555" s="32">
        <v>2018</v>
      </c>
      <c r="F1555" s="32" t="s">
        <v>18</v>
      </c>
      <c r="G1555" s="32" t="s">
        <v>5317</v>
      </c>
      <c r="H1555" s="32" t="s">
        <v>5368</v>
      </c>
      <c r="I1555" s="32" t="s">
        <v>5398</v>
      </c>
      <c r="J1555" s="32">
        <v>6199</v>
      </c>
      <c r="K1555" s="32">
        <v>0</v>
      </c>
      <c r="L1555" s="32">
        <v>0</v>
      </c>
      <c r="M1555" s="32">
        <v>0</v>
      </c>
      <c r="N1555" s="32">
        <f>35836+30886</f>
        <v>66722</v>
      </c>
      <c r="O1555" s="32">
        <v>0</v>
      </c>
      <c r="P1555" s="32">
        <v>0</v>
      </c>
      <c r="Q1555" s="37">
        <f t="shared" si="48"/>
        <v>72921</v>
      </c>
      <c r="R1555" s="69">
        <f t="shared" si="49"/>
        <v>61982.85</v>
      </c>
      <c r="S1555" s="30"/>
      <c r="T1555" s="30"/>
    </row>
    <row r="1556" spans="1:20" ht="45" customHeight="1" x14ac:dyDescent="0.3">
      <c r="A1556" s="36">
        <v>1544</v>
      </c>
      <c r="B1556" s="32" t="s">
        <v>5155</v>
      </c>
      <c r="C1556" s="32" t="s">
        <v>5211</v>
      </c>
      <c r="D1556" s="32" t="s">
        <v>5212</v>
      </c>
      <c r="E1556" s="32">
        <v>2025</v>
      </c>
      <c r="F1556" s="32" t="s">
        <v>19</v>
      </c>
      <c r="G1556" s="32" t="s">
        <v>5318</v>
      </c>
      <c r="H1556" s="32" t="s">
        <v>5369</v>
      </c>
      <c r="I1556" s="32" t="s">
        <v>1704</v>
      </c>
      <c r="J1556" s="32">
        <v>6199</v>
      </c>
      <c r="K1556" s="32">
        <v>0</v>
      </c>
      <c r="L1556" s="32">
        <v>0</v>
      </c>
      <c r="M1556" s="32">
        <v>0</v>
      </c>
      <c r="N1556" s="32">
        <v>0</v>
      </c>
      <c r="O1556" s="32">
        <v>0</v>
      </c>
      <c r="P1556" s="32">
        <v>0</v>
      </c>
      <c r="Q1556" s="37">
        <f t="shared" si="48"/>
        <v>6199</v>
      </c>
      <c r="R1556" s="69">
        <f t="shared" si="49"/>
        <v>5269.15</v>
      </c>
      <c r="S1556" s="30"/>
      <c r="T1556" s="30"/>
    </row>
    <row r="1557" spans="1:20" ht="45" customHeight="1" x14ac:dyDescent="0.3">
      <c r="A1557" s="31">
        <v>1545</v>
      </c>
      <c r="B1557" s="32" t="s">
        <v>5155</v>
      </c>
      <c r="C1557" s="32" t="s">
        <v>5213</v>
      </c>
      <c r="D1557" s="32" t="s">
        <v>2215</v>
      </c>
      <c r="E1557" s="32">
        <v>1979</v>
      </c>
      <c r="F1557" s="32" t="s">
        <v>18</v>
      </c>
      <c r="G1557" s="32" t="s">
        <v>2347</v>
      </c>
      <c r="H1557" s="32" t="s">
        <v>2347</v>
      </c>
      <c r="I1557" s="32" t="s">
        <v>2457</v>
      </c>
      <c r="J1557" s="32">
        <v>3793</v>
      </c>
      <c r="K1557" s="32">
        <f>6278+4484+4484+1166+2801</f>
        <v>19213</v>
      </c>
      <c r="L1557" s="32">
        <v>0</v>
      </c>
      <c r="M1557" s="32">
        <v>0</v>
      </c>
      <c r="N1557" s="32">
        <v>1793</v>
      </c>
      <c r="O1557" s="32">
        <v>0</v>
      </c>
      <c r="P1557" s="32">
        <v>0</v>
      </c>
      <c r="Q1557" s="37">
        <f t="shared" si="48"/>
        <v>24799</v>
      </c>
      <c r="R1557" s="69">
        <f t="shared" si="49"/>
        <v>21079.15</v>
      </c>
      <c r="S1557" s="30"/>
      <c r="T1557" s="30"/>
    </row>
    <row r="1558" spans="1:20" ht="45" customHeight="1" x14ac:dyDescent="0.3">
      <c r="A1558" s="31">
        <v>1546</v>
      </c>
      <c r="B1558" s="32" t="s">
        <v>5155</v>
      </c>
      <c r="C1558" s="32" t="s">
        <v>5214</v>
      </c>
      <c r="D1558" s="32" t="s">
        <v>5215</v>
      </c>
      <c r="E1558" s="32">
        <v>1989</v>
      </c>
      <c r="F1558" s="32" t="s">
        <v>18</v>
      </c>
      <c r="G1558" s="32" t="s">
        <v>5319</v>
      </c>
      <c r="H1558" s="32" t="s">
        <v>5319</v>
      </c>
      <c r="I1558" s="32" t="s">
        <v>2457</v>
      </c>
      <c r="J1558" s="32">
        <v>6199</v>
      </c>
      <c r="K1558" s="32">
        <v>6278</v>
      </c>
      <c r="L1558" s="32">
        <v>0</v>
      </c>
      <c r="M1558" s="32">
        <v>0</v>
      </c>
      <c r="N1558" s="32">
        <v>1793</v>
      </c>
      <c r="O1558" s="32">
        <v>0</v>
      </c>
      <c r="P1558" s="32">
        <v>0</v>
      </c>
      <c r="Q1558" s="37">
        <f t="shared" si="48"/>
        <v>14270</v>
      </c>
      <c r="R1558" s="69">
        <f t="shared" si="49"/>
        <v>12129.5</v>
      </c>
      <c r="S1558" s="30"/>
      <c r="T1558" s="30"/>
    </row>
    <row r="1559" spans="1:20" ht="45" customHeight="1" x14ac:dyDescent="0.3">
      <c r="A1559" s="36">
        <v>1547</v>
      </c>
      <c r="B1559" s="32" t="s">
        <v>5155</v>
      </c>
      <c r="C1559" s="32" t="s">
        <v>5216</v>
      </c>
      <c r="D1559" s="32" t="s">
        <v>5217</v>
      </c>
      <c r="E1559" s="32">
        <v>2025</v>
      </c>
      <c r="F1559" s="32" t="s">
        <v>18</v>
      </c>
      <c r="G1559" s="32" t="s">
        <v>5320</v>
      </c>
      <c r="H1559" s="32" t="s">
        <v>5370</v>
      </c>
      <c r="I1559" s="32" t="s">
        <v>5399</v>
      </c>
      <c r="J1559" s="32">
        <v>6199</v>
      </c>
      <c r="K1559" s="32">
        <v>0</v>
      </c>
      <c r="L1559" s="32">
        <v>0</v>
      </c>
      <c r="M1559" s="32">
        <v>0</v>
      </c>
      <c r="N1559" s="32">
        <v>0</v>
      </c>
      <c r="O1559" s="32">
        <v>0</v>
      </c>
      <c r="P1559" s="32">
        <v>0</v>
      </c>
      <c r="Q1559" s="37">
        <f t="shared" si="48"/>
        <v>6199</v>
      </c>
      <c r="R1559" s="69">
        <f t="shared" si="49"/>
        <v>5269.15</v>
      </c>
      <c r="S1559" s="30"/>
      <c r="T1559" s="30"/>
    </row>
    <row r="1560" spans="1:20" ht="45" customHeight="1" x14ac:dyDescent="0.3">
      <c r="A1560" s="31">
        <v>1548</v>
      </c>
      <c r="B1560" s="32" t="s">
        <v>5155</v>
      </c>
      <c r="C1560" s="32" t="s">
        <v>5218</v>
      </c>
      <c r="D1560" s="32" t="s">
        <v>5219</v>
      </c>
      <c r="E1560" s="32">
        <v>2024</v>
      </c>
      <c r="F1560" s="32" t="s">
        <v>19</v>
      </c>
      <c r="G1560" s="32" t="s">
        <v>5321</v>
      </c>
      <c r="H1560" s="32" t="s">
        <v>5371</v>
      </c>
      <c r="I1560" s="32" t="s">
        <v>5400</v>
      </c>
      <c r="J1560" s="32">
        <v>6199</v>
      </c>
      <c r="K1560" s="32">
        <v>0</v>
      </c>
      <c r="L1560" s="32">
        <v>0</v>
      </c>
      <c r="M1560" s="32">
        <v>0</v>
      </c>
      <c r="N1560" s="32">
        <v>0</v>
      </c>
      <c r="O1560" s="32">
        <v>0</v>
      </c>
      <c r="P1560" s="32">
        <v>0</v>
      </c>
      <c r="Q1560" s="37">
        <f t="shared" si="48"/>
        <v>6199</v>
      </c>
      <c r="R1560" s="69">
        <f t="shared" si="49"/>
        <v>5269.15</v>
      </c>
      <c r="S1560" s="30"/>
      <c r="T1560" s="30"/>
    </row>
    <row r="1561" spans="1:20" ht="45" customHeight="1" x14ac:dyDescent="0.3">
      <c r="A1561" s="31">
        <v>1549</v>
      </c>
      <c r="B1561" s="32" t="s">
        <v>5155</v>
      </c>
      <c r="C1561" s="32" t="s">
        <v>5220</v>
      </c>
      <c r="D1561" s="32" t="s">
        <v>5221</v>
      </c>
      <c r="E1561" s="32">
        <v>1998</v>
      </c>
      <c r="F1561" s="32" t="s">
        <v>19</v>
      </c>
      <c r="G1561" s="32" t="s">
        <v>5322</v>
      </c>
      <c r="H1561" s="32" t="s">
        <v>5322</v>
      </c>
      <c r="I1561" s="32" t="s">
        <v>1263</v>
      </c>
      <c r="J1561" s="32">
        <v>6199</v>
      </c>
      <c r="K1561" s="32">
        <v>0</v>
      </c>
      <c r="L1561" s="32">
        <v>0</v>
      </c>
      <c r="M1561" s="32">
        <v>0</v>
      </c>
      <c r="N1561" s="32">
        <v>0</v>
      </c>
      <c r="O1561" s="32">
        <v>0</v>
      </c>
      <c r="P1561" s="32">
        <v>0</v>
      </c>
      <c r="Q1561" s="37">
        <f t="shared" si="48"/>
        <v>6199</v>
      </c>
      <c r="R1561" s="69">
        <f t="shared" si="49"/>
        <v>5269.15</v>
      </c>
      <c r="S1561" s="30"/>
      <c r="T1561" s="30"/>
    </row>
    <row r="1562" spans="1:20" ht="45" customHeight="1" x14ac:dyDescent="0.3">
      <c r="A1562" s="36">
        <v>1550</v>
      </c>
      <c r="B1562" s="32" t="s">
        <v>5155</v>
      </c>
      <c r="C1562" s="32" t="s">
        <v>5222</v>
      </c>
      <c r="D1562" s="32" t="s">
        <v>5223</v>
      </c>
      <c r="E1562" s="32">
        <v>2022</v>
      </c>
      <c r="F1562" s="32" t="s">
        <v>19</v>
      </c>
      <c r="G1562" s="32" t="s">
        <v>5323</v>
      </c>
      <c r="H1562" s="32" t="s">
        <v>5372</v>
      </c>
      <c r="I1562" s="32" t="s">
        <v>569</v>
      </c>
      <c r="J1562" s="32">
        <v>6199</v>
      </c>
      <c r="K1562" s="32">
        <f>6278+1346+4484+2332+2332+2332+2332+2332+6995+6995+2332+6995+2332+4484</f>
        <v>53901</v>
      </c>
      <c r="L1562" s="32">
        <v>0</v>
      </c>
      <c r="M1562" s="32">
        <v>0</v>
      </c>
      <c r="N1562" s="32">
        <v>3148</v>
      </c>
      <c r="O1562" s="32">
        <v>0</v>
      </c>
      <c r="P1562" s="32">
        <v>0</v>
      </c>
      <c r="Q1562" s="37">
        <f t="shared" si="48"/>
        <v>63248</v>
      </c>
      <c r="R1562" s="69">
        <f t="shared" si="49"/>
        <v>53760.800000000003</v>
      </c>
      <c r="S1562" s="30"/>
      <c r="T1562" s="30"/>
    </row>
    <row r="1563" spans="1:20" ht="45" customHeight="1" x14ac:dyDescent="0.3">
      <c r="A1563" s="31">
        <v>1551</v>
      </c>
      <c r="B1563" s="32" t="s">
        <v>5155</v>
      </c>
      <c r="C1563" s="32" t="s">
        <v>5222</v>
      </c>
      <c r="D1563" s="32" t="s">
        <v>5223</v>
      </c>
      <c r="E1563" s="32">
        <v>2022</v>
      </c>
      <c r="F1563" s="32" t="s">
        <v>2635</v>
      </c>
      <c r="G1563" s="32" t="s">
        <v>5323</v>
      </c>
      <c r="H1563" s="32" t="s">
        <v>5372</v>
      </c>
      <c r="I1563" s="32" t="s">
        <v>569</v>
      </c>
      <c r="J1563" s="32">
        <v>0</v>
      </c>
      <c r="K1563" s="32">
        <v>0</v>
      </c>
      <c r="L1563" s="32">
        <v>0</v>
      </c>
      <c r="M1563" s="32">
        <v>17688</v>
      </c>
      <c r="N1563" s="32">
        <v>0</v>
      </c>
      <c r="O1563" s="32">
        <v>0</v>
      </c>
      <c r="P1563" s="32">
        <f>360+56</f>
        <v>416</v>
      </c>
      <c r="Q1563" s="35">
        <f t="shared" si="48"/>
        <v>18104</v>
      </c>
      <c r="R1563" s="69">
        <f t="shared" si="49"/>
        <v>15388.4</v>
      </c>
      <c r="S1563" s="30"/>
      <c r="T1563" s="30"/>
    </row>
    <row r="1564" spans="1:20" ht="45" customHeight="1" x14ac:dyDescent="0.3">
      <c r="A1564" s="31">
        <v>1552</v>
      </c>
      <c r="B1564" s="32" t="s">
        <v>5155</v>
      </c>
      <c r="C1564" s="32" t="s">
        <v>5224</v>
      </c>
      <c r="D1564" s="32" t="s">
        <v>5225</v>
      </c>
      <c r="E1564" s="32">
        <v>1989</v>
      </c>
      <c r="F1564" s="32" t="s">
        <v>19</v>
      </c>
      <c r="G1564" s="32" t="s">
        <v>5324</v>
      </c>
      <c r="H1564" s="32" t="s">
        <v>5324</v>
      </c>
      <c r="I1564" s="32" t="s">
        <v>3089</v>
      </c>
      <c r="J1564" s="32">
        <v>6199</v>
      </c>
      <c r="K1564" s="32">
        <f>6278+2332+3252</f>
        <v>11862</v>
      </c>
      <c r="L1564" s="32">
        <v>0</v>
      </c>
      <c r="M1564" s="32">
        <v>0</v>
      </c>
      <c r="N1564" s="32">
        <v>1793</v>
      </c>
      <c r="O1564" s="32">
        <v>0</v>
      </c>
      <c r="P1564" s="32">
        <v>0</v>
      </c>
      <c r="Q1564" s="37">
        <f t="shared" si="48"/>
        <v>19854</v>
      </c>
      <c r="R1564" s="69">
        <f t="shared" si="49"/>
        <v>16875.900000000001</v>
      </c>
      <c r="S1564" s="30"/>
      <c r="T1564" s="30"/>
    </row>
    <row r="1565" spans="1:20" ht="45" customHeight="1" x14ac:dyDescent="0.3">
      <c r="A1565" s="36">
        <v>1553</v>
      </c>
      <c r="B1565" s="32" t="s">
        <v>5155</v>
      </c>
      <c r="C1565" s="32" t="s">
        <v>5226</v>
      </c>
      <c r="D1565" s="32" t="s">
        <v>5227</v>
      </c>
      <c r="E1565" s="32">
        <v>2022</v>
      </c>
      <c r="F1565" s="32" t="s">
        <v>19</v>
      </c>
      <c r="G1565" s="32" t="s">
        <v>5325</v>
      </c>
      <c r="H1565" s="32" t="s">
        <v>5324</v>
      </c>
      <c r="I1565" s="32" t="s">
        <v>5401</v>
      </c>
      <c r="J1565" s="32">
        <v>6199</v>
      </c>
      <c r="K1565" s="32">
        <v>0</v>
      </c>
      <c r="L1565" s="32">
        <v>0</v>
      </c>
      <c r="M1565" s="32">
        <v>0</v>
      </c>
      <c r="N1565" s="32">
        <v>0</v>
      </c>
      <c r="O1565" s="32">
        <v>0</v>
      </c>
      <c r="P1565" s="32">
        <v>0</v>
      </c>
      <c r="Q1565" s="37">
        <f t="shared" si="48"/>
        <v>6199</v>
      </c>
      <c r="R1565" s="69">
        <f t="shared" si="49"/>
        <v>5269.15</v>
      </c>
      <c r="S1565" s="30"/>
      <c r="T1565" s="30"/>
    </row>
    <row r="1566" spans="1:20" ht="45" customHeight="1" x14ac:dyDescent="0.3">
      <c r="A1566" s="31">
        <v>1554</v>
      </c>
      <c r="B1566" s="32" t="s">
        <v>5155</v>
      </c>
      <c r="C1566" s="32" t="s">
        <v>5228</v>
      </c>
      <c r="D1566" s="32" t="s">
        <v>5229</v>
      </c>
      <c r="E1566" s="32">
        <v>2024</v>
      </c>
      <c r="F1566" s="32" t="s">
        <v>18</v>
      </c>
      <c r="G1566" s="32" t="s">
        <v>5326</v>
      </c>
      <c r="H1566" s="32" t="s">
        <v>5373</v>
      </c>
      <c r="I1566" s="32" t="s">
        <v>289</v>
      </c>
      <c r="J1566" s="32">
        <v>6199</v>
      </c>
      <c r="K1566" s="32">
        <v>0</v>
      </c>
      <c r="L1566" s="32">
        <v>0</v>
      </c>
      <c r="M1566" s="32">
        <v>0</v>
      </c>
      <c r="N1566" s="32">
        <v>0</v>
      </c>
      <c r="O1566" s="32">
        <v>0</v>
      </c>
      <c r="P1566" s="32">
        <v>0</v>
      </c>
      <c r="Q1566" s="35">
        <f t="shared" si="48"/>
        <v>6199</v>
      </c>
      <c r="R1566" s="69">
        <f t="shared" si="49"/>
        <v>5269.15</v>
      </c>
      <c r="S1566" s="30"/>
      <c r="T1566" s="30"/>
    </row>
    <row r="1567" spans="1:20" ht="45" customHeight="1" x14ac:dyDescent="0.3">
      <c r="A1567" s="31">
        <v>1555</v>
      </c>
      <c r="B1567" s="32" t="s">
        <v>5155</v>
      </c>
      <c r="C1567" s="32" t="s">
        <v>5230</v>
      </c>
      <c r="D1567" s="32" t="s">
        <v>5231</v>
      </c>
      <c r="E1567" s="32">
        <v>1996</v>
      </c>
      <c r="F1567" s="32" t="s">
        <v>19</v>
      </c>
      <c r="G1567" s="32" t="s">
        <v>5327</v>
      </c>
      <c r="H1567" s="32" t="s">
        <v>5327</v>
      </c>
      <c r="I1567" s="32" t="s">
        <v>549</v>
      </c>
      <c r="J1567" s="32">
        <v>6199</v>
      </c>
      <c r="K1567" s="32">
        <f>2332+2332+2243+3587</f>
        <v>10494</v>
      </c>
      <c r="L1567" s="32">
        <v>0</v>
      </c>
      <c r="M1567" s="32">
        <v>0</v>
      </c>
      <c r="N1567" s="32">
        <v>0</v>
      </c>
      <c r="O1567" s="32">
        <v>0</v>
      </c>
      <c r="P1567" s="32">
        <v>0</v>
      </c>
      <c r="Q1567" s="37">
        <f t="shared" si="48"/>
        <v>16693</v>
      </c>
      <c r="R1567" s="69">
        <f t="shared" si="49"/>
        <v>14189.05</v>
      </c>
      <c r="S1567" s="30"/>
      <c r="T1567" s="30"/>
    </row>
    <row r="1568" spans="1:20" ht="45" customHeight="1" x14ac:dyDescent="0.3">
      <c r="A1568" s="36">
        <v>1556</v>
      </c>
      <c r="B1568" s="32" t="s">
        <v>5155</v>
      </c>
      <c r="C1568" s="32" t="s">
        <v>5232</v>
      </c>
      <c r="D1568" s="32" t="s">
        <v>5233</v>
      </c>
      <c r="E1568" s="32">
        <v>2019</v>
      </c>
      <c r="F1568" s="32" t="s">
        <v>19</v>
      </c>
      <c r="G1568" s="32" t="s">
        <v>5328</v>
      </c>
      <c r="H1568" s="32" t="s">
        <v>5374</v>
      </c>
      <c r="I1568" s="32" t="s">
        <v>1050</v>
      </c>
      <c r="J1568" s="32">
        <v>6199</v>
      </c>
      <c r="K1568" s="32">
        <v>0</v>
      </c>
      <c r="L1568" s="32">
        <v>0</v>
      </c>
      <c r="M1568" s="32">
        <v>0</v>
      </c>
      <c r="N1568" s="32">
        <v>0</v>
      </c>
      <c r="O1568" s="32">
        <v>0</v>
      </c>
      <c r="P1568" s="32">
        <v>0</v>
      </c>
      <c r="Q1568" s="37">
        <f t="shared" si="48"/>
        <v>6199</v>
      </c>
      <c r="R1568" s="69">
        <f t="shared" si="49"/>
        <v>5269.15</v>
      </c>
      <c r="S1568" s="30"/>
      <c r="T1568" s="30"/>
    </row>
    <row r="1569" spans="1:20" ht="45" customHeight="1" x14ac:dyDescent="0.3">
      <c r="A1569" s="31">
        <v>1557</v>
      </c>
      <c r="B1569" s="32" t="s">
        <v>5155</v>
      </c>
      <c r="C1569" s="32" t="s">
        <v>5234</v>
      </c>
      <c r="D1569" s="32" t="s">
        <v>5235</v>
      </c>
      <c r="E1569" s="32">
        <v>2022</v>
      </c>
      <c r="F1569" s="32" t="s">
        <v>19</v>
      </c>
      <c r="G1569" s="32" t="s">
        <v>5329</v>
      </c>
      <c r="H1569" s="32" t="s">
        <v>5375</v>
      </c>
      <c r="I1569" s="32" t="s">
        <v>4211</v>
      </c>
      <c r="J1569" s="32">
        <v>6199</v>
      </c>
      <c r="K1569" s="32">
        <f>6278+4484+2332+1346+2332+2332+2332+2332+2332+4484+6995+2332+6995+6995</f>
        <v>53901</v>
      </c>
      <c r="L1569" s="32">
        <v>0</v>
      </c>
      <c r="M1569" s="32">
        <v>0</v>
      </c>
      <c r="N1569" s="32">
        <v>3148</v>
      </c>
      <c r="O1569" s="32">
        <v>0</v>
      </c>
      <c r="P1569" s="32">
        <v>0</v>
      </c>
      <c r="Q1569" s="37">
        <f t="shared" si="48"/>
        <v>63248</v>
      </c>
      <c r="R1569" s="69">
        <f t="shared" si="49"/>
        <v>53760.800000000003</v>
      </c>
      <c r="S1569" s="30"/>
      <c r="T1569" s="30"/>
    </row>
    <row r="1570" spans="1:20" ht="45" customHeight="1" x14ac:dyDescent="0.3">
      <c r="A1570" s="31">
        <v>1558</v>
      </c>
      <c r="B1570" s="32" t="s">
        <v>5155</v>
      </c>
      <c r="C1570" s="32" t="s">
        <v>5236</v>
      </c>
      <c r="D1570" s="32" t="s">
        <v>5237</v>
      </c>
      <c r="E1570" s="32">
        <v>1980</v>
      </c>
      <c r="F1570" s="32" t="s">
        <v>19</v>
      </c>
      <c r="G1570" s="32" t="s">
        <v>5330</v>
      </c>
      <c r="H1570" s="32" t="s">
        <v>5330</v>
      </c>
      <c r="I1570" s="32" t="s">
        <v>290</v>
      </c>
      <c r="J1570" s="32">
        <v>6199</v>
      </c>
      <c r="K1570" s="32">
        <v>0</v>
      </c>
      <c r="L1570" s="32">
        <v>0</v>
      </c>
      <c r="M1570" s="32">
        <v>0</v>
      </c>
      <c r="N1570" s="32">
        <v>0</v>
      </c>
      <c r="O1570" s="32">
        <v>0</v>
      </c>
      <c r="P1570" s="32">
        <v>0</v>
      </c>
      <c r="Q1570" s="37">
        <f t="shared" si="48"/>
        <v>6199</v>
      </c>
      <c r="R1570" s="69">
        <f t="shared" si="49"/>
        <v>5269.15</v>
      </c>
      <c r="S1570" s="30"/>
      <c r="T1570" s="30"/>
    </row>
    <row r="1571" spans="1:20" ht="45" customHeight="1" x14ac:dyDescent="0.3">
      <c r="A1571" s="36">
        <v>1559</v>
      </c>
      <c r="B1571" s="32" t="s">
        <v>5155</v>
      </c>
      <c r="C1571" s="32" t="s">
        <v>5238</v>
      </c>
      <c r="D1571" s="32" t="s">
        <v>5239</v>
      </c>
      <c r="E1571" s="32">
        <v>1997</v>
      </c>
      <c r="F1571" s="32" t="s">
        <v>19</v>
      </c>
      <c r="G1571" s="32" t="s">
        <v>5331</v>
      </c>
      <c r="H1571" s="32" t="s">
        <v>5331</v>
      </c>
      <c r="I1571" s="32" t="s">
        <v>5402</v>
      </c>
      <c r="J1571" s="32">
        <v>6199</v>
      </c>
      <c r="K1571" s="32">
        <f>2332+2332+2243</f>
        <v>6907</v>
      </c>
      <c r="L1571" s="32">
        <v>17279</v>
      </c>
      <c r="M1571" s="32">
        <v>0</v>
      </c>
      <c r="N1571" s="32">
        <v>0</v>
      </c>
      <c r="O1571" s="32">
        <v>0</v>
      </c>
      <c r="P1571" s="32">
        <v>0</v>
      </c>
      <c r="Q1571" s="37">
        <f t="shared" si="48"/>
        <v>30385</v>
      </c>
      <c r="R1571" s="69">
        <f t="shared" si="49"/>
        <v>25827.25</v>
      </c>
      <c r="S1571" s="30"/>
      <c r="T1571" s="30"/>
    </row>
    <row r="1572" spans="1:20" ht="45" customHeight="1" x14ac:dyDescent="0.3">
      <c r="A1572" s="31">
        <v>1560</v>
      </c>
      <c r="B1572" s="32" t="s">
        <v>5155</v>
      </c>
      <c r="C1572" s="32" t="s">
        <v>5240</v>
      </c>
      <c r="D1572" s="32" t="s">
        <v>5241</v>
      </c>
      <c r="E1572" s="32">
        <v>2021</v>
      </c>
      <c r="F1572" s="32" t="s">
        <v>18</v>
      </c>
      <c r="G1572" s="32" t="s">
        <v>5332</v>
      </c>
      <c r="H1572" s="32" t="s">
        <v>5376</v>
      </c>
      <c r="I1572" s="32" t="s">
        <v>1281</v>
      </c>
      <c r="J1572" s="32">
        <v>6199</v>
      </c>
      <c r="K1572" s="32">
        <f>1346+6278+4484</f>
        <v>12108</v>
      </c>
      <c r="L1572" s="32">
        <v>0</v>
      </c>
      <c r="M1572" s="32">
        <v>0</v>
      </c>
      <c r="N1572" s="32">
        <v>3148</v>
      </c>
      <c r="O1572" s="32">
        <v>0</v>
      </c>
      <c r="P1572" s="32">
        <v>0</v>
      </c>
      <c r="Q1572" s="37">
        <f t="shared" si="48"/>
        <v>21455</v>
      </c>
      <c r="R1572" s="69">
        <f t="shared" si="49"/>
        <v>18236.75</v>
      </c>
      <c r="S1572" s="30"/>
      <c r="T1572" s="30"/>
    </row>
    <row r="1573" spans="1:20" ht="45" customHeight="1" x14ac:dyDescent="0.3">
      <c r="A1573" s="31">
        <v>1561</v>
      </c>
      <c r="B1573" s="32" t="s">
        <v>5155</v>
      </c>
      <c r="C1573" s="32" t="s">
        <v>5242</v>
      </c>
      <c r="D1573" s="32" t="s">
        <v>5243</v>
      </c>
      <c r="E1573" s="32">
        <v>2024</v>
      </c>
      <c r="F1573" s="32" t="s">
        <v>19</v>
      </c>
      <c r="G1573" s="32" t="s">
        <v>5333</v>
      </c>
      <c r="H1573" s="32" t="s">
        <v>5377</v>
      </c>
      <c r="I1573" s="32" t="s">
        <v>35</v>
      </c>
      <c r="J1573" s="32">
        <v>6199</v>
      </c>
      <c r="K1573" s="32">
        <f>1166+2801</f>
        <v>3967</v>
      </c>
      <c r="L1573" s="32">
        <v>0</v>
      </c>
      <c r="M1573" s="32">
        <v>0</v>
      </c>
      <c r="N1573" s="32">
        <v>0</v>
      </c>
      <c r="O1573" s="32">
        <v>0</v>
      </c>
      <c r="P1573" s="32">
        <v>0</v>
      </c>
      <c r="Q1573" s="37">
        <f t="shared" si="48"/>
        <v>10166</v>
      </c>
      <c r="R1573" s="69">
        <f t="shared" si="49"/>
        <v>8641.1</v>
      </c>
      <c r="S1573" s="30"/>
      <c r="T1573" s="30"/>
    </row>
    <row r="1574" spans="1:20" ht="45" customHeight="1" x14ac:dyDescent="0.3">
      <c r="A1574" s="36">
        <v>1562</v>
      </c>
      <c r="B1574" s="32" t="s">
        <v>5155</v>
      </c>
      <c r="C1574" s="32" t="s">
        <v>5244</v>
      </c>
      <c r="D1574" s="32" t="s">
        <v>5245</v>
      </c>
      <c r="E1574" s="32">
        <v>2003</v>
      </c>
      <c r="F1574" s="32" t="s">
        <v>19</v>
      </c>
      <c r="G1574" s="32" t="s">
        <v>5334</v>
      </c>
      <c r="H1574" s="32" t="s">
        <v>5378</v>
      </c>
      <c r="I1574" s="32" t="s">
        <v>1050</v>
      </c>
      <c r="J1574" s="32">
        <v>6199</v>
      </c>
      <c r="K1574" s="32">
        <f>6278+4484+1346</f>
        <v>12108</v>
      </c>
      <c r="L1574" s="32">
        <v>0</v>
      </c>
      <c r="M1574" s="32">
        <v>0</v>
      </c>
      <c r="N1574" s="32">
        <v>1793</v>
      </c>
      <c r="O1574" s="32">
        <v>0</v>
      </c>
      <c r="P1574" s="32">
        <v>0</v>
      </c>
      <c r="Q1574" s="35">
        <f t="shared" si="48"/>
        <v>20100</v>
      </c>
      <c r="R1574" s="69">
        <f t="shared" si="49"/>
        <v>17085</v>
      </c>
      <c r="S1574" s="30"/>
      <c r="T1574" s="30"/>
    </row>
    <row r="1575" spans="1:20" ht="45" customHeight="1" x14ac:dyDescent="0.3">
      <c r="A1575" s="31">
        <v>1563</v>
      </c>
      <c r="B1575" s="32" t="s">
        <v>5155</v>
      </c>
      <c r="C1575" s="32" t="s">
        <v>5246</v>
      </c>
      <c r="D1575" s="32" t="s">
        <v>5247</v>
      </c>
      <c r="E1575" s="32">
        <v>2021</v>
      </c>
      <c r="F1575" s="32" t="s">
        <v>19</v>
      </c>
      <c r="G1575" s="32" t="s">
        <v>5335</v>
      </c>
      <c r="H1575" s="32" t="s">
        <v>5379</v>
      </c>
      <c r="I1575" s="32" t="s">
        <v>5403</v>
      </c>
      <c r="J1575" s="32">
        <v>6199</v>
      </c>
      <c r="K1575" s="32">
        <v>0</v>
      </c>
      <c r="L1575" s="32">
        <v>0</v>
      </c>
      <c r="M1575" s="32">
        <v>0</v>
      </c>
      <c r="N1575" s="32">
        <v>0</v>
      </c>
      <c r="O1575" s="32">
        <v>0</v>
      </c>
      <c r="P1575" s="32">
        <v>0</v>
      </c>
      <c r="Q1575" s="35">
        <f t="shared" si="48"/>
        <v>6199</v>
      </c>
      <c r="R1575" s="69">
        <f t="shared" si="49"/>
        <v>5269.15</v>
      </c>
      <c r="S1575" s="30"/>
      <c r="T1575" s="30"/>
    </row>
    <row r="1576" spans="1:20" ht="45" customHeight="1" x14ac:dyDescent="0.3">
      <c r="A1576" s="31">
        <v>1564</v>
      </c>
      <c r="B1576" s="32" t="s">
        <v>5155</v>
      </c>
      <c r="C1576" s="32" t="s">
        <v>5248</v>
      </c>
      <c r="D1576" s="32" t="s">
        <v>5249</v>
      </c>
      <c r="E1576" s="32">
        <v>2018</v>
      </c>
      <c r="F1576" s="32" t="s">
        <v>18</v>
      </c>
      <c r="G1576" s="32" t="s">
        <v>5336</v>
      </c>
      <c r="H1576" s="32" t="s">
        <v>5379</v>
      </c>
      <c r="I1576" s="32" t="s">
        <v>1480</v>
      </c>
      <c r="J1576" s="32">
        <v>6199</v>
      </c>
      <c r="K1576" s="32">
        <v>0</v>
      </c>
      <c r="L1576" s="32">
        <v>0</v>
      </c>
      <c r="M1576" s="32">
        <v>0</v>
      </c>
      <c r="N1576" s="32">
        <v>0</v>
      </c>
      <c r="O1576" s="32">
        <v>0</v>
      </c>
      <c r="P1576" s="32">
        <v>0</v>
      </c>
      <c r="Q1576" s="35">
        <f t="shared" si="48"/>
        <v>6199</v>
      </c>
      <c r="R1576" s="69">
        <f t="shared" si="49"/>
        <v>5269.15</v>
      </c>
      <c r="S1576" s="30"/>
      <c r="T1576" s="30"/>
    </row>
    <row r="1577" spans="1:20" ht="45" customHeight="1" x14ac:dyDescent="0.3">
      <c r="A1577" s="36">
        <v>1565</v>
      </c>
      <c r="B1577" s="32" t="s">
        <v>5155</v>
      </c>
      <c r="C1577" s="32" t="s">
        <v>5250</v>
      </c>
      <c r="D1577" s="32" t="s">
        <v>5251</v>
      </c>
      <c r="E1577" s="32">
        <v>2023</v>
      </c>
      <c r="F1577" s="32" t="s">
        <v>19</v>
      </c>
      <c r="G1577" s="32" t="s">
        <v>5337</v>
      </c>
      <c r="H1577" s="32" t="s">
        <v>5380</v>
      </c>
      <c r="I1577" s="32" t="s">
        <v>1260</v>
      </c>
      <c r="J1577" s="32">
        <v>6199</v>
      </c>
      <c r="K1577" s="32">
        <f>6278+4484+1346+2332</f>
        <v>14440</v>
      </c>
      <c r="L1577" s="32">
        <v>0</v>
      </c>
      <c r="M1577" s="32">
        <v>0</v>
      </c>
      <c r="N1577" s="32">
        <v>3148</v>
      </c>
      <c r="O1577" s="32">
        <v>0</v>
      </c>
      <c r="P1577" s="32">
        <v>0</v>
      </c>
      <c r="Q1577" s="37">
        <f t="shared" si="48"/>
        <v>23787</v>
      </c>
      <c r="R1577" s="69">
        <f t="shared" si="49"/>
        <v>20218.95</v>
      </c>
      <c r="S1577" s="30"/>
      <c r="T1577" s="30"/>
    </row>
    <row r="1578" spans="1:20" ht="45" customHeight="1" x14ac:dyDescent="0.3">
      <c r="A1578" s="31">
        <v>1566</v>
      </c>
      <c r="B1578" s="32" t="s">
        <v>5155</v>
      </c>
      <c r="C1578" s="32" t="s">
        <v>5250</v>
      </c>
      <c r="D1578" s="32" t="s">
        <v>5251</v>
      </c>
      <c r="E1578" s="32">
        <v>2023</v>
      </c>
      <c r="F1578" s="32" t="s">
        <v>19</v>
      </c>
      <c r="G1578" s="32" t="s">
        <v>5337</v>
      </c>
      <c r="H1578" s="32" t="s">
        <v>5380</v>
      </c>
      <c r="I1578" s="32" t="s">
        <v>1260</v>
      </c>
      <c r="J1578" s="32">
        <v>0</v>
      </c>
      <c r="K1578" s="32">
        <v>0</v>
      </c>
      <c r="L1578" s="32">
        <v>0</v>
      </c>
      <c r="M1578" s="32">
        <v>0</v>
      </c>
      <c r="N1578" s="32">
        <f>1681+1178+3179</f>
        <v>6038</v>
      </c>
      <c r="O1578" s="32">
        <v>0</v>
      </c>
      <c r="P1578" s="32">
        <f>720+1080+360+56+1200</f>
        <v>3416</v>
      </c>
      <c r="Q1578" s="37">
        <f t="shared" si="48"/>
        <v>9454</v>
      </c>
      <c r="R1578" s="69">
        <f t="shared" si="49"/>
        <v>8035.9</v>
      </c>
      <c r="S1578" s="30"/>
      <c r="T1578" s="30"/>
    </row>
    <row r="1579" spans="1:20" ht="45" customHeight="1" x14ac:dyDescent="0.3">
      <c r="A1579" s="31">
        <v>1567</v>
      </c>
      <c r="B1579" s="32" t="s">
        <v>5155</v>
      </c>
      <c r="C1579" s="32" t="s">
        <v>5250</v>
      </c>
      <c r="D1579" s="32" t="s">
        <v>5251</v>
      </c>
      <c r="E1579" s="32">
        <v>2023</v>
      </c>
      <c r="F1579" s="32" t="s">
        <v>19</v>
      </c>
      <c r="G1579" s="32" t="s">
        <v>5337</v>
      </c>
      <c r="H1579" s="32" t="s">
        <v>5380</v>
      </c>
      <c r="I1579" s="32" t="s">
        <v>1260</v>
      </c>
      <c r="J1579" s="32">
        <v>0</v>
      </c>
      <c r="K1579" s="32">
        <v>0</v>
      </c>
      <c r="L1579" s="32">
        <v>0</v>
      </c>
      <c r="M1579" s="32">
        <v>17688</v>
      </c>
      <c r="N1579" s="32">
        <v>0</v>
      </c>
      <c r="O1579" s="32">
        <v>0</v>
      </c>
      <c r="P1579" s="32">
        <f>360+56</f>
        <v>416</v>
      </c>
      <c r="Q1579" s="37">
        <f t="shared" si="48"/>
        <v>18104</v>
      </c>
      <c r="R1579" s="69">
        <f t="shared" si="49"/>
        <v>15388.4</v>
      </c>
      <c r="S1579" s="30"/>
      <c r="T1579" s="30"/>
    </row>
    <row r="1580" spans="1:20" ht="45" customHeight="1" x14ac:dyDescent="0.3">
      <c r="A1580" s="36">
        <v>1568</v>
      </c>
      <c r="B1580" s="32" t="s">
        <v>5155</v>
      </c>
      <c r="C1580" s="32" t="s">
        <v>5252</v>
      </c>
      <c r="D1580" s="32" t="s">
        <v>5253</v>
      </c>
      <c r="E1580" s="32">
        <v>1989</v>
      </c>
      <c r="F1580" s="32" t="s">
        <v>18</v>
      </c>
      <c r="G1580" s="32" t="s">
        <v>5338</v>
      </c>
      <c r="H1580" s="32" t="s">
        <v>5379</v>
      </c>
      <c r="I1580" s="32" t="s">
        <v>5404</v>
      </c>
      <c r="J1580" s="32">
        <v>6199</v>
      </c>
      <c r="K1580" s="32">
        <v>0</v>
      </c>
      <c r="L1580" s="32">
        <v>0</v>
      </c>
      <c r="M1580" s="32">
        <v>0</v>
      </c>
      <c r="N1580" s="32">
        <v>0</v>
      </c>
      <c r="O1580" s="32">
        <v>0</v>
      </c>
      <c r="P1580" s="32">
        <v>0</v>
      </c>
      <c r="Q1580" s="35">
        <f t="shared" si="48"/>
        <v>6199</v>
      </c>
      <c r="R1580" s="69">
        <f t="shared" si="49"/>
        <v>5269.15</v>
      </c>
      <c r="S1580" s="30"/>
      <c r="T1580" s="30"/>
    </row>
    <row r="1581" spans="1:20" ht="45" customHeight="1" x14ac:dyDescent="0.3">
      <c r="A1581" s="31">
        <v>1569</v>
      </c>
      <c r="B1581" s="32" t="s">
        <v>5155</v>
      </c>
      <c r="C1581" s="32" t="s">
        <v>5254</v>
      </c>
      <c r="D1581" s="32" t="s">
        <v>5255</v>
      </c>
      <c r="E1581" s="32">
        <v>2022</v>
      </c>
      <c r="F1581" s="32" t="s">
        <v>19</v>
      </c>
      <c r="G1581" s="32" t="s">
        <v>5339</v>
      </c>
      <c r="H1581" s="32" t="s">
        <v>5381</v>
      </c>
      <c r="I1581" s="32" t="s">
        <v>1077</v>
      </c>
      <c r="J1581" s="32">
        <v>6199</v>
      </c>
      <c r="K1581" s="32">
        <v>0</v>
      </c>
      <c r="L1581" s="32">
        <v>0</v>
      </c>
      <c r="M1581" s="32">
        <v>0</v>
      </c>
      <c r="N1581" s="32">
        <v>0</v>
      </c>
      <c r="O1581" s="32">
        <v>0</v>
      </c>
      <c r="P1581" s="32">
        <v>0</v>
      </c>
      <c r="Q1581" s="35">
        <f t="shared" si="48"/>
        <v>6199</v>
      </c>
      <c r="R1581" s="69">
        <f t="shared" si="49"/>
        <v>5269.15</v>
      </c>
      <c r="S1581" s="30"/>
      <c r="T1581" s="30"/>
    </row>
    <row r="1582" spans="1:20" ht="45" customHeight="1" x14ac:dyDescent="0.3">
      <c r="A1582" s="31">
        <v>1570</v>
      </c>
      <c r="B1582" s="32" t="s">
        <v>5155</v>
      </c>
      <c r="C1582" s="32" t="s">
        <v>5256</v>
      </c>
      <c r="D1582" s="32" t="s">
        <v>5257</v>
      </c>
      <c r="E1582" s="32">
        <v>1983</v>
      </c>
      <c r="F1582" s="32" t="s">
        <v>18</v>
      </c>
      <c r="G1582" s="32" t="s">
        <v>5340</v>
      </c>
      <c r="H1582" s="32" t="s">
        <v>5340</v>
      </c>
      <c r="I1582" s="32" t="s">
        <v>5405</v>
      </c>
      <c r="J1582" s="32">
        <v>6199</v>
      </c>
      <c r="K1582" s="32">
        <v>0</v>
      </c>
      <c r="L1582" s="32">
        <v>0</v>
      </c>
      <c r="M1582" s="32">
        <v>0</v>
      </c>
      <c r="N1582" s="32">
        <v>0</v>
      </c>
      <c r="O1582" s="32">
        <v>0</v>
      </c>
      <c r="P1582" s="32">
        <v>0</v>
      </c>
      <c r="Q1582" s="35">
        <f t="shared" si="48"/>
        <v>6199</v>
      </c>
      <c r="R1582" s="69">
        <f t="shared" si="49"/>
        <v>5269.15</v>
      </c>
      <c r="S1582" s="30"/>
      <c r="T1582" s="30"/>
    </row>
    <row r="1583" spans="1:20" ht="45" customHeight="1" x14ac:dyDescent="0.3">
      <c r="A1583" s="36">
        <v>1571</v>
      </c>
      <c r="B1583" s="32" t="s">
        <v>5155</v>
      </c>
      <c r="C1583" s="32" t="s">
        <v>5258</v>
      </c>
      <c r="D1583" s="32" t="s">
        <v>5259</v>
      </c>
      <c r="E1583" s="32">
        <v>1997</v>
      </c>
      <c r="F1583" s="32" t="s">
        <v>19</v>
      </c>
      <c r="G1583" s="32" t="s">
        <v>5341</v>
      </c>
      <c r="H1583" s="32" t="s">
        <v>5341</v>
      </c>
      <c r="I1583" s="32" t="s">
        <v>300</v>
      </c>
      <c r="J1583" s="32">
        <v>6199</v>
      </c>
      <c r="K1583" s="32">
        <f>1166+2332+2332+2243</f>
        <v>8073</v>
      </c>
      <c r="L1583" s="32">
        <v>0</v>
      </c>
      <c r="M1583" s="32">
        <v>0</v>
      </c>
      <c r="N1583" s="32">
        <v>0</v>
      </c>
      <c r="O1583" s="32">
        <v>0</v>
      </c>
      <c r="P1583" s="32">
        <v>0</v>
      </c>
      <c r="Q1583" s="37">
        <f t="shared" si="48"/>
        <v>14272</v>
      </c>
      <c r="R1583" s="69">
        <f t="shared" si="49"/>
        <v>12131.2</v>
      </c>
      <c r="S1583" s="30"/>
      <c r="T1583" s="30"/>
    </row>
    <row r="1584" spans="1:20" ht="45" customHeight="1" x14ac:dyDescent="0.3">
      <c r="A1584" s="31">
        <v>1572</v>
      </c>
      <c r="B1584" s="32" t="s">
        <v>5155</v>
      </c>
      <c r="C1584" s="32" t="s">
        <v>5260</v>
      </c>
      <c r="D1584" s="32" t="s">
        <v>5261</v>
      </c>
      <c r="E1584" s="32">
        <v>2019</v>
      </c>
      <c r="F1584" s="32" t="s">
        <v>18</v>
      </c>
      <c r="G1584" s="32" t="s">
        <v>5342</v>
      </c>
      <c r="H1584" s="32" t="s">
        <v>5382</v>
      </c>
      <c r="I1584" s="32" t="s">
        <v>2852</v>
      </c>
      <c r="J1584" s="32">
        <v>6199</v>
      </c>
      <c r="K1584" s="32">
        <v>0</v>
      </c>
      <c r="L1584" s="32">
        <v>0</v>
      </c>
      <c r="M1584" s="32">
        <v>0</v>
      </c>
      <c r="N1584" s="32">
        <v>0</v>
      </c>
      <c r="O1584" s="32">
        <v>0</v>
      </c>
      <c r="P1584" s="32">
        <v>0</v>
      </c>
      <c r="Q1584" s="35">
        <f t="shared" si="48"/>
        <v>6199</v>
      </c>
      <c r="R1584" s="69">
        <f t="shared" si="49"/>
        <v>5269.15</v>
      </c>
      <c r="S1584" s="30"/>
      <c r="T1584" s="30"/>
    </row>
    <row r="1585" spans="1:20" ht="45" customHeight="1" x14ac:dyDescent="0.3">
      <c r="A1585" s="31">
        <v>1573</v>
      </c>
      <c r="B1585" s="32" t="s">
        <v>5155</v>
      </c>
      <c r="C1585" s="32" t="s">
        <v>5262</v>
      </c>
      <c r="D1585" s="32" t="s">
        <v>5263</v>
      </c>
      <c r="E1585" s="32">
        <v>2019</v>
      </c>
      <c r="F1585" s="32" t="s">
        <v>18</v>
      </c>
      <c r="G1585" s="32" t="s">
        <v>5343</v>
      </c>
      <c r="H1585" s="32" t="s">
        <v>5383</v>
      </c>
      <c r="I1585" s="32" t="s">
        <v>5406</v>
      </c>
      <c r="J1585" s="32">
        <v>6199</v>
      </c>
      <c r="K1585" s="32">
        <v>0</v>
      </c>
      <c r="L1585" s="32">
        <v>0</v>
      </c>
      <c r="M1585" s="32">
        <v>0</v>
      </c>
      <c r="N1585" s="32">
        <v>0</v>
      </c>
      <c r="O1585" s="32">
        <v>0</v>
      </c>
      <c r="P1585" s="32">
        <v>0</v>
      </c>
      <c r="Q1585" s="37">
        <f t="shared" si="48"/>
        <v>6199</v>
      </c>
      <c r="R1585" s="69">
        <f t="shared" si="49"/>
        <v>5269.15</v>
      </c>
      <c r="S1585" s="30"/>
      <c r="T1585" s="30"/>
    </row>
    <row r="1586" spans="1:20" ht="45" customHeight="1" x14ac:dyDescent="0.3">
      <c r="A1586" s="36">
        <v>1574</v>
      </c>
      <c r="B1586" s="32" t="s">
        <v>5155</v>
      </c>
      <c r="C1586" s="32" t="s">
        <v>5264</v>
      </c>
      <c r="D1586" s="32" t="s">
        <v>5265</v>
      </c>
      <c r="E1586" s="32">
        <v>1970</v>
      </c>
      <c r="F1586" s="32" t="s">
        <v>18</v>
      </c>
      <c r="G1586" s="32" t="s">
        <v>5344</v>
      </c>
      <c r="H1586" s="32" t="s">
        <v>5344</v>
      </c>
      <c r="I1586" s="32" t="s">
        <v>1284</v>
      </c>
      <c r="J1586" s="32">
        <v>6199</v>
      </c>
      <c r="K1586" s="32">
        <v>0</v>
      </c>
      <c r="L1586" s="32">
        <v>0</v>
      </c>
      <c r="M1586" s="32">
        <v>0</v>
      </c>
      <c r="N1586" s="32">
        <v>0</v>
      </c>
      <c r="O1586" s="32">
        <v>0</v>
      </c>
      <c r="P1586" s="32">
        <v>0</v>
      </c>
      <c r="Q1586" s="37">
        <f t="shared" si="48"/>
        <v>6199</v>
      </c>
      <c r="R1586" s="69">
        <f t="shared" si="49"/>
        <v>5269.15</v>
      </c>
      <c r="S1586" s="30"/>
      <c r="T1586" s="30"/>
    </row>
    <row r="1587" spans="1:20" ht="45" customHeight="1" x14ac:dyDescent="0.3">
      <c r="A1587" s="31">
        <v>1575</v>
      </c>
      <c r="B1587" s="32" t="s">
        <v>5155</v>
      </c>
      <c r="C1587" s="32" t="s">
        <v>5266</v>
      </c>
      <c r="D1587" s="32" t="s">
        <v>5267</v>
      </c>
      <c r="E1587" s="32">
        <v>2011</v>
      </c>
      <c r="F1587" s="32" t="s">
        <v>19</v>
      </c>
      <c r="G1587" s="32" t="s">
        <v>5345</v>
      </c>
      <c r="H1587" s="32" t="s">
        <v>5384</v>
      </c>
      <c r="I1587" s="32" t="s">
        <v>278</v>
      </c>
      <c r="J1587" s="32">
        <v>6199</v>
      </c>
      <c r="K1587" s="32">
        <v>0</v>
      </c>
      <c r="L1587" s="32">
        <v>0</v>
      </c>
      <c r="M1587" s="32">
        <v>0</v>
      </c>
      <c r="N1587" s="32">
        <v>0</v>
      </c>
      <c r="O1587" s="32">
        <v>0</v>
      </c>
      <c r="P1587" s="32">
        <v>0</v>
      </c>
      <c r="Q1587" s="37">
        <f t="shared" si="48"/>
        <v>6199</v>
      </c>
      <c r="R1587" s="69">
        <f t="shared" si="49"/>
        <v>5269.15</v>
      </c>
      <c r="S1587" s="30"/>
      <c r="T1587" s="30"/>
    </row>
    <row r="1588" spans="1:20" ht="45" customHeight="1" x14ac:dyDescent="0.3">
      <c r="A1588" s="31">
        <v>1576</v>
      </c>
      <c r="B1588" s="32" t="s">
        <v>5155</v>
      </c>
      <c r="C1588" s="32" t="s">
        <v>5268</v>
      </c>
      <c r="D1588" s="32" t="s">
        <v>5269</v>
      </c>
      <c r="E1588" s="32">
        <v>2024</v>
      </c>
      <c r="F1588" s="32" t="s">
        <v>19</v>
      </c>
      <c r="G1588" s="32" t="s">
        <v>5346</v>
      </c>
      <c r="H1588" s="32" t="s">
        <v>5385</v>
      </c>
      <c r="I1588" s="32" t="s">
        <v>4881</v>
      </c>
      <c r="J1588" s="32">
        <v>6199</v>
      </c>
      <c r="K1588" s="32">
        <v>0</v>
      </c>
      <c r="L1588" s="32">
        <v>0</v>
      </c>
      <c r="M1588" s="32">
        <v>0</v>
      </c>
      <c r="N1588" s="32">
        <v>0</v>
      </c>
      <c r="O1588" s="32">
        <v>0</v>
      </c>
      <c r="P1588" s="32">
        <v>0</v>
      </c>
      <c r="Q1588" s="37">
        <f t="shared" si="48"/>
        <v>6199</v>
      </c>
      <c r="R1588" s="69">
        <f t="shared" si="49"/>
        <v>5269.15</v>
      </c>
      <c r="S1588" s="30"/>
      <c r="T1588" s="30"/>
    </row>
    <row r="1589" spans="1:20" ht="45" customHeight="1" x14ac:dyDescent="0.3">
      <c r="A1589" s="36">
        <v>1577</v>
      </c>
      <c r="B1589" s="32" t="s">
        <v>5155</v>
      </c>
      <c r="C1589" s="32" t="s">
        <v>5270</v>
      </c>
      <c r="D1589" s="32" t="s">
        <v>5271</v>
      </c>
      <c r="E1589" s="32">
        <v>2023</v>
      </c>
      <c r="F1589" s="32" t="s">
        <v>18</v>
      </c>
      <c r="G1589" s="32" t="s">
        <v>5347</v>
      </c>
      <c r="H1589" s="32" t="s">
        <v>5386</v>
      </c>
      <c r="I1589" s="32" t="s">
        <v>5407</v>
      </c>
      <c r="J1589" s="32">
        <v>6199</v>
      </c>
      <c r="K1589" s="32">
        <v>0</v>
      </c>
      <c r="L1589" s="32">
        <v>0</v>
      </c>
      <c r="M1589" s="32">
        <v>0</v>
      </c>
      <c r="N1589" s="32">
        <v>0</v>
      </c>
      <c r="O1589" s="32">
        <v>0</v>
      </c>
      <c r="P1589" s="32">
        <v>0</v>
      </c>
      <c r="Q1589" s="37">
        <f t="shared" si="48"/>
        <v>6199</v>
      </c>
      <c r="R1589" s="69">
        <f t="shared" si="49"/>
        <v>5269.15</v>
      </c>
      <c r="S1589" s="30"/>
      <c r="T1589" s="30"/>
    </row>
    <row r="1590" spans="1:20" ht="45" customHeight="1" x14ac:dyDescent="0.3">
      <c r="A1590" s="31">
        <v>1578</v>
      </c>
      <c r="B1590" s="32" t="s">
        <v>5155</v>
      </c>
      <c r="C1590" s="32" t="s">
        <v>5272</v>
      </c>
      <c r="D1590" s="32" t="s">
        <v>5273</v>
      </c>
      <c r="E1590" s="32">
        <v>1977</v>
      </c>
      <c r="F1590" s="32" t="s">
        <v>19</v>
      </c>
      <c r="G1590" s="32" t="s">
        <v>5348</v>
      </c>
      <c r="H1590" s="32" t="s">
        <v>5348</v>
      </c>
      <c r="I1590" s="32" t="s">
        <v>3687</v>
      </c>
      <c r="J1590" s="32">
        <v>6199</v>
      </c>
      <c r="K1590" s="32">
        <v>0</v>
      </c>
      <c r="L1590" s="32">
        <v>0</v>
      </c>
      <c r="M1590" s="32">
        <v>0</v>
      </c>
      <c r="N1590" s="32">
        <v>0</v>
      </c>
      <c r="O1590" s="32">
        <v>0</v>
      </c>
      <c r="P1590" s="32">
        <v>0</v>
      </c>
      <c r="Q1590" s="37">
        <f t="shared" si="48"/>
        <v>6199</v>
      </c>
      <c r="R1590" s="69">
        <f t="shared" si="49"/>
        <v>5269.15</v>
      </c>
      <c r="S1590" s="30"/>
      <c r="T1590" s="30"/>
    </row>
    <row r="1591" spans="1:20" ht="45" customHeight="1" x14ac:dyDescent="0.3">
      <c r="A1591" s="31">
        <v>1579</v>
      </c>
      <c r="B1591" s="32" t="s">
        <v>5155</v>
      </c>
      <c r="C1591" s="32" t="s">
        <v>5274</v>
      </c>
      <c r="D1591" s="32" t="s">
        <v>5275</v>
      </c>
      <c r="E1591" s="32">
        <v>1985</v>
      </c>
      <c r="F1591" s="32" t="s">
        <v>18</v>
      </c>
      <c r="G1591" s="32" t="s">
        <v>5349</v>
      </c>
      <c r="H1591" s="32" t="s">
        <v>5349</v>
      </c>
      <c r="I1591" s="32" t="s">
        <v>293</v>
      </c>
      <c r="J1591" s="32">
        <v>6199</v>
      </c>
      <c r="K1591" s="32">
        <v>0</v>
      </c>
      <c r="L1591" s="32">
        <v>0</v>
      </c>
      <c r="M1591" s="32">
        <v>0</v>
      </c>
      <c r="N1591" s="32">
        <v>0</v>
      </c>
      <c r="O1591" s="32">
        <v>0</v>
      </c>
      <c r="P1591" s="32">
        <v>0</v>
      </c>
      <c r="Q1591" s="37">
        <f t="shared" si="48"/>
        <v>6199</v>
      </c>
      <c r="R1591" s="69">
        <f t="shared" si="49"/>
        <v>5269.15</v>
      </c>
      <c r="S1591" s="30"/>
      <c r="T1591" s="30"/>
    </row>
    <row r="1592" spans="1:20" ht="45" customHeight="1" x14ac:dyDescent="0.3">
      <c r="A1592" s="36">
        <v>1580</v>
      </c>
      <c r="B1592" s="32" t="s">
        <v>5155</v>
      </c>
      <c r="C1592" s="32" t="s">
        <v>5276</v>
      </c>
      <c r="D1592" s="32" t="s">
        <v>5277</v>
      </c>
      <c r="E1592" s="32">
        <v>1979</v>
      </c>
      <c r="F1592" s="32" t="s">
        <v>19</v>
      </c>
      <c r="G1592" s="32" t="s">
        <v>5350</v>
      </c>
      <c r="H1592" s="32" t="s">
        <v>5350</v>
      </c>
      <c r="I1592" s="32" t="s">
        <v>5408</v>
      </c>
      <c r="J1592" s="32">
        <v>6199</v>
      </c>
      <c r="K1592" s="32">
        <v>0</v>
      </c>
      <c r="L1592" s="32">
        <v>0</v>
      </c>
      <c r="M1592" s="32">
        <v>0</v>
      </c>
      <c r="N1592" s="32">
        <v>0</v>
      </c>
      <c r="O1592" s="32">
        <v>0</v>
      </c>
      <c r="P1592" s="32">
        <v>0</v>
      </c>
      <c r="Q1592" s="37">
        <f t="shared" si="48"/>
        <v>6199</v>
      </c>
      <c r="R1592" s="69">
        <f t="shared" si="49"/>
        <v>5269.15</v>
      </c>
      <c r="S1592" s="30"/>
      <c r="T1592" s="30"/>
    </row>
    <row r="1593" spans="1:20" ht="45" customHeight="1" x14ac:dyDescent="0.3">
      <c r="A1593" s="31">
        <v>1581</v>
      </c>
      <c r="B1593" s="32" t="s">
        <v>5155</v>
      </c>
      <c r="C1593" s="32" t="s">
        <v>5278</v>
      </c>
      <c r="D1593" s="32" t="s">
        <v>5279</v>
      </c>
      <c r="E1593" s="32">
        <v>1973</v>
      </c>
      <c r="F1593" s="32" t="s">
        <v>18</v>
      </c>
      <c r="G1593" s="32" t="s">
        <v>5351</v>
      </c>
      <c r="H1593" s="32" t="s">
        <v>5387</v>
      </c>
      <c r="I1593" s="32" t="s">
        <v>2622</v>
      </c>
      <c r="J1593" s="32">
        <v>6199</v>
      </c>
      <c r="K1593" s="32">
        <v>0</v>
      </c>
      <c r="L1593" s="32">
        <v>0</v>
      </c>
      <c r="M1593" s="32">
        <v>0</v>
      </c>
      <c r="N1593" s="32">
        <v>0</v>
      </c>
      <c r="O1593" s="32">
        <v>0</v>
      </c>
      <c r="P1593" s="32">
        <v>0</v>
      </c>
      <c r="Q1593" s="37">
        <f t="shared" si="48"/>
        <v>6199</v>
      </c>
      <c r="R1593" s="69">
        <f t="shared" si="49"/>
        <v>5269.15</v>
      </c>
      <c r="S1593" s="30"/>
      <c r="T1593" s="30"/>
    </row>
    <row r="1594" spans="1:20" ht="45" customHeight="1" x14ac:dyDescent="0.3">
      <c r="A1594" s="31">
        <v>1582</v>
      </c>
      <c r="B1594" s="32" t="s">
        <v>5155</v>
      </c>
      <c r="C1594" s="32" t="s">
        <v>5280</v>
      </c>
      <c r="D1594" s="32" t="s">
        <v>4684</v>
      </c>
      <c r="E1594" s="32">
        <v>2020</v>
      </c>
      <c r="F1594" s="32" t="s">
        <v>19</v>
      </c>
      <c r="G1594" s="32" t="s">
        <v>4796</v>
      </c>
      <c r="H1594" s="32" t="s">
        <v>4843</v>
      </c>
      <c r="I1594" s="32" t="s">
        <v>4869</v>
      </c>
      <c r="J1594" s="32">
        <v>3793</v>
      </c>
      <c r="K1594" s="32">
        <v>0</v>
      </c>
      <c r="L1594" s="32">
        <v>0</v>
      </c>
      <c r="M1594" s="32">
        <v>0</v>
      </c>
      <c r="N1594" s="32">
        <v>0</v>
      </c>
      <c r="O1594" s="32">
        <v>0</v>
      </c>
      <c r="P1594" s="32">
        <v>0</v>
      </c>
      <c r="Q1594" s="37">
        <f t="shared" si="48"/>
        <v>3793</v>
      </c>
      <c r="R1594" s="69">
        <f t="shared" si="49"/>
        <v>3224.05</v>
      </c>
      <c r="S1594" s="30"/>
      <c r="T1594" s="30"/>
    </row>
    <row r="1595" spans="1:20" ht="45" customHeight="1" x14ac:dyDescent="0.3">
      <c r="A1595" s="36">
        <v>1583</v>
      </c>
      <c r="B1595" s="32" t="s">
        <v>5155</v>
      </c>
      <c r="C1595" s="32" t="s">
        <v>5281</v>
      </c>
      <c r="D1595" s="32" t="s">
        <v>5282</v>
      </c>
      <c r="E1595" s="32">
        <v>2025</v>
      </c>
      <c r="F1595" s="32" t="s">
        <v>19</v>
      </c>
      <c r="G1595" s="32" t="s">
        <v>5352</v>
      </c>
      <c r="H1595" s="32" t="s">
        <v>5388</v>
      </c>
      <c r="I1595" s="32" t="s">
        <v>1279</v>
      </c>
      <c r="J1595" s="32">
        <v>6199</v>
      </c>
      <c r="K1595" s="32">
        <f>6278+4484+1346</f>
        <v>12108</v>
      </c>
      <c r="L1595" s="32">
        <v>0</v>
      </c>
      <c r="M1595" s="32">
        <v>0</v>
      </c>
      <c r="N1595" s="32">
        <v>3148</v>
      </c>
      <c r="O1595" s="32">
        <v>0</v>
      </c>
      <c r="P1595" s="32">
        <v>0</v>
      </c>
      <c r="Q1595" s="37">
        <f t="shared" si="48"/>
        <v>21455</v>
      </c>
      <c r="R1595" s="69">
        <f t="shared" si="49"/>
        <v>18236.75</v>
      </c>
      <c r="S1595" s="30"/>
      <c r="T1595" s="30"/>
    </row>
    <row r="1596" spans="1:20" ht="45" customHeight="1" x14ac:dyDescent="0.3">
      <c r="A1596" s="31">
        <v>1584</v>
      </c>
      <c r="B1596" s="32" t="s">
        <v>5155</v>
      </c>
      <c r="C1596" s="32" t="s">
        <v>5283</v>
      </c>
      <c r="D1596" s="32" t="s">
        <v>5284</v>
      </c>
      <c r="E1596" s="32">
        <v>2020</v>
      </c>
      <c r="F1596" s="32" t="s">
        <v>19</v>
      </c>
      <c r="G1596" s="32" t="s">
        <v>5353</v>
      </c>
      <c r="H1596" s="32" t="s">
        <v>5387</v>
      </c>
      <c r="I1596" s="32" t="s">
        <v>2622</v>
      </c>
      <c r="J1596" s="32">
        <v>6199</v>
      </c>
      <c r="K1596" s="32">
        <f>1166+2801+2332+2332</f>
        <v>8631</v>
      </c>
      <c r="L1596" s="32">
        <v>0</v>
      </c>
      <c r="M1596" s="32">
        <v>0</v>
      </c>
      <c r="N1596" s="32">
        <v>0</v>
      </c>
      <c r="O1596" s="32">
        <v>0</v>
      </c>
      <c r="P1596" s="32">
        <v>0</v>
      </c>
      <c r="Q1596" s="37">
        <f t="shared" si="48"/>
        <v>14830</v>
      </c>
      <c r="R1596" s="69">
        <f t="shared" si="49"/>
        <v>12605.5</v>
      </c>
      <c r="S1596" s="30"/>
      <c r="T1596" s="30"/>
    </row>
    <row r="1597" spans="1:20" ht="45" customHeight="1" x14ac:dyDescent="0.3">
      <c r="A1597" s="31">
        <v>1585</v>
      </c>
      <c r="B1597" s="32" t="s">
        <v>5155</v>
      </c>
      <c r="C1597" s="32" t="s">
        <v>5285</v>
      </c>
      <c r="D1597" s="32" t="s">
        <v>2490</v>
      </c>
      <c r="E1597" s="32">
        <v>2022</v>
      </c>
      <c r="F1597" s="32" t="s">
        <v>19</v>
      </c>
      <c r="G1597" s="32" t="s">
        <v>2555</v>
      </c>
      <c r="H1597" s="32" t="s">
        <v>2587</v>
      </c>
      <c r="I1597" s="32" t="s">
        <v>2618</v>
      </c>
      <c r="J1597" s="32">
        <v>3793</v>
      </c>
      <c r="K1597" s="32">
        <v>0</v>
      </c>
      <c r="L1597" s="32">
        <v>0</v>
      </c>
      <c r="M1597" s="32">
        <v>0</v>
      </c>
      <c r="N1597" s="32">
        <v>0</v>
      </c>
      <c r="O1597" s="32">
        <v>0</v>
      </c>
      <c r="P1597" s="32">
        <v>0</v>
      </c>
      <c r="Q1597" s="37">
        <f t="shared" si="48"/>
        <v>3793</v>
      </c>
      <c r="R1597" s="69">
        <f t="shared" si="49"/>
        <v>3224.05</v>
      </c>
      <c r="S1597" s="30"/>
      <c r="T1597" s="30"/>
    </row>
    <row r="1598" spans="1:20" ht="45" customHeight="1" x14ac:dyDescent="0.3">
      <c r="A1598" s="36">
        <v>1586</v>
      </c>
      <c r="B1598" s="32" t="s">
        <v>5155</v>
      </c>
      <c r="C1598" s="32" t="s">
        <v>5286</v>
      </c>
      <c r="D1598" s="32" t="s">
        <v>5287</v>
      </c>
      <c r="E1598" s="32">
        <v>1988</v>
      </c>
      <c r="F1598" s="32" t="s">
        <v>18</v>
      </c>
      <c r="G1598" s="32" t="s">
        <v>5354</v>
      </c>
      <c r="H1598" s="32" t="s">
        <v>5389</v>
      </c>
      <c r="I1598" s="32" t="s">
        <v>5409</v>
      </c>
      <c r="J1598" s="32">
        <v>6199</v>
      </c>
      <c r="K1598" s="32">
        <v>0</v>
      </c>
      <c r="L1598" s="32">
        <v>0</v>
      </c>
      <c r="M1598" s="32">
        <v>0</v>
      </c>
      <c r="N1598" s="32">
        <v>43201</v>
      </c>
      <c r="O1598" s="32">
        <v>0</v>
      </c>
      <c r="P1598" s="32">
        <v>0</v>
      </c>
      <c r="Q1598" s="37">
        <f t="shared" si="48"/>
        <v>49400</v>
      </c>
      <c r="R1598" s="69">
        <f t="shared" si="49"/>
        <v>41990</v>
      </c>
      <c r="S1598" s="30"/>
      <c r="T1598" s="30"/>
    </row>
    <row r="1599" spans="1:20" ht="45" customHeight="1" x14ac:dyDescent="0.3">
      <c r="A1599" s="31">
        <v>1587</v>
      </c>
      <c r="B1599" s="32" t="s">
        <v>5155</v>
      </c>
      <c r="C1599" s="32" t="s">
        <v>5288</v>
      </c>
      <c r="D1599" s="32" t="s">
        <v>5289</v>
      </c>
      <c r="E1599" s="32">
        <v>2022</v>
      </c>
      <c r="F1599" s="32" t="s">
        <v>18</v>
      </c>
      <c r="G1599" s="32" t="s">
        <v>5355</v>
      </c>
      <c r="H1599" s="32" t="s">
        <v>5390</v>
      </c>
      <c r="I1599" s="32" t="s">
        <v>289</v>
      </c>
      <c r="J1599" s="32">
        <v>6199</v>
      </c>
      <c r="K1599" s="32">
        <v>0</v>
      </c>
      <c r="L1599" s="32">
        <v>0</v>
      </c>
      <c r="M1599" s="32">
        <v>0</v>
      </c>
      <c r="N1599" s="32">
        <v>0</v>
      </c>
      <c r="O1599" s="32">
        <v>0</v>
      </c>
      <c r="P1599" s="32">
        <v>0</v>
      </c>
      <c r="Q1599" s="37">
        <f t="shared" si="48"/>
        <v>6199</v>
      </c>
      <c r="R1599" s="69">
        <f t="shared" si="49"/>
        <v>5269.15</v>
      </c>
      <c r="S1599" s="30"/>
      <c r="T1599" s="30"/>
    </row>
    <row r="1600" spans="1:20" ht="45" customHeight="1" x14ac:dyDescent="0.3">
      <c r="A1600" s="31">
        <v>1588</v>
      </c>
      <c r="B1600" s="32" t="s">
        <v>5155</v>
      </c>
      <c r="C1600" s="32" t="s">
        <v>5290</v>
      </c>
      <c r="D1600" s="32" t="s">
        <v>2730</v>
      </c>
      <c r="E1600" s="32">
        <v>2015</v>
      </c>
      <c r="F1600" s="32" t="s">
        <v>18</v>
      </c>
      <c r="G1600" s="32" t="s">
        <v>2792</v>
      </c>
      <c r="H1600" s="32" t="s">
        <v>2832</v>
      </c>
      <c r="I1600" s="32" t="s">
        <v>300</v>
      </c>
      <c r="J1600" s="32">
        <v>3793</v>
      </c>
      <c r="K1600" s="32">
        <f>6278+1346</f>
        <v>7624</v>
      </c>
      <c r="L1600" s="32">
        <v>0</v>
      </c>
      <c r="M1600" s="32">
        <v>0</v>
      </c>
      <c r="N1600" s="32">
        <f>3148+1178+3179</f>
        <v>7505</v>
      </c>
      <c r="O1600" s="32">
        <v>0</v>
      </c>
      <c r="P1600" s="32">
        <f>360+56+720+1080</f>
        <v>2216</v>
      </c>
      <c r="Q1600" s="37">
        <f t="shared" si="48"/>
        <v>21138</v>
      </c>
      <c r="R1600" s="69">
        <f t="shared" si="49"/>
        <v>17967.3</v>
      </c>
      <c r="S1600" s="30"/>
      <c r="T1600" s="30"/>
    </row>
    <row r="1601" spans="1:20" ht="45" customHeight="1" x14ac:dyDescent="0.3">
      <c r="A1601" s="36">
        <v>1589</v>
      </c>
      <c r="B1601" s="32" t="s">
        <v>5155</v>
      </c>
      <c r="C1601" s="32" t="s">
        <v>5291</v>
      </c>
      <c r="D1601" s="32" t="s">
        <v>2641</v>
      </c>
      <c r="E1601" s="32">
        <v>2023</v>
      </c>
      <c r="F1601" s="32" t="s">
        <v>19</v>
      </c>
      <c r="G1601" s="32" t="s">
        <v>2642</v>
      </c>
      <c r="H1601" s="32" t="s">
        <v>2643</v>
      </c>
      <c r="I1601" s="32" t="s">
        <v>1066</v>
      </c>
      <c r="J1601" s="32">
        <v>6199</v>
      </c>
      <c r="K1601" s="32">
        <v>0</v>
      </c>
      <c r="L1601" s="32">
        <v>0</v>
      </c>
      <c r="M1601" s="32">
        <v>0</v>
      </c>
      <c r="N1601" s="32">
        <v>0</v>
      </c>
      <c r="O1601" s="32">
        <v>0</v>
      </c>
      <c r="P1601" s="32">
        <v>0</v>
      </c>
      <c r="Q1601" s="37">
        <f t="shared" si="48"/>
        <v>6199</v>
      </c>
      <c r="R1601" s="69">
        <f t="shared" si="49"/>
        <v>5269.15</v>
      </c>
      <c r="S1601" s="30"/>
      <c r="T1601" s="30"/>
    </row>
    <row r="1602" spans="1:20" ht="45" customHeight="1" x14ac:dyDescent="0.3">
      <c r="A1602" s="31">
        <v>1590</v>
      </c>
      <c r="B1602" s="32" t="s">
        <v>5155</v>
      </c>
      <c r="C1602" s="32" t="s">
        <v>7278</v>
      </c>
      <c r="D1602" s="34" t="s">
        <v>6942</v>
      </c>
      <c r="E1602" s="32">
        <v>2024</v>
      </c>
      <c r="F1602" s="32" t="s">
        <v>6943</v>
      </c>
      <c r="G1602" s="32" t="s">
        <v>6944</v>
      </c>
      <c r="H1602" s="32" t="s">
        <v>3466</v>
      </c>
      <c r="I1602" s="32" t="s">
        <v>4208</v>
      </c>
      <c r="J1602" s="32">
        <v>6199</v>
      </c>
      <c r="K1602" s="32">
        <f>6278+4484+1346+2332+2332+2332+2332+2332+2332+4484+6995+6995+2332+6995</f>
        <v>53901</v>
      </c>
      <c r="L1602" s="32">
        <v>0</v>
      </c>
      <c r="M1602" s="32">
        <v>0</v>
      </c>
      <c r="N1602" s="32">
        <f>3148+3179+1178</f>
        <v>7505</v>
      </c>
      <c r="O1602" s="32">
        <v>0</v>
      </c>
      <c r="P1602" s="32">
        <f>720+1080+360+56</f>
        <v>2216</v>
      </c>
      <c r="Q1602" s="37">
        <f t="shared" si="48"/>
        <v>69821</v>
      </c>
      <c r="R1602" s="69">
        <f t="shared" si="49"/>
        <v>59347.85</v>
      </c>
      <c r="S1602" s="30"/>
      <c r="T1602" s="30"/>
    </row>
    <row r="1603" spans="1:20" ht="45" customHeight="1" x14ac:dyDescent="0.3">
      <c r="A1603" s="31">
        <v>1591</v>
      </c>
      <c r="B1603" s="32" t="s">
        <v>5155</v>
      </c>
      <c r="C1603" s="32" t="s">
        <v>7278</v>
      </c>
      <c r="D1603" s="34" t="s">
        <v>6942</v>
      </c>
      <c r="E1603" s="32">
        <v>2024</v>
      </c>
      <c r="F1603" s="32" t="s">
        <v>18</v>
      </c>
      <c r="G1603" s="32" t="s">
        <v>6944</v>
      </c>
      <c r="H1603" s="32" t="s">
        <v>3466</v>
      </c>
      <c r="I1603" s="32" t="s">
        <v>4208</v>
      </c>
      <c r="J1603" s="32">
        <v>0</v>
      </c>
      <c r="K1603" s="32">
        <v>0</v>
      </c>
      <c r="L1603" s="32">
        <v>0</v>
      </c>
      <c r="M1603" s="32">
        <v>17688</v>
      </c>
      <c r="N1603" s="32">
        <v>0</v>
      </c>
      <c r="O1603" s="32">
        <v>0</v>
      </c>
      <c r="P1603" s="32">
        <f>360+56</f>
        <v>416</v>
      </c>
      <c r="Q1603" s="37">
        <f t="shared" si="48"/>
        <v>18104</v>
      </c>
      <c r="R1603" s="69">
        <f t="shared" si="49"/>
        <v>15388.4</v>
      </c>
      <c r="S1603" s="30"/>
      <c r="T1603" s="30"/>
    </row>
    <row r="1604" spans="1:20" ht="45" customHeight="1" x14ac:dyDescent="0.3">
      <c r="A1604" s="36">
        <v>1592</v>
      </c>
      <c r="B1604" s="32" t="s">
        <v>5155</v>
      </c>
      <c r="C1604" s="32" t="s">
        <v>7279</v>
      </c>
      <c r="D1604" s="34" t="s">
        <v>4638</v>
      </c>
      <c r="E1604" s="32">
        <v>2023</v>
      </c>
      <c r="F1604" s="32" t="s">
        <v>18</v>
      </c>
      <c r="G1604" s="32" t="s">
        <v>4774</v>
      </c>
      <c r="H1604" s="32" t="s">
        <v>1614</v>
      </c>
      <c r="I1604" s="32" t="s">
        <v>4861</v>
      </c>
      <c r="J1604" s="32">
        <v>2900</v>
      </c>
      <c r="K1604" s="32">
        <v>0</v>
      </c>
      <c r="L1604" s="32">
        <v>0</v>
      </c>
      <c r="M1604" s="32">
        <v>0</v>
      </c>
      <c r="N1604" s="32">
        <v>2088</v>
      </c>
      <c r="O1604" s="32">
        <v>0</v>
      </c>
      <c r="P1604" s="32">
        <f>360+56</f>
        <v>416</v>
      </c>
      <c r="Q1604" s="37">
        <f t="shared" si="48"/>
        <v>5404</v>
      </c>
      <c r="R1604" s="69">
        <f t="shared" si="49"/>
        <v>4593.3999999999996</v>
      </c>
      <c r="S1604" s="30"/>
      <c r="T1604" s="30"/>
    </row>
    <row r="1605" spans="1:20" ht="45" customHeight="1" x14ac:dyDescent="0.3">
      <c r="A1605" s="31">
        <v>1593</v>
      </c>
      <c r="B1605" s="32" t="s">
        <v>5155</v>
      </c>
      <c r="C1605" s="32" t="s">
        <v>7280</v>
      </c>
      <c r="D1605" s="34" t="s">
        <v>4911</v>
      </c>
      <c r="E1605" s="32">
        <v>2024</v>
      </c>
      <c r="F1605" s="32" t="s">
        <v>18</v>
      </c>
      <c r="G1605" s="32" t="s">
        <v>5029</v>
      </c>
      <c r="H1605" s="32" t="s">
        <v>1044</v>
      </c>
      <c r="I1605" s="32" t="s">
        <v>5128</v>
      </c>
      <c r="J1605" s="32">
        <v>2900</v>
      </c>
      <c r="K1605" s="32">
        <v>0</v>
      </c>
      <c r="L1605" s="32">
        <v>0</v>
      </c>
      <c r="M1605" s="32">
        <v>0</v>
      </c>
      <c r="N1605" s="32">
        <v>2088</v>
      </c>
      <c r="O1605" s="32">
        <v>0</v>
      </c>
      <c r="P1605" s="32">
        <f>360+56</f>
        <v>416</v>
      </c>
      <c r="Q1605" s="37">
        <f t="shared" si="48"/>
        <v>5404</v>
      </c>
      <c r="R1605" s="69">
        <f t="shared" si="49"/>
        <v>4593.3999999999996</v>
      </c>
      <c r="S1605" s="30"/>
      <c r="T1605" s="30"/>
    </row>
    <row r="1606" spans="1:20" ht="45" customHeight="1" x14ac:dyDescent="0.3">
      <c r="A1606" s="31">
        <v>1594</v>
      </c>
      <c r="B1606" s="32" t="s">
        <v>5410</v>
      </c>
      <c r="C1606" s="32" t="s">
        <v>5411</v>
      </c>
      <c r="D1606" s="32" t="s">
        <v>5412</v>
      </c>
      <c r="E1606" s="32">
        <v>1989</v>
      </c>
      <c r="F1606" s="32" t="s">
        <v>19</v>
      </c>
      <c r="G1606" s="32" t="s">
        <v>5592</v>
      </c>
      <c r="H1606" s="32" t="s">
        <v>5592</v>
      </c>
      <c r="I1606" s="32" t="s">
        <v>5728</v>
      </c>
      <c r="J1606" s="32">
        <v>6199</v>
      </c>
      <c r="K1606" s="32">
        <v>0</v>
      </c>
      <c r="L1606" s="32">
        <v>0</v>
      </c>
      <c r="M1606" s="32">
        <v>0</v>
      </c>
      <c r="N1606" s="32">
        <v>0</v>
      </c>
      <c r="O1606" s="32">
        <v>0</v>
      </c>
      <c r="P1606" s="32">
        <v>0</v>
      </c>
      <c r="Q1606" s="37">
        <f t="shared" si="48"/>
        <v>6199</v>
      </c>
      <c r="R1606" s="69">
        <f t="shared" si="49"/>
        <v>5269.15</v>
      </c>
      <c r="S1606" s="30"/>
      <c r="T1606" s="30"/>
    </row>
    <row r="1607" spans="1:20" ht="45" customHeight="1" x14ac:dyDescent="0.3">
      <c r="A1607" s="36">
        <v>1595</v>
      </c>
      <c r="B1607" s="32" t="s">
        <v>5410</v>
      </c>
      <c r="C1607" s="32" t="s">
        <v>5413</v>
      </c>
      <c r="D1607" s="32" t="s">
        <v>5414</v>
      </c>
      <c r="E1607" s="32">
        <v>1950</v>
      </c>
      <c r="F1607" s="32" t="s">
        <v>18</v>
      </c>
      <c r="G1607" s="32" t="s">
        <v>5593</v>
      </c>
      <c r="H1607" s="32" t="s">
        <v>5593</v>
      </c>
      <c r="I1607" s="32" t="s">
        <v>824</v>
      </c>
      <c r="J1607" s="32">
        <v>6199</v>
      </c>
      <c r="K1607" s="32">
        <f>6278+2332+2332+2332+13452+2332+4484+4484</f>
        <v>38026</v>
      </c>
      <c r="L1607" s="32">
        <v>0</v>
      </c>
      <c r="M1607" s="32">
        <v>0</v>
      </c>
      <c r="N1607" s="32">
        <v>1793</v>
      </c>
      <c r="O1607" s="32">
        <v>0</v>
      </c>
      <c r="P1607" s="32">
        <v>0</v>
      </c>
      <c r="Q1607" s="37">
        <f t="shared" si="48"/>
        <v>46018</v>
      </c>
      <c r="R1607" s="69">
        <f t="shared" si="49"/>
        <v>39115.300000000003</v>
      </c>
      <c r="S1607" s="30"/>
      <c r="T1607" s="30"/>
    </row>
    <row r="1608" spans="1:20" ht="45" customHeight="1" x14ac:dyDescent="0.3">
      <c r="A1608" s="31">
        <v>1596</v>
      </c>
      <c r="B1608" s="32" t="s">
        <v>5410</v>
      </c>
      <c r="C1608" s="32" t="s">
        <v>5415</v>
      </c>
      <c r="D1608" s="32" t="s">
        <v>5416</v>
      </c>
      <c r="E1608" s="32">
        <v>2017</v>
      </c>
      <c r="F1608" s="32" t="s">
        <v>19</v>
      </c>
      <c r="G1608" s="32" t="s">
        <v>5594</v>
      </c>
      <c r="H1608" s="32" t="s">
        <v>5678</v>
      </c>
      <c r="I1608" s="32" t="s">
        <v>4611</v>
      </c>
      <c r="J1608" s="32">
        <v>6199</v>
      </c>
      <c r="K1608" s="32">
        <f>6278+4484+1346</f>
        <v>12108</v>
      </c>
      <c r="L1608" s="32">
        <v>0</v>
      </c>
      <c r="M1608" s="32">
        <v>0</v>
      </c>
      <c r="N1608" s="32">
        <v>3148</v>
      </c>
      <c r="O1608" s="32">
        <v>0</v>
      </c>
      <c r="P1608" s="32">
        <v>0</v>
      </c>
      <c r="Q1608" s="37">
        <f t="shared" si="48"/>
        <v>21455</v>
      </c>
      <c r="R1608" s="69">
        <f t="shared" si="49"/>
        <v>18236.75</v>
      </c>
      <c r="S1608" s="30"/>
      <c r="T1608" s="30"/>
    </row>
    <row r="1609" spans="1:20" ht="45" customHeight="1" x14ac:dyDescent="0.3">
      <c r="A1609" s="31">
        <v>1597</v>
      </c>
      <c r="B1609" s="32" t="s">
        <v>5410</v>
      </c>
      <c r="C1609" s="32" t="s">
        <v>5417</v>
      </c>
      <c r="D1609" s="32" t="s">
        <v>5418</v>
      </c>
      <c r="E1609" s="32">
        <v>1991</v>
      </c>
      <c r="F1609" s="32" t="s">
        <v>19</v>
      </c>
      <c r="G1609" s="32" t="s">
        <v>5595</v>
      </c>
      <c r="H1609" s="32" t="s">
        <v>5679</v>
      </c>
      <c r="I1609" s="32" t="s">
        <v>826</v>
      </c>
      <c r="J1609" s="32">
        <v>6199</v>
      </c>
      <c r="K1609" s="32">
        <v>3587</v>
      </c>
      <c r="L1609" s="32">
        <v>9422</v>
      </c>
      <c r="M1609" s="32">
        <v>0</v>
      </c>
      <c r="N1609" s="32">
        <v>0</v>
      </c>
      <c r="O1609" s="32">
        <v>0</v>
      </c>
      <c r="P1609" s="32">
        <v>0</v>
      </c>
      <c r="Q1609" s="37">
        <f t="shared" si="48"/>
        <v>19208</v>
      </c>
      <c r="R1609" s="69">
        <f t="shared" si="49"/>
        <v>16326.8</v>
      </c>
      <c r="S1609" s="30"/>
      <c r="T1609" s="30"/>
    </row>
    <row r="1610" spans="1:20" ht="45" customHeight="1" x14ac:dyDescent="0.3">
      <c r="A1610" s="36">
        <v>1598</v>
      </c>
      <c r="B1610" s="32" t="s">
        <v>5410</v>
      </c>
      <c r="C1610" s="32" t="s">
        <v>5419</v>
      </c>
      <c r="D1610" s="32" t="s">
        <v>5420</v>
      </c>
      <c r="E1610" s="32">
        <v>2020</v>
      </c>
      <c r="F1610" s="32" t="s">
        <v>19</v>
      </c>
      <c r="G1610" s="32" t="s">
        <v>5596</v>
      </c>
      <c r="H1610" s="32" t="s">
        <v>5680</v>
      </c>
      <c r="I1610" s="32" t="s">
        <v>1702</v>
      </c>
      <c r="J1610" s="32">
        <v>6199</v>
      </c>
      <c r="K1610" s="32">
        <f>6278+4484+1346+4484+2332+1166+2332+2332+2332+2332+2332+6995+6995+2332+6995</f>
        <v>55067</v>
      </c>
      <c r="L1610" s="32">
        <v>0</v>
      </c>
      <c r="M1610" s="32">
        <v>0</v>
      </c>
      <c r="N1610" s="32">
        <v>3148</v>
      </c>
      <c r="O1610" s="32">
        <v>0</v>
      </c>
      <c r="P1610" s="32">
        <v>0</v>
      </c>
      <c r="Q1610" s="37">
        <f t="shared" si="48"/>
        <v>64414</v>
      </c>
      <c r="R1610" s="69">
        <f t="shared" si="49"/>
        <v>54751.9</v>
      </c>
      <c r="S1610" s="30"/>
      <c r="T1610" s="30"/>
    </row>
    <row r="1611" spans="1:20" ht="45" customHeight="1" x14ac:dyDescent="0.3">
      <c r="A1611" s="31">
        <v>1599</v>
      </c>
      <c r="B1611" s="32" t="s">
        <v>5410</v>
      </c>
      <c r="C1611" s="32" t="s">
        <v>5421</v>
      </c>
      <c r="D1611" s="32" t="s">
        <v>5422</v>
      </c>
      <c r="E1611" s="32">
        <v>2012</v>
      </c>
      <c r="F1611" s="32" t="s">
        <v>18</v>
      </c>
      <c r="G1611" s="32" t="s">
        <v>5597</v>
      </c>
      <c r="H1611" s="32" t="s">
        <v>5681</v>
      </c>
      <c r="I1611" s="32" t="s">
        <v>5729</v>
      </c>
      <c r="J1611" s="32">
        <v>6199</v>
      </c>
      <c r="K1611" s="32">
        <v>0</v>
      </c>
      <c r="L1611" s="32">
        <v>0</v>
      </c>
      <c r="M1611" s="32">
        <v>0</v>
      </c>
      <c r="N1611" s="32">
        <v>0</v>
      </c>
      <c r="O1611" s="32">
        <v>0</v>
      </c>
      <c r="P1611" s="32">
        <v>0</v>
      </c>
      <c r="Q1611" s="37">
        <f t="shared" si="48"/>
        <v>6199</v>
      </c>
      <c r="R1611" s="69">
        <f t="shared" si="49"/>
        <v>5269.15</v>
      </c>
      <c r="S1611" s="30"/>
      <c r="T1611" s="30"/>
    </row>
    <row r="1612" spans="1:20" ht="45" customHeight="1" x14ac:dyDescent="0.3">
      <c r="A1612" s="31">
        <v>1600</v>
      </c>
      <c r="B1612" s="32" t="s">
        <v>5410</v>
      </c>
      <c r="C1612" s="32" t="s">
        <v>5423</v>
      </c>
      <c r="D1612" s="32" t="s">
        <v>5424</v>
      </c>
      <c r="E1612" s="32">
        <v>2023</v>
      </c>
      <c r="F1612" s="32" t="s">
        <v>18</v>
      </c>
      <c r="G1612" s="32" t="s">
        <v>5598</v>
      </c>
      <c r="H1612" s="32" t="s">
        <v>5682</v>
      </c>
      <c r="I1612" s="32" t="s">
        <v>5730</v>
      </c>
      <c r="J1612" s="32">
        <v>6199</v>
      </c>
      <c r="K1612" s="32">
        <f>1346+6278+4484+4484+2332+2332+2332+2332+2332+2332+6995+6995+2332+6995</f>
        <v>53901</v>
      </c>
      <c r="L1612" s="32">
        <v>0</v>
      </c>
      <c r="M1612" s="32">
        <v>0</v>
      </c>
      <c r="N1612" s="32">
        <v>3148</v>
      </c>
      <c r="O1612" s="32">
        <v>0</v>
      </c>
      <c r="P1612" s="32">
        <v>0</v>
      </c>
      <c r="Q1612" s="37">
        <f t="shared" si="48"/>
        <v>63248</v>
      </c>
      <c r="R1612" s="69">
        <f t="shared" si="49"/>
        <v>53760.800000000003</v>
      </c>
      <c r="S1612" s="30"/>
      <c r="T1612" s="30"/>
    </row>
    <row r="1613" spans="1:20" ht="45" customHeight="1" x14ac:dyDescent="0.3">
      <c r="A1613" s="36">
        <v>1601</v>
      </c>
      <c r="B1613" s="32" t="s">
        <v>5410</v>
      </c>
      <c r="C1613" s="32" t="s">
        <v>5425</v>
      </c>
      <c r="D1613" s="32" t="s">
        <v>2170</v>
      </c>
      <c r="E1613" s="32">
        <v>1990</v>
      </c>
      <c r="F1613" s="32" t="s">
        <v>19</v>
      </c>
      <c r="G1613" s="32" t="s">
        <v>2325</v>
      </c>
      <c r="H1613" s="32" t="s">
        <v>2325</v>
      </c>
      <c r="I1613" s="32" t="s">
        <v>2443</v>
      </c>
      <c r="J1613" s="32">
        <v>6199</v>
      </c>
      <c r="K1613" s="32">
        <v>6278</v>
      </c>
      <c r="L1613" s="32">
        <v>0</v>
      </c>
      <c r="M1613" s="32">
        <v>0</v>
      </c>
      <c r="N1613" s="32">
        <v>1793</v>
      </c>
      <c r="O1613" s="32">
        <v>0</v>
      </c>
      <c r="P1613" s="32">
        <v>0</v>
      </c>
      <c r="Q1613" s="37">
        <f t="shared" ref="Q1613:Q1676" si="50">SUM(J1613:P1613)</f>
        <v>14270</v>
      </c>
      <c r="R1613" s="69">
        <f t="shared" si="49"/>
        <v>12129.5</v>
      </c>
      <c r="S1613" s="30"/>
      <c r="T1613" s="30"/>
    </row>
    <row r="1614" spans="1:20" ht="45" customHeight="1" x14ac:dyDescent="0.3">
      <c r="A1614" s="31">
        <v>1602</v>
      </c>
      <c r="B1614" s="32" t="s">
        <v>5410</v>
      </c>
      <c r="C1614" s="32" t="s">
        <v>5426</v>
      </c>
      <c r="D1614" s="32" t="s">
        <v>5427</v>
      </c>
      <c r="E1614" s="32">
        <v>2021</v>
      </c>
      <c r="F1614" s="32" t="s">
        <v>19</v>
      </c>
      <c r="G1614" s="32" t="s">
        <v>5599</v>
      </c>
      <c r="H1614" s="32" t="s">
        <v>2325</v>
      </c>
      <c r="I1614" s="32" t="s">
        <v>2443</v>
      </c>
      <c r="J1614" s="32">
        <v>6199</v>
      </c>
      <c r="K1614" s="32">
        <f>1346+6278+4484+1166+4484</f>
        <v>17758</v>
      </c>
      <c r="L1614" s="32">
        <v>0</v>
      </c>
      <c r="M1614" s="32">
        <v>0</v>
      </c>
      <c r="N1614" s="32">
        <v>3148</v>
      </c>
      <c r="O1614" s="32">
        <v>0</v>
      </c>
      <c r="P1614" s="32">
        <v>0</v>
      </c>
      <c r="Q1614" s="37">
        <f t="shared" si="50"/>
        <v>27105</v>
      </c>
      <c r="R1614" s="69">
        <f t="shared" ref="R1614:R1677" si="51">Q1614*85/100</f>
        <v>23039.25</v>
      </c>
      <c r="S1614" s="30"/>
      <c r="T1614" s="30"/>
    </row>
    <row r="1615" spans="1:20" ht="45" customHeight="1" x14ac:dyDescent="0.3">
      <c r="A1615" s="31">
        <v>1603</v>
      </c>
      <c r="B1615" s="32" t="s">
        <v>5410</v>
      </c>
      <c r="C1615" s="32" t="s">
        <v>5428</v>
      </c>
      <c r="D1615" s="32" t="s">
        <v>5429</v>
      </c>
      <c r="E1615" s="32">
        <v>2024</v>
      </c>
      <c r="F1615" s="32" t="s">
        <v>19</v>
      </c>
      <c r="G1615" s="32" t="s">
        <v>5600</v>
      </c>
      <c r="H1615" s="32" t="s">
        <v>5683</v>
      </c>
      <c r="I1615" s="32" t="s">
        <v>835</v>
      </c>
      <c r="J1615" s="32">
        <v>6199</v>
      </c>
      <c r="K1615" s="32">
        <f>1346+6278+4484</f>
        <v>12108</v>
      </c>
      <c r="L1615" s="32">
        <v>0</v>
      </c>
      <c r="M1615" s="32">
        <v>0</v>
      </c>
      <c r="N1615" s="32">
        <v>3148</v>
      </c>
      <c r="O1615" s="32">
        <v>0</v>
      </c>
      <c r="P1615" s="32">
        <v>0</v>
      </c>
      <c r="Q1615" s="37">
        <f t="shared" si="50"/>
        <v>21455</v>
      </c>
      <c r="R1615" s="69">
        <f t="shared" si="51"/>
        <v>18236.75</v>
      </c>
      <c r="S1615" s="30"/>
      <c r="T1615" s="30"/>
    </row>
    <row r="1616" spans="1:20" ht="45" customHeight="1" x14ac:dyDescent="0.3">
      <c r="A1616" s="36">
        <v>1604</v>
      </c>
      <c r="B1616" s="32" t="s">
        <v>5410</v>
      </c>
      <c r="C1616" s="32" t="s">
        <v>5430</v>
      </c>
      <c r="D1616" s="32" t="s">
        <v>5431</v>
      </c>
      <c r="E1616" s="32">
        <v>1984</v>
      </c>
      <c r="F1616" s="32" t="s">
        <v>19</v>
      </c>
      <c r="G1616" s="32" t="s">
        <v>5601</v>
      </c>
      <c r="H1616" s="32" t="s">
        <v>5684</v>
      </c>
      <c r="I1616" s="32" t="s">
        <v>274</v>
      </c>
      <c r="J1616" s="32">
        <v>6199</v>
      </c>
      <c r="K1616" s="32">
        <v>0</v>
      </c>
      <c r="L1616" s="32">
        <v>0</v>
      </c>
      <c r="M1616" s="32">
        <v>0</v>
      </c>
      <c r="N1616" s="32">
        <v>0</v>
      </c>
      <c r="O1616" s="32">
        <v>0</v>
      </c>
      <c r="P1616" s="32">
        <v>0</v>
      </c>
      <c r="Q1616" s="37">
        <f t="shared" si="50"/>
        <v>6199</v>
      </c>
      <c r="R1616" s="69">
        <f t="shared" si="51"/>
        <v>5269.15</v>
      </c>
      <c r="S1616" s="30"/>
      <c r="T1616" s="30"/>
    </row>
    <row r="1617" spans="1:20" ht="45" customHeight="1" x14ac:dyDescent="0.3">
      <c r="A1617" s="31">
        <v>1605</v>
      </c>
      <c r="B1617" s="32" t="s">
        <v>5410</v>
      </c>
      <c r="C1617" s="32" t="s">
        <v>5432</v>
      </c>
      <c r="D1617" s="32" t="s">
        <v>5433</v>
      </c>
      <c r="E1617" s="32">
        <v>2017</v>
      </c>
      <c r="F1617" s="32" t="s">
        <v>19</v>
      </c>
      <c r="G1617" s="32" t="s">
        <v>5602</v>
      </c>
      <c r="H1617" s="32" t="s">
        <v>5685</v>
      </c>
      <c r="I1617" s="32" t="s">
        <v>300</v>
      </c>
      <c r="J1617" s="32">
        <v>3582</v>
      </c>
      <c r="K1617" s="32">
        <v>0</v>
      </c>
      <c r="L1617" s="32">
        <v>0</v>
      </c>
      <c r="M1617" s="32">
        <v>0</v>
      </c>
      <c r="N1617" s="32">
        <f>15443+17918</f>
        <v>33361</v>
      </c>
      <c r="O1617" s="32">
        <v>0</v>
      </c>
      <c r="P1617" s="32">
        <v>0</v>
      </c>
      <c r="Q1617" s="37">
        <f t="shared" si="50"/>
        <v>36943</v>
      </c>
      <c r="R1617" s="69">
        <f t="shared" si="51"/>
        <v>31401.55</v>
      </c>
      <c r="S1617" s="30"/>
      <c r="T1617" s="30"/>
    </row>
    <row r="1618" spans="1:20" ht="45" customHeight="1" x14ac:dyDescent="0.3">
      <c r="A1618" s="31">
        <v>1606</v>
      </c>
      <c r="B1618" s="32" t="s">
        <v>5410</v>
      </c>
      <c r="C1618" s="32" t="s">
        <v>5434</v>
      </c>
      <c r="D1618" s="32" t="s">
        <v>5435</v>
      </c>
      <c r="E1618" s="32">
        <v>1985</v>
      </c>
      <c r="F1618" s="32" t="s">
        <v>19</v>
      </c>
      <c r="G1618" s="32" t="s">
        <v>5603</v>
      </c>
      <c r="H1618" s="32" t="s">
        <v>5603</v>
      </c>
      <c r="I1618" s="32" t="s">
        <v>5731</v>
      </c>
      <c r="J1618" s="32">
        <v>6199</v>
      </c>
      <c r="K1618" s="32">
        <f>6278+4484+6995+2332+2332+2332+1166+2801+3000+3000+4484+4484+2332+4484+3228</f>
        <v>53732</v>
      </c>
      <c r="L1618" s="32">
        <v>0</v>
      </c>
      <c r="M1618" s="32">
        <v>0</v>
      </c>
      <c r="N1618" s="32">
        <v>1793</v>
      </c>
      <c r="O1618" s="32">
        <v>0</v>
      </c>
      <c r="P1618" s="32">
        <v>0</v>
      </c>
      <c r="Q1618" s="37">
        <f t="shared" si="50"/>
        <v>61724</v>
      </c>
      <c r="R1618" s="69">
        <f t="shared" si="51"/>
        <v>52465.4</v>
      </c>
      <c r="S1618" s="30"/>
      <c r="T1618" s="30"/>
    </row>
    <row r="1619" spans="1:20" ht="45" customHeight="1" x14ac:dyDescent="0.3">
      <c r="A1619" s="36">
        <v>1607</v>
      </c>
      <c r="B1619" s="32" t="s">
        <v>5410</v>
      </c>
      <c r="C1619" s="32" t="s">
        <v>5436</v>
      </c>
      <c r="D1619" s="32" t="s">
        <v>5437</v>
      </c>
      <c r="E1619" s="32">
        <v>2022</v>
      </c>
      <c r="F1619" s="32" t="s">
        <v>18</v>
      </c>
      <c r="G1619" s="32" t="s">
        <v>5604</v>
      </c>
      <c r="H1619" s="32" t="s">
        <v>5686</v>
      </c>
      <c r="I1619" s="32" t="s">
        <v>5732</v>
      </c>
      <c r="J1619" s="32">
        <v>6199</v>
      </c>
      <c r="K1619" s="32">
        <f>6278+4484+1346+4484+2332+2332+2332+2332+2332+2332+6995+6995+2332+6995+1166</f>
        <v>55067</v>
      </c>
      <c r="L1619" s="32">
        <v>0</v>
      </c>
      <c r="M1619" s="32">
        <v>0</v>
      </c>
      <c r="N1619" s="32">
        <f>3148+4053+1178+2088</f>
        <v>10467</v>
      </c>
      <c r="O1619" s="32">
        <v>0</v>
      </c>
      <c r="P1619" s="32">
        <f>360+56+720+1080</f>
        <v>2216</v>
      </c>
      <c r="Q1619" s="35">
        <f t="shared" si="50"/>
        <v>73949</v>
      </c>
      <c r="R1619" s="69">
        <f t="shared" si="51"/>
        <v>62856.65</v>
      </c>
      <c r="S1619" s="30"/>
      <c r="T1619" s="30"/>
    </row>
    <row r="1620" spans="1:20" ht="45" customHeight="1" x14ac:dyDescent="0.3">
      <c r="A1620" s="31">
        <v>1608</v>
      </c>
      <c r="B1620" s="32" t="s">
        <v>5410</v>
      </c>
      <c r="C1620" s="32" t="s">
        <v>5438</v>
      </c>
      <c r="D1620" s="32" t="s">
        <v>5439</v>
      </c>
      <c r="E1620" s="32">
        <v>2024</v>
      </c>
      <c r="F1620" s="32" t="s">
        <v>19</v>
      </c>
      <c r="G1620" s="32" t="s">
        <v>5605</v>
      </c>
      <c r="H1620" s="32" t="s">
        <v>5687</v>
      </c>
      <c r="I1620" s="32" t="s">
        <v>5733</v>
      </c>
      <c r="J1620" s="32">
        <v>6199</v>
      </c>
      <c r="K1620" s="32">
        <f>1346+6278+4484+4484</f>
        <v>16592</v>
      </c>
      <c r="L1620" s="32">
        <v>0</v>
      </c>
      <c r="M1620" s="32">
        <v>0</v>
      </c>
      <c r="N1620" s="32">
        <v>3148</v>
      </c>
      <c r="O1620" s="32">
        <v>0</v>
      </c>
      <c r="P1620" s="32">
        <v>0</v>
      </c>
      <c r="Q1620" s="37">
        <f t="shared" si="50"/>
        <v>25939</v>
      </c>
      <c r="R1620" s="69">
        <f t="shared" si="51"/>
        <v>22048.15</v>
      </c>
      <c r="S1620" s="30"/>
      <c r="T1620" s="30"/>
    </row>
    <row r="1621" spans="1:20" ht="45" customHeight="1" x14ac:dyDescent="0.3">
      <c r="A1621" s="31">
        <v>1609</v>
      </c>
      <c r="B1621" s="32" t="s">
        <v>5410</v>
      </c>
      <c r="C1621" s="32" t="s">
        <v>5440</v>
      </c>
      <c r="D1621" s="32" t="s">
        <v>5441</v>
      </c>
      <c r="E1621" s="32">
        <v>2020</v>
      </c>
      <c r="F1621" s="32" t="s">
        <v>19</v>
      </c>
      <c r="G1621" s="32" t="s">
        <v>5606</v>
      </c>
      <c r="H1621" s="32" t="s">
        <v>5688</v>
      </c>
      <c r="I1621" s="32" t="s">
        <v>5734</v>
      </c>
      <c r="J1621" s="32">
        <v>6199</v>
      </c>
      <c r="K1621" s="32">
        <f>1346+6278+4484+1166+4484+2332+2332+2332+2332+2332+2332+6995+6995+2332+6995</f>
        <v>55067</v>
      </c>
      <c r="L1621" s="32">
        <v>0</v>
      </c>
      <c r="M1621" s="32">
        <v>0</v>
      </c>
      <c r="N1621" s="32">
        <v>3148</v>
      </c>
      <c r="O1621" s="32">
        <v>0</v>
      </c>
      <c r="P1621" s="32">
        <v>0</v>
      </c>
      <c r="Q1621" s="37">
        <f t="shared" si="50"/>
        <v>64414</v>
      </c>
      <c r="R1621" s="69">
        <f t="shared" si="51"/>
        <v>54751.9</v>
      </c>
      <c r="S1621" s="30"/>
      <c r="T1621" s="30"/>
    </row>
    <row r="1622" spans="1:20" ht="45" customHeight="1" x14ac:dyDescent="0.3">
      <c r="A1622" s="36">
        <v>1610</v>
      </c>
      <c r="B1622" s="32" t="s">
        <v>5410</v>
      </c>
      <c r="C1622" s="32" t="s">
        <v>5442</v>
      </c>
      <c r="D1622" s="32" t="s">
        <v>5443</v>
      </c>
      <c r="E1622" s="32">
        <v>2024</v>
      </c>
      <c r="F1622" s="32" t="s">
        <v>18</v>
      </c>
      <c r="G1622" s="32" t="s">
        <v>5607</v>
      </c>
      <c r="H1622" s="32" t="s">
        <v>5689</v>
      </c>
      <c r="I1622" s="32" t="s">
        <v>1698</v>
      </c>
      <c r="J1622" s="32">
        <v>6199</v>
      </c>
      <c r="K1622" s="32">
        <f>1346+6278+4484+4484+2332+2332+2332+2332+2332+2332+6995+6995+2332+6995</f>
        <v>53901</v>
      </c>
      <c r="L1622" s="32">
        <v>0</v>
      </c>
      <c r="M1622" s="32">
        <v>0</v>
      </c>
      <c r="N1622" s="32">
        <f>3148+4053+1178+2088</f>
        <v>10467</v>
      </c>
      <c r="O1622" s="32">
        <v>0</v>
      </c>
      <c r="P1622" s="32">
        <f>720+1080+120+360+56</f>
        <v>2336</v>
      </c>
      <c r="Q1622" s="37">
        <f t="shared" si="50"/>
        <v>72903</v>
      </c>
      <c r="R1622" s="69">
        <f t="shared" si="51"/>
        <v>61967.55</v>
      </c>
      <c r="S1622" s="30"/>
      <c r="T1622" s="30"/>
    </row>
    <row r="1623" spans="1:20" ht="45" customHeight="1" x14ac:dyDescent="0.3">
      <c r="A1623" s="31">
        <v>1611</v>
      </c>
      <c r="B1623" s="32" t="s">
        <v>5410</v>
      </c>
      <c r="C1623" s="32" t="s">
        <v>5444</v>
      </c>
      <c r="D1623" s="32" t="s">
        <v>5445</v>
      </c>
      <c r="E1623" s="32">
        <v>1984</v>
      </c>
      <c r="F1623" s="32" t="s">
        <v>19</v>
      </c>
      <c r="G1623" s="32" t="s">
        <v>5608</v>
      </c>
      <c r="H1623" s="32" t="s">
        <v>5690</v>
      </c>
      <c r="I1623" s="32" t="s">
        <v>5735</v>
      </c>
      <c r="J1623" s="32">
        <v>6199</v>
      </c>
      <c r="K1623" s="32">
        <v>0</v>
      </c>
      <c r="L1623" s="32">
        <v>0</v>
      </c>
      <c r="M1623" s="32">
        <v>0</v>
      </c>
      <c r="N1623" s="32">
        <v>0</v>
      </c>
      <c r="O1623" s="32">
        <v>0</v>
      </c>
      <c r="P1623" s="32">
        <v>0</v>
      </c>
      <c r="Q1623" s="37">
        <f t="shared" si="50"/>
        <v>6199</v>
      </c>
      <c r="R1623" s="69">
        <f t="shared" si="51"/>
        <v>5269.15</v>
      </c>
      <c r="S1623" s="30"/>
      <c r="T1623" s="30"/>
    </row>
    <row r="1624" spans="1:20" ht="45" customHeight="1" x14ac:dyDescent="0.3">
      <c r="A1624" s="31">
        <v>1612</v>
      </c>
      <c r="B1624" s="32" t="s">
        <v>5410</v>
      </c>
      <c r="C1624" s="32" t="s">
        <v>5446</v>
      </c>
      <c r="D1624" s="32" t="s">
        <v>5447</v>
      </c>
      <c r="E1624" s="32">
        <v>1963</v>
      </c>
      <c r="F1624" s="32" t="s">
        <v>19</v>
      </c>
      <c r="G1624" s="32" t="s">
        <v>5609</v>
      </c>
      <c r="H1624" s="32" t="s">
        <v>5609</v>
      </c>
      <c r="I1624" s="32" t="s">
        <v>544</v>
      </c>
      <c r="J1624" s="32">
        <v>6199</v>
      </c>
      <c r="K1624" s="32">
        <v>0</v>
      </c>
      <c r="L1624" s="32">
        <v>0</v>
      </c>
      <c r="M1624" s="32">
        <v>0</v>
      </c>
      <c r="N1624" s="32">
        <v>0</v>
      </c>
      <c r="O1624" s="32">
        <v>0</v>
      </c>
      <c r="P1624" s="32">
        <v>0</v>
      </c>
      <c r="Q1624" s="37">
        <f t="shared" si="50"/>
        <v>6199</v>
      </c>
      <c r="R1624" s="69">
        <f t="shared" si="51"/>
        <v>5269.15</v>
      </c>
      <c r="S1624" s="30"/>
      <c r="T1624" s="30"/>
    </row>
    <row r="1625" spans="1:20" ht="45" customHeight="1" x14ac:dyDescent="0.3">
      <c r="A1625" s="36">
        <v>1613</v>
      </c>
      <c r="B1625" s="32" t="s">
        <v>5410</v>
      </c>
      <c r="C1625" s="32" t="s">
        <v>5448</v>
      </c>
      <c r="D1625" s="32" t="s">
        <v>5449</v>
      </c>
      <c r="E1625" s="32">
        <v>1980</v>
      </c>
      <c r="F1625" s="32" t="s">
        <v>18</v>
      </c>
      <c r="G1625" s="32" t="s">
        <v>5610</v>
      </c>
      <c r="H1625" s="32" t="s">
        <v>5610</v>
      </c>
      <c r="I1625" s="32" t="s">
        <v>1704</v>
      </c>
      <c r="J1625" s="32">
        <v>6199</v>
      </c>
      <c r="K1625" s="32">
        <f>1346+6278+4484+2332+2332+2332+2332+2332+2332+4484+4484+2332+4484+3228+3000+3000</f>
        <v>51112</v>
      </c>
      <c r="L1625" s="32">
        <v>0</v>
      </c>
      <c r="M1625" s="32">
        <v>0</v>
      </c>
      <c r="N1625" s="32">
        <v>1793</v>
      </c>
      <c r="O1625" s="32">
        <v>0</v>
      </c>
      <c r="P1625" s="32">
        <v>0</v>
      </c>
      <c r="Q1625" s="37">
        <f t="shared" si="50"/>
        <v>59104</v>
      </c>
      <c r="R1625" s="69">
        <f t="shared" si="51"/>
        <v>50238.400000000001</v>
      </c>
      <c r="S1625" s="30"/>
      <c r="T1625" s="30"/>
    </row>
    <row r="1626" spans="1:20" ht="45" customHeight="1" x14ac:dyDescent="0.3">
      <c r="A1626" s="31">
        <v>1614</v>
      </c>
      <c r="B1626" s="32" t="s">
        <v>5410</v>
      </c>
      <c r="C1626" s="32" t="s">
        <v>5450</v>
      </c>
      <c r="D1626" s="32" t="s">
        <v>5451</v>
      </c>
      <c r="E1626" s="32">
        <v>2020</v>
      </c>
      <c r="F1626" s="32" t="s">
        <v>19</v>
      </c>
      <c r="G1626" s="32" t="s">
        <v>5611</v>
      </c>
      <c r="H1626" s="32" t="s">
        <v>5691</v>
      </c>
      <c r="I1626" s="32" t="s">
        <v>541</v>
      </c>
      <c r="J1626" s="32">
        <v>6199</v>
      </c>
      <c r="K1626" s="32">
        <f>1346+6278+4484+2332+2332+2332+6995+2332+6995+6995+4484+2332+2332+2332</f>
        <v>53901</v>
      </c>
      <c r="L1626" s="32">
        <v>0</v>
      </c>
      <c r="M1626" s="32">
        <v>0</v>
      </c>
      <c r="N1626" s="32">
        <v>3148</v>
      </c>
      <c r="O1626" s="32">
        <v>0</v>
      </c>
      <c r="P1626" s="32">
        <v>0</v>
      </c>
      <c r="Q1626" s="37">
        <f t="shared" si="50"/>
        <v>63248</v>
      </c>
      <c r="R1626" s="69">
        <f t="shared" si="51"/>
        <v>53760.800000000003</v>
      </c>
      <c r="S1626" s="30"/>
      <c r="T1626" s="30"/>
    </row>
    <row r="1627" spans="1:20" ht="45" customHeight="1" x14ac:dyDescent="0.3">
      <c r="A1627" s="31">
        <v>1615</v>
      </c>
      <c r="B1627" s="32" t="s">
        <v>5410</v>
      </c>
      <c r="C1627" s="32" t="s">
        <v>5452</v>
      </c>
      <c r="D1627" s="32" t="s">
        <v>5453</v>
      </c>
      <c r="E1627" s="32">
        <v>1999</v>
      </c>
      <c r="F1627" s="32" t="s">
        <v>19</v>
      </c>
      <c r="G1627" s="32" t="s">
        <v>5612</v>
      </c>
      <c r="H1627" s="32" t="s">
        <v>5692</v>
      </c>
      <c r="I1627" s="32" t="s">
        <v>5736</v>
      </c>
      <c r="J1627" s="32">
        <v>6199</v>
      </c>
      <c r="K1627" s="32">
        <v>0</v>
      </c>
      <c r="L1627" s="32">
        <v>0</v>
      </c>
      <c r="M1627" s="32">
        <v>0</v>
      </c>
      <c r="N1627" s="32">
        <v>0</v>
      </c>
      <c r="O1627" s="32">
        <v>0</v>
      </c>
      <c r="P1627" s="32">
        <v>0</v>
      </c>
      <c r="Q1627" s="37">
        <f t="shared" si="50"/>
        <v>6199</v>
      </c>
      <c r="R1627" s="69">
        <f t="shared" si="51"/>
        <v>5269.15</v>
      </c>
      <c r="S1627" s="30"/>
      <c r="T1627" s="30"/>
    </row>
    <row r="1628" spans="1:20" ht="45" customHeight="1" x14ac:dyDescent="0.3">
      <c r="A1628" s="36">
        <v>1616</v>
      </c>
      <c r="B1628" s="32" t="s">
        <v>5410</v>
      </c>
      <c r="C1628" s="32" t="s">
        <v>5454</v>
      </c>
      <c r="D1628" s="32" t="s">
        <v>5455</v>
      </c>
      <c r="E1628" s="32">
        <v>1989</v>
      </c>
      <c r="F1628" s="32" t="s">
        <v>19</v>
      </c>
      <c r="G1628" s="32" t="s">
        <v>5613</v>
      </c>
      <c r="H1628" s="32" t="s">
        <v>5691</v>
      </c>
      <c r="I1628" s="32" t="s">
        <v>541</v>
      </c>
      <c r="J1628" s="32">
        <v>6199</v>
      </c>
      <c r="K1628" s="32">
        <f>2332+2332+2243</f>
        <v>6907</v>
      </c>
      <c r="L1628" s="32">
        <v>9422</v>
      </c>
      <c r="M1628" s="32">
        <v>0</v>
      </c>
      <c r="N1628" s="32">
        <v>0</v>
      </c>
      <c r="O1628" s="32">
        <v>0</v>
      </c>
      <c r="P1628" s="32">
        <v>0</v>
      </c>
      <c r="Q1628" s="37">
        <f t="shared" si="50"/>
        <v>22528</v>
      </c>
      <c r="R1628" s="69">
        <f t="shared" si="51"/>
        <v>19148.8</v>
      </c>
      <c r="S1628" s="30"/>
      <c r="T1628" s="30"/>
    </row>
    <row r="1629" spans="1:20" ht="45" customHeight="1" x14ac:dyDescent="0.3">
      <c r="A1629" s="31">
        <v>1617</v>
      </c>
      <c r="B1629" s="32" t="s">
        <v>5410</v>
      </c>
      <c r="C1629" s="32" t="s">
        <v>5456</v>
      </c>
      <c r="D1629" s="32" t="s">
        <v>5457</v>
      </c>
      <c r="E1629" s="32">
        <v>2022</v>
      </c>
      <c r="F1629" s="32" t="s">
        <v>18</v>
      </c>
      <c r="G1629" s="32" t="s">
        <v>5614</v>
      </c>
      <c r="H1629" s="32" t="s">
        <v>5693</v>
      </c>
      <c r="I1629" s="32" t="s">
        <v>5737</v>
      </c>
      <c r="J1629" s="32">
        <v>6199</v>
      </c>
      <c r="K1629" s="32">
        <f>1346+6278+4484+4484+2332+2332+2332+6995+6995+2332+6995+2332+2332+2332</f>
        <v>53901</v>
      </c>
      <c r="L1629" s="32">
        <v>0</v>
      </c>
      <c r="M1629" s="32">
        <v>0</v>
      </c>
      <c r="N1629" s="32">
        <f>3148+4053+1178+2088</f>
        <v>10467</v>
      </c>
      <c r="O1629" s="32">
        <v>0</v>
      </c>
      <c r="P1629" s="32">
        <f>720+1080+120+360+56</f>
        <v>2336</v>
      </c>
      <c r="Q1629" s="35">
        <f t="shared" si="50"/>
        <v>72903</v>
      </c>
      <c r="R1629" s="69">
        <f t="shared" si="51"/>
        <v>61967.55</v>
      </c>
      <c r="S1629" s="30"/>
      <c r="T1629" s="30"/>
    </row>
    <row r="1630" spans="1:20" ht="45" customHeight="1" x14ac:dyDescent="0.3">
      <c r="A1630" s="31">
        <v>1618</v>
      </c>
      <c r="B1630" s="32" t="s">
        <v>5410</v>
      </c>
      <c r="C1630" s="32" t="s">
        <v>5456</v>
      </c>
      <c r="D1630" s="32" t="s">
        <v>5457</v>
      </c>
      <c r="E1630" s="32">
        <v>2022</v>
      </c>
      <c r="F1630" s="32" t="s">
        <v>18</v>
      </c>
      <c r="G1630" s="32" t="s">
        <v>5614</v>
      </c>
      <c r="H1630" s="32" t="s">
        <v>5693</v>
      </c>
      <c r="I1630" s="32" t="s">
        <v>5737</v>
      </c>
      <c r="J1630" s="32">
        <v>0</v>
      </c>
      <c r="K1630" s="32">
        <v>0</v>
      </c>
      <c r="L1630" s="32">
        <v>0</v>
      </c>
      <c r="M1630" s="32">
        <v>17688</v>
      </c>
      <c r="N1630" s="32">
        <v>2088</v>
      </c>
      <c r="O1630" s="32">
        <v>0</v>
      </c>
      <c r="P1630" s="32">
        <f>360+56</f>
        <v>416</v>
      </c>
      <c r="Q1630" s="35">
        <f t="shared" si="50"/>
        <v>20192</v>
      </c>
      <c r="R1630" s="69">
        <f t="shared" si="51"/>
        <v>17163.2</v>
      </c>
      <c r="S1630" s="30"/>
      <c r="T1630" s="30"/>
    </row>
    <row r="1631" spans="1:20" ht="45" customHeight="1" x14ac:dyDescent="0.3">
      <c r="A1631" s="36">
        <v>1619</v>
      </c>
      <c r="B1631" s="32" t="s">
        <v>5410</v>
      </c>
      <c r="C1631" s="32" t="s">
        <v>5458</v>
      </c>
      <c r="D1631" s="32" t="s">
        <v>5459</v>
      </c>
      <c r="E1631" s="32">
        <v>2024</v>
      </c>
      <c r="F1631" s="32" t="s">
        <v>18</v>
      </c>
      <c r="G1631" s="32" t="s">
        <v>5615</v>
      </c>
      <c r="H1631" s="32" t="s">
        <v>5693</v>
      </c>
      <c r="I1631" s="32" t="s">
        <v>5737</v>
      </c>
      <c r="J1631" s="32">
        <v>6199</v>
      </c>
      <c r="K1631" s="32">
        <v>0</v>
      </c>
      <c r="L1631" s="32">
        <v>0</v>
      </c>
      <c r="M1631" s="32">
        <v>0</v>
      </c>
      <c r="N1631" s="32">
        <v>0</v>
      </c>
      <c r="O1631" s="32">
        <v>0</v>
      </c>
      <c r="P1631" s="32">
        <v>0</v>
      </c>
      <c r="Q1631" s="37">
        <f t="shared" si="50"/>
        <v>6199</v>
      </c>
      <c r="R1631" s="69">
        <f t="shared" si="51"/>
        <v>5269.15</v>
      </c>
      <c r="S1631" s="30"/>
      <c r="T1631" s="30"/>
    </row>
    <row r="1632" spans="1:20" ht="45" customHeight="1" x14ac:dyDescent="0.3">
      <c r="A1632" s="31">
        <v>1620</v>
      </c>
      <c r="B1632" s="32" t="s">
        <v>5410</v>
      </c>
      <c r="C1632" s="32" t="s">
        <v>5460</v>
      </c>
      <c r="D1632" s="32" t="s">
        <v>5461</v>
      </c>
      <c r="E1632" s="32">
        <v>2016</v>
      </c>
      <c r="F1632" s="32" t="s">
        <v>19</v>
      </c>
      <c r="G1632" s="32" t="s">
        <v>5616</v>
      </c>
      <c r="H1632" s="32" t="s">
        <v>5694</v>
      </c>
      <c r="I1632" s="32" t="s">
        <v>5738</v>
      </c>
      <c r="J1632" s="32">
        <v>6199</v>
      </c>
      <c r="K1632" s="32">
        <f>1346+6278+4484+2332+2332+2332+2332+2332+2332+6995+6995+2332+6995+4484</f>
        <v>53901</v>
      </c>
      <c r="L1632" s="32">
        <v>0</v>
      </c>
      <c r="M1632" s="32">
        <v>0</v>
      </c>
      <c r="N1632" s="32">
        <v>3148</v>
      </c>
      <c r="O1632" s="32">
        <v>0</v>
      </c>
      <c r="P1632" s="32">
        <v>0</v>
      </c>
      <c r="Q1632" s="37">
        <f t="shared" si="50"/>
        <v>63248</v>
      </c>
      <c r="R1632" s="69">
        <f t="shared" si="51"/>
        <v>53760.800000000003</v>
      </c>
      <c r="S1632" s="30"/>
      <c r="T1632" s="30"/>
    </row>
    <row r="1633" spans="1:20" ht="45" customHeight="1" x14ac:dyDescent="0.3">
      <c r="A1633" s="31">
        <v>1621</v>
      </c>
      <c r="B1633" s="32" t="s">
        <v>5410</v>
      </c>
      <c r="C1633" s="32" t="s">
        <v>5460</v>
      </c>
      <c r="D1633" s="32" t="s">
        <v>5461</v>
      </c>
      <c r="E1633" s="32">
        <v>2016</v>
      </c>
      <c r="F1633" s="32" t="s">
        <v>19</v>
      </c>
      <c r="G1633" s="32" t="s">
        <v>5616</v>
      </c>
      <c r="H1633" s="32" t="s">
        <v>5694</v>
      </c>
      <c r="I1633" s="32" t="s">
        <v>5738</v>
      </c>
      <c r="J1633" s="32">
        <v>0</v>
      </c>
      <c r="K1633" s="32">
        <v>0</v>
      </c>
      <c r="L1633" s="32">
        <v>0</v>
      </c>
      <c r="M1633" s="32">
        <v>0</v>
      </c>
      <c r="N1633" s="32">
        <f>2088+4053+1178</f>
        <v>7319</v>
      </c>
      <c r="O1633" s="32">
        <v>0</v>
      </c>
      <c r="P1633" s="32">
        <f>720+1080+120+360+56+60</f>
        <v>2396</v>
      </c>
      <c r="Q1633" s="37">
        <f t="shared" si="50"/>
        <v>9715</v>
      </c>
      <c r="R1633" s="69">
        <f t="shared" si="51"/>
        <v>8257.75</v>
      </c>
      <c r="S1633" s="30"/>
      <c r="T1633" s="30"/>
    </row>
    <row r="1634" spans="1:20" ht="45" customHeight="1" x14ac:dyDescent="0.3">
      <c r="A1634" s="36">
        <v>1622</v>
      </c>
      <c r="B1634" s="32" t="s">
        <v>5410</v>
      </c>
      <c r="C1634" s="32" t="s">
        <v>5460</v>
      </c>
      <c r="D1634" s="32" t="s">
        <v>5461</v>
      </c>
      <c r="E1634" s="32">
        <v>2016</v>
      </c>
      <c r="F1634" s="32" t="s">
        <v>19</v>
      </c>
      <c r="G1634" s="32" t="s">
        <v>5616</v>
      </c>
      <c r="H1634" s="32" t="s">
        <v>5694</v>
      </c>
      <c r="I1634" s="32" t="s">
        <v>5738</v>
      </c>
      <c r="J1634" s="32">
        <v>0</v>
      </c>
      <c r="K1634" s="32">
        <v>0</v>
      </c>
      <c r="L1634" s="32">
        <v>0</v>
      </c>
      <c r="M1634" s="32">
        <v>17688</v>
      </c>
      <c r="N1634" s="32">
        <v>2088</v>
      </c>
      <c r="O1634" s="32">
        <v>0</v>
      </c>
      <c r="P1634" s="32">
        <f>360+56</f>
        <v>416</v>
      </c>
      <c r="Q1634" s="37">
        <f t="shared" si="50"/>
        <v>20192</v>
      </c>
      <c r="R1634" s="69">
        <f t="shared" si="51"/>
        <v>17163.2</v>
      </c>
      <c r="S1634" s="30"/>
      <c r="T1634" s="30"/>
    </row>
    <row r="1635" spans="1:20" ht="45" customHeight="1" x14ac:dyDescent="0.3">
      <c r="A1635" s="31">
        <v>1623</v>
      </c>
      <c r="B1635" s="32" t="s">
        <v>5410</v>
      </c>
      <c r="C1635" s="32" t="s">
        <v>5462</v>
      </c>
      <c r="D1635" s="32" t="s">
        <v>5463</v>
      </c>
      <c r="E1635" s="32">
        <v>2025</v>
      </c>
      <c r="F1635" s="32" t="s">
        <v>19</v>
      </c>
      <c r="G1635" s="32" t="s">
        <v>5617</v>
      </c>
      <c r="H1635" s="32" t="s">
        <v>5695</v>
      </c>
      <c r="I1635" s="32" t="s">
        <v>5739</v>
      </c>
      <c r="J1635" s="32">
        <v>6199</v>
      </c>
      <c r="K1635" s="32">
        <v>0</v>
      </c>
      <c r="L1635" s="32">
        <v>0</v>
      </c>
      <c r="M1635" s="32">
        <v>0</v>
      </c>
      <c r="N1635" s="32">
        <v>0</v>
      </c>
      <c r="O1635" s="32">
        <v>0</v>
      </c>
      <c r="P1635" s="32">
        <v>0</v>
      </c>
      <c r="Q1635" s="37">
        <f t="shared" si="50"/>
        <v>6199</v>
      </c>
      <c r="R1635" s="69">
        <f t="shared" si="51"/>
        <v>5269.15</v>
      </c>
      <c r="S1635" s="30"/>
      <c r="T1635" s="30"/>
    </row>
    <row r="1636" spans="1:20" ht="45" customHeight="1" x14ac:dyDescent="0.3">
      <c r="A1636" s="31">
        <v>1624</v>
      </c>
      <c r="B1636" s="32" t="s">
        <v>5410</v>
      </c>
      <c r="C1636" s="32" t="s">
        <v>5464</v>
      </c>
      <c r="D1636" s="32" t="s">
        <v>3136</v>
      </c>
      <c r="E1636" s="32">
        <v>1960</v>
      </c>
      <c r="F1636" s="32" t="s">
        <v>18</v>
      </c>
      <c r="G1636" s="32" t="s">
        <v>3236</v>
      </c>
      <c r="H1636" s="32" t="s">
        <v>3284</v>
      </c>
      <c r="I1636" s="32" t="s">
        <v>3309</v>
      </c>
      <c r="J1636" s="32">
        <v>3582</v>
      </c>
      <c r="K1636" s="32">
        <v>0</v>
      </c>
      <c r="L1636" s="32">
        <v>0</v>
      </c>
      <c r="M1636" s="32">
        <v>0</v>
      </c>
      <c r="N1636" s="32">
        <f>15443+21194+13563</f>
        <v>50200</v>
      </c>
      <c r="O1636" s="32">
        <v>0</v>
      </c>
      <c r="P1636" s="32">
        <v>0</v>
      </c>
      <c r="Q1636" s="37">
        <f t="shared" si="50"/>
        <v>53782</v>
      </c>
      <c r="R1636" s="69">
        <f t="shared" si="51"/>
        <v>45714.7</v>
      </c>
      <c r="S1636" s="30"/>
      <c r="T1636" s="30"/>
    </row>
    <row r="1637" spans="1:20" ht="45" customHeight="1" x14ac:dyDescent="0.3">
      <c r="A1637" s="36">
        <v>1625</v>
      </c>
      <c r="B1637" s="32" t="s">
        <v>5410</v>
      </c>
      <c r="C1637" s="32" t="s">
        <v>5465</v>
      </c>
      <c r="D1637" s="32" t="s">
        <v>5466</v>
      </c>
      <c r="E1637" s="32">
        <v>2017</v>
      </c>
      <c r="F1637" s="32" t="s">
        <v>18</v>
      </c>
      <c r="G1637" s="32" t="s">
        <v>5618</v>
      </c>
      <c r="H1637" s="32" t="s">
        <v>5696</v>
      </c>
      <c r="I1637" s="32" t="s">
        <v>5740</v>
      </c>
      <c r="J1637" s="32">
        <v>6199</v>
      </c>
      <c r="K1637" s="32">
        <f>6278+4484+4484+1166</f>
        <v>16412</v>
      </c>
      <c r="L1637" s="32">
        <v>0</v>
      </c>
      <c r="M1637" s="32">
        <v>0</v>
      </c>
      <c r="N1637" s="32">
        <v>3148</v>
      </c>
      <c r="O1637" s="32">
        <v>0</v>
      </c>
      <c r="P1637" s="32">
        <v>0</v>
      </c>
      <c r="Q1637" s="37">
        <f t="shared" si="50"/>
        <v>25759</v>
      </c>
      <c r="R1637" s="69">
        <f t="shared" si="51"/>
        <v>21895.15</v>
      </c>
      <c r="S1637" s="30"/>
      <c r="T1637" s="30"/>
    </row>
    <row r="1638" spans="1:20" ht="45" customHeight="1" x14ac:dyDescent="0.3">
      <c r="A1638" s="31">
        <v>1626</v>
      </c>
      <c r="B1638" s="32" t="s">
        <v>5410</v>
      </c>
      <c r="C1638" s="32" t="s">
        <v>5467</v>
      </c>
      <c r="D1638" s="32" t="s">
        <v>5468</v>
      </c>
      <c r="E1638" s="32">
        <v>2022</v>
      </c>
      <c r="F1638" s="32" t="s">
        <v>18</v>
      </c>
      <c r="G1638" s="32" t="s">
        <v>5619</v>
      </c>
      <c r="H1638" s="32" t="s">
        <v>5696</v>
      </c>
      <c r="I1638" s="32" t="s">
        <v>5740</v>
      </c>
      <c r="J1638" s="32">
        <v>3582</v>
      </c>
      <c r="K1638" s="32">
        <v>0</v>
      </c>
      <c r="L1638" s="32">
        <v>0</v>
      </c>
      <c r="M1638" s="32">
        <v>0</v>
      </c>
      <c r="N1638" s="32">
        <v>0</v>
      </c>
      <c r="O1638" s="32">
        <v>0</v>
      </c>
      <c r="P1638" s="32">
        <v>0</v>
      </c>
      <c r="Q1638" s="37">
        <f t="shared" si="50"/>
        <v>3582</v>
      </c>
      <c r="R1638" s="69">
        <f t="shared" si="51"/>
        <v>3044.7</v>
      </c>
      <c r="S1638" s="30"/>
      <c r="T1638" s="30"/>
    </row>
    <row r="1639" spans="1:20" ht="45" customHeight="1" x14ac:dyDescent="0.3">
      <c r="A1639" s="31">
        <v>1627</v>
      </c>
      <c r="B1639" s="32" t="s">
        <v>5410</v>
      </c>
      <c r="C1639" s="32" t="s">
        <v>5469</v>
      </c>
      <c r="D1639" s="32" t="s">
        <v>5470</v>
      </c>
      <c r="E1639" s="32">
        <v>1989</v>
      </c>
      <c r="F1639" s="32" t="s">
        <v>19</v>
      </c>
      <c r="G1639" s="32" t="s">
        <v>5620</v>
      </c>
      <c r="H1639" s="32" t="s">
        <v>5696</v>
      </c>
      <c r="I1639" s="32" t="s">
        <v>5740</v>
      </c>
      <c r="J1639" s="32">
        <v>3582</v>
      </c>
      <c r="K1639" s="32">
        <v>0</v>
      </c>
      <c r="L1639" s="32">
        <v>0</v>
      </c>
      <c r="M1639" s="32">
        <v>0</v>
      </c>
      <c r="N1639" s="32">
        <f>34016+27380</f>
        <v>61396</v>
      </c>
      <c r="O1639" s="32">
        <v>0</v>
      </c>
      <c r="P1639" s="32">
        <v>0</v>
      </c>
      <c r="Q1639" s="37">
        <f t="shared" si="50"/>
        <v>64978</v>
      </c>
      <c r="R1639" s="69">
        <f t="shared" si="51"/>
        <v>55231.3</v>
      </c>
      <c r="S1639" s="30"/>
      <c r="T1639" s="30"/>
    </row>
    <row r="1640" spans="1:20" ht="45" customHeight="1" x14ac:dyDescent="0.3">
      <c r="A1640" s="36">
        <v>1628</v>
      </c>
      <c r="B1640" s="32" t="s">
        <v>5410</v>
      </c>
      <c r="C1640" s="32" t="s">
        <v>5471</v>
      </c>
      <c r="D1640" s="32" t="s">
        <v>5472</v>
      </c>
      <c r="E1640" s="32">
        <v>2025</v>
      </c>
      <c r="F1640" s="32" t="s">
        <v>18</v>
      </c>
      <c r="G1640" s="32" t="s">
        <v>5621</v>
      </c>
      <c r="H1640" s="32" t="s">
        <v>5697</v>
      </c>
      <c r="I1640" s="32" t="s">
        <v>5741</v>
      </c>
      <c r="J1640" s="32">
        <v>6199</v>
      </c>
      <c r="K1640" s="32">
        <f>6278+4484+1346+4484</f>
        <v>16592</v>
      </c>
      <c r="L1640" s="32">
        <v>0</v>
      </c>
      <c r="M1640" s="32">
        <v>0</v>
      </c>
      <c r="N1640" s="32">
        <f>3148+4053+2088</f>
        <v>9289</v>
      </c>
      <c r="O1640" s="32">
        <v>0</v>
      </c>
      <c r="P1640" s="32">
        <f>720+1080+1200+720+112</f>
        <v>3832</v>
      </c>
      <c r="Q1640" s="37">
        <f t="shared" si="50"/>
        <v>35912</v>
      </c>
      <c r="R1640" s="69">
        <f t="shared" si="51"/>
        <v>30525.200000000001</v>
      </c>
      <c r="S1640" s="30"/>
      <c r="T1640" s="30"/>
    </row>
    <row r="1641" spans="1:20" ht="45" customHeight="1" x14ac:dyDescent="0.3">
      <c r="A1641" s="31">
        <v>1629</v>
      </c>
      <c r="B1641" s="32" t="s">
        <v>5410</v>
      </c>
      <c r="C1641" s="32" t="s">
        <v>5473</v>
      </c>
      <c r="D1641" s="32" t="s">
        <v>3734</v>
      </c>
      <c r="E1641" s="32">
        <v>1990</v>
      </c>
      <c r="F1641" s="32" t="s">
        <v>19</v>
      </c>
      <c r="G1641" s="32" t="s">
        <v>5622</v>
      </c>
      <c r="H1641" s="32" t="s">
        <v>3618</v>
      </c>
      <c r="I1641" s="32" t="s">
        <v>28</v>
      </c>
      <c r="J1641" s="32">
        <v>6199</v>
      </c>
      <c r="K1641" s="32">
        <v>0</v>
      </c>
      <c r="L1641" s="32">
        <v>9422</v>
      </c>
      <c r="M1641" s="32">
        <v>0</v>
      </c>
      <c r="N1641" s="32">
        <v>0</v>
      </c>
      <c r="O1641" s="32">
        <v>0</v>
      </c>
      <c r="P1641" s="32">
        <v>0</v>
      </c>
      <c r="Q1641" s="37">
        <f t="shared" si="50"/>
        <v>15621</v>
      </c>
      <c r="R1641" s="69">
        <f t="shared" si="51"/>
        <v>13277.85</v>
      </c>
      <c r="S1641" s="30"/>
      <c r="T1641" s="30"/>
    </row>
    <row r="1642" spans="1:20" ht="45" customHeight="1" x14ac:dyDescent="0.3">
      <c r="A1642" s="31">
        <v>1630</v>
      </c>
      <c r="B1642" s="32" t="s">
        <v>5410</v>
      </c>
      <c r="C1642" s="32" t="s">
        <v>5474</v>
      </c>
      <c r="D1642" s="32" t="s">
        <v>2521</v>
      </c>
      <c r="E1642" s="32">
        <v>2023</v>
      </c>
      <c r="F1642" s="32" t="s">
        <v>18</v>
      </c>
      <c r="G1642" s="32" t="s">
        <v>2569</v>
      </c>
      <c r="H1642" s="32" t="s">
        <v>2600</v>
      </c>
      <c r="I1642" s="32" t="s">
        <v>2628</v>
      </c>
      <c r="J1642" s="32">
        <v>3793</v>
      </c>
      <c r="K1642" s="32">
        <f>1346+6278+4484</f>
        <v>12108</v>
      </c>
      <c r="L1642" s="32">
        <v>0</v>
      </c>
      <c r="M1642" s="32">
        <v>0</v>
      </c>
      <c r="N1642" s="32">
        <v>3148</v>
      </c>
      <c r="O1642" s="32">
        <v>0</v>
      </c>
      <c r="P1642" s="32">
        <v>0</v>
      </c>
      <c r="Q1642" s="37">
        <f t="shared" si="50"/>
        <v>19049</v>
      </c>
      <c r="R1642" s="69">
        <f t="shared" si="51"/>
        <v>16191.65</v>
      </c>
      <c r="S1642" s="30"/>
      <c r="T1642" s="30"/>
    </row>
    <row r="1643" spans="1:20" ht="45" customHeight="1" x14ac:dyDescent="0.3">
      <c r="A1643" s="36">
        <v>1631</v>
      </c>
      <c r="B1643" s="32" t="s">
        <v>5410</v>
      </c>
      <c r="C1643" s="32" t="s">
        <v>5475</v>
      </c>
      <c r="D1643" s="32" t="s">
        <v>5476</v>
      </c>
      <c r="E1643" s="32">
        <v>1990</v>
      </c>
      <c r="F1643" s="32" t="s">
        <v>18</v>
      </c>
      <c r="G1643" s="32" t="s">
        <v>5623</v>
      </c>
      <c r="H1643" s="32" t="s">
        <v>5698</v>
      </c>
      <c r="I1643" s="32" t="s">
        <v>5399</v>
      </c>
      <c r="J1643" s="32">
        <v>3582</v>
      </c>
      <c r="K1643" s="32">
        <v>0</v>
      </c>
      <c r="L1643" s="32">
        <v>0</v>
      </c>
      <c r="M1643" s="32">
        <v>0</v>
      </c>
      <c r="N1643" s="32">
        <f>15443+21194+13563</f>
        <v>50200</v>
      </c>
      <c r="O1643" s="32">
        <v>0</v>
      </c>
      <c r="P1643" s="32">
        <v>0</v>
      </c>
      <c r="Q1643" s="37">
        <f t="shared" si="50"/>
        <v>53782</v>
      </c>
      <c r="R1643" s="69">
        <f t="shared" si="51"/>
        <v>45714.7</v>
      </c>
      <c r="S1643" s="30"/>
      <c r="T1643" s="30"/>
    </row>
    <row r="1644" spans="1:20" ht="45" customHeight="1" x14ac:dyDescent="0.3">
      <c r="A1644" s="31">
        <v>1632</v>
      </c>
      <c r="B1644" s="32" t="s">
        <v>5410</v>
      </c>
      <c r="C1644" s="32" t="s">
        <v>5477</v>
      </c>
      <c r="D1644" s="32" t="s">
        <v>5478</v>
      </c>
      <c r="E1644" s="32">
        <v>2013</v>
      </c>
      <c r="F1644" s="32" t="s">
        <v>19</v>
      </c>
      <c r="G1644" s="32" t="s">
        <v>5624</v>
      </c>
      <c r="H1644" s="32" t="s">
        <v>5699</v>
      </c>
      <c r="I1644" s="32" t="s">
        <v>5742</v>
      </c>
      <c r="J1644" s="32">
        <v>6199</v>
      </c>
      <c r="K1644" s="32">
        <v>0</v>
      </c>
      <c r="L1644" s="32">
        <v>0</v>
      </c>
      <c r="M1644" s="32">
        <v>0</v>
      </c>
      <c r="N1644" s="32">
        <v>0</v>
      </c>
      <c r="O1644" s="32">
        <v>0</v>
      </c>
      <c r="P1644" s="32">
        <v>0</v>
      </c>
      <c r="Q1644" s="37">
        <f t="shared" si="50"/>
        <v>6199</v>
      </c>
      <c r="R1644" s="69">
        <f t="shared" si="51"/>
        <v>5269.15</v>
      </c>
      <c r="S1644" s="30"/>
      <c r="T1644" s="30"/>
    </row>
    <row r="1645" spans="1:20" ht="45" customHeight="1" x14ac:dyDescent="0.3">
      <c r="A1645" s="31">
        <v>1633</v>
      </c>
      <c r="B1645" s="32" t="s">
        <v>5410</v>
      </c>
      <c r="C1645" s="32" t="s">
        <v>5479</v>
      </c>
      <c r="D1645" s="32" t="s">
        <v>5480</v>
      </c>
      <c r="E1645" s="32">
        <v>1994</v>
      </c>
      <c r="F1645" s="32" t="s">
        <v>18</v>
      </c>
      <c r="G1645" s="32" t="s">
        <v>5625</v>
      </c>
      <c r="H1645" s="32" t="s">
        <v>5625</v>
      </c>
      <c r="I1645" s="32" t="s">
        <v>299</v>
      </c>
      <c r="J1645" s="32">
        <v>6199</v>
      </c>
      <c r="K1645" s="32">
        <f>1346+6278+4484</f>
        <v>12108</v>
      </c>
      <c r="L1645" s="32">
        <v>0</v>
      </c>
      <c r="M1645" s="32">
        <v>0</v>
      </c>
      <c r="N1645" s="32">
        <v>1793</v>
      </c>
      <c r="O1645" s="32">
        <v>0</v>
      </c>
      <c r="P1645" s="32">
        <v>0</v>
      </c>
      <c r="Q1645" s="37">
        <f t="shared" si="50"/>
        <v>20100</v>
      </c>
      <c r="R1645" s="69">
        <f t="shared" si="51"/>
        <v>17085</v>
      </c>
      <c r="S1645" s="30"/>
      <c r="T1645" s="30"/>
    </row>
    <row r="1646" spans="1:20" ht="45" customHeight="1" x14ac:dyDescent="0.3">
      <c r="A1646" s="36">
        <v>1634</v>
      </c>
      <c r="B1646" s="32" t="s">
        <v>5410</v>
      </c>
      <c r="C1646" s="32" t="s">
        <v>5481</v>
      </c>
      <c r="D1646" s="32" t="s">
        <v>5482</v>
      </c>
      <c r="E1646" s="32">
        <v>2014</v>
      </c>
      <c r="F1646" s="32" t="s">
        <v>19</v>
      </c>
      <c r="G1646" s="32" t="s">
        <v>5626</v>
      </c>
      <c r="H1646" s="32" t="s">
        <v>5700</v>
      </c>
      <c r="I1646" s="32" t="s">
        <v>5743</v>
      </c>
      <c r="J1646" s="32">
        <v>3582</v>
      </c>
      <c r="K1646" s="32">
        <v>0</v>
      </c>
      <c r="L1646" s="32">
        <v>0</v>
      </c>
      <c r="M1646" s="32">
        <v>0</v>
      </c>
      <c r="N1646" s="32">
        <f>15443+19239</f>
        <v>34682</v>
      </c>
      <c r="O1646" s="32">
        <v>0</v>
      </c>
      <c r="P1646" s="32">
        <v>0</v>
      </c>
      <c r="Q1646" s="37">
        <f t="shared" si="50"/>
        <v>38264</v>
      </c>
      <c r="R1646" s="69">
        <f t="shared" si="51"/>
        <v>32524.400000000001</v>
      </c>
      <c r="S1646" s="30"/>
      <c r="T1646" s="30"/>
    </row>
    <row r="1647" spans="1:20" ht="45" customHeight="1" x14ac:dyDescent="0.3">
      <c r="A1647" s="31">
        <v>1635</v>
      </c>
      <c r="B1647" s="32" t="s">
        <v>5410</v>
      </c>
      <c r="C1647" s="32" t="s">
        <v>5483</v>
      </c>
      <c r="D1647" s="32" t="s">
        <v>5482</v>
      </c>
      <c r="E1647" s="32">
        <v>2014</v>
      </c>
      <c r="F1647" s="32" t="s">
        <v>19</v>
      </c>
      <c r="G1647" s="32" t="s">
        <v>5626</v>
      </c>
      <c r="H1647" s="32" t="s">
        <v>5700</v>
      </c>
      <c r="I1647" s="32" t="s">
        <v>5743</v>
      </c>
      <c r="J1647" s="32">
        <v>6199</v>
      </c>
      <c r="K1647" s="32">
        <f>1346+6278+4484+1166+2801</f>
        <v>16075</v>
      </c>
      <c r="L1647" s="32">
        <v>0</v>
      </c>
      <c r="M1647" s="32">
        <v>0</v>
      </c>
      <c r="N1647" s="32">
        <v>3148</v>
      </c>
      <c r="O1647" s="32">
        <v>0</v>
      </c>
      <c r="P1647" s="32">
        <v>0</v>
      </c>
      <c r="Q1647" s="37">
        <f t="shared" si="50"/>
        <v>25422</v>
      </c>
      <c r="R1647" s="69">
        <f t="shared" si="51"/>
        <v>21608.7</v>
      </c>
      <c r="S1647" s="30"/>
      <c r="T1647" s="30"/>
    </row>
    <row r="1648" spans="1:20" ht="45" customHeight="1" x14ac:dyDescent="0.3">
      <c r="A1648" s="31">
        <v>1636</v>
      </c>
      <c r="B1648" s="32" t="s">
        <v>5410</v>
      </c>
      <c r="C1648" s="32" t="s">
        <v>5484</v>
      </c>
      <c r="D1648" s="32" t="s">
        <v>5485</v>
      </c>
      <c r="E1648" s="32">
        <v>2021</v>
      </c>
      <c r="F1648" s="32" t="s">
        <v>19</v>
      </c>
      <c r="G1648" s="32" t="s">
        <v>5627</v>
      </c>
      <c r="H1648" s="32" t="s">
        <v>5701</v>
      </c>
      <c r="I1648" s="32" t="s">
        <v>5744</v>
      </c>
      <c r="J1648" s="32">
        <v>6199</v>
      </c>
      <c r="K1648" s="32">
        <v>0</v>
      </c>
      <c r="L1648" s="32">
        <v>0</v>
      </c>
      <c r="M1648" s="32">
        <v>0</v>
      </c>
      <c r="N1648" s="32">
        <v>0</v>
      </c>
      <c r="O1648" s="32">
        <v>0</v>
      </c>
      <c r="P1648" s="32">
        <v>0</v>
      </c>
      <c r="Q1648" s="37">
        <f t="shared" si="50"/>
        <v>6199</v>
      </c>
      <c r="R1648" s="69">
        <f t="shared" si="51"/>
        <v>5269.15</v>
      </c>
      <c r="S1648" s="30"/>
      <c r="T1648" s="30"/>
    </row>
    <row r="1649" spans="1:20" ht="45" customHeight="1" x14ac:dyDescent="0.3">
      <c r="A1649" s="36">
        <v>1637</v>
      </c>
      <c r="B1649" s="32" t="s">
        <v>5410</v>
      </c>
      <c r="C1649" s="32" t="s">
        <v>5486</v>
      </c>
      <c r="D1649" s="32" t="s">
        <v>5487</v>
      </c>
      <c r="E1649" s="32">
        <v>2020</v>
      </c>
      <c r="F1649" s="32" t="s">
        <v>19</v>
      </c>
      <c r="G1649" s="32" t="s">
        <v>5628</v>
      </c>
      <c r="H1649" s="32" t="s">
        <v>5701</v>
      </c>
      <c r="I1649" s="32" t="s">
        <v>5745</v>
      </c>
      <c r="J1649" s="32">
        <v>6199</v>
      </c>
      <c r="K1649" s="32">
        <v>0</v>
      </c>
      <c r="L1649" s="32">
        <v>0</v>
      </c>
      <c r="M1649" s="32">
        <v>0</v>
      </c>
      <c r="N1649" s="32">
        <v>0</v>
      </c>
      <c r="O1649" s="32">
        <v>0</v>
      </c>
      <c r="P1649" s="32">
        <v>0</v>
      </c>
      <c r="Q1649" s="37">
        <f t="shared" si="50"/>
        <v>6199</v>
      </c>
      <c r="R1649" s="69">
        <f t="shared" si="51"/>
        <v>5269.15</v>
      </c>
      <c r="S1649" s="30"/>
      <c r="T1649" s="30"/>
    </row>
    <row r="1650" spans="1:20" ht="45" customHeight="1" x14ac:dyDescent="0.3">
      <c r="A1650" s="31">
        <v>1638</v>
      </c>
      <c r="B1650" s="32" t="s">
        <v>5410</v>
      </c>
      <c r="C1650" s="32" t="s">
        <v>5488</v>
      </c>
      <c r="D1650" s="32" t="s">
        <v>5489</v>
      </c>
      <c r="E1650" s="32">
        <v>1978</v>
      </c>
      <c r="F1650" s="32" t="s">
        <v>19</v>
      </c>
      <c r="G1650" s="32" t="s">
        <v>5629</v>
      </c>
      <c r="H1650" s="32" t="s">
        <v>5629</v>
      </c>
      <c r="I1650" s="32" t="s">
        <v>565</v>
      </c>
      <c r="J1650" s="32">
        <v>6199</v>
      </c>
      <c r="K1650" s="32">
        <v>0</v>
      </c>
      <c r="L1650" s="32">
        <v>0</v>
      </c>
      <c r="M1650" s="32">
        <v>0</v>
      </c>
      <c r="N1650" s="32">
        <v>0</v>
      </c>
      <c r="O1650" s="32">
        <v>0</v>
      </c>
      <c r="P1650" s="32">
        <v>0</v>
      </c>
      <c r="Q1650" s="37">
        <f t="shared" si="50"/>
        <v>6199</v>
      </c>
      <c r="R1650" s="69">
        <f t="shared" si="51"/>
        <v>5269.15</v>
      </c>
      <c r="S1650" s="30"/>
      <c r="T1650" s="30"/>
    </row>
    <row r="1651" spans="1:20" ht="45" customHeight="1" x14ac:dyDescent="0.3">
      <c r="A1651" s="31">
        <v>1639</v>
      </c>
      <c r="B1651" s="32" t="s">
        <v>5410</v>
      </c>
      <c r="C1651" s="32" t="s">
        <v>5490</v>
      </c>
      <c r="D1651" s="32" t="s">
        <v>5491</v>
      </c>
      <c r="E1651" s="32">
        <v>2025</v>
      </c>
      <c r="F1651" s="32" t="s">
        <v>18</v>
      </c>
      <c r="G1651" s="32" t="s">
        <v>5630</v>
      </c>
      <c r="H1651" s="32" t="s">
        <v>5702</v>
      </c>
      <c r="I1651" s="32" t="s">
        <v>5746</v>
      </c>
      <c r="J1651" s="32">
        <v>6199</v>
      </c>
      <c r="K1651" s="32">
        <f>6278+4484</f>
        <v>10762</v>
      </c>
      <c r="L1651" s="32">
        <v>0</v>
      </c>
      <c r="M1651" s="32">
        <v>0</v>
      </c>
      <c r="N1651" s="32">
        <v>3148</v>
      </c>
      <c r="O1651" s="32">
        <v>0</v>
      </c>
      <c r="P1651" s="32">
        <v>0</v>
      </c>
      <c r="Q1651" s="37">
        <f t="shared" si="50"/>
        <v>20109</v>
      </c>
      <c r="R1651" s="69">
        <f t="shared" si="51"/>
        <v>17092.650000000001</v>
      </c>
      <c r="S1651" s="30"/>
      <c r="T1651" s="30"/>
    </row>
    <row r="1652" spans="1:20" ht="45" customHeight="1" x14ac:dyDescent="0.3">
      <c r="A1652" s="36">
        <v>1640</v>
      </c>
      <c r="B1652" s="32" t="s">
        <v>5410</v>
      </c>
      <c r="C1652" s="32" t="s">
        <v>5492</v>
      </c>
      <c r="D1652" s="32" t="s">
        <v>5493</v>
      </c>
      <c r="E1652" s="32">
        <v>1979</v>
      </c>
      <c r="F1652" s="32" t="s">
        <v>19</v>
      </c>
      <c r="G1652" s="32" t="s">
        <v>5631</v>
      </c>
      <c r="H1652" s="32" t="s">
        <v>5703</v>
      </c>
      <c r="I1652" s="32" t="s">
        <v>5747</v>
      </c>
      <c r="J1652" s="32">
        <v>6199</v>
      </c>
      <c r="K1652" s="32">
        <f>2332+2332+2243</f>
        <v>6907</v>
      </c>
      <c r="L1652" s="32">
        <v>0</v>
      </c>
      <c r="M1652" s="32">
        <v>0</v>
      </c>
      <c r="N1652" s="32">
        <v>0</v>
      </c>
      <c r="O1652" s="32">
        <v>0</v>
      </c>
      <c r="P1652" s="32">
        <v>0</v>
      </c>
      <c r="Q1652" s="37">
        <f t="shared" si="50"/>
        <v>13106</v>
      </c>
      <c r="R1652" s="69">
        <f t="shared" si="51"/>
        <v>11140.1</v>
      </c>
      <c r="S1652" s="30"/>
      <c r="T1652" s="30"/>
    </row>
    <row r="1653" spans="1:20" ht="45" customHeight="1" x14ac:dyDescent="0.3">
      <c r="A1653" s="31">
        <v>1641</v>
      </c>
      <c r="B1653" s="32" t="s">
        <v>5410</v>
      </c>
      <c r="C1653" s="32" t="s">
        <v>5494</v>
      </c>
      <c r="D1653" s="32" t="s">
        <v>5495</v>
      </c>
      <c r="E1653" s="32">
        <v>2014</v>
      </c>
      <c r="F1653" s="32" t="s">
        <v>19</v>
      </c>
      <c r="G1653" s="32" t="s">
        <v>5632</v>
      </c>
      <c r="H1653" s="32" t="s">
        <v>5703</v>
      </c>
      <c r="I1653" s="32" t="s">
        <v>5748</v>
      </c>
      <c r="J1653" s="32">
        <v>6199</v>
      </c>
      <c r="K1653" s="32">
        <f>1346+6278+4484</f>
        <v>12108</v>
      </c>
      <c r="L1653" s="32">
        <v>0</v>
      </c>
      <c r="M1653" s="32">
        <v>0</v>
      </c>
      <c r="N1653" s="32">
        <v>3148</v>
      </c>
      <c r="O1653" s="32">
        <v>0</v>
      </c>
      <c r="P1653" s="32">
        <v>0</v>
      </c>
      <c r="Q1653" s="37">
        <f t="shared" si="50"/>
        <v>21455</v>
      </c>
      <c r="R1653" s="69">
        <f t="shared" si="51"/>
        <v>18236.75</v>
      </c>
      <c r="S1653" s="30"/>
      <c r="T1653" s="30"/>
    </row>
    <row r="1654" spans="1:20" ht="45" customHeight="1" x14ac:dyDescent="0.3">
      <c r="A1654" s="31">
        <v>1642</v>
      </c>
      <c r="B1654" s="32" t="s">
        <v>5410</v>
      </c>
      <c r="C1654" s="32" t="s">
        <v>5496</v>
      </c>
      <c r="D1654" s="32" t="s">
        <v>2490</v>
      </c>
      <c r="E1654" s="32">
        <v>2022</v>
      </c>
      <c r="F1654" s="32" t="s">
        <v>19</v>
      </c>
      <c r="G1654" s="32" t="s">
        <v>2555</v>
      </c>
      <c r="H1654" s="32" t="s">
        <v>2587</v>
      </c>
      <c r="I1654" s="32" t="s">
        <v>2618</v>
      </c>
      <c r="J1654" s="32">
        <v>0</v>
      </c>
      <c r="K1654" s="32">
        <f>1346+6278+4484+4484+2332+2332+2332+2332+2332+2332+6995+6995+2332+6995</f>
        <v>53901</v>
      </c>
      <c r="L1654" s="32">
        <v>0</v>
      </c>
      <c r="M1654" s="32">
        <v>0</v>
      </c>
      <c r="N1654" s="32">
        <f>3148+4053+1178</f>
        <v>8379</v>
      </c>
      <c r="O1654" s="32">
        <v>0</v>
      </c>
      <c r="P1654" s="32">
        <f>120+720+1080+360+56</f>
        <v>2336</v>
      </c>
      <c r="Q1654" s="35">
        <f t="shared" si="50"/>
        <v>64616</v>
      </c>
      <c r="R1654" s="69">
        <f t="shared" si="51"/>
        <v>54923.6</v>
      </c>
      <c r="S1654" s="30"/>
      <c r="T1654" s="30"/>
    </row>
    <row r="1655" spans="1:20" ht="45" customHeight="1" x14ac:dyDescent="0.3">
      <c r="A1655" s="36">
        <v>1643</v>
      </c>
      <c r="B1655" s="32" t="s">
        <v>5410</v>
      </c>
      <c r="C1655" s="32" t="s">
        <v>5496</v>
      </c>
      <c r="D1655" s="32" t="s">
        <v>2490</v>
      </c>
      <c r="E1655" s="32">
        <v>2022</v>
      </c>
      <c r="F1655" s="32" t="s">
        <v>19</v>
      </c>
      <c r="G1655" s="32" t="s">
        <v>2555</v>
      </c>
      <c r="H1655" s="32" t="s">
        <v>2587</v>
      </c>
      <c r="I1655" s="32" t="s">
        <v>2618</v>
      </c>
      <c r="J1655" s="32">
        <v>0</v>
      </c>
      <c r="K1655" s="32">
        <v>0</v>
      </c>
      <c r="L1655" s="32">
        <v>0</v>
      </c>
      <c r="M1655" s="32">
        <v>17688</v>
      </c>
      <c r="N1655" s="32">
        <v>2088</v>
      </c>
      <c r="O1655" s="32">
        <v>0</v>
      </c>
      <c r="P1655" s="32">
        <f>360+56</f>
        <v>416</v>
      </c>
      <c r="Q1655" s="35">
        <f t="shared" si="50"/>
        <v>20192</v>
      </c>
      <c r="R1655" s="69">
        <f t="shared" si="51"/>
        <v>17163.2</v>
      </c>
      <c r="S1655" s="30"/>
      <c r="T1655" s="30"/>
    </row>
    <row r="1656" spans="1:20" ht="45" customHeight="1" x14ac:dyDescent="0.3">
      <c r="A1656" s="31">
        <v>1644</v>
      </c>
      <c r="B1656" s="32" t="s">
        <v>5410</v>
      </c>
      <c r="C1656" s="32" t="s">
        <v>5497</v>
      </c>
      <c r="D1656" s="32" t="s">
        <v>5498</v>
      </c>
      <c r="E1656" s="32">
        <v>1980</v>
      </c>
      <c r="F1656" s="32" t="s">
        <v>19</v>
      </c>
      <c r="G1656" s="32" t="s">
        <v>5633</v>
      </c>
      <c r="H1656" s="32" t="s">
        <v>5633</v>
      </c>
      <c r="I1656" s="32" t="s">
        <v>290</v>
      </c>
      <c r="J1656" s="32">
        <v>6199</v>
      </c>
      <c r="K1656" s="32">
        <f>6278+2332+2801+1166+6995+2332+2332+2332+2332+2332</f>
        <v>31232</v>
      </c>
      <c r="L1656" s="32">
        <v>0</v>
      </c>
      <c r="M1656" s="32">
        <v>0</v>
      </c>
      <c r="N1656" s="32">
        <v>1793</v>
      </c>
      <c r="O1656" s="32">
        <v>0</v>
      </c>
      <c r="P1656" s="32">
        <v>0</v>
      </c>
      <c r="Q1656" s="37">
        <f t="shared" si="50"/>
        <v>39224</v>
      </c>
      <c r="R1656" s="69">
        <f t="shared" si="51"/>
        <v>33340.400000000001</v>
      </c>
      <c r="S1656" s="30"/>
      <c r="T1656" s="30"/>
    </row>
    <row r="1657" spans="1:20" ht="45" customHeight="1" x14ac:dyDescent="0.3">
      <c r="A1657" s="31">
        <v>1645</v>
      </c>
      <c r="B1657" s="32" t="s">
        <v>5410</v>
      </c>
      <c r="C1657" s="32" t="s">
        <v>5499</v>
      </c>
      <c r="D1657" s="32" t="s">
        <v>5500</v>
      </c>
      <c r="E1657" s="32">
        <v>2024</v>
      </c>
      <c r="F1657" s="32" t="s">
        <v>18</v>
      </c>
      <c r="G1657" s="32" t="s">
        <v>5634</v>
      </c>
      <c r="H1657" s="32" t="s">
        <v>5704</v>
      </c>
      <c r="I1657" s="32" t="s">
        <v>1046</v>
      </c>
      <c r="J1657" s="32">
        <v>6199</v>
      </c>
      <c r="K1657" s="32">
        <f>6278+4484+1346</f>
        <v>12108</v>
      </c>
      <c r="L1657" s="32">
        <v>0</v>
      </c>
      <c r="M1657" s="32">
        <v>0</v>
      </c>
      <c r="N1657" s="32">
        <v>3148</v>
      </c>
      <c r="O1657" s="32">
        <v>0</v>
      </c>
      <c r="P1657" s="32">
        <v>0</v>
      </c>
      <c r="Q1657" s="37">
        <f t="shared" si="50"/>
        <v>21455</v>
      </c>
      <c r="R1657" s="69">
        <f t="shared" si="51"/>
        <v>18236.75</v>
      </c>
      <c r="S1657" s="30"/>
      <c r="T1657" s="30"/>
    </row>
    <row r="1658" spans="1:20" ht="45" customHeight="1" x14ac:dyDescent="0.3">
      <c r="A1658" s="36">
        <v>1646</v>
      </c>
      <c r="B1658" s="32" t="s">
        <v>5410</v>
      </c>
      <c r="C1658" s="32" t="s">
        <v>5501</v>
      </c>
      <c r="D1658" s="32" t="s">
        <v>5502</v>
      </c>
      <c r="E1658" s="32">
        <v>2021</v>
      </c>
      <c r="F1658" s="32" t="s">
        <v>19</v>
      </c>
      <c r="G1658" s="32" t="s">
        <v>5635</v>
      </c>
      <c r="H1658" s="32" t="s">
        <v>5705</v>
      </c>
      <c r="I1658" s="32" t="s">
        <v>5749</v>
      </c>
      <c r="J1658" s="32">
        <v>6199</v>
      </c>
      <c r="K1658" s="32">
        <f>6278+4484+1346+4484+2332+2332+2332+2332+2332+2332+6995+6995+2332+6995</f>
        <v>53901</v>
      </c>
      <c r="L1658" s="32">
        <v>0</v>
      </c>
      <c r="M1658" s="32">
        <v>0</v>
      </c>
      <c r="N1658" s="32">
        <v>3148</v>
      </c>
      <c r="O1658" s="32">
        <v>0</v>
      </c>
      <c r="P1658" s="32">
        <v>0</v>
      </c>
      <c r="Q1658" s="37">
        <f t="shared" si="50"/>
        <v>63248</v>
      </c>
      <c r="R1658" s="69">
        <f t="shared" si="51"/>
        <v>53760.800000000003</v>
      </c>
      <c r="S1658" s="30"/>
      <c r="T1658" s="30"/>
    </row>
    <row r="1659" spans="1:20" ht="45" customHeight="1" x14ac:dyDescent="0.3">
      <c r="A1659" s="31">
        <v>1647</v>
      </c>
      <c r="B1659" s="32" t="s">
        <v>5410</v>
      </c>
      <c r="C1659" s="32" t="s">
        <v>5503</v>
      </c>
      <c r="D1659" s="32" t="s">
        <v>5504</v>
      </c>
      <c r="E1659" s="32">
        <v>2021</v>
      </c>
      <c r="F1659" s="32" t="s">
        <v>19</v>
      </c>
      <c r="G1659" s="32" t="s">
        <v>5636</v>
      </c>
      <c r="H1659" s="32" t="s">
        <v>5706</v>
      </c>
      <c r="I1659" s="32" t="s">
        <v>5750</v>
      </c>
      <c r="J1659" s="32">
        <v>6199</v>
      </c>
      <c r="K1659" s="32">
        <f>1346+6278+4484+4484+2332+2332+2332+2332+2332+2332+6995+6995+2332+6995</f>
        <v>53901</v>
      </c>
      <c r="L1659" s="32">
        <v>0</v>
      </c>
      <c r="M1659" s="32">
        <v>0</v>
      </c>
      <c r="N1659" s="32">
        <v>3148</v>
      </c>
      <c r="O1659" s="32">
        <v>0</v>
      </c>
      <c r="P1659" s="32">
        <v>0</v>
      </c>
      <c r="Q1659" s="37">
        <f t="shared" si="50"/>
        <v>63248</v>
      </c>
      <c r="R1659" s="69">
        <f t="shared" si="51"/>
        <v>53760.800000000003</v>
      </c>
      <c r="S1659" s="30"/>
      <c r="T1659" s="30"/>
    </row>
    <row r="1660" spans="1:20" ht="45" customHeight="1" x14ac:dyDescent="0.3">
      <c r="A1660" s="31">
        <v>1648</v>
      </c>
      <c r="B1660" s="32" t="s">
        <v>5410</v>
      </c>
      <c r="C1660" s="32" t="s">
        <v>5505</v>
      </c>
      <c r="D1660" s="32" t="s">
        <v>5506</v>
      </c>
      <c r="E1660" s="32">
        <v>1997</v>
      </c>
      <c r="F1660" s="32" t="s">
        <v>19</v>
      </c>
      <c r="G1660" s="32" t="s">
        <v>5637</v>
      </c>
      <c r="H1660" s="32" t="s">
        <v>5637</v>
      </c>
      <c r="I1660" s="32" t="s">
        <v>861</v>
      </c>
      <c r="J1660" s="32">
        <v>6199</v>
      </c>
      <c r="K1660" s="32">
        <v>0</v>
      </c>
      <c r="L1660" s="32">
        <v>0</v>
      </c>
      <c r="M1660" s="32">
        <v>0</v>
      </c>
      <c r="N1660" s="32">
        <f>3179+1178</f>
        <v>4357</v>
      </c>
      <c r="O1660" s="32">
        <v>0</v>
      </c>
      <c r="P1660" s="32">
        <v>660</v>
      </c>
      <c r="Q1660" s="37">
        <f t="shared" si="50"/>
        <v>11216</v>
      </c>
      <c r="R1660" s="69">
        <f t="shared" si="51"/>
        <v>9533.6</v>
      </c>
      <c r="S1660" s="30"/>
      <c r="T1660" s="30"/>
    </row>
    <row r="1661" spans="1:20" ht="45" customHeight="1" x14ac:dyDescent="0.3">
      <c r="A1661" s="36">
        <v>1649</v>
      </c>
      <c r="B1661" s="32" t="s">
        <v>5410</v>
      </c>
      <c r="C1661" s="32" t="s">
        <v>5507</v>
      </c>
      <c r="D1661" s="32" t="s">
        <v>2892</v>
      </c>
      <c r="E1661" s="32">
        <v>1988</v>
      </c>
      <c r="F1661" s="32" t="s">
        <v>19</v>
      </c>
      <c r="G1661" s="32" t="s">
        <v>3001</v>
      </c>
      <c r="H1661" s="32" t="s">
        <v>2825</v>
      </c>
      <c r="I1661" s="32" t="s">
        <v>24</v>
      </c>
      <c r="J1661" s="32">
        <v>3793</v>
      </c>
      <c r="K1661" s="32">
        <v>0</v>
      </c>
      <c r="L1661" s="32">
        <v>0</v>
      </c>
      <c r="M1661" s="32">
        <v>0</v>
      </c>
      <c r="N1661" s="32">
        <v>0</v>
      </c>
      <c r="O1661" s="32">
        <v>0</v>
      </c>
      <c r="P1661" s="32">
        <v>0</v>
      </c>
      <c r="Q1661" s="37">
        <f t="shared" si="50"/>
        <v>3793</v>
      </c>
      <c r="R1661" s="69">
        <f t="shared" si="51"/>
        <v>3224.05</v>
      </c>
      <c r="S1661" s="30"/>
      <c r="T1661" s="30"/>
    </row>
    <row r="1662" spans="1:20" ht="45" customHeight="1" x14ac:dyDescent="0.3">
      <c r="A1662" s="31">
        <v>1650</v>
      </c>
      <c r="B1662" s="32" t="s">
        <v>5410</v>
      </c>
      <c r="C1662" s="32" t="s">
        <v>5508</v>
      </c>
      <c r="D1662" s="32" t="s">
        <v>5509</v>
      </c>
      <c r="E1662" s="32">
        <v>1970</v>
      </c>
      <c r="F1662" s="32" t="s">
        <v>18</v>
      </c>
      <c r="G1662" s="32" t="s">
        <v>5638</v>
      </c>
      <c r="H1662" s="32" t="s">
        <v>5707</v>
      </c>
      <c r="I1662" s="32" t="s">
        <v>5751</v>
      </c>
      <c r="J1662" s="32">
        <v>3582</v>
      </c>
      <c r="K1662" s="32">
        <v>0</v>
      </c>
      <c r="L1662" s="32">
        <v>0</v>
      </c>
      <c r="M1662" s="32">
        <v>0</v>
      </c>
      <c r="N1662" s="32">
        <f>15443+21194+13563</f>
        <v>50200</v>
      </c>
      <c r="O1662" s="32">
        <v>0</v>
      </c>
      <c r="P1662" s="32">
        <v>0</v>
      </c>
      <c r="Q1662" s="37">
        <f t="shared" si="50"/>
        <v>53782</v>
      </c>
      <c r="R1662" s="69">
        <f t="shared" si="51"/>
        <v>45714.7</v>
      </c>
      <c r="S1662" s="30"/>
      <c r="T1662" s="30"/>
    </row>
    <row r="1663" spans="1:20" ht="45" customHeight="1" x14ac:dyDescent="0.3">
      <c r="A1663" s="31">
        <v>1651</v>
      </c>
      <c r="B1663" s="32" t="s">
        <v>5410</v>
      </c>
      <c r="C1663" s="32" t="s">
        <v>5510</v>
      </c>
      <c r="D1663" s="32" t="s">
        <v>5511</v>
      </c>
      <c r="E1663" s="32">
        <v>2000</v>
      </c>
      <c r="F1663" s="32" t="s">
        <v>19</v>
      </c>
      <c r="G1663" s="32" t="s">
        <v>5639</v>
      </c>
      <c r="H1663" s="32" t="s">
        <v>5639</v>
      </c>
      <c r="I1663" s="32" t="s">
        <v>5752</v>
      </c>
      <c r="J1663" s="32">
        <v>6199</v>
      </c>
      <c r="K1663" s="32">
        <f>2332+2332+2243</f>
        <v>6907</v>
      </c>
      <c r="L1663" s="32">
        <v>0</v>
      </c>
      <c r="M1663" s="32">
        <v>0</v>
      </c>
      <c r="N1663" s="32">
        <v>0</v>
      </c>
      <c r="O1663" s="32">
        <v>0</v>
      </c>
      <c r="P1663" s="32">
        <v>0</v>
      </c>
      <c r="Q1663" s="37">
        <f t="shared" si="50"/>
        <v>13106</v>
      </c>
      <c r="R1663" s="69">
        <f t="shared" si="51"/>
        <v>11140.1</v>
      </c>
      <c r="S1663" s="30"/>
      <c r="T1663" s="30"/>
    </row>
    <row r="1664" spans="1:20" ht="45" customHeight="1" x14ac:dyDescent="0.3">
      <c r="A1664" s="36">
        <v>1652</v>
      </c>
      <c r="B1664" s="32" t="s">
        <v>5410</v>
      </c>
      <c r="C1664" s="32" t="s">
        <v>5512</v>
      </c>
      <c r="D1664" s="32" t="s">
        <v>5513</v>
      </c>
      <c r="E1664" s="32">
        <v>1988</v>
      </c>
      <c r="F1664" s="32" t="s">
        <v>19</v>
      </c>
      <c r="G1664" s="32" t="s">
        <v>5640</v>
      </c>
      <c r="H1664" s="32" t="s">
        <v>5708</v>
      </c>
      <c r="I1664" s="32" t="s">
        <v>4618</v>
      </c>
      <c r="J1664" s="32">
        <v>6199</v>
      </c>
      <c r="K1664" s="32">
        <f>6278+6995+3228+2332+2332+2243+1166+2332+2332+2332</f>
        <v>31570</v>
      </c>
      <c r="L1664" s="32">
        <v>0</v>
      </c>
      <c r="M1664" s="32">
        <v>0</v>
      </c>
      <c r="N1664" s="32">
        <v>1793</v>
      </c>
      <c r="O1664" s="32">
        <v>0</v>
      </c>
      <c r="P1664" s="32">
        <v>0</v>
      </c>
      <c r="Q1664" s="37">
        <f t="shared" si="50"/>
        <v>39562</v>
      </c>
      <c r="R1664" s="69">
        <f t="shared" si="51"/>
        <v>33627.699999999997</v>
      </c>
      <c r="S1664" s="30"/>
      <c r="T1664" s="30"/>
    </row>
    <row r="1665" spans="1:20" ht="45" customHeight="1" x14ac:dyDescent="0.3">
      <c r="A1665" s="31">
        <v>1653</v>
      </c>
      <c r="B1665" s="32" t="s">
        <v>5410</v>
      </c>
      <c r="C1665" s="32" t="s">
        <v>5514</v>
      </c>
      <c r="D1665" s="32" t="s">
        <v>5515</v>
      </c>
      <c r="E1665" s="32">
        <v>1981</v>
      </c>
      <c r="F1665" s="32" t="s">
        <v>19</v>
      </c>
      <c r="G1665" s="32" t="s">
        <v>5641</v>
      </c>
      <c r="H1665" s="32" t="s">
        <v>5641</v>
      </c>
      <c r="I1665" s="32" t="s">
        <v>1262</v>
      </c>
      <c r="J1665" s="32">
        <v>6199</v>
      </c>
      <c r="K1665" s="32">
        <v>0</v>
      </c>
      <c r="L1665" s="32">
        <v>0</v>
      </c>
      <c r="M1665" s="32">
        <v>0</v>
      </c>
      <c r="N1665" s="32">
        <v>0</v>
      </c>
      <c r="O1665" s="32">
        <v>0</v>
      </c>
      <c r="P1665" s="32">
        <v>0</v>
      </c>
      <c r="Q1665" s="37">
        <f t="shared" si="50"/>
        <v>6199</v>
      </c>
      <c r="R1665" s="69">
        <f t="shared" si="51"/>
        <v>5269.15</v>
      </c>
      <c r="S1665" s="30"/>
      <c r="T1665" s="30"/>
    </row>
    <row r="1666" spans="1:20" ht="45" customHeight="1" x14ac:dyDescent="0.3">
      <c r="A1666" s="31">
        <v>1654</v>
      </c>
      <c r="B1666" s="32" t="s">
        <v>5410</v>
      </c>
      <c r="C1666" s="32" t="s">
        <v>5516</v>
      </c>
      <c r="D1666" s="32" t="s">
        <v>5517</v>
      </c>
      <c r="E1666" s="32">
        <v>2024</v>
      </c>
      <c r="F1666" s="32" t="s">
        <v>18</v>
      </c>
      <c r="G1666" s="32" t="s">
        <v>5642</v>
      </c>
      <c r="H1666" s="32" t="s">
        <v>497</v>
      </c>
      <c r="I1666" s="32" t="s">
        <v>5753</v>
      </c>
      <c r="J1666" s="32">
        <v>6199</v>
      </c>
      <c r="K1666" s="32">
        <v>0</v>
      </c>
      <c r="L1666" s="32">
        <v>0</v>
      </c>
      <c r="M1666" s="32">
        <v>0</v>
      </c>
      <c r="N1666" s="32">
        <v>0</v>
      </c>
      <c r="O1666" s="32">
        <v>0</v>
      </c>
      <c r="P1666" s="32">
        <v>0</v>
      </c>
      <c r="Q1666" s="37">
        <f t="shared" si="50"/>
        <v>6199</v>
      </c>
      <c r="R1666" s="69">
        <f t="shared" si="51"/>
        <v>5269.15</v>
      </c>
      <c r="S1666" s="30"/>
      <c r="T1666" s="30"/>
    </row>
    <row r="1667" spans="1:20" ht="45" customHeight="1" x14ac:dyDescent="0.3">
      <c r="A1667" s="36">
        <v>1655</v>
      </c>
      <c r="B1667" s="32" t="s">
        <v>5410</v>
      </c>
      <c r="C1667" s="32" t="s">
        <v>5518</v>
      </c>
      <c r="D1667" s="32" t="s">
        <v>5519</v>
      </c>
      <c r="E1667" s="32">
        <v>2024</v>
      </c>
      <c r="F1667" s="32" t="s">
        <v>18</v>
      </c>
      <c r="G1667" s="32" t="s">
        <v>5643</v>
      </c>
      <c r="H1667" s="32" t="s">
        <v>5709</v>
      </c>
      <c r="I1667" s="32" t="s">
        <v>1046</v>
      </c>
      <c r="J1667" s="32">
        <v>6199</v>
      </c>
      <c r="K1667" s="32">
        <f>1346+6278+4484</f>
        <v>12108</v>
      </c>
      <c r="L1667" s="32">
        <v>0</v>
      </c>
      <c r="M1667" s="32">
        <v>0</v>
      </c>
      <c r="N1667" s="32">
        <v>3148</v>
      </c>
      <c r="O1667" s="32">
        <v>0</v>
      </c>
      <c r="P1667" s="32">
        <v>0</v>
      </c>
      <c r="Q1667" s="37">
        <f t="shared" si="50"/>
        <v>21455</v>
      </c>
      <c r="R1667" s="69">
        <f t="shared" si="51"/>
        <v>18236.75</v>
      </c>
      <c r="S1667" s="30"/>
      <c r="T1667" s="30"/>
    </row>
    <row r="1668" spans="1:20" ht="45" customHeight="1" x14ac:dyDescent="0.3">
      <c r="A1668" s="31">
        <v>1656</v>
      </c>
      <c r="B1668" s="32" t="s">
        <v>5410</v>
      </c>
      <c r="C1668" s="32" t="s">
        <v>5520</v>
      </c>
      <c r="D1668" s="32" t="s">
        <v>5521</v>
      </c>
      <c r="E1668" s="32">
        <v>2002</v>
      </c>
      <c r="F1668" s="32" t="s">
        <v>19</v>
      </c>
      <c r="G1668" s="32" t="s">
        <v>5644</v>
      </c>
      <c r="H1668" s="32" t="s">
        <v>5710</v>
      </c>
      <c r="I1668" s="32" t="s">
        <v>5754</v>
      </c>
      <c r="J1668" s="32">
        <v>6199</v>
      </c>
      <c r="K1668" s="32">
        <f>1346+6278+4484+2332+2332+2332+2332+2332</f>
        <v>23768</v>
      </c>
      <c r="L1668" s="32">
        <f>20807+13298</f>
        <v>34105</v>
      </c>
      <c r="M1668" s="32">
        <v>0</v>
      </c>
      <c r="N1668" s="32">
        <v>1793</v>
      </c>
      <c r="O1668" s="32">
        <v>0</v>
      </c>
      <c r="P1668" s="32">
        <v>0</v>
      </c>
      <c r="Q1668" s="37">
        <f t="shared" si="50"/>
        <v>65865</v>
      </c>
      <c r="R1668" s="69">
        <f t="shared" si="51"/>
        <v>55985.25</v>
      </c>
      <c r="S1668" s="30"/>
      <c r="T1668" s="30"/>
    </row>
    <row r="1669" spans="1:20" s="41" customFormat="1" ht="45" customHeight="1" x14ac:dyDescent="0.3">
      <c r="A1669" s="31">
        <v>1657</v>
      </c>
      <c r="B1669" s="38" t="s">
        <v>5410</v>
      </c>
      <c r="C1669" s="38" t="s">
        <v>5522</v>
      </c>
      <c r="D1669" s="38" t="s">
        <v>5523</v>
      </c>
      <c r="E1669" s="38">
        <v>1990</v>
      </c>
      <c r="F1669" s="38" t="s">
        <v>19</v>
      </c>
      <c r="G1669" s="38" t="s">
        <v>5645</v>
      </c>
      <c r="H1669" s="38" t="s">
        <v>5645</v>
      </c>
      <c r="I1669" s="38" t="s">
        <v>5755</v>
      </c>
      <c r="J1669" s="38">
        <v>6199</v>
      </c>
      <c r="K1669" s="38">
        <v>0</v>
      </c>
      <c r="L1669" s="38">
        <v>0</v>
      </c>
      <c r="M1669" s="38">
        <v>0</v>
      </c>
      <c r="N1669" s="38">
        <v>0</v>
      </c>
      <c r="O1669" s="38">
        <v>0</v>
      </c>
      <c r="P1669" s="38">
        <v>0</v>
      </c>
      <c r="Q1669" s="37">
        <f t="shared" si="50"/>
        <v>6199</v>
      </c>
      <c r="R1669" s="69">
        <f t="shared" si="51"/>
        <v>5269.15</v>
      </c>
      <c r="S1669" s="40"/>
      <c r="T1669" s="40"/>
    </row>
    <row r="1670" spans="1:20" ht="45" customHeight="1" x14ac:dyDescent="0.3">
      <c r="A1670" s="36">
        <v>1658</v>
      </c>
      <c r="B1670" s="32" t="s">
        <v>5410</v>
      </c>
      <c r="C1670" s="32" t="s">
        <v>5524</v>
      </c>
      <c r="D1670" s="32" t="s">
        <v>5525</v>
      </c>
      <c r="E1670" s="32">
        <v>2023</v>
      </c>
      <c r="F1670" s="32" t="s">
        <v>19</v>
      </c>
      <c r="G1670" s="32" t="s">
        <v>5646</v>
      </c>
      <c r="H1670" s="32" t="s">
        <v>4609</v>
      </c>
      <c r="I1670" s="32" t="s">
        <v>5756</v>
      </c>
      <c r="J1670" s="32">
        <v>6199</v>
      </c>
      <c r="K1670" s="32">
        <f>1346+6278+4484</f>
        <v>12108</v>
      </c>
      <c r="L1670" s="32">
        <v>0</v>
      </c>
      <c r="M1670" s="32">
        <v>0</v>
      </c>
      <c r="N1670" s="32">
        <v>3148</v>
      </c>
      <c r="O1670" s="32">
        <v>0</v>
      </c>
      <c r="P1670" s="32">
        <v>0</v>
      </c>
      <c r="Q1670" s="37">
        <f t="shared" si="50"/>
        <v>21455</v>
      </c>
      <c r="R1670" s="69">
        <f t="shared" si="51"/>
        <v>18236.75</v>
      </c>
      <c r="S1670" s="30"/>
      <c r="T1670" s="30"/>
    </row>
    <row r="1671" spans="1:20" s="41" customFormat="1" ht="45" customHeight="1" x14ac:dyDescent="0.3">
      <c r="A1671" s="31">
        <v>1659</v>
      </c>
      <c r="B1671" s="38" t="s">
        <v>5410</v>
      </c>
      <c r="C1671" s="38" t="s">
        <v>5526</v>
      </c>
      <c r="D1671" s="38" t="s">
        <v>5527</v>
      </c>
      <c r="E1671" s="38">
        <v>2024</v>
      </c>
      <c r="F1671" s="38" t="s">
        <v>19</v>
      </c>
      <c r="G1671" s="38" t="s">
        <v>5647</v>
      </c>
      <c r="H1671" s="38" t="s">
        <v>5711</v>
      </c>
      <c r="I1671" s="38" t="s">
        <v>5757</v>
      </c>
      <c r="J1671" s="38">
        <v>6199</v>
      </c>
      <c r="K1671" s="38">
        <v>0</v>
      </c>
      <c r="L1671" s="38">
        <v>0</v>
      </c>
      <c r="M1671" s="38">
        <v>0</v>
      </c>
      <c r="N1671" s="38">
        <v>0</v>
      </c>
      <c r="O1671" s="38">
        <v>0</v>
      </c>
      <c r="P1671" s="38">
        <v>0</v>
      </c>
      <c r="Q1671" s="37">
        <f t="shared" si="50"/>
        <v>6199</v>
      </c>
      <c r="R1671" s="69">
        <f t="shared" si="51"/>
        <v>5269.15</v>
      </c>
      <c r="S1671" s="40"/>
      <c r="T1671" s="40"/>
    </row>
    <row r="1672" spans="1:20" ht="45" customHeight="1" x14ac:dyDescent="0.3">
      <c r="A1672" s="31">
        <v>1660</v>
      </c>
      <c r="B1672" s="32" t="s">
        <v>5410</v>
      </c>
      <c r="C1672" s="32" t="s">
        <v>5528</v>
      </c>
      <c r="D1672" s="32" t="s">
        <v>5529</v>
      </c>
      <c r="E1672" s="32">
        <v>1958</v>
      </c>
      <c r="F1672" s="32" t="s">
        <v>19</v>
      </c>
      <c r="G1672" s="32" t="s">
        <v>5648</v>
      </c>
      <c r="H1672" s="32" t="s">
        <v>5712</v>
      </c>
      <c r="I1672" s="32" t="s">
        <v>824</v>
      </c>
      <c r="J1672" s="32">
        <v>6199</v>
      </c>
      <c r="K1672" s="32">
        <f>6278+2332+2332+2332+6995+1166+2801+2332+2332</f>
        <v>28900</v>
      </c>
      <c r="L1672" s="32">
        <v>0</v>
      </c>
      <c r="M1672" s="32">
        <v>0</v>
      </c>
      <c r="N1672" s="32">
        <f>1793+1681</f>
        <v>3474</v>
      </c>
      <c r="O1672" s="32">
        <v>0</v>
      </c>
      <c r="P1672" s="32">
        <f>312+56</f>
        <v>368</v>
      </c>
      <c r="Q1672" s="37">
        <f t="shared" si="50"/>
        <v>38941</v>
      </c>
      <c r="R1672" s="69">
        <f t="shared" si="51"/>
        <v>33099.85</v>
      </c>
      <c r="S1672" s="30"/>
      <c r="T1672" s="30"/>
    </row>
    <row r="1673" spans="1:20" ht="45" customHeight="1" x14ac:dyDescent="0.3">
      <c r="A1673" s="36">
        <v>1661</v>
      </c>
      <c r="B1673" s="32" t="s">
        <v>5410</v>
      </c>
      <c r="C1673" s="32" t="s">
        <v>5530</v>
      </c>
      <c r="D1673" s="32" t="s">
        <v>5531</v>
      </c>
      <c r="E1673" s="32">
        <v>2019</v>
      </c>
      <c r="F1673" s="32" t="s">
        <v>19</v>
      </c>
      <c r="G1673" s="32" t="s">
        <v>5649</v>
      </c>
      <c r="H1673" s="32" t="s">
        <v>5327</v>
      </c>
      <c r="I1673" s="32" t="s">
        <v>5758</v>
      </c>
      <c r="J1673" s="32">
        <v>6199</v>
      </c>
      <c r="K1673" s="32">
        <f>1346+6278+4484+1166</f>
        <v>13274</v>
      </c>
      <c r="L1673" s="32">
        <v>0</v>
      </c>
      <c r="M1673" s="32">
        <v>0</v>
      </c>
      <c r="N1673" s="32">
        <v>3148</v>
      </c>
      <c r="O1673" s="32">
        <v>0</v>
      </c>
      <c r="P1673" s="32">
        <v>0</v>
      </c>
      <c r="Q1673" s="35">
        <f t="shared" si="50"/>
        <v>22621</v>
      </c>
      <c r="R1673" s="69">
        <f t="shared" si="51"/>
        <v>19227.849999999999</v>
      </c>
      <c r="S1673" s="30"/>
      <c r="T1673" s="30"/>
    </row>
    <row r="1674" spans="1:20" ht="45" customHeight="1" x14ac:dyDescent="0.3">
      <c r="A1674" s="31">
        <v>1662</v>
      </c>
      <c r="B1674" s="32" t="s">
        <v>5410</v>
      </c>
      <c r="C1674" s="32" t="s">
        <v>5532</v>
      </c>
      <c r="D1674" s="32" t="s">
        <v>1737</v>
      </c>
      <c r="E1674" s="32">
        <v>2020</v>
      </c>
      <c r="F1674" s="32" t="s">
        <v>19</v>
      </c>
      <c r="G1674" s="32" t="s">
        <v>1815</v>
      </c>
      <c r="H1674" s="32" t="s">
        <v>1859</v>
      </c>
      <c r="I1674" s="32" t="s">
        <v>1084</v>
      </c>
      <c r="J1674" s="32">
        <v>6199</v>
      </c>
      <c r="K1674" s="32">
        <f>1346+6278+4484+1166</f>
        <v>13274</v>
      </c>
      <c r="L1674" s="32">
        <v>0</v>
      </c>
      <c r="M1674" s="32">
        <v>0</v>
      </c>
      <c r="N1674" s="32">
        <v>3148</v>
      </c>
      <c r="O1674" s="32">
        <v>0</v>
      </c>
      <c r="P1674" s="32">
        <v>0</v>
      </c>
      <c r="Q1674" s="37">
        <f t="shared" si="50"/>
        <v>22621</v>
      </c>
      <c r="R1674" s="69">
        <f t="shared" si="51"/>
        <v>19227.849999999999</v>
      </c>
      <c r="S1674" s="30"/>
      <c r="T1674" s="30"/>
    </row>
    <row r="1675" spans="1:20" ht="45" customHeight="1" x14ac:dyDescent="0.3">
      <c r="A1675" s="31">
        <v>1663</v>
      </c>
      <c r="B1675" s="32" t="s">
        <v>5410</v>
      </c>
      <c r="C1675" s="32" t="s">
        <v>5533</v>
      </c>
      <c r="D1675" s="32" t="s">
        <v>5534</v>
      </c>
      <c r="E1675" s="32">
        <v>1952</v>
      </c>
      <c r="F1675" s="32" t="s">
        <v>19</v>
      </c>
      <c r="G1675" s="32" t="s">
        <v>5650</v>
      </c>
      <c r="H1675" s="32" t="s">
        <v>5650</v>
      </c>
      <c r="I1675" s="32" t="s">
        <v>1689</v>
      </c>
      <c r="J1675" s="32">
        <v>6199</v>
      </c>
      <c r="K1675" s="32">
        <v>0</v>
      </c>
      <c r="L1675" s="32">
        <v>0</v>
      </c>
      <c r="M1675" s="32">
        <v>0</v>
      </c>
      <c r="N1675" s="32">
        <v>0</v>
      </c>
      <c r="O1675" s="32">
        <v>0</v>
      </c>
      <c r="P1675" s="32">
        <v>0</v>
      </c>
      <c r="Q1675" s="37">
        <f t="shared" si="50"/>
        <v>6199</v>
      </c>
      <c r="R1675" s="69">
        <f t="shared" si="51"/>
        <v>5269.15</v>
      </c>
      <c r="S1675" s="30"/>
      <c r="T1675" s="30"/>
    </row>
    <row r="1676" spans="1:20" ht="45" customHeight="1" x14ac:dyDescent="0.3">
      <c r="A1676" s="36">
        <v>1664</v>
      </c>
      <c r="B1676" s="32" t="s">
        <v>5410</v>
      </c>
      <c r="C1676" s="32" t="s">
        <v>5535</v>
      </c>
      <c r="D1676" s="32" t="s">
        <v>5536</v>
      </c>
      <c r="E1676" s="32">
        <v>1982</v>
      </c>
      <c r="F1676" s="32" t="s">
        <v>19</v>
      </c>
      <c r="G1676" s="32" t="s">
        <v>5651</v>
      </c>
      <c r="H1676" s="32" t="s">
        <v>1243</v>
      </c>
      <c r="I1676" s="32" t="s">
        <v>1277</v>
      </c>
      <c r="J1676" s="32">
        <v>6199</v>
      </c>
      <c r="K1676" s="32">
        <v>0</v>
      </c>
      <c r="L1676" s="32">
        <v>0</v>
      </c>
      <c r="M1676" s="32">
        <v>0</v>
      </c>
      <c r="N1676" s="32">
        <v>0</v>
      </c>
      <c r="O1676" s="32">
        <v>0</v>
      </c>
      <c r="P1676" s="32">
        <v>0</v>
      </c>
      <c r="Q1676" s="37">
        <f t="shared" si="50"/>
        <v>6199</v>
      </c>
      <c r="R1676" s="69">
        <f t="shared" si="51"/>
        <v>5269.15</v>
      </c>
      <c r="S1676" s="30"/>
      <c r="T1676" s="30"/>
    </row>
    <row r="1677" spans="1:20" ht="45" customHeight="1" x14ac:dyDescent="0.3">
      <c r="A1677" s="31">
        <v>1665</v>
      </c>
      <c r="B1677" s="32" t="s">
        <v>5410</v>
      </c>
      <c r="C1677" s="32" t="s">
        <v>5537</v>
      </c>
      <c r="D1677" s="32" t="s">
        <v>5538</v>
      </c>
      <c r="E1677" s="32">
        <v>1991</v>
      </c>
      <c r="F1677" s="32" t="s">
        <v>19</v>
      </c>
      <c r="G1677" s="32" t="s">
        <v>5652</v>
      </c>
      <c r="H1677" s="32" t="s">
        <v>5652</v>
      </c>
      <c r="I1677" s="32" t="s">
        <v>541</v>
      </c>
      <c r="J1677" s="32">
        <v>6199</v>
      </c>
      <c r="K1677" s="32">
        <v>0</v>
      </c>
      <c r="L1677" s="32">
        <v>0</v>
      </c>
      <c r="M1677" s="32">
        <v>0</v>
      </c>
      <c r="N1677" s="32">
        <v>0</v>
      </c>
      <c r="O1677" s="32">
        <v>0</v>
      </c>
      <c r="P1677" s="32">
        <v>0</v>
      </c>
      <c r="Q1677" s="37">
        <f t="shared" ref="Q1677:Q1740" si="52">SUM(J1677:P1677)</f>
        <v>6199</v>
      </c>
      <c r="R1677" s="69">
        <f t="shared" si="51"/>
        <v>5269.15</v>
      </c>
      <c r="S1677" s="30"/>
      <c r="T1677" s="30"/>
    </row>
    <row r="1678" spans="1:20" ht="45" customHeight="1" x14ac:dyDescent="0.3">
      <c r="A1678" s="31">
        <v>1666</v>
      </c>
      <c r="B1678" s="32" t="s">
        <v>5410</v>
      </c>
      <c r="C1678" s="32" t="s">
        <v>5539</v>
      </c>
      <c r="D1678" s="32" t="s">
        <v>5540</v>
      </c>
      <c r="E1678" s="32">
        <v>2021</v>
      </c>
      <c r="F1678" s="32" t="s">
        <v>18</v>
      </c>
      <c r="G1678" s="32" t="s">
        <v>5653</v>
      </c>
      <c r="H1678" s="32" t="s">
        <v>5713</v>
      </c>
      <c r="I1678" s="32" t="s">
        <v>5759</v>
      </c>
      <c r="J1678" s="32">
        <v>6199</v>
      </c>
      <c r="K1678" s="32">
        <f>6278+4484+1346+4484+2332+2332+2332+2332+2332+2332+6995+6995+2332+6995</f>
        <v>53901</v>
      </c>
      <c r="L1678" s="32">
        <v>0</v>
      </c>
      <c r="M1678" s="32">
        <v>0</v>
      </c>
      <c r="N1678" s="32">
        <v>3148</v>
      </c>
      <c r="O1678" s="32">
        <v>0</v>
      </c>
      <c r="P1678" s="32">
        <v>0</v>
      </c>
      <c r="Q1678" s="37">
        <f t="shared" si="52"/>
        <v>63248</v>
      </c>
      <c r="R1678" s="69">
        <f t="shared" ref="R1678:R1741" si="53">Q1678*85/100</f>
        <v>53760.800000000003</v>
      </c>
      <c r="S1678" s="30"/>
      <c r="T1678" s="30"/>
    </row>
    <row r="1679" spans="1:20" ht="45" customHeight="1" x14ac:dyDescent="0.3">
      <c r="A1679" s="36">
        <v>1667</v>
      </c>
      <c r="B1679" s="32" t="s">
        <v>5410</v>
      </c>
      <c r="C1679" s="32" t="s">
        <v>5541</v>
      </c>
      <c r="D1679" s="32" t="s">
        <v>5542</v>
      </c>
      <c r="E1679" s="32">
        <v>2022</v>
      </c>
      <c r="F1679" s="32" t="s">
        <v>19</v>
      </c>
      <c r="G1679" s="32" t="s">
        <v>5654</v>
      </c>
      <c r="H1679" s="32" t="s">
        <v>5714</v>
      </c>
      <c r="I1679" s="32" t="s">
        <v>300</v>
      </c>
      <c r="J1679" s="32">
        <v>6199</v>
      </c>
      <c r="K1679" s="32">
        <v>0</v>
      </c>
      <c r="L1679" s="32">
        <v>0</v>
      </c>
      <c r="M1679" s="32">
        <v>0</v>
      </c>
      <c r="N1679" s="32">
        <v>0</v>
      </c>
      <c r="O1679" s="32">
        <v>0</v>
      </c>
      <c r="P1679" s="32">
        <v>0</v>
      </c>
      <c r="Q1679" s="37">
        <f t="shared" si="52"/>
        <v>6199</v>
      </c>
      <c r="R1679" s="69">
        <f t="shared" si="53"/>
        <v>5269.15</v>
      </c>
      <c r="S1679" s="30"/>
      <c r="T1679" s="30"/>
    </row>
    <row r="1680" spans="1:20" ht="45" customHeight="1" x14ac:dyDescent="0.3">
      <c r="A1680" s="31">
        <v>1668</v>
      </c>
      <c r="B1680" s="32" t="s">
        <v>5410</v>
      </c>
      <c r="C1680" s="32" t="s">
        <v>5543</v>
      </c>
      <c r="D1680" s="32" t="s">
        <v>5544</v>
      </c>
      <c r="E1680" s="32">
        <v>1971</v>
      </c>
      <c r="F1680" s="32" t="s">
        <v>19</v>
      </c>
      <c r="G1680" s="32" t="s">
        <v>5655</v>
      </c>
      <c r="H1680" s="32" t="s">
        <v>5715</v>
      </c>
      <c r="I1680" s="32" t="s">
        <v>5760</v>
      </c>
      <c r="J1680" s="32">
        <v>6199</v>
      </c>
      <c r="K1680" s="32">
        <v>0</v>
      </c>
      <c r="L1680" s="32">
        <v>0</v>
      </c>
      <c r="M1680" s="32">
        <v>0</v>
      </c>
      <c r="N1680" s="32">
        <v>0</v>
      </c>
      <c r="O1680" s="32">
        <v>0</v>
      </c>
      <c r="P1680" s="32">
        <v>0</v>
      </c>
      <c r="Q1680" s="37">
        <f t="shared" si="52"/>
        <v>6199</v>
      </c>
      <c r="R1680" s="69">
        <f t="shared" si="53"/>
        <v>5269.15</v>
      </c>
      <c r="S1680" s="30"/>
      <c r="T1680" s="30"/>
    </row>
    <row r="1681" spans="1:20" ht="45" customHeight="1" x14ac:dyDescent="0.3">
      <c r="A1681" s="31">
        <v>1669</v>
      </c>
      <c r="B1681" s="32" t="s">
        <v>5410</v>
      </c>
      <c r="C1681" s="32" t="s">
        <v>5545</v>
      </c>
      <c r="D1681" s="32" t="s">
        <v>5546</v>
      </c>
      <c r="E1681" s="32">
        <v>1994</v>
      </c>
      <c r="F1681" s="32" t="s">
        <v>18</v>
      </c>
      <c r="G1681" s="32" t="s">
        <v>5656</v>
      </c>
      <c r="H1681" s="32" t="s">
        <v>5656</v>
      </c>
      <c r="I1681" s="32" t="s">
        <v>5740</v>
      </c>
      <c r="J1681" s="32">
        <v>6199</v>
      </c>
      <c r="K1681" s="32">
        <f>6278+6995+4484+4484+3000+3000+3228</f>
        <v>31469</v>
      </c>
      <c r="L1681" s="32">
        <v>13298</v>
      </c>
      <c r="M1681" s="32">
        <v>0</v>
      </c>
      <c r="N1681" s="32">
        <v>1793</v>
      </c>
      <c r="O1681" s="32">
        <v>0</v>
      </c>
      <c r="P1681" s="32">
        <v>0</v>
      </c>
      <c r="Q1681" s="37">
        <f t="shared" si="52"/>
        <v>52759</v>
      </c>
      <c r="R1681" s="69">
        <f t="shared" si="53"/>
        <v>44845.15</v>
      </c>
      <c r="S1681" s="30"/>
      <c r="T1681" s="30"/>
    </row>
    <row r="1682" spans="1:20" ht="45" customHeight="1" x14ac:dyDescent="0.3">
      <c r="A1682" s="36">
        <v>1670</v>
      </c>
      <c r="B1682" s="32" t="s">
        <v>5410</v>
      </c>
      <c r="C1682" s="32" t="s">
        <v>5547</v>
      </c>
      <c r="D1682" s="32" t="s">
        <v>5548</v>
      </c>
      <c r="E1682" s="32">
        <v>1996</v>
      </c>
      <c r="F1682" s="32" t="s">
        <v>19</v>
      </c>
      <c r="G1682" s="32" t="s">
        <v>5657</v>
      </c>
      <c r="H1682" s="32" t="s">
        <v>5657</v>
      </c>
      <c r="I1682" s="32" t="s">
        <v>5761</v>
      </c>
      <c r="J1682" s="32">
        <v>6199</v>
      </c>
      <c r="K1682" s="32">
        <v>0</v>
      </c>
      <c r="L1682" s="32">
        <v>0</v>
      </c>
      <c r="M1682" s="32">
        <v>0</v>
      </c>
      <c r="N1682" s="32">
        <v>0</v>
      </c>
      <c r="O1682" s="32">
        <v>0</v>
      </c>
      <c r="P1682" s="32">
        <v>0</v>
      </c>
      <c r="Q1682" s="37">
        <f t="shared" si="52"/>
        <v>6199</v>
      </c>
      <c r="R1682" s="69">
        <f t="shared" si="53"/>
        <v>5269.15</v>
      </c>
      <c r="S1682" s="30"/>
      <c r="T1682" s="30"/>
    </row>
    <row r="1683" spans="1:20" ht="45" customHeight="1" x14ac:dyDescent="0.3">
      <c r="A1683" s="31">
        <v>1671</v>
      </c>
      <c r="B1683" s="32" t="s">
        <v>5410</v>
      </c>
      <c r="C1683" s="32" t="s">
        <v>5549</v>
      </c>
      <c r="D1683" s="32" t="s">
        <v>5550</v>
      </c>
      <c r="E1683" s="32">
        <v>2021</v>
      </c>
      <c r="F1683" s="32" t="s">
        <v>19</v>
      </c>
      <c r="G1683" s="32" t="s">
        <v>5658</v>
      </c>
      <c r="H1683" s="32" t="s">
        <v>5716</v>
      </c>
      <c r="I1683" s="32" t="s">
        <v>27</v>
      </c>
      <c r="J1683" s="32">
        <v>6199</v>
      </c>
      <c r="K1683" s="32">
        <f>6278+4484+1346+1166+4484+2332+2332+2332+2332+2332</f>
        <v>29418</v>
      </c>
      <c r="L1683" s="32">
        <v>0</v>
      </c>
      <c r="M1683" s="32">
        <v>0</v>
      </c>
      <c r="N1683" s="32">
        <v>3148</v>
      </c>
      <c r="O1683" s="32">
        <v>0</v>
      </c>
      <c r="P1683" s="32">
        <v>0</v>
      </c>
      <c r="Q1683" s="37">
        <f t="shared" si="52"/>
        <v>38765</v>
      </c>
      <c r="R1683" s="69">
        <f t="shared" si="53"/>
        <v>32950.25</v>
      </c>
      <c r="S1683" s="30"/>
      <c r="T1683" s="30"/>
    </row>
    <row r="1684" spans="1:20" ht="45" customHeight="1" x14ac:dyDescent="0.3">
      <c r="A1684" s="31">
        <v>1672</v>
      </c>
      <c r="B1684" s="32" t="s">
        <v>5410</v>
      </c>
      <c r="C1684" s="32" t="s">
        <v>5551</v>
      </c>
      <c r="D1684" s="32" t="s">
        <v>5552</v>
      </c>
      <c r="E1684" s="32">
        <v>2023</v>
      </c>
      <c r="F1684" s="32" t="s">
        <v>18</v>
      </c>
      <c r="G1684" s="32" t="s">
        <v>5659</v>
      </c>
      <c r="H1684" s="32" t="s">
        <v>5717</v>
      </c>
      <c r="I1684" s="32" t="s">
        <v>1890</v>
      </c>
      <c r="J1684" s="32">
        <v>6199</v>
      </c>
      <c r="K1684" s="32">
        <f>6278+4484+1346+4484+2332+2332+2332+2332+2332+2332+6995+6995+2332+6995+1166</f>
        <v>55067</v>
      </c>
      <c r="L1684" s="32">
        <v>0</v>
      </c>
      <c r="M1684" s="32">
        <v>0</v>
      </c>
      <c r="N1684" s="32">
        <f>3148+4053+2088+1178</f>
        <v>10467</v>
      </c>
      <c r="O1684" s="32">
        <v>0</v>
      </c>
      <c r="P1684" s="32">
        <f>720+1080+1200+360+56+396</f>
        <v>3812</v>
      </c>
      <c r="Q1684" s="35">
        <f t="shared" si="52"/>
        <v>75545</v>
      </c>
      <c r="R1684" s="69">
        <f t="shared" si="53"/>
        <v>64213.25</v>
      </c>
      <c r="S1684" s="30"/>
      <c r="T1684" s="30"/>
    </row>
    <row r="1685" spans="1:20" ht="45" customHeight="1" x14ac:dyDescent="0.3">
      <c r="A1685" s="36">
        <v>1673</v>
      </c>
      <c r="B1685" s="32" t="s">
        <v>5410</v>
      </c>
      <c r="C1685" s="32" t="s">
        <v>5551</v>
      </c>
      <c r="D1685" s="32" t="s">
        <v>5552</v>
      </c>
      <c r="E1685" s="32">
        <v>2023</v>
      </c>
      <c r="F1685" s="32" t="s">
        <v>18</v>
      </c>
      <c r="G1685" s="32" t="s">
        <v>5659</v>
      </c>
      <c r="H1685" s="32" t="s">
        <v>5717</v>
      </c>
      <c r="I1685" s="32" t="s">
        <v>1890</v>
      </c>
      <c r="J1685" s="32">
        <v>0</v>
      </c>
      <c r="K1685" s="32">
        <v>0</v>
      </c>
      <c r="L1685" s="32">
        <v>0</v>
      </c>
      <c r="M1685" s="32">
        <v>17688</v>
      </c>
      <c r="N1685" s="32">
        <v>2088</v>
      </c>
      <c r="O1685" s="32">
        <v>0</v>
      </c>
      <c r="P1685" s="32">
        <f>360+56</f>
        <v>416</v>
      </c>
      <c r="Q1685" s="35">
        <f t="shared" si="52"/>
        <v>20192</v>
      </c>
      <c r="R1685" s="69">
        <f t="shared" si="53"/>
        <v>17163.2</v>
      </c>
      <c r="S1685" s="30"/>
      <c r="T1685" s="30"/>
    </row>
    <row r="1686" spans="1:20" ht="45" customHeight="1" x14ac:dyDescent="0.3">
      <c r="A1686" s="31">
        <v>1674</v>
      </c>
      <c r="B1686" s="32" t="s">
        <v>5410</v>
      </c>
      <c r="C1686" s="32" t="s">
        <v>5553</v>
      </c>
      <c r="D1686" s="32" t="s">
        <v>3796</v>
      </c>
      <c r="E1686" s="32">
        <v>1949</v>
      </c>
      <c r="F1686" s="32" t="s">
        <v>18</v>
      </c>
      <c r="G1686" s="32" t="s">
        <v>3871</v>
      </c>
      <c r="H1686" s="32" t="s">
        <v>3871</v>
      </c>
      <c r="I1686" s="32" t="s">
        <v>3940</v>
      </c>
      <c r="J1686" s="32">
        <v>6199</v>
      </c>
      <c r="K1686" s="32">
        <v>0</v>
      </c>
      <c r="L1686" s="32">
        <v>0</v>
      </c>
      <c r="M1686" s="32">
        <v>0</v>
      </c>
      <c r="N1686" s="32">
        <v>0</v>
      </c>
      <c r="O1686" s="32">
        <v>0</v>
      </c>
      <c r="P1686" s="32">
        <v>0</v>
      </c>
      <c r="Q1686" s="37">
        <f t="shared" si="52"/>
        <v>6199</v>
      </c>
      <c r="R1686" s="69">
        <f t="shared" si="53"/>
        <v>5269.15</v>
      </c>
      <c r="S1686" s="30"/>
      <c r="T1686" s="30"/>
    </row>
    <row r="1687" spans="1:20" ht="45" customHeight="1" x14ac:dyDescent="0.3">
      <c r="A1687" s="31">
        <v>1675</v>
      </c>
      <c r="B1687" s="32" t="s">
        <v>5410</v>
      </c>
      <c r="C1687" s="32" t="s">
        <v>5554</v>
      </c>
      <c r="D1687" s="32" t="s">
        <v>5555</v>
      </c>
      <c r="E1687" s="32">
        <v>1990</v>
      </c>
      <c r="F1687" s="32" t="s">
        <v>19</v>
      </c>
      <c r="G1687" s="32" t="s">
        <v>5660</v>
      </c>
      <c r="H1687" s="32" t="s">
        <v>5660</v>
      </c>
      <c r="I1687" s="32" t="s">
        <v>5762</v>
      </c>
      <c r="J1687" s="32">
        <v>6199</v>
      </c>
      <c r="K1687" s="32">
        <v>0</v>
      </c>
      <c r="L1687" s="32">
        <v>0</v>
      </c>
      <c r="M1687" s="32">
        <v>0</v>
      </c>
      <c r="N1687" s="32">
        <v>0</v>
      </c>
      <c r="O1687" s="32">
        <v>0</v>
      </c>
      <c r="P1687" s="32">
        <v>0</v>
      </c>
      <c r="Q1687" s="37">
        <f t="shared" si="52"/>
        <v>6199</v>
      </c>
      <c r="R1687" s="69">
        <f t="shared" si="53"/>
        <v>5269.15</v>
      </c>
      <c r="S1687" s="30"/>
      <c r="T1687" s="30"/>
    </row>
    <row r="1688" spans="1:20" ht="45" customHeight="1" x14ac:dyDescent="0.3">
      <c r="A1688" s="36">
        <v>1676</v>
      </c>
      <c r="B1688" s="32" t="s">
        <v>5410</v>
      </c>
      <c r="C1688" s="32" t="s">
        <v>5556</v>
      </c>
      <c r="D1688" s="32" t="s">
        <v>5557</v>
      </c>
      <c r="E1688" s="32">
        <v>2006</v>
      </c>
      <c r="F1688" s="32" t="s">
        <v>19</v>
      </c>
      <c r="G1688" s="32" t="s">
        <v>5661</v>
      </c>
      <c r="H1688" s="32" t="s">
        <v>5718</v>
      </c>
      <c r="I1688" s="32" t="s">
        <v>5763</v>
      </c>
      <c r="J1688" s="32">
        <v>6199</v>
      </c>
      <c r="K1688" s="32">
        <v>0</v>
      </c>
      <c r="L1688" s="32">
        <v>0</v>
      </c>
      <c r="M1688" s="32">
        <v>0</v>
      </c>
      <c r="N1688" s="32">
        <v>0</v>
      </c>
      <c r="O1688" s="32">
        <v>0</v>
      </c>
      <c r="P1688" s="32">
        <v>0</v>
      </c>
      <c r="Q1688" s="37">
        <f t="shared" si="52"/>
        <v>6199</v>
      </c>
      <c r="R1688" s="69">
        <f t="shared" si="53"/>
        <v>5269.15</v>
      </c>
      <c r="S1688" s="30"/>
      <c r="T1688" s="30"/>
    </row>
    <row r="1689" spans="1:20" ht="45" customHeight="1" x14ac:dyDescent="0.3">
      <c r="A1689" s="31">
        <v>1677</v>
      </c>
      <c r="B1689" s="32" t="s">
        <v>5410</v>
      </c>
      <c r="C1689" s="32" t="s">
        <v>5558</v>
      </c>
      <c r="D1689" s="32" t="s">
        <v>3778</v>
      </c>
      <c r="E1689" s="32">
        <v>1984</v>
      </c>
      <c r="F1689" s="32" t="s">
        <v>18</v>
      </c>
      <c r="G1689" s="32" t="s">
        <v>3862</v>
      </c>
      <c r="H1689" s="32" t="s">
        <v>3909</v>
      </c>
      <c r="I1689" s="32" t="s">
        <v>3938</v>
      </c>
      <c r="J1689" s="32">
        <v>6199</v>
      </c>
      <c r="K1689" s="32">
        <v>0</v>
      </c>
      <c r="L1689" s="32">
        <v>0</v>
      </c>
      <c r="M1689" s="32">
        <v>0</v>
      </c>
      <c r="N1689" s="32">
        <v>0</v>
      </c>
      <c r="O1689" s="32">
        <v>0</v>
      </c>
      <c r="P1689" s="32">
        <v>0</v>
      </c>
      <c r="Q1689" s="37">
        <f t="shared" si="52"/>
        <v>6199</v>
      </c>
      <c r="R1689" s="69">
        <f t="shared" si="53"/>
        <v>5269.15</v>
      </c>
      <c r="S1689" s="30"/>
      <c r="T1689" s="30"/>
    </row>
    <row r="1690" spans="1:20" ht="45" customHeight="1" x14ac:dyDescent="0.3">
      <c r="A1690" s="31">
        <v>1678</v>
      </c>
      <c r="B1690" s="32" t="s">
        <v>5410</v>
      </c>
      <c r="C1690" s="32" t="s">
        <v>5559</v>
      </c>
      <c r="D1690" s="32" t="s">
        <v>5560</v>
      </c>
      <c r="E1690" s="32">
        <v>2021</v>
      </c>
      <c r="F1690" s="32" t="s">
        <v>18</v>
      </c>
      <c r="G1690" s="32" t="s">
        <v>5662</v>
      </c>
      <c r="H1690" s="32" t="s">
        <v>5719</v>
      </c>
      <c r="I1690" s="32" t="s">
        <v>299</v>
      </c>
      <c r="J1690" s="32">
        <v>6199</v>
      </c>
      <c r="K1690" s="32">
        <f>1346+6278+4484+4484+2332+2332+2332+2332+2332+2332+6995+6995+2332+6995+1166</f>
        <v>55067</v>
      </c>
      <c r="L1690" s="32">
        <v>0</v>
      </c>
      <c r="M1690" s="32">
        <v>0</v>
      </c>
      <c r="N1690" s="32">
        <f>3148+2088+4053+1178</f>
        <v>10467</v>
      </c>
      <c r="O1690" s="32">
        <v>0</v>
      </c>
      <c r="P1690" s="32">
        <f>720+1080+360+56+1200</f>
        <v>3416</v>
      </c>
      <c r="Q1690" s="35">
        <f t="shared" si="52"/>
        <v>75149</v>
      </c>
      <c r="R1690" s="69">
        <f t="shared" si="53"/>
        <v>63876.65</v>
      </c>
      <c r="S1690" s="30"/>
      <c r="T1690" s="30"/>
    </row>
    <row r="1691" spans="1:20" ht="45" customHeight="1" x14ac:dyDescent="0.3">
      <c r="A1691" s="36">
        <v>1679</v>
      </c>
      <c r="B1691" s="32" t="s">
        <v>5410</v>
      </c>
      <c r="C1691" s="32" t="s">
        <v>5559</v>
      </c>
      <c r="D1691" s="32" t="s">
        <v>5560</v>
      </c>
      <c r="E1691" s="32">
        <v>2021</v>
      </c>
      <c r="F1691" s="32" t="s">
        <v>18</v>
      </c>
      <c r="G1691" s="32" t="s">
        <v>5662</v>
      </c>
      <c r="H1691" s="32" t="s">
        <v>5719</v>
      </c>
      <c r="I1691" s="32" t="s">
        <v>299</v>
      </c>
      <c r="J1691" s="32">
        <v>0</v>
      </c>
      <c r="K1691" s="32">
        <v>0</v>
      </c>
      <c r="L1691" s="32">
        <v>0</v>
      </c>
      <c r="M1691" s="32">
        <v>17688</v>
      </c>
      <c r="N1691" s="32">
        <v>2088</v>
      </c>
      <c r="O1691" s="32">
        <v>0</v>
      </c>
      <c r="P1691" s="32">
        <f>360+56</f>
        <v>416</v>
      </c>
      <c r="Q1691" s="35">
        <f t="shared" si="52"/>
        <v>20192</v>
      </c>
      <c r="R1691" s="69">
        <f t="shared" si="53"/>
        <v>17163.2</v>
      </c>
      <c r="S1691" s="30"/>
      <c r="T1691" s="30"/>
    </row>
    <row r="1692" spans="1:20" ht="45" customHeight="1" x14ac:dyDescent="0.3">
      <c r="A1692" s="31">
        <v>1680</v>
      </c>
      <c r="B1692" s="32" t="s">
        <v>5410</v>
      </c>
      <c r="C1692" s="32" t="s">
        <v>5561</v>
      </c>
      <c r="D1692" s="32" t="s">
        <v>5562</v>
      </c>
      <c r="E1692" s="32">
        <v>2019</v>
      </c>
      <c r="F1692" s="32" t="s">
        <v>18</v>
      </c>
      <c r="G1692" s="32" t="s">
        <v>5663</v>
      </c>
      <c r="H1692" s="32" t="s">
        <v>5720</v>
      </c>
      <c r="I1692" s="32" t="s">
        <v>580</v>
      </c>
      <c r="J1692" s="32">
        <v>6199</v>
      </c>
      <c r="K1692" s="32">
        <f>6278+4484+1346+4484+2332+2332+2332+2332+2332+1166</f>
        <v>29418</v>
      </c>
      <c r="L1692" s="32">
        <v>0</v>
      </c>
      <c r="M1692" s="32">
        <v>0</v>
      </c>
      <c r="N1692" s="32">
        <v>3148</v>
      </c>
      <c r="O1692" s="32">
        <v>0</v>
      </c>
      <c r="P1692" s="32">
        <v>0</v>
      </c>
      <c r="Q1692" s="37">
        <f t="shared" si="52"/>
        <v>38765</v>
      </c>
      <c r="R1692" s="69">
        <f t="shared" si="53"/>
        <v>32950.25</v>
      </c>
      <c r="S1692" s="30"/>
      <c r="T1692" s="30"/>
    </row>
    <row r="1693" spans="1:20" ht="45" customHeight="1" x14ac:dyDescent="0.3">
      <c r="A1693" s="31">
        <v>1681</v>
      </c>
      <c r="B1693" s="32" t="s">
        <v>5410</v>
      </c>
      <c r="C1693" s="32" t="s">
        <v>5563</v>
      </c>
      <c r="D1693" s="32" t="s">
        <v>5564</v>
      </c>
      <c r="E1693" s="32">
        <v>1982</v>
      </c>
      <c r="F1693" s="32" t="s">
        <v>19</v>
      </c>
      <c r="G1693" s="32" t="s">
        <v>5664</v>
      </c>
      <c r="H1693" s="32" t="s">
        <v>5664</v>
      </c>
      <c r="I1693" s="32" t="s">
        <v>1890</v>
      </c>
      <c r="J1693" s="32">
        <v>6199</v>
      </c>
      <c r="K1693" s="32">
        <v>0</v>
      </c>
      <c r="L1693" s="32">
        <v>0</v>
      </c>
      <c r="M1693" s="32">
        <v>0</v>
      </c>
      <c r="N1693" s="32">
        <v>0</v>
      </c>
      <c r="O1693" s="32">
        <v>0</v>
      </c>
      <c r="P1693" s="32">
        <v>0</v>
      </c>
      <c r="Q1693" s="35">
        <f t="shared" si="52"/>
        <v>6199</v>
      </c>
      <c r="R1693" s="69">
        <f t="shared" si="53"/>
        <v>5269.15</v>
      </c>
      <c r="S1693" s="30"/>
      <c r="T1693" s="30"/>
    </row>
    <row r="1694" spans="1:20" ht="45" customHeight="1" x14ac:dyDescent="0.3">
      <c r="A1694" s="36">
        <v>1682</v>
      </c>
      <c r="B1694" s="32" t="s">
        <v>5410</v>
      </c>
      <c r="C1694" s="32" t="s">
        <v>5565</v>
      </c>
      <c r="D1694" s="32" t="s">
        <v>5566</v>
      </c>
      <c r="E1694" s="32">
        <v>2004</v>
      </c>
      <c r="F1694" s="32" t="s">
        <v>19</v>
      </c>
      <c r="G1694" s="32" t="s">
        <v>5665</v>
      </c>
      <c r="H1694" s="32" t="s">
        <v>5665</v>
      </c>
      <c r="I1694" s="32" t="s">
        <v>1257</v>
      </c>
      <c r="J1694" s="32">
        <v>6199</v>
      </c>
      <c r="K1694" s="32">
        <f>2332+2332+2243</f>
        <v>6907</v>
      </c>
      <c r="L1694" s="32">
        <v>0</v>
      </c>
      <c r="M1694" s="32">
        <v>0</v>
      </c>
      <c r="N1694" s="32">
        <v>0</v>
      </c>
      <c r="O1694" s="32">
        <v>0</v>
      </c>
      <c r="P1694" s="32">
        <v>0</v>
      </c>
      <c r="Q1694" s="37">
        <f t="shared" si="52"/>
        <v>13106</v>
      </c>
      <c r="R1694" s="69">
        <f t="shared" si="53"/>
        <v>11140.1</v>
      </c>
      <c r="S1694" s="30"/>
      <c r="T1694" s="30"/>
    </row>
    <row r="1695" spans="1:20" ht="45" customHeight="1" x14ac:dyDescent="0.3">
      <c r="A1695" s="31">
        <v>1683</v>
      </c>
      <c r="B1695" s="32" t="s">
        <v>5410</v>
      </c>
      <c r="C1695" s="32" t="s">
        <v>5567</v>
      </c>
      <c r="D1695" s="32" t="s">
        <v>5568</v>
      </c>
      <c r="E1695" s="32">
        <v>2021</v>
      </c>
      <c r="F1695" s="32" t="s">
        <v>19</v>
      </c>
      <c r="G1695" s="32" t="s">
        <v>5666</v>
      </c>
      <c r="H1695" s="32" t="s">
        <v>5721</v>
      </c>
      <c r="I1695" s="32" t="s">
        <v>300</v>
      </c>
      <c r="J1695" s="32">
        <v>6199</v>
      </c>
      <c r="K1695" s="32">
        <f>1346+6278+4484</f>
        <v>12108</v>
      </c>
      <c r="L1695" s="32">
        <v>0</v>
      </c>
      <c r="M1695" s="32">
        <v>0</v>
      </c>
      <c r="N1695" s="32">
        <v>3148</v>
      </c>
      <c r="O1695" s="32">
        <v>0</v>
      </c>
      <c r="P1695" s="32">
        <v>0</v>
      </c>
      <c r="Q1695" s="37">
        <f t="shared" si="52"/>
        <v>21455</v>
      </c>
      <c r="R1695" s="69">
        <f t="shared" si="53"/>
        <v>18236.75</v>
      </c>
      <c r="S1695" s="30"/>
      <c r="T1695" s="30"/>
    </row>
    <row r="1696" spans="1:20" ht="45" customHeight="1" x14ac:dyDescent="0.3">
      <c r="A1696" s="31">
        <v>1684</v>
      </c>
      <c r="B1696" s="32" t="s">
        <v>5410</v>
      </c>
      <c r="C1696" s="32" t="s">
        <v>5569</v>
      </c>
      <c r="D1696" s="32" t="s">
        <v>5570</v>
      </c>
      <c r="E1696" s="32">
        <v>2017</v>
      </c>
      <c r="F1696" s="32" t="s">
        <v>18</v>
      </c>
      <c r="G1696" s="32" t="s">
        <v>5667</v>
      </c>
      <c r="H1696" s="32" t="s">
        <v>5722</v>
      </c>
      <c r="I1696" s="32" t="s">
        <v>5751</v>
      </c>
      <c r="J1696" s="32">
        <v>6199</v>
      </c>
      <c r="K1696" s="32">
        <f>1346+6278+4484+4484</f>
        <v>16592</v>
      </c>
      <c r="L1696" s="32">
        <v>0</v>
      </c>
      <c r="M1696" s="32">
        <v>0</v>
      </c>
      <c r="N1696" s="32">
        <v>3148</v>
      </c>
      <c r="O1696" s="32">
        <v>0</v>
      </c>
      <c r="P1696" s="32">
        <v>0</v>
      </c>
      <c r="Q1696" s="37">
        <f t="shared" si="52"/>
        <v>25939</v>
      </c>
      <c r="R1696" s="69">
        <f t="shared" si="53"/>
        <v>22048.15</v>
      </c>
      <c r="S1696" s="30"/>
      <c r="T1696" s="30"/>
    </row>
    <row r="1697" spans="1:20" ht="45" customHeight="1" x14ac:dyDescent="0.3">
      <c r="A1697" s="36">
        <v>1685</v>
      </c>
      <c r="B1697" s="32" t="s">
        <v>5410</v>
      </c>
      <c r="C1697" s="32" t="s">
        <v>5571</v>
      </c>
      <c r="D1697" s="32" t="s">
        <v>5572</v>
      </c>
      <c r="E1697" s="32">
        <v>2014</v>
      </c>
      <c r="F1697" s="32" t="s">
        <v>19</v>
      </c>
      <c r="G1697" s="32" t="s">
        <v>5668</v>
      </c>
      <c r="H1697" s="32" t="s">
        <v>1882</v>
      </c>
      <c r="I1697" s="32" t="s">
        <v>1068</v>
      </c>
      <c r="J1697" s="32">
        <v>6199</v>
      </c>
      <c r="K1697" s="32">
        <v>0</v>
      </c>
      <c r="L1697" s="32">
        <v>0</v>
      </c>
      <c r="M1697" s="32">
        <v>0</v>
      </c>
      <c r="N1697" s="32">
        <v>0</v>
      </c>
      <c r="O1697" s="32">
        <v>0</v>
      </c>
      <c r="P1697" s="32">
        <v>0</v>
      </c>
      <c r="Q1697" s="37">
        <f t="shared" si="52"/>
        <v>6199</v>
      </c>
      <c r="R1697" s="69">
        <f t="shared" si="53"/>
        <v>5269.15</v>
      </c>
      <c r="S1697" s="30"/>
      <c r="T1697" s="30"/>
    </row>
    <row r="1698" spans="1:20" ht="45" customHeight="1" x14ac:dyDescent="0.3">
      <c r="A1698" s="31">
        <v>1686</v>
      </c>
      <c r="B1698" s="32" t="s">
        <v>5410</v>
      </c>
      <c r="C1698" s="32" t="s">
        <v>5573</v>
      </c>
      <c r="D1698" s="32" t="s">
        <v>5574</v>
      </c>
      <c r="E1698" s="32">
        <v>2007</v>
      </c>
      <c r="F1698" s="32" t="s">
        <v>19</v>
      </c>
      <c r="G1698" s="32" t="s">
        <v>5669</v>
      </c>
      <c r="H1698" s="32" t="s">
        <v>5723</v>
      </c>
      <c r="I1698" s="32" t="s">
        <v>1067</v>
      </c>
      <c r="J1698" s="32">
        <v>6199</v>
      </c>
      <c r="K1698" s="32">
        <v>0</v>
      </c>
      <c r="L1698" s="32">
        <v>0</v>
      </c>
      <c r="M1698" s="32">
        <v>0</v>
      </c>
      <c r="N1698" s="32">
        <v>0</v>
      </c>
      <c r="O1698" s="32">
        <v>0</v>
      </c>
      <c r="P1698" s="32">
        <v>0</v>
      </c>
      <c r="Q1698" s="37">
        <f t="shared" si="52"/>
        <v>6199</v>
      </c>
      <c r="R1698" s="69">
        <f t="shared" si="53"/>
        <v>5269.15</v>
      </c>
      <c r="S1698" s="30"/>
      <c r="T1698" s="30"/>
    </row>
    <row r="1699" spans="1:20" ht="45" customHeight="1" x14ac:dyDescent="0.3">
      <c r="A1699" s="31">
        <v>1687</v>
      </c>
      <c r="B1699" s="32" t="s">
        <v>5410</v>
      </c>
      <c r="C1699" s="32" t="s">
        <v>5575</v>
      </c>
      <c r="D1699" s="32" t="s">
        <v>5576</v>
      </c>
      <c r="E1699" s="32">
        <v>1988</v>
      </c>
      <c r="F1699" s="32" t="s">
        <v>19</v>
      </c>
      <c r="G1699" s="32" t="s">
        <v>5670</v>
      </c>
      <c r="H1699" s="32" t="s">
        <v>5724</v>
      </c>
      <c r="I1699" s="32" t="s">
        <v>839</v>
      </c>
      <c r="J1699" s="32">
        <v>6199</v>
      </c>
      <c r="K1699" s="32">
        <f>1346+6278+4484</f>
        <v>12108</v>
      </c>
      <c r="L1699" s="32">
        <v>0</v>
      </c>
      <c r="M1699" s="32">
        <v>0</v>
      </c>
      <c r="N1699" s="32">
        <v>1793</v>
      </c>
      <c r="O1699" s="32">
        <v>0</v>
      </c>
      <c r="P1699" s="32">
        <v>0</v>
      </c>
      <c r="Q1699" s="37">
        <f t="shared" si="52"/>
        <v>20100</v>
      </c>
      <c r="R1699" s="69">
        <f t="shared" si="53"/>
        <v>17085</v>
      </c>
      <c r="S1699" s="30"/>
      <c r="T1699" s="30"/>
    </row>
    <row r="1700" spans="1:20" ht="45" customHeight="1" x14ac:dyDescent="0.3">
      <c r="A1700" s="36">
        <v>1688</v>
      </c>
      <c r="B1700" s="32" t="s">
        <v>5410</v>
      </c>
      <c r="C1700" s="32" t="s">
        <v>5577</v>
      </c>
      <c r="D1700" s="32" t="s">
        <v>5578</v>
      </c>
      <c r="E1700" s="32">
        <v>2018</v>
      </c>
      <c r="F1700" s="32" t="s">
        <v>19</v>
      </c>
      <c r="G1700" s="32" t="s">
        <v>5671</v>
      </c>
      <c r="H1700" s="32" t="s">
        <v>5672</v>
      </c>
      <c r="I1700" s="32" t="s">
        <v>279</v>
      </c>
      <c r="J1700" s="32">
        <v>6199</v>
      </c>
      <c r="K1700" s="32">
        <v>0</v>
      </c>
      <c r="L1700" s="32">
        <v>0</v>
      </c>
      <c r="M1700" s="32">
        <v>0</v>
      </c>
      <c r="N1700" s="32">
        <v>0</v>
      </c>
      <c r="O1700" s="32">
        <v>0</v>
      </c>
      <c r="P1700" s="32">
        <v>0</v>
      </c>
      <c r="Q1700" s="37">
        <f t="shared" si="52"/>
        <v>6199</v>
      </c>
      <c r="R1700" s="69">
        <f t="shared" si="53"/>
        <v>5269.15</v>
      </c>
      <c r="S1700" s="30"/>
      <c r="T1700" s="30"/>
    </row>
    <row r="1701" spans="1:20" ht="45" customHeight="1" x14ac:dyDescent="0.3">
      <c r="A1701" s="31">
        <v>1689</v>
      </c>
      <c r="B1701" s="32" t="s">
        <v>5410</v>
      </c>
      <c r="C1701" s="32" t="s">
        <v>5579</v>
      </c>
      <c r="D1701" s="32" t="s">
        <v>5580</v>
      </c>
      <c r="E1701" s="32">
        <v>1985</v>
      </c>
      <c r="F1701" s="32" t="s">
        <v>19</v>
      </c>
      <c r="G1701" s="32" t="s">
        <v>5672</v>
      </c>
      <c r="H1701" s="32" t="s">
        <v>5672</v>
      </c>
      <c r="I1701" s="32" t="s">
        <v>279</v>
      </c>
      <c r="J1701" s="32">
        <v>6199</v>
      </c>
      <c r="K1701" s="32">
        <v>0</v>
      </c>
      <c r="L1701" s="32">
        <v>0</v>
      </c>
      <c r="M1701" s="32">
        <v>0</v>
      </c>
      <c r="N1701" s="32">
        <v>0</v>
      </c>
      <c r="O1701" s="32">
        <v>0</v>
      </c>
      <c r="P1701" s="32">
        <v>0</v>
      </c>
      <c r="Q1701" s="37">
        <f t="shared" si="52"/>
        <v>6199</v>
      </c>
      <c r="R1701" s="69">
        <f t="shared" si="53"/>
        <v>5269.15</v>
      </c>
      <c r="S1701" s="30"/>
      <c r="T1701" s="30"/>
    </row>
    <row r="1702" spans="1:20" ht="45" customHeight="1" x14ac:dyDescent="0.3">
      <c r="A1702" s="31">
        <v>1690</v>
      </c>
      <c r="B1702" s="32" t="s">
        <v>5410</v>
      </c>
      <c r="C1702" s="32" t="s">
        <v>5581</v>
      </c>
      <c r="D1702" s="32" t="s">
        <v>5582</v>
      </c>
      <c r="E1702" s="32">
        <v>2019</v>
      </c>
      <c r="F1702" s="32" t="s">
        <v>19</v>
      </c>
      <c r="G1702" s="32" t="s">
        <v>5673</v>
      </c>
      <c r="H1702" s="32" t="s">
        <v>5725</v>
      </c>
      <c r="I1702" s="32" t="s">
        <v>2618</v>
      </c>
      <c r="J1702" s="32">
        <v>6199</v>
      </c>
      <c r="K1702" s="32">
        <v>0</v>
      </c>
      <c r="L1702" s="32">
        <v>0</v>
      </c>
      <c r="M1702" s="32">
        <v>0</v>
      </c>
      <c r="N1702" s="32">
        <v>0</v>
      </c>
      <c r="O1702" s="32">
        <v>0</v>
      </c>
      <c r="P1702" s="32">
        <v>0</v>
      </c>
      <c r="Q1702" s="37">
        <f t="shared" si="52"/>
        <v>6199</v>
      </c>
      <c r="R1702" s="69">
        <f t="shared" si="53"/>
        <v>5269.15</v>
      </c>
      <c r="S1702" s="30"/>
      <c r="T1702" s="30"/>
    </row>
    <row r="1703" spans="1:20" ht="45" customHeight="1" x14ac:dyDescent="0.3">
      <c r="A1703" s="36">
        <v>1691</v>
      </c>
      <c r="B1703" s="32" t="s">
        <v>5410</v>
      </c>
      <c r="C1703" s="32" t="s">
        <v>5583</v>
      </c>
      <c r="D1703" s="32" t="s">
        <v>5584</v>
      </c>
      <c r="E1703" s="32">
        <v>2023</v>
      </c>
      <c r="F1703" s="32" t="s">
        <v>19</v>
      </c>
      <c r="G1703" s="32" t="s">
        <v>5674</v>
      </c>
      <c r="H1703" s="32" t="s">
        <v>5726</v>
      </c>
      <c r="I1703" s="32" t="s">
        <v>300</v>
      </c>
      <c r="J1703" s="32">
        <v>6199</v>
      </c>
      <c r="K1703" s="32">
        <f>1346+6278+4484+4484+2332+2332</f>
        <v>21256</v>
      </c>
      <c r="L1703" s="32">
        <v>0</v>
      </c>
      <c r="M1703" s="32">
        <v>0</v>
      </c>
      <c r="N1703" s="32">
        <v>3148</v>
      </c>
      <c r="O1703" s="32">
        <v>0</v>
      </c>
      <c r="P1703" s="32">
        <v>0</v>
      </c>
      <c r="Q1703" s="37">
        <f t="shared" si="52"/>
        <v>30603</v>
      </c>
      <c r="R1703" s="69">
        <f t="shared" si="53"/>
        <v>26012.55</v>
      </c>
      <c r="S1703" s="30"/>
      <c r="T1703" s="30"/>
    </row>
    <row r="1704" spans="1:20" ht="45" customHeight="1" x14ac:dyDescent="0.3">
      <c r="A1704" s="31">
        <v>1692</v>
      </c>
      <c r="B1704" s="32" t="s">
        <v>5410</v>
      </c>
      <c r="C1704" s="32" t="s">
        <v>5585</v>
      </c>
      <c r="D1704" s="32" t="s">
        <v>5586</v>
      </c>
      <c r="E1704" s="32">
        <v>2024</v>
      </c>
      <c r="F1704" s="32" t="s">
        <v>18</v>
      </c>
      <c r="G1704" s="32" t="s">
        <v>5675</v>
      </c>
      <c r="H1704" s="32" t="s">
        <v>5727</v>
      </c>
      <c r="I1704" s="32" t="s">
        <v>539</v>
      </c>
      <c r="J1704" s="32">
        <v>6199</v>
      </c>
      <c r="K1704" s="32">
        <f>1346+6278+4484+4484+2332+2332+2332+2332+2332+2332+6995+6995+2332+6995</f>
        <v>53901</v>
      </c>
      <c r="L1704" s="32">
        <v>0</v>
      </c>
      <c r="M1704" s="32">
        <v>0</v>
      </c>
      <c r="N1704" s="32">
        <v>3148</v>
      </c>
      <c r="O1704" s="32">
        <v>0</v>
      </c>
      <c r="P1704" s="32">
        <v>0</v>
      </c>
      <c r="Q1704" s="37">
        <f t="shared" si="52"/>
        <v>63248</v>
      </c>
      <c r="R1704" s="69">
        <f t="shared" si="53"/>
        <v>53760.800000000003</v>
      </c>
      <c r="S1704" s="30"/>
      <c r="T1704" s="30"/>
    </row>
    <row r="1705" spans="1:20" ht="45" customHeight="1" x14ac:dyDescent="0.3">
      <c r="A1705" s="31">
        <v>1693</v>
      </c>
      <c r="B1705" s="32" t="s">
        <v>5410</v>
      </c>
      <c r="C1705" s="32" t="s">
        <v>5587</v>
      </c>
      <c r="D1705" s="32" t="s">
        <v>5588</v>
      </c>
      <c r="E1705" s="32">
        <v>2020</v>
      </c>
      <c r="F1705" s="32" t="s">
        <v>19</v>
      </c>
      <c r="G1705" s="32" t="s">
        <v>5676</v>
      </c>
      <c r="H1705" s="32" t="s">
        <v>5726</v>
      </c>
      <c r="I1705" s="32" t="s">
        <v>300</v>
      </c>
      <c r="J1705" s="32">
        <v>6199</v>
      </c>
      <c r="K1705" s="32">
        <v>0</v>
      </c>
      <c r="L1705" s="32">
        <v>0</v>
      </c>
      <c r="M1705" s="32">
        <v>0</v>
      </c>
      <c r="N1705" s="32">
        <v>0</v>
      </c>
      <c r="O1705" s="32">
        <v>0</v>
      </c>
      <c r="P1705" s="32">
        <v>0</v>
      </c>
      <c r="Q1705" s="37">
        <f t="shared" si="52"/>
        <v>6199</v>
      </c>
      <c r="R1705" s="69">
        <f t="shared" si="53"/>
        <v>5269.15</v>
      </c>
      <c r="S1705" s="30"/>
      <c r="T1705" s="30"/>
    </row>
    <row r="1706" spans="1:20" ht="45" customHeight="1" x14ac:dyDescent="0.3">
      <c r="A1706" s="36">
        <v>1694</v>
      </c>
      <c r="B1706" s="32" t="s">
        <v>5410</v>
      </c>
      <c r="C1706" s="32" t="s">
        <v>5589</v>
      </c>
      <c r="D1706" s="32" t="s">
        <v>5590</v>
      </c>
      <c r="E1706" s="32">
        <v>1992</v>
      </c>
      <c r="F1706" s="32" t="s">
        <v>18</v>
      </c>
      <c r="G1706" s="32" t="s">
        <v>5677</v>
      </c>
      <c r="H1706" s="32" t="s">
        <v>5677</v>
      </c>
      <c r="I1706" s="32" t="s">
        <v>5764</v>
      </c>
      <c r="J1706" s="32">
        <v>6199</v>
      </c>
      <c r="K1706" s="32">
        <f>6278+4484+3228+1166</f>
        <v>15156</v>
      </c>
      <c r="L1706" s="32">
        <v>0</v>
      </c>
      <c r="M1706" s="32">
        <v>0</v>
      </c>
      <c r="N1706" s="32">
        <v>1793</v>
      </c>
      <c r="O1706" s="32">
        <v>0</v>
      </c>
      <c r="P1706" s="32">
        <v>0</v>
      </c>
      <c r="Q1706" s="37">
        <f t="shared" si="52"/>
        <v>23148</v>
      </c>
      <c r="R1706" s="69">
        <f t="shared" si="53"/>
        <v>19675.8</v>
      </c>
      <c r="S1706" s="30"/>
      <c r="T1706" s="30"/>
    </row>
    <row r="1707" spans="1:20" ht="45" customHeight="1" x14ac:dyDescent="0.3">
      <c r="A1707" s="31">
        <v>1695</v>
      </c>
      <c r="B1707" s="32" t="s">
        <v>5410</v>
      </c>
      <c r="C1707" s="32" t="s">
        <v>5591</v>
      </c>
      <c r="D1707" s="32" t="s">
        <v>3536</v>
      </c>
      <c r="E1707" s="32">
        <v>2021</v>
      </c>
      <c r="F1707" s="32" t="s">
        <v>18</v>
      </c>
      <c r="G1707" s="32" t="s">
        <v>3631</v>
      </c>
      <c r="H1707" s="32" t="s">
        <v>3593</v>
      </c>
      <c r="I1707" s="32" t="s">
        <v>1070</v>
      </c>
      <c r="J1707" s="32">
        <v>3793</v>
      </c>
      <c r="K1707" s="32">
        <f>1346+6278+4484+4484+2332+2332+2332+2332+2332+2332+6995+6995+2332+6995</f>
        <v>53901</v>
      </c>
      <c r="L1707" s="32">
        <v>0</v>
      </c>
      <c r="M1707" s="32">
        <v>0</v>
      </c>
      <c r="N1707" s="32">
        <v>3148</v>
      </c>
      <c r="O1707" s="32">
        <v>0</v>
      </c>
      <c r="P1707" s="32">
        <v>0</v>
      </c>
      <c r="Q1707" s="35">
        <f t="shared" si="52"/>
        <v>60842</v>
      </c>
      <c r="R1707" s="69">
        <f t="shared" si="53"/>
        <v>51715.7</v>
      </c>
      <c r="S1707" s="30"/>
      <c r="T1707" s="30"/>
    </row>
    <row r="1708" spans="1:20" ht="45" customHeight="1" x14ac:dyDescent="0.3">
      <c r="A1708" s="31">
        <v>1696</v>
      </c>
      <c r="B1708" s="32" t="s">
        <v>5410</v>
      </c>
      <c r="C1708" s="32" t="s">
        <v>5591</v>
      </c>
      <c r="D1708" s="32" t="s">
        <v>3536</v>
      </c>
      <c r="E1708" s="32">
        <v>2021</v>
      </c>
      <c r="F1708" s="32" t="s">
        <v>18</v>
      </c>
      <c r="G1708" s="32" t="s">
        <v>3631</v>
      </c>
      <c r="H1708" s="32" t="s">
        <v>3593</v>
      </c>
      <c r="I1708" s="32" t="s">
        <v>1070</v>
      </c>
      <c r="J1708" s="32">
        <v>0</v>
      </c>
      <c r="K1708" s="32">
        <v>0</v>
      </c>
      <c r="L1708" s="32">
        <v>0</v>
      </c>
      <c r="M1708" s="32">
        <v>17688</v>
      </c>
      <c r="N1708" s="32">
        <v>2088</v>
      </c>
      <c r="O1708" s="32">
        <v>0</v>
      </c>
      <c r="P1708" s="32">
        <f>360+56</f>
        <v>416</v>
      </c>
      <c r="Q1708" s="35">
        <f t="shared" si="52"/>
        <v>20192</v>
      </c>
      <c r="R1708" s="69">
        <f t="shared" si="53"/>
        <v>17163.2</v>
      </c>
      <c r="S1708" s="30"/>
      <c r="T1708" s="30"/>
    </row>
    <row r="1709" spans="1:20" ht="45" customHeight="1" x14ac:dyDescent="0.3">
      <c r="A1709" s="36">
        <v>1697</v>
      </c>
      <c r="B1709" s="32" t="s">
        <v>5410</v>
      </c>
      <c r="C1709" s="32" t="s">
        <v>7281</v>
      </c>
      <c r="D1709" s="34" t="s">
        <v>6942</v>
      </c>
      <c r="E1709" s="32">
        <v>2024</v>
      </c>
      <c r="F1709" s="32" t="s">
        <v>18</v>
      </c>
      <c r="G1709" s="32" t="s">
        <v>6944</v>
      </c>
      <c r="H1709" s="32" t="s">
        <v>3466</v>
      </c>
      <c r="I1709" s="32" t="s">
        <v>4208</v>
      </c>
      <c r="J1709" s="32">
        <v>2900</v>
      </c>
      <c r="K1709" s="32">
        <v>0</v>
      </c>
      <c r="L1709" s="32">
        <v>0</v>
      </c>
      <c r="M1709" s="32">
        <v>17688</v>
      </c>
      <c r="N1709" s="32">
        <v>2088</v>
      </c>
      <c r="O1709" s="32">
        <v>0</v>
      </c>
      <c r="P1709" s="32">
        <f>1080+336</f>
        <v>1416</v>
      </c>
      <c r="Q1709" s="37">
        <f t="shared" si="52"/>
        <v>24092</v>
      </c>
      <c r="R1709" s="69">
        <f t="shared" si="53"/>
        <v>20478.2</v>
      </c>
      <c r="S1709" s="30"/>
      <c r="T1709" s="30"/>
    </row>
    <row r="1710" spans="1:20" ht="45" customHeight="1" x14ac:dyDescent="0.3">
      <c r="A1710" s="31">
        <v>1698</v>
      </c>
      <c r="B1710" s="32" t="s">
        <v>5410</v>
      </c>
      <c r="C1710" s="32" t="s">
        <v>7282</v>
      </c>
      <c r="D1710" s="34" t="s">
        <v>5251</v>
      </c>
      <c r="E1710" s="32">
        <v>2023</v>
      </c>
      <c r="F1710" s="32" t="s">
        <v>19</v>
      </c>
      <c r="G1710" s="32" t="s">
        <v>5337</v>
      </c>
      <c r="H1710" s="32" t="s">
        <v>5380</v>
      </c>
      <c r="I1710" s="32" t="s">
        <v>1260</v>
      </c>
      <c r="J1710" s="32">
        <v>2900</v>
      </c>
      <c r="K1710" s="32">
        <v>0</v>
      </c>
      <c r="L1710" s="32">
        <v>0</v>
      </c>
      <c r="M1710" s="32">
        <v>17688</v>
      </c>
      <c r="N1710" s="32">
        <v>2088</v>
      </c>
      <c r="O1710" s="32">
        <v>0</v>
      </c>
      <c r="P1710" s="32">
        <f>1080+168</f>
        <v>1248</v>
      </c>
      <c r="Q1710" s="37">
        <f t="shared" si="52"/>
        <v>23924</v>
      </c>
      <c r="R1710" s="69">
        <f t="shared" si="53"/>
        <v>20335.400000000001</v>
      </c>
      <c r="S1710" s="30"/>
      <c r="T1710" s="30"/>
    </row>
    <row r="1711" spans="1:20" ht="45" customHeight="1" x14ac:dyDescent="0.3">
      <c r="A1711" s="31">
        <v>1699</v>
      </c>
      <c r="B1711" s="32" t="s">
        <v>5410</v>
      </c>
      <c r="C1711" s="32" t="s">
        <v>7283</v>
      </c>
      <c r="D1711" s="34" t="s">
        <v>5223</v>
      </c>
      <c r="E1711" s="32">
        <v>2022</v>
      </c>
      <c r="F1711" s="32" t="s">
        <v>19</v>
      </c>
      <c r="G1711" s="32" t="s">
        <v>5323</v>
      </c>
      <c r="H1711" s="32" t="s">
        <v>5372</v>
      </c>
      <c r="I1711" s="32" t="s">
        <v>569</v>
      </c>
      <c r="J1711" s="32">
        <v>2900</v>
      </c>
      <c r="K1711" s="32">
        <v>0</v>
      </c>
      <c r="L1711" s="32">
        <v>0</v>
      </c>
      <c r="M1711" s="32">
        <v>17688</v>
      </c>
      <c r="N1711" s="32">
        <v>2088</v>
      </c>
      <c r="O1711" s="32">
        <v>0</v>
      </c>
      <c r="P1711" s="32">
        <f>1080+168</f>
        <v>1248</v>
      </c>
      <c r="Q1711" s="37">
        <f t="shared" si="52"/>
        <v>23924</v>
      </c>
      <c r="R1711" s="69">
        <f t="shared" si="53"/>
        <v>20335.400000000001</v>
      </c>
      <c r="S1711" s="30"/>
      <c r="T1711" s="30"/>
    </row>
    <row r="1712" spans="1:20" ht="45" customHeight="1" x14ac:dyDescent="0.3">
      <c r="A1712" s="36">
        <v>1700</v>
      </c>
      <c r="B1712" s="32" t="s">
        <v>5765</v>
      </c>
      <c r="C1712" s="32" t="s">
        <v>5766</v>
      </c>
      <c r="D1712" s="32" t="s">
        <v>5767</v>
      </c>
      <c r="E1712" s="32">
        <v>2017</v>
      </c>
      <c r="F1712" s="32" t="s">
        <v>18</v>
      </c>
      <c r="G1712" s="32" t="s">
        <v>5860</v>
      </c>
      <c r="H1712" s="32" t="s">
        <v>5592</v>
      </c>
      <c r="I1712" s="32" t="s">
        <v>34</v>
      </c>
      <c r="J1712" s="32">
        <v>6199</v>
      </c>
      <c r="K1712" s="32">
        <v>0</v>
      </c>
      <c r="L1712" s="32">
        <v>0</v>
      </c>
      <c r="M1712" s="32">
        <v>0</v>
      </c>
      <c r="N1712" s="32">
        <v>0</v>
      </c>
      <c r="O1712" s="32">
        <v>0</v>
      </c>
      <c r="P1712" s="32">
        <v>0</v>
      </c>
      <c r="Q1712" s="37">
        <f t="shared" si="52"/>
        <v>6199</v>
      </c>
      <c r="R1712" s="69">
        <f t="shared" si="53"/>
        <v>5269.15</v>
      </c>
      <c r="S1712" s="30"/>
      <c r="T1712" s="30"/>
    </row>
    <row r="1713" spans="1:20" ht="45" customHeight="1" x14ac:dyDescent="0.3">
      <c r="A1713" s="31">
        <v>1701</v>
      </c>
      <c r="B1713" s="32" t="s">
        <v>5765</v>
      </c>
      <c r="C1713" s="32" t="s">
        <v>5768</v>
      </c>
      <c r="D1713" s="32" t="s">
        <v>5769</v>
      </c>
      <c r="E1713" s="32">
        <v>2022</v>
      </c>
      <c r="F1713" s="32" t="s">
        <v>18</v>
      </c>
      <c r="G1713" s="32" t="s">
        <v>5861</v>
      </c>
      <c r="H1713" s="32" t="s">
        <v>5909</v>
      </c>
      <c r="I1713" s="32" t="s">
        <v>5944</v>
      </c>
      <c r="J1713" s="32">
        <v>6199</v>
      </c>
      <c r="K1713" s="32">
        <f>1346+6278+4484+4484+1166+2332+2332+2332+6995+6995+2332+6995+2332+2332+2332</f>
        <v>55067</v>
      </c>
      <c r="L1713" s="32">
        <v>0</v>
      </c>
      <c r="M1713" s="32">
        <v>0</v>
      </c>
      <c r="N1713" s="32">
        <v>3148</v>
      </c>
      <c r="O1713" s="32">
        <v>0</v>
      </c>
      <c r="P1713" s="32">
        <v>0</v>
      </c>
      <c r="Q1713" s="37">
        <f t="shared" si="52"/>
        <v>64414</v>
      </c>
      <c r="R1713" s="69">
        <f t="shared" si="53"/>
        <v>54751.9</v>
      </c>
      <c r="S1713" s="30"/>
      <c r="T1713" s="30"/>
    </row>
    <row r="1714" spans="1:20" ht="45" customHeight="1" x14ac:dyDescent="0.3">
      <c r="A1714" s="31">
        <v>1702</v>
      </c>
      <c r="B1714" s="32" t="s">
        <v>5765</v>
      </c>
      <c r="C1714" s="32" t="s">
        <v>5768</v>
      </c>
      <c r="D1714" s="32" t="s">
        <v>5769</v>
      </c>
      <c r="E1714" s="32">
        <v>2022</v>
      </c>
      <c r="F1714" s="32" t="s">
        <v>18</v>
      </c>
      <c r="G1714" s="32" t="s">
        <v>5861</v>
      </c>
      <c r="H1714" s="32" t="s">
        <v>5909</v>
      </c>
      <c r="I1714" s="32" t="s">
        <v>5944</v>
      </c>
      <c r="J1714" s="32">
        <v>0</v>
      </c>
      <c r="K1714" s="32">
        <v>0</v>
      </c>
      <c r="L1714" s="32">
        <v>0</v>
      </c>
      <c r="M1714" s="32">
        <v>0</v>
      </c>
      <c r="N1714" s="32">
        <f>1178+4053+2088</f>
        <v>7319</v>
      </c>
      <c r="O1714" s="32">
        <v>0</v>
      </c>
      <c r="P1714" s="32">
        <f>720+1080+63+720+112</f>
        <v>2695</v>
      </c>
      <c r="Q1714" s="37">
        <f t="shared" si="52"/>
        <v>10014</v>
      </c>
      <c r="R1714" s="69">
        <f t="shared" si="53"/>
        <v>8511.9</v>
      </c>
      <c r="S1714" s="30"/>
      <c r="T1714" s="30"/>
    </row>
    <row r="1715" spans="1:20" ht="45" customHeight="1" x14ac:dyDescent="0.3">
      <c r="A1715" s="36">
        <v>1703</v>
      </c>
      <c r="B1715" s="32" t="s">
        <v>5765</v>
      </c>
      <c r="C1715" s="32" t="s">
        <v>5768</v>
      </c>
      <c r="D1715" s="32" t="s">
        <v>5769</v>
      </c>
      <c r="E1715" s="32">
        <v>2022</v>
      </c>
      <c r="F1715" s="32" t="s">
        <v>18</v>
      </c>
      <c r="G1715" s="32" t="s">
        <v>5861</v>
      </c>
      <c r="H1715" s="32" t="s">
        <v>5909</v>
      </c>
      <c r="I1715" s="32" t="s">
        <v>5944</v>
      </c>
      <c r="J1715" s="32"/>
      <c r="K1715" s="32"/>
      <c r="L1715" s="32"/>
      <c r="M1715" s="32">
        <v>17688</v>
      </c>
      <c r="N1715" s="32">
        <v>0</v>
      </c>
      <c r="O1715" s="32">
        <v>0</v>
      </c>
      <c r="P1715" s="32">
        <f>360+56</f>
        <v>416</v>
      </c>
      <c r="Q1715" s="37">
        <f t="shared" si="52"/>
        <v>18104</v>
      </c>
      <c r="R1715" s="69">
        <f t="shared" si="53"/>
        <v>15388.4</v>
      </c>
      <c r="S1715" s="30"/>
      <c r="T1715" s="30"/>
    </row>
    <row r="1716" spans="1:20" ht="45" customHeight="1" x14ac:dyDescent="0.3">
      <c r="A1716" s="31">
        <v>1704</v>
      </c>
      <c r="B1716" s="32" t="s">
        <v>5765</v>
      </c>
      <c r="C1716" s="32" t="s">
        <v>5770</v>
      </c>
      <c r="D1716" s="32" t="s">
        <v>5771</v>
      </c>
      <c r="E1716" s="32">
        <v>2021</v>
      </c>
      <c r="F1716" s="32" t="s">
        <v>19</v>
      </c>
      <c r="G1716" s="32" t="s">
        <v>5862</v>
      </c>
      <c r="H1716" s="32" t="s">
        <v>5910</v>
      </c>
      <c r="I1716" s="32" t="s">
        <v>1267</v>
      </c>
      <c r="J1716" s="32">
        <v>6199</v>
      </c>
      <c r="K1716" s="32">
        <f>1346+6278+4484+4484+1166+2332+2332+2332+6995+6995+2332+6995+2332+2332+2332</f>
        <v>55067</v>
      </c>
      <c r="L1716" s="32">
        <v>0</v>
      </c>
      <c r="M1716" s="32">
        <v>0</v>
      </c>
      <c r="N1716" s="32">
        <v>3148</v>
      </c>
      <c r="O1716" s="32">
        <v>0</v>
      </c>
      <c r="P1716" s="32">
        <v>0</v>
      </c>
      <c r="Q1716" s="37">
        <f t="shared" si="52"/>
        <v>64414</v>
      </c>
      <c r="R1716" s="69">
        <f t="shared" si="53"/>
        <v>54751.9</v>
      </c>
      <c r="S1716" s="30"/>
      <c r="T1716" s="30"/>
    </row>
    <row r="1717" spans="1:20" ht="45" customHeight="1" x14ac:dyDescent="0.3">
      <c r="A1717" s="31">
        <v>1705</v>
      </c>
      <c r="B1717" s="32" t="s">
        <v>5765</v>
      </c>
      <c r="C1717" s="32" t="s">
        <v>5772</v>
      </c>
      <c r="D1717" s="32" t="s">
        <v>1381</v>
      </c>
      <c r="E1717" s="32">
        <v>2021</v>
      </c>
      <c r="F1717" s="32" t="s">
        <v>18</v>
      </c>
      <c r="G1717" s="32" t="s">
        <v>1431</v>
      </c>
      <c r="H1717" s="32" t="s">
        <v>1458</v>
      </c>
      <c r="I1717" s="32" t="s">
        <v>24</v>
      </c>
      <c r="J1717" s="32">
        <v>6199</v>
      </c>
      <c r="K1717" s="32">
        <f>6278+4484+1346+4484+2332+3000+3000+2332+2332+2332+2332+2332+6995+6995+2332+6995+2332+2332+1166</f>
        <v>65731</v>
      </c>
      <c r="L1717" s="32">
        <v>0</v>
      </c>
      <c r="M1717" s="32">
        <v>0</v>
      </c>
      <c r="N1717" s="32">
        <v>3148</v>
      </c>
      <c r="O1717" s="32">
        <v>0</v>
      </c>
      <c r="P1717" s="32">
        <v>0</v>
      </c>
      <c r="Q1717" s="37">
        <f t="shared" si="52"/>
        <v>75078</v>
      </c>
      <c r="R1717" s="69">
        <f t="shared" si="53"/>
        <v>63816.3</v>
      </c>
      <c r="S1717" s="30"/>
      <c r="T1717" s="30"/>
    </row>
    <row r="1718" spans="1:20" ht="45" customHeight="1" x14ac:dyDescent="0.3">
      <c r="A1718" s="36">
        <v>1706</v>
      </c>
      <c r="B1718" s="32" t="s">
        <v>5765</v>
      </c>
      <c r="C1718" s="32" t="s">
        <v>5773</v>
      </c>
      <c r="D1718" s="32" t="s">
        <v>5774</v>
      </c>
      <c r="E1718" s="32">
        <v>1988</v>
      </c>
      <c r="F1718" s="32" t="s">
        <v>19</v>
      </c>
      <c r="G1718" s="32" t="s">
        <v>5863</v>
      </c>
      <c r="H1718" s="32" t="s">
        <v>5911</v>
      </c>
      <c r="I1718" s="32" t="s">
        <v>1050</v>
      </c>
      <c r="J1718" s="32">
        <v>6199</v>
      </c>
      <c r="K1718" s="32">
        <v>0</v>
      </c>
      <c r="L1718" s="32">
        <v>0</v>
      </c>
      <c r="M1718" s="32">
        <v>0</v>
      </c>
      <c r="N1718" s="32">
        <v>0</v>
      </c>
      <c r="O1718" s="32">
        <v>0</v>
      </c>
      <c r="P1718" s="32">
        <v>0</v>
      </c>
      <c r="Q1718" s="37">
        <f t="shared" si="52"/>
        <v>6199</v>
      </c>
      <c r="R1718" s="69">
        <f t="shared" si="53"/>
        <v>5269.15</v>
      </c>
      <c r="S1718" s="30"/>
      <c r="T1718" s="30"/>
    </row>
    <row r="1719" spans="1:20" ht="45" customHeight="1" x14ac:dyDescent="0.3">
      <c r="A1719" s="31">
        <v>1707</v>
      </c>
      <c r="B1719" s="32" t="s">
        <v>5765</v>
      </c>
      <c r="C1719" s="32" t="s">
        <v>5775</v>
      </c>
      <c r="D1719" s="32" t="s">
        <v>5776</v>
      </c>
      <c r="E1719" s="32">
        <v>2023</v>
      </c>
      <c r="F1719" s="32" t="s">
        <v>19</v>
      </c>
      <c r="G1719" s="32" t="s">
        <v>5864</v>
      </c>
      <c r="H1719" s="32" t="s">
        <v>5912</v>
      </c>
      <c r="I1719" s="32" t="s">
        <v>554</v>
      </c>
      <c r="J1719" s="32">
        <v>6199</v>
      </c>
      <c r="K1719" s="32">
        <f>1346+6278+4484+4484+2332+2332+2332+2332+2332+2332+6995+6995+6995+2332</f>
        <v>53901</v>
      </c>
      <c r="L1719" s="32">
        <v>0</v>
      </c>
      <c r="M1719" s="32">
        <v>0</v>
      </c>
      <c r="N1719" s="32">
        <v>3148</v>
      </c>
      <c r="O1719" s="32">
        <v>0</v>
      </c>
      <c r="P1719" s="32">
        <v>0</v>
      </c>
      <c r="Q1719" s="37">
        <f t="shared" si="52"/>
        <v>63248</v>
      </c>
      <c r="R1719" s="69">
        <f t="shared" si="53"/>
        <v>53760.800000000003</v>
      </c>
      <c r="S1719" s="30"/>
      <c r="T1719" s="30"/>
    </row>
    <row r="1720" spans="1:20" ht="45" customHeight="1" x14ac:dyDescent="0.3">
      <c r="A1720" s="31">
        <v>1708</v>
      </c>
      <c r="B1720" s="32" t="s">
        <v>5765</v>
      </c>
      <c r="C1720" s="32" t="s">
        <v>5777</v>
      </c>
      <c r="D1720" s="32" t="s">
        <v>5778</v>
      </c>
      <c r="E1720" s="32">
        <v>1991</v>
      </c>
      <c r="F1720" s="32" t="s">
        <v>18</v>
      </c>
      <c r="G1720" s="32" t="s">
        <v>5865</v>
      </c>
      <c r="H1720" s="32" t="s">
        <v>5865</v>
      </c>
      <c r="I1720" s="32" t="s">
        <v>1064</v>
      </c>
      <c r="J1720" s="32">
        <v>6199</v>
      </c>
      <c r="K1720" s="32">
        <f>1346+6278+4484+2332+2332+2332</f>
        <v>19104</v>
      </c>
      <c r="L1720" s="32">
        <v>0</v>
      </c>
      <c r="M1720" s="32">
        <v>0</v>
      </c>
      <c r="N1720" s="32">
        <v>1793</v>
      </c>
      <c r="O1720" s="32">
        <v>0</v>
      </c>
      <c r="P1720" s="32">
        <v>0</v>
      </c>
      <c r="Q1720" s="37">
        <f t="shared" si="52"/>
        <v>27096</v>
      </c>
      <c r="R1720" s="69">
        <f t="shared" si="53"/>
        <v>23031.599999999999</v>
      </c>
      <c r="S1720" s="30"/>
      <c r="T1720" s="30"/>
    </row>
    <row r="1721" spans="1:20" ht="45" customHeight="1" x14ac:dyDescent="0.3">
      <c r="A1721" s="36">
        <v>1709</v>
      </c>
      <c r="B1721" s="32" t="s">
        <v>5765</v>
      </c>
      <c r="C1721" s="32" t="s">
        <v>5779</v>
      </c>
      <c r="D1721" s="32" t="s">
        <v>5780</v>
      </c>
      <c r="E1721" s="32">
        <v>2023</v>
      </c>
      <c r="F1721" s="32" t="s">
        <v>19</v>
      </c>
      <c r="G1721" s="32" t="s">
        <v>5866</v>
      </c>
      <c r="H1721" s="32" t="s">
        <v>5913</v>
      </c>
      <c r="I1721" s="32" t="s">
        <v>2852</v>
      </c>
      <c r="J1721" s="32">
        <v>6199</v>
      </c>
      <c r="K1721" s="32">
        <v>0</v>
      </c>
      <c r="L1721" s="32">
        <v>0</v>
      </c>
      <c r="M1721" s="32">
        <v>0</v>
      </c>
      <c r="N1721" s="32">
        <v>0</v>
      </c>
      <c r="O1721" s="32">
        <v>0</v>
      </c>
      <c r="P1721" s="32">
        <v>0</v>
      </c>
      <c r="Q1721" s="37">
        <f t="shared" si="52"/>
        <v>6199</v>
      </c>
      <c r="R1721" s="69">
        <f t="shared" si="53"/>
        <v>5269.15</v>
      </c>
      <c r="S1721" s="30"/>
      <c r="T1721" s="30"/>
    </row>
    <row r="1722" spans="1:20" ht="45" customHeight="1" x14ac:dyDescent="0.3">
      <c r="A1722" s="31">
        <v>1710</v>
      </c>
      <c r="B1722" s="32" t="s">
        <v>5765</v>
      </c>
      <c r="C1722" s="32" t="s">
        <v>5781</v>
      </c>
      <c r="D1722" s="32" t="s">
        <v>5782</v>
      </c>
      <c r="E1722" s="32">
        <v>1987</v>
      </c>
      <c r="F1722" s="32" t="s">
        <v>18</v>
      </c>
      <c r="G1722" s="32" t="s">
        <v>5867</v>
      </c>
      <c r="H1722" s="32" t="s">
        <v>5867</v>
      </c>
      <c r="I1722" s="32" t="s">
        <v>32</v>
      </c>
      <c r="J1722" s="32">
        <v>6199</v>
      </c>
      <c r="K1722" s="32">
        <v>0</v>
      </c>
      <c r="L1722" s="32">
        <v>0</v>
      </c>
      <c r="M1722" s="32">
        <v>0</v>
      </c>
      <c r="N1722" s="32">
        <v>0</v>
      </c>
      <c r="O1722" s="32">
        <v>0</v>
      </c>
      <c r="P1722" s="32">
        <v>0</v>
      </c>
      <c r="Q1722" s="37">
        <f t="shared" si="52"/>
        <v>6199</v>
      </c>
      <c r="R1722" s="69">
        <f t="shared" si="53"/>
        <v>5269.15</v>
      </c>
      <c r="S1722" s="30"/>
      <c r="T1722" s="30"/>
    </row>
    <row r="1723" spans="1:20" ht="45" customHeight="1" x14ac:dyDescent="0.3">
      <c r="A1723" s="31">
        <v>1711</v>
      </c>
      <c r="B1723" s="32" t="s">
        <v>5765</v>
      </c>
      <c r="C1723" s="32" t="s">
        <v>5783</v>
      </c>
      <c r="D1723" s="32" t="s">
        <v>5784</v>
      </c>
      <c r="E1723" s="32">
        <v>2025</v>
      </c>
      <c r="F1723" s="32" t="s">
        <v>19</v>
      </c>
      <c r="G1723" s="32" t="s">
        <v>5868</v>
      </c>
      <c r="H1723" s="32" t="s">
        <v>5914</v>
      </c>
      <c r="I1723" s="32" t="s">
        <v>5751</v>
      </c>
      <c r="J1723" s="32">
        <v>6199</v>
      </c>
      <c r="K1723" s="32">
        <v>0</v>
      </c>
      <c r="L1723" s="32">
        <v>0</v>
      </c>
      <c r="M1723" s="32">
        <v>0</v>
      </c>
      <c r="N1723" s="32">
        <v>0</v>
      </c>
      <c r="O1723" s="32">
        <v>0</v>
      </c>
      <c r="P1723" s="32">
        <v>0</v>
      </c>
      <c r="Q1723" s="37">
        <f t="shared" si="52"/>
        <v>6199</v>
      </c>
      <c r="R1723" s="69">
        <f t="shared" si="53"/>
        <v>5269.15</v>
      </c>
      <c r="S1723" s="30"/>
      <c r="T1723" s="30"/>
    </row>
    <row r="1724" spans="1:20" ht="45" customHeight="1" x14ac:dyDescent="0.3">
      <c r="A1724" s="36">
        <v>1712</v>
      </c>
      <c r="B1724" s="32" t="s">
        <v>5765</v>
      </c>
      <c r="C1724" s="32" t="s">
        <v>5785</v>
      </c>
      <c r="D1724" s="32" t="s">
        <v>5786</v>
      </c>
      <c r="E1724" s="32">
        <v>2023</v>
      </c>
      <c r="F1724" s="32" t="s">
        <v>18</v>
      </c>
      <c r="G1724" s="32" t="s">
        <v>5869</v>
      </c>
      <c r="H1724" s="32" t="s">
        <v>5915</v>
      </c>
      <c r="I1724" s="32" t="s">
        <v>290</v>
      </c>
      <c r="J1724" s="32">
        <v>6199</v>
      </c>
      <c r="K1724" s="32">
        <f>1346+6278+4484+4484+2332+2332+2332+2332+2332+2332+6995+6995+2332+6995</f>
        <v>53901</v>
      </c>
      <c r="L1724" s="32">
        <v>0</v>
      </c>
      <c r="M1724" s="32">
        <v>0</v>
      </c>
      <c r="N1724" s="32">
        <v>3148</v>
      </c>
      <c r="O1724" s="32">
        <v>0</v>
      </c>
      <c r="P1724" s="32">
        <v>0</v>
      </c>
      <c r="Q1724" s="37">
        <f t="shared" si="52"/>
        <v>63248</v>
      </c>
      <c r="R1724" s="69">
        <f t="shared" si="53"/>
        <v>53760.800000000003</v>
      </c>
      <c r="S1724" s="30"/>
      <c r="T1724" s="30"/>
    </row>
    <row r="1725" spans="1:20" ht="45" customHeight="1" x14ac:dyDescent="0.3">
      <c r="A1725" s="31">
        <v>1713</v>
      </c>
      <c r="B1725" s="32" t="s">
        <v>5765</v>
      </c>
      <c r="C1725" s="32" t="s">
        <v>5785</v>
      </c>
      <c r="D1725" s="32" t="s">
        <v>5786</v>
      </c>
      <c r="E1725" s="32">
        <v>2023</v>
      </c>
      <c r="F1725" s="32" t="s">
        <v>18</v>
      </c>
      <c r="G1725" s="32" t="s">
        <v>5869</v>
      </c>
      <c r="H1725" s="32" t="s">
        <v>5915</v>
      </c>
      <c r="I1725" s="32" t="s">
        <v>290</v>
      </c>
      <c r="J1725" s="32">
        <v>0</v>
      </c>
      <c r="K1725" s="32">
        <v>0</v>
      </c>
      <c r="L1725" s="32">
        <v>0</v>
      </c>
      <c r="M1725" s="32">
        <v>17688</v>
      </c>
      <c r="N1725" s="32">
        <v>0</v>
      </c>
      <c r="O1725" s="32">
        <v>0</v>
      </c>
      <c r="P1725" s="32">
        <f>360+56</f>
        <v>416</v>
      </c>
      <c r="Q1725" s="37">
        <f t="shared" si="52"/>
        <v>18104</v>
      </c>
      <c r="R1725" s="69">
        <f t="shared" si="53"/>
        <v>15388.4</v>
      </c>
      <c r="S1725" s="30"/>
      <c r="T1725" s="30"/>
    </row>
    <row r="1726" spans="1:20" ht="45" customHeight="1" x14ac:dyDescent="0.3">
      <c r="A1726" s="31">
        <v>1714</v>
      </c>
      <c r="B1726" s="32" t="s">
        <v>5765</v>
      </c>
      <c r="C1726" s="32" t="s">
        <v>5787</v>
      </c>
      <c r="D1726" s="32" t="s">
        <v>5788</v>
      </c>
      <c r="E1726" s="32">
        <v>2007</v>
      </c>
      <c r="F1726" s="32" t="s">
        <v>19</v>
      </c>
      <c r="G1726" s="32" t="s">
        <v>5870</v>
      </c>
      <c r="H1726" s="32" t="s">
        <v>5916</v>
      </c>
      <c r="I1726" s="32" t="s">
        <v>272</v>
      </c>
      <c r="J1726" s="32">
        <v>6199</v>
      </c>
      <c r="K1726" s="32">
        <f>1346+6278+4484+2332+2332+2332</f>
        <v>19104</v>
      </c>
      <c r="L1726" s="32">
        <v>0</v>
      </c>
      <c r="M1726" s="32">
        <v>0</v>
      </c>
      <c r="N1726" s="32">
        <v>1793</v>
      </c>
      <c r="O1726" s="32">
        <v>0</v>
      </c>
      <c r="P1726" s="32">
        <v>0</v>
      </c>
      <c r="Q1726" s="37">
        <f t="shared" si="52"/>
        <v>27096</v>
      </c>
      <c r="R1726" s="69">
        <f t="shared" si="53"/>
        <v>23031.599999999999</v>
      </c>
      <c r="S1726" s="30"/>
      <c r="T1726" s="30"/>
    </row>
    <row r="1727" spans="1:20" ht="45" customHeight="1" x14ac:dyDescent="0.3">
      <c r="A1727" s="36">
        <v>1715</v>
      </c>
      <c r="B1727" s="32" t="s">
        <v>5765</v>
      </c>
      <c r="C1727" s="32" t="s">
        <v>5789</v>
      </c>
      <c r="D1727" s="32" t="s">
        <v>5790</v>
      </c>
      <c r="E1727" s="32">
        <v>1989</v>
      </c>
      <c r="F1727" s="32" t="s">
        <v>19</v>
      </c>
      <c r="G1727" s="32" t="s">
        <v>5871</v>
      </c>
      <c r="H1727" s="32" t="s">
        <v>5871</v>
      </c>
      <c r="I1727" s="32" t="s">
        <v>3313</v>
      </c>
      <c r="J1727" s="32">
        <v>6199</v>
      </c>
      <c r="K1727" s="32">
        <f>6278+4484+4484+2332+2332+2332+2332+2332+3587+2332+2332+2332</f>
        <v>37489</v>
      </c>
      <c r="L1727" s="32">
        <v>13298</v>
      </c>
      <c r="M1727" s="32">
        <v>0</v>
      </c>
      <c r="N1727" s="32">
        <v>1793</v>
      </c>
      <c r="O1727" s="32">
        <v>0</v>
      </c>
      <c r="P1727" s="32">
        <v>0</v>
      </c>
      <c r="Q1727" s="37">
        <f t="shared" si="52"/>
        <v>58779</v>
      </c>
      <c r="R1727" s="69">
        <f t="shared" si="53"/>
        <v>49962.15</v>
      </c>
      <c r="S1727" s="30"/>
      <c r="T1727" s="30"/>
    </row>
    <row r="1728" spans="1:20" ht="45" customHeight="1" x14ac:dyDescent="0.3">
      <c r="A1728" s="31">
        <v>1716</v>
      </c>
      <c r="B1728" s="32" t="s">
        <v>5765</v>
      </c>
      <c r="C1728" s="32" t="s">
        <v>5791</v>
      </c>
      <c r="D1728" s="32" t="s">
        <v>5792</v>
      </c>
      <c r="E1728" s="32">
        <v>2011</v>
      </c>
      <c r="F1728" s="32" t="s">
        <v>19</v>
      </c>
      <c r="G1728" s="32" t="s">
        <v>5872</v>
      </c>
      <c r="H1728" s="32" t="s">
        <v>5917</v>
      </c>
      <c r="I1728" s="32" t="s">
        <v>5945</v>
      </c>
      <c r="J1728" s="32">
        <v>3582</v>
      </c>
      <c r="K1728" s="32">
        <v>0</v>
      </c>
      <c r="L1728" s="32">
        <v>0</v>
      </c>
      <c r="M1728" s="32">
        <v>0</v>
      </c>
      <c r="N1728" s="32">
        <f>34016+27380</f>
        <v>61396</v>
      </c>
      <c r="O1728" s="32">
        <v>0</v>
      </c>
      <c r="P1728" s="32">
        <v>0</v>
      </c>
      <c r="Q1728" s="37">
        <f t="shared" si="52"/>
        <v>64978</v>
      </c>
      <c r="R1728" s="69">
        <f t="shared" si="53"/>
        <v>55231.3</v>
      </c>
      <c r="S1728" s="30"/>
      <c r="T1728" s="30"/>
    </row>
    <row r="1729" spans="1:20" ht="45" customHeight="1" x14ac:dyDescent="0.3">
      <c r="A1729" s="31">
        <v>1717</v>
      </c>
      <c r="B1729" s="32" t="s">
        <v>5765</v>
      </c>
      <c r="C1729" s="32" t="s">
        <v>5793</v>
      </c>
      <c r="D1729" s="32" t="s">
        <v>4676</v>
      </c>
      <c r="E1729" s="32">
        <v>1962</v>
      </c>
      <c r="F1729" s="32" t="s">
        <v>19</v>
      </c>
      <c r="G1729" s="32" t="s">
        <v>4792</v>
      </c>
      <c r="H1729" s="32" t="s">
        <v>4840</v>
      </c>
      <c r="I1729" s="32" t="s">
        <v>4867</v>
      </c>
      <c r="J1729" s="32">
        <v>3793</v>
      </c>
      <c r="K1729" s="32">
        <f>6278+4484+1346+2332+2332+2332+2332+2332+4484+4484+4484+2332+3000+3000</f>
        <v>45552</v>
      </c>
      <c r="L1729" s="32">
        <v>0</v>
      </c>
      <c r="M1729" s="32">
        <v>0</v>
      </c>
      <c r="N1729" s="32">
        <v>1793</v>
      </c>
      <c r="O1729" s="32">
        <v>0</v>
      </c>
      <c r="P1729" s="32">
        <v>0</v>
      </c>
      <c r="Q1729" s="37">
        <f t="shared" si="52"/>
        <v>51138</v>
      </c>
      <c r="R1729" s="69">
        <f t="shared" si="53"/>
        <v>43467.3</v>
      </c>
      <c r="S1729" s="30"/>
      <c r="T1729" s="30"/>
    </row>
    <row r="1730" spans="1:20" ht="45" customHeight="1" x14ac:dyDescent="0.3">
      <c r="A1730" s="36">
        <v>1718</v>
      </c>
      <c r="B1730" s="32" t="s">
        <v>5765</v>
      </c>
      <c r="C1730" s="32" t="s">
        <v>5794</v>
      </c>
      <c r="D1730" s="32" t="s">
        <v>5795</v>
      </c>
      <c r="E1730" s="32">
        <v>2019</v>
      </c>
      <c r="F1730" s="32" t="s">
        <v>18</v>
      </c>
      <c r="G1730" s="32" t="s">
        <v>5873</v>
      </c>
      <c r="H1730" s="32" t="s">
        <v>5918</v>
      </c>
      <c r="I1730" s="32" t="s">
        <v>5946</v>
      </c>
      <c r="J1730" s="32">
        <v>6199</v>
      </c>
      <c r="K1730" s="32">
        <f>1346+6278+4484</f>
        <v>12108</v>
      </c>
      <c r="L1730" s="32">
        <v>0</v>
      </c>
      <c r="M1730" s="32">
        <v>0</v>
      </c>
      <c r="N1730" s="32">
        <v>3148</v>
      </c>
      <c r="O1730" s="32">
        <v>0</v>
      </c>
      <c r="P1730" s="32">
        <v>0</v>
      </c>
      <c r="Q1730" s="37">
        <f t="shared" si="52"/>
        <v>21455</v>
      </c>
      <c r="R1730" s="69">
        <f t="shared" si="53"/>
        <v>18236.75</v>
      </c>
      <c r="S1730" s="30"/>
      <c r="T1730" s="30"/>
    </row>
    <row r="1731" spans="1:20" ht="45" customHeight="1" x14ac:dyDescent="0.3">
      <c r="A1731" s="31">
        <v>1719</v>
      </c>
      <c r="B1731" s="32" t="s">
        <v>5765</v>
      </c>
      <c r="C1731" s="32" t="s">
        <v>5796</v>
      </c>
      <c r="D1731" s="32" t="s">
        <v>5797</v>
      </c>
      <c r="E1731" s="32">
        <v>2019</v>
      </c>
      <c r="F1731" s="32" t="s">
        <v>18</v>
      </c>
      <c r="G1731" s="32" t="s">
        <v>5874</v>
      </c>
      <c r="H1731" s="32" t="s">
        <v>5919</v>
      </c>
      <c r="I1731" s="32" t="s">
        <v>5947</v>
      </c>
      <c r="J1731" s="32">
        <v>6199</v>
      </c>
      <c r="K1731" s="32">
        <f>1346+6278+4484+4484+2332+2332+2332+2332+2332+2332+6995+6995+2332+6995</f>
        <v>53901</v>
      </c>
      <c r="L1731" s="32">
        <v>0</v>
      </c>
      <c r="M1731" s="32">
        <v>0</v>
      </c>
      <c r="N1731" s="32">
        <v>3148</v>
      </c>
      <c r="O1731" s="32">
        <v>0</v>
      </c>
      <c r="P1731" s="32">
        <v>0</v>
      </c>
      <c r="Q1731" s="37">
        <f t="shared" si="52"/>
        <v>63248</v>
      </c>
      <c r="R1731" s="69">
        <f t="shared" si="53"/>
        <v>53760.800000000003</v>
      </c>
      <c r="S1731" s="30"/>
      <c r="T1731" s="30"/>
    </row>
    <row r="1732" spans="1:20" ht="45" customHeight="1" x14ac:dyDescent="0.3">
      <c r="A1732" s="31">
        <v>1720</v>
      </c>
      <c r="B1732" s="32" t="s">
        <v>5765</v>
      </c>
      <c r="C1732" s="32" t="s">
        <v>5798</v>
      </c>
      <c r="D1732" s="32" t="s">
        <v>3163</v>
      </c>
      <c r="E1732" s="32">
        <v>2020</v>
      </c>
      <c r="F1732" s="32" t="s">
        <v>19</v>
      </c>
      <c r="G1732" s="32" t="s">
        <v>3249</v>
      </c>
      <c r="H1732" s="32" t="s">
        <v>1452</v>
      </c>
      <c r="I1732" s="32" t="s">
        <v>282</v>
      </c>
      <c r="J1732" s="32">
        <v>3793</v>
      </c>
      <c r="K1732" s="32">
        <f>6278+4484+1346+4484+2332+2332+2332+2332+2332+6995+6995+2332+6995+2332</f>
        <v>53901</v>
      </c>
      <c r="L1732" s="32">
        <v>0</v>
      </c>
      <c r="M1732" s="32">
        <v>0</v>
      </c>
      <c r="N1732" s="32">
        <v>3148</v>
      </c>
      <c r="O1732" s="32">
        <v>0</v>
      </c>
      <c r="P1732" s="32">
        <v>0</v>
      </c>
      <c r="Q1732" s="37">
        <f t="shared" si="52"/>
        <v>60842</v>
      </c>
      <c r="R1732" s="69">
        <f t="shared" si="53"/>
        <v>51715.7</v>
      </c>
      <c r="S1732" s="30"/>
      <c r="T1732" s="30"/>
    </row>
    <row r="1733" spans="1:20" s="41" customFormat="1" ht="45" customHeight="1" x14ac:dyDescent="0.3">
      <c r="A1733" s="36">
        <v>1721</v>
      </c>
      <c r="B1733" s="38" t="s">
        <v>5765</v>
      </c>
      <c r="C1733" s="38" t="s">
        <v>5799</v>
      </c>
      <c r="D1733" s="38" t="s">
        <v>5800</v>
      </c>
      <c r="E1733" s="38">
        <v>2002</v>
      </c>
      <c r="F1733" s="38" t="s">
        <v>19</v>
      </c>
      <c r="G1733" s="38" t="s">
        <v>5875</v>
      </c>
      <c r="H1733" s="38" t="s">
        <v>5920</v>
      </c>
      <c r="I1733" s="38" t="s">
        <v>1060</v>
      </c>
      <c r="J1733" s="38">
        <v>6199</v>
      </c>
      <c r="K1733" s="38">
        <f>2332+2332</f>
        <v>4664</v>
      </c>
      <c r="L1733" s="38">
        <v>9422</v>
      </c>
      <c r="M1733" s="38">
        <v>0</v>
      </c>
      <c r="N1733" s="38">
        <v>0</v>
      </c>
      <c r="O1733" s="38">
        <v>0</v>
      </c>
      <c r="P1733" s="38">
        <v>0</v>
      </c>
      <c r="Q1733" s="37">
        <f t="shared" si="52"/>
        <v>20285</v>
      </c>
      <c r="R1733" s="69">
        <f t="shared" si="53"/>
        <v>17242.25</v>
      </c>
      <c r="S1733" s="40"/>
      <c r="T1733" s="40"/>
    </row>
    <row r="1734" spans="1:20" s="41" customFormat="1" ht="45" customHeight="1" x14ac:dyDescent="0.3">
      <c r="A1734" s="31">
        <v>1722</v>
      </c>
      <c r="B1734" s="38" t="s">
        <v>5765</v>
      </c>
      <c r="C1734" s="38" t="s">
        <v>5801</v>
      </c>
      <c r="D1734" s="38" t="s">
        <v>5802</v>
      </c>
      <c r="E1734" s="38">
        <v>2025</v>
      </c>
      <c r="F1734" s="38" t="s">
        <v>18</v>
      </c>
      <c r="G1734" s="38" t="s">
        <v>5876</v>
      </c>
      <c r="H1734" s="40" t="s">
        <v>7284</v>
      </c>
      <c r="I1734" s="38" t="s">
        <v>5948</v>
      </c>
      <c r="J1734" s="38">
        <v>6199</v>
      </c>
      <c r="K1734" s="38">
        <f>1346+6278+4484+4484+2332+2332+2332+2332+2332+2332+6995+6995+2332+6995</f>
        <v>53901</v>
      </c>
      <c r="L1734" s="38">
        <v>0</v>
      </c>
      <c r="M1734" s="38">
        <v>0</v>
      </c>
      <c r="N1734" s="38">
        <v>3148</v>
      </c>
      <c r="O1734" s="38">
        <v>0</v>
      </c>
      <c r="P1734" s="38">
        <v>0</v>
      </c>
      <c r="Q1734" s="37">
        <f t="shared" si="52"/>
        <v>63248</v>
      </c>
      <c r="R1734" s="69">
        <f t="shared" si="53"/>
        <v>53760.800000000003</v>
      </c>
      <c r="S1734" s="40"/>
      <c r="T1734" s="40"/>
    </row>
    <row r="1735" spans="1:20" ht="45" customHeight="1" x14ac:dyDescent="0.3">
      <c r="A1735" s="31">
        <v>1723</v>
      </c>
      <c r="B1735" s="32" t="s">
        <v>5765</v>
      </c>
      <c r="C1735" s="32" t="s">
        <v>5803</v>
      </c>
      <c r="D1735" s="32" t="s">
        <v>5804</v>
      </c>
      <c r="E1735" s="32">
        <v>1979</v>
      </c>
      <c r="F1735" s="32" t="s">
        <v>19</v>
      </c>
      <c r="G1735" s="32" t="s">
        <v>5877</v>
      </c>
      <c r="H1735" s="32" t="s">
        <v>5921</v>
      </c>
      <c r="I1735" s="32" t="s">
        <v>5949</v>
      </c>
      <c r="J1735" s="32">
        <v>6199</v>
      </c>
      <c r="K1735" s="32">
        <v>0</v>
      </c>
      <c r="L1735" s="32">
        <v>0</v>
      </c>
      <c r="M1735" s="32">
        <v>0</v>
      </c>
      <c r="N1735" s="32">
        <f>303362+15443</f>
        <v>318805</v>
      </c>
      <c r="O1735" s="32">
        <v>0</v>
      </c>
      <c r="P1735" s="32">
        <v>0</v>
      </c>
      <c r="Q1735" s="37">
        <f t="shared" si="52"/>
        <v>325004</v>
      </c>
      <c r="R1735" s="69">
        <f t="shared" si="53"/>
        <v>276253.40000000002</v>
      </c>
      <c r="S1735" s="30"/>
      <c r="T1735" s="30"/>
    </row>
    <row r="1736" spans="1:20" ht="45" customHeight="1" x14ac:dyDescent="0.3">
      <c r="A1736" s="36">
        <v>1724</v>
      </c>
      <c r="B1736" s="32" t="s">
        <v>5765</v>
      </c>
      <c r="C1736" s="32" t="s">
        <v>5805</v>
      </c>
      <c r="D1736" s="32" t="s">
        <v>5806</v>
      </c>
      <c r="E1736" s="32">
        <v>2020</v>
      </c>
      <c r="F1736" s="32" t="s">
        <v>19</v>
      </c>
      <c r="G1736" s="32" t="s">
        <v>5878</v>
      </c>
      <c r="H1736" s="32" t="s">
        <v>5922</v>
      </c>
      <c r="I1736" s="32" t="s">
        <v>5950</v>
      </c>
      <c r="J1736" s="32">
        <v>6199</v>
      </c>
      <c r="K1736" s="32">
        <f>1346+6278+4484+2332+2332+2332+4484+2332+2332+2332+6995+6995+2332+6995</f>
        <v>53901</v>
      </c>
      <c r="L1736" s="32">
        <v>0</v>
      </c>
      <c r="M1736" s="32">
        <v>0</v>
      </c>
      <c r="N1736" s="32">
        <v>3148</v>
      </c>
      <c r="O1736" s="32">
        <v>0</v>
      </c>
      <c r="P1736" s="32">
        <v>0</v>
      </c>
      <c r="Q1736" s="37">
        <f t="shared" si="52"/>
        <v>63248</v>
      </c>
      <c r="R1736" s="69">
        <f t="shared" si="53"/>
        <v>53760.800000000003</v>
      </c>
      <c r="S1736" s="30"/>
      <c r="T1736" s="30"/>
    </row>
    <row r="1737" spans="1:20" ht="45" customHeight="1" x14ac:dyDescent="0.3">
      <c r="A1737" s="31">
        <v>1725</v>
      </c>
      <c r="B1737" s="32" t="s">
        <v>5765</v>
      </c>
      <c r="C1737" s="32" t="s">
        <v>5807</v>
      </c>
      <c r="D1737" s="32" t="s">
        <v>5808</v>
      </c>
      <c r="E1737" s="32">
        <v>2023</v>
      </c>
      <c r="F1737" s="32" t="s">
        <v>19</v>
      </c>
      <c r="G1737" s="32" t="s">
        <v>5879</v>
      </c>
      <c r="H1737" s="32" t="s">
        <v>5923</v>
      </c>
      <c r="I1737" s="32" t="s">
        <v>5951</v>
      </c>
      <c r="J1737" s="32">
        <v>6199</v>
      </c>
      <c r="K1737" s="32">
        <f>1346+6278+4484+4484+2332+6995+6995+2332+2332+2332+2332+2332+2332+6995</f>
        <v>53901</v>
      </c>
      <c r="L1737" s="32">
        <v>0</v>
      </c>
      <c r="M1737" s="32">
        <v>0</v>
      </c>
      <c r="N1737" s="32">
        <v>3148</v>
      </c>
      <c r="O1737" s="32">
        <v>0</v>
      </c>
      <c r="P1737" s="32">
        <v>0</v>
      </c>
      <c r="Q1737" s="37">
        <f t="shared" si="52"/>
        <v>63248</v>
      </c>
      <c r="R1737" s="69">
        <f t="shared" si="53"/>
        <v>53760.800000000003</v>
      </c>
      <c r="S1737" s="30"/>
      <c r="T1737" s="30"/>
    </row>
    <row r="1738" spans="1:20" ht="45" customHeight="1" x14ac:dyDescent="0.3">
      <c r="A1738" s="31">
        <v>1726</v>
      </c>
      <c r="B1738" s="32" t="s">
        <v>5765</v>
      </c>
      <c r="C1738" s="32" t="s">
        <v>5807</v>
      </c>
      <c r="D1738" s="32" t="s">
        <v>5808</v>
      </c>
      <c r="E1738" s="32">
        <v>2023</v>
      </c>
      <c r="F1738" s="32" t="s">
        <v>19</v>
      </c>
      <c r="G1738" s="32" t="s">
        <v>5879</v>
      </c>
      <c r="H1738" s="32" t="s">
        <v>5923</v>
      </c>
      <c r="I1738" s="32" t="s">
        <v>5951</v>
      </c>
      <c r="J1738" s="32">
        <v>0</v>
      </c>
      <c r="K1738" s="32">
        <v>0</v>
      </c>
      <c r="L1738" s="32">
        <v>0</v>
      </c>
      <c r="M1738" s="32">
        <v>0</v>
      </c>
      <c r="N1738" s="32">
        <f>1178+2088+4053</f>
        <v>7319</v>
      </c>
      <c r="O1738" s="32">
        <v>0</v>
      </c>
      <c r="P1738" s="32">
        <f>720+1080+360+56</f>
        <v>2216</v>
      </c>
      <c r="Q1738" s="37">
        <f t="shared" si="52"/>
        <v>9535</v>
      </c>
      <c r="R1738" s="69">
        <f t="shared" si="53"/>
        <v>8104.75</v>
      </c>
      <c r="S1738" s="30"/>
      <c r="T1738" s="30"/>
    </row>
    <row r="1739" spans="1:20" ht="45" customHeight="1" x14ac:dyDescent="0.3">
      <c r="A1739" s="36">
        <v>1727</v>
      </c>
      <c r="B1739" s="32" t="s">
        <v>5765</v>
      </c>
      <c r="C1739" s="32" t="s">
        <v>5807</v>
      </c>
      <c r="D1739" s="32" t="s">
        <v>5808</v>
      </c>
      <c r="E1739" s="32">
        <v>2023</v>
      </c>
      <c r="F1739" s="32" t="s">
        <v>19</v>
      </c>
      <c r="G1739" s="32" t="s">
        <v>5879</v>
      </c>
      <c r="H1739" s="32" t="s">
        <v>5923</v>
      </c>
      <c r="I1739" s="32" t="s">
        <v>5951</v>
      </c>
      <c r="J1739" s="32">
        <v>0</v>
      </c>
      <c r="K1739" s="32">
        <v>0</v>
      </c>
      <c r="L1739" s="32">
        <v>0</v>
      </c>
      <c r="M1739" s="32">
        <v>17688</v>
      </c>
      <c r="N1739" s="32">
        <v>0</v>
      </c>
      <c r="O1739" s="32">
        <v>0</v>
      </c>
      <c r="P1739" s="32">
        <f>1200+360+56</f>
        <v>1616</v>
      </c>
      <c r="Q1739" s="37">
        <f t="shared" si="52"/>
        <v>19304</v>
      </c>
      <c r="R1739" s="69">
        <f t="shared" si="53"/>
        <v>16408.400000000001</v>
      </c>
      <c r="S1739" s="30"/>
      <c r="T1739" s="30"/>
    </row>
    <row r="1740" spans="1:20" ht="45" customHeight="1" x14ac:dyDescent="0.3">
      <c r="A1740" s="31">
        <v>1728</v>
      </c>
      <c r="B1740" s="32" t="s">
        <v>5765</v>
      </c>
      <c r="C1740" s="32" t="s">
        <v>5809</v>
      </c>
      <c r="D1740" s="32" t="s">
        <v>5810</v>
      </c>
      <c r="E1740" s="32">
        <v>2001</v>
      </c>
      <c r="F1740" s="32" t="s">
        <v>19</v>
      </c>
      <c r="G1740" s="32" t="s">
        <v>5880</v>
      </c>
      <c r="H1740" s="32" t="s">
        <v>5880</v>
      </c>
      <c r="I1740" s="32" t="s">
        <v>3675</v>
      </c>
      <c r="J1740" s="32">
        <v>6199</v>
      </c>
      <c r="K1740" s="32">
        <v>0</v>
      </c>
      <c r="L1740" s="32">
        <v>0</v>
      </c>
      <c r="M1740" s="32">
        <v>0</v>
      </c>
      <c r="N1740" s="32">
        <f>303362+15443</f>
        <v>318805</v>
      </c>
      <c r="O1740" s="32">
        <v>0</v>
      </c>
      <c r="P1740" s="32">
        <v>0</v>
      </c>
      <c r="Q1740" s="37">
        <f t="shared" si="52"/>
        <v>325004</v>
      </c>
      <c r="R1740" s="69">
        <f t="shared" si="53"/>
        <v>276253.40000000002</v>
      </c>
      <c r="S1740" s="30"/>
      <c r="T1740" s="30"/>
    </row>
    <row r="1741" spans="1:20" ht="45" customHeight="1" x14ac:dyDescent="0.3">
      <c r="A1741" s="31">
        <v>1729</v>
      </c>
      <c r="B1741" s="32" t="s">
        <v>5765</v>
      </c>
      <c r="C1741" s="32" t="s">
        <v>5811</v>
      </c>
      <c r="D1741" s="32" t="s">
        <v>5812</v>
      </c>
      <c r="E1741" s="32">
        <v>2000</v>
      </c>
      <c r="F1741" s="32" t="s">
        <v>19</v>
      </c>
      <c r="G1741" s="32" t="s">
        <v>5881</v>
      </c>
      <c r="H1741" s="32" t="s">
        <v>5924</v>
      </c>
      <c r="I1741" s="32" t="s">
        <v>3313</v>
      </c>
      <c r="J1741" s="32">
        <v>6199</v>
      </c>
      <c r="K1741" s="32">
        <f>6278+6995+3228+4484+3000+3000+3500+3500+1346+2332+2332+2243+2332</f>
        <v>44570</v>
      </c>
      <c r="L1741" s="32">
        <v>9422</v>
      </c>
      <c r="M1741" s="32">
        <v>0</v>
      </c>
      <c r="N1741" s="32">
        <f>1793+1681</f>
        <v>3474</v>
      </c>
      <c r="O1741" s="32">
        <v>0</v>
      </c>
      <c r="P1741" s="32">
        <v>2400</v>
      </c>
      <c r="Q1741" s="37">
        <f t="shared" ref="Q1741:Q1804" si="54">SUM(J1741:P1741)</f>
        <v>66065</v>
      </c>
      <c r="R1741" s="69">
        <f t="shared" si="53"/>
        <v>56155.25</v>
      </c>
      <c r="S1741" s="30"/>
      <c r="T1741" s="30"/>
    </row>
    <row r="1742" spans="1:20" ht="45" customHeight="1" x14ac:dyDescent="0.3">
      <c r="A1742" s="36">
        <v>1730</v>
      </c>
      <c r="B1742" s="32" t="s">
        <v>5765</v>
      </c>
      <c r="C1742" s="32" t="s">
        <v>5813</v>
      </c>
      <c r="D1742" s="32" t="s">
        <v>5814</v>
      </c>
      <c r="E1742" s="32">
        <v>2017</v>
      </c>
      <c r="F1742" s="32" t="s">
        <v>18</v>
      </c>
      <c r="G1742" s="32" t="s">
        <v>5882</v>
      </c>
      <c r="H1742" s="32" t="s">
        <v>5925</v>
      </c>
      <c r="I1742" s="32" t="s">
        <v>560</v>
      </c>
      <c r="J1742" s="32">
        <v>6199</v>
      </c>
      <c r="K1742" s="32">
        <f>6278+4484+1346+2332+4484+2332+2332+2332+2332+2332+2332+2332+6995+6995+2332+6995</f>
        <v>58565</v>
      </c>
      <c r="L1742" s="32">
        <v>0</v>
      </c>
      <c r="M1742" s="32">
        <v>0</v>
      </c>
      <c r="N1742" s="32">
        <v>3148</v>
      </c>
      <c r="O1742" s="32">
        <v>0</v>
      </c>
      <c r="P1742" s="32">
        <v>0</v>
      </c>
      <c r="Q1742" s="35">
        <f t="shared" si="54"/>
        <v>67912</v>
      </c>
      <c r="R1742" s="69">
        <f t="shared" ref="R1742:R1805" si="55">Q1742*85/100</f>
        <v>57725.2</v>
      </c>
      <c r="S1742" s="30"/>
      <c r="T1742" s="30"/>
    </row>
    <row r="1743" spans="1:20" ht="45" customHeight="1" x14ac:dyDescent="0.3">
      <c r="A1743" s="31">
        <v>1731</v>
      </c>
      <c r="B1743" s="32" t="s">
        <v>5765</v>
      </c>
      <c r="C1743" s="32" t="s">
        <v>5815</v>
      </c>
      <c r="D1743" s="32" t="s">
        <v>5816</v>
      </c>
      <c r="E1743" s="32">
        <v>1999</v>
      </c>
      <c r="F1743" s="32" t="s">
        <v>19</v>
      </c>
      <c r="G1743" s="32" t="s">
        <v>5883</v>
      </c>
      <c r="H1743" s="32" t="s">
        <v>5883</v>
      </c>
      <c r="I1743" s="32" t="s">
        <v>1063</v>
      </c>
      <c r="J1743" s="32">
        <v>6199</v>
      </c>
      <c r="K1743" s="32">
        <f>6278+4484+1346+2332+2332+2332+2332+2332+2332+3000+3000+3228+1166+2332+2332+6995+6995+2332+6995</f>
        <v>64475</v>
      </c>
      <c r="L1743" s="32">
        <v>0</v>
      </c>
      <c r="M1743" s="32">
        <v>0</v>
      </c>
      <c r="N1743" s="32">
        <v>1793</v>
      </c>
      <c r="O1743" s="32">
        <v>0</v>
      </c>
      <c r="P1743" s="32">
        <v>0</v>
      </c>
      <c r="Q1743" s="37">
        <f t="shared" si="54"/>
        <v>72467</v>
      </c>
      <c r="R1743" s="69">
        <f t="shared" si="55"/>
        <v>61596.95</v>
      </c>
      <c r="S1743" s="30"/>
      <c r="T1743" s="30"/>
    </row>
    <row r="1744" spans="1:20" ht="45" customHeight="1" x14ac:dyDescent="0.3">
      <c r="A1744" s="31">
        <v>1732</v>
      </c>
      <c r="B1744" s="32" t="s">
        <v>5765</v>
      </c>
      <c r="C1744" s="32" t="s">
        <v>5817</v>
      </c>
      <c r="D1744" s="32" t="s">
        <v>5818</v>
      </c>
      <c r="E1744" s="32">
        <v>2025</v>
      </c>
      <c r="F1744" s="32" t="s">
        <v>18</v>
      </c>
      <c r="G1744" s="32" t="s">
        <v>5884</v>
      </c>
      <c r="H1744" s="32" t="s">
        <v>5926</v>
      </c>
      <c r="I1744" s="32" t="s">
        <v>263</v>
      </c>
      <c r="J1744" s="32">
        <v>6199</v>
      </c>
      <c r="K1744" s="32">
        <v>0</v>
      </c>
      <c r="L1744" s="32">
        <v>0</v>
      </c>
      <c r="M1744" s="32">
        <v>0</v>
      </c>
      <c r="N1744" s="32">
        <v>0</v>
      </c>
      <c r="O1744" s="32">
        <v>0</v>
      </c>
      <c r="P1744" s="32">
        <v>0</v>
      </c>
      <c r="Q1744" s="37">
        <f t="shared" si="54"/>
        <v>6199</v>
      </c>
      <c r="R1744" s="69">
        <f t="shared" si="55"/>
        <v>5269.15</v>
      </c>
      <c r="S1744" s="30"/>
      <c r="T1744" s="30"/>
    </row>
    <row r="1745" spans="1:20" ht="45" customHeight="1" x14ac:dyDescent="0.3">
      <c r="A1745" s="36">
        <v>1733</v>
      </c>
      <c r="B1745" s="32" t="s">
        <v>5765</v>
      </c>
      <c r="C1745" s="32" t="s">
        <v>5819</v>
      </c>
      <c r="D1745" s="32" t="s">
        <v>3383</v>
      </c>
      <c r="E1745" s="32">
        <v>1955</v>
      </c>
      <c r="F1745" s="32" t="s">
        <v>18</v>
      </c>
      <c r="G1745" s="32" t="s">
        <v>3446</v>
      </c>
      <c r="H1745" s="32" t="s">
        <v>3446</v>
      </c>
      <c r="I1745" s="32" t="s">
        <v>253</v>
      </c>
      <c r="J1745" s="32">
        <v>3793</v>
      </c>
      <c r="K1745" s="32">
        <f>6278+4484+1346+2332+2332+2332+2332+2332+2332+4484+4484+4484+2332+2332+2332+2332+3000+3000</f>
        <v>54880</v>
      </c>
      <c r="L1745" s="32">
        <v>0</v>
      </c>
      <c r="M1745" s="32">
        <v>0</v>
      </c>
      <c r="N1745" s="32">
        <v>1793</v>
      </c>
      <c r="O1745" s="32">
        <v>0</v>
      </c>
      <c r="P1745" s="32">
        <v>0</v>
      </c>
      <c r="Q1745" s="37">
        <f t="shared" si="54"/>
        <v>60466</v>
      </c>
      <c r="R1745" s="69">
        <f t="shared" si="55"/>
        <v>51396.1</v>
      </c>
      <c r="S1745" s="30"/>
      <c r="T1745" s="30"/>
    </row>
    <row r="1746" spans="1:20" ht="45" customHeight="1" x14ac:dyDescent="0.3">
      <c r="A1746" s="31">
        <v>1734</v>
      </c>
      <c r="B1746" s="32" t="s">
        <v>5765</v>
      </c>
      <c r="C1746" s="32" t="s">
        <v>5820</v>
      </c>
      <c r="D1746" s="32" t="s">
        <v>5821</v>
      </c>
      <c r="E1746" s="32">
        <v>1984</v>
      </c>
      <c r="F1746" s="32" t="s">
        <v>19</v>
      </c>
      <c r="G1746" s="32" t="s">
        <v>5885</v>
      </c>
      <c r="H1746" s="32" t="s">
        <v>5885</v>
      </c>
      <c r="I1746" s="32" t="s">
        <v>1075</v>
      </c>
      <c r="J1746" s="32">
        <v>6199</v>
      </c>
      <c r="K1746" s="32">
        <f>6278+4484+2332+2332+2332+1166+2801+6995+2332+2332+2332+3000+3000+3228+6995+2332+2332</f>
        <v>56603</v>
      </c>
      <c r="L1746" s="32">
        <v>20807</v>
      </c>
      <c r="M1746" s="32">
        <v>0</v>
      </c>
      <c r="N1746" s="32">
        <f>9871+1793</f>
        <v>11664</v>
      </c>
      <c r="O1746" s="32">
        <v>0</v>
      </c>
      <c r="P1746" s="32">
        <v>0</v>
      </c>
      <c r="Q1746" s="37">
        <f t="shared" si="54"/>
        <v>95273</v>
      </c>
      <c r="R1746" s="69">
        <f t="shared" si="55"/>
        <v>80982.05</v>
      </c>
      <c r="S1746" s="30"/>
      <c r="T1746" s="30"/>
    </row>
    <row r="1747" spans="1:20" ht="45" customHeight="1" x14ac:dyDescent="0.3">
      <c r="A1747" s="31">
        <v>1735</v>
      </c>
      <c r="B1747" s="32" t="s">
        <v>5765</v>
      </c>
      <c r="C1747" s="32" t="s">
        <v>5822</v>
      </c>
      <c r="D1747" s="32" t="s">
        <v>5823</v>
      </c>
      <c r="E1747" s="32">
        <v>1967</v>
      </c>
      <c r="F1747" s="32" t="s">
        <v>19</v>
      </c>
      <c r="G1747" s="32" t="s">
        <v>5886</v>
      </c>
      <c r="H1747" s="32" t="s">
        <v>5886</v>
      </c>
      <c r="I1747" s="32" t="s">
        <v>5952</v>
      </c>
      <c r="J1747" s="32">
        <v>6199</v>
      </c>
      <c r="K1747" s="32">
        <f>6278+4484+2332+2332+4484+2332+2332+2332+6995+2332+1346+1346+4484+4484+2332+4484+3000+3000+2332+2332</f>
        <v>65373</v>
      </c>
      <c r="L1747" s="32">
        <v>13298</v>
      </c>
      <c r="M1747" s="32">
        <v>0</v>
      </c>
      <c r="N1747" s="32">
        <v>1793</v>
      </c>
      <c r="O1747" s="32">
        <v>0</v>
      </c>
      <c r="P1747" s="32">
        <v>0</v>
      </c>
      <c r="Q1747" s="37">
        <f t="shared" si="54"/>
        <v>86663</v>
      </c>
      <c r="R1747" s="69">
        <f t="shared" si="55"/>
        <v>73663.55</v>
      </c>
      <c r="S1747" s="30"/>
      <c r="T1747" s="30"/>
    </row>
    <row r="1748" spans="1:20" ht="45" customHeight="1" x14ac:dyDescent="0.3">
      <c r="A1748" s="36">
        <v>1736</v>
      </c>
      <c r="B1748" s="32" t="s">
        <v>5765</v>
      </c>
      <c r="C1748" s="32" t="s">
        <v>5824</v>
      </c>
      <c r="D1748" s="32" t="s">
        <v>2716</v>
      </c>
      <c r="E1748" s="32">
        <v>1992</v>
      </c>
      <c r="F1748" s="32" t="s">
        <v>18</v>
      </c>
      <c r="G1748" s="32" t="s">
        <v>2785</v>
      </c>
      <c r="H1748" s="32" t="s">
        <v>2785</v>
      </c>
      <c r="I1748" s="32" t="s">
        <v>1278</v>
      </c>
      <c r="J1748" s="32">
        <v>3582</v>
      </c>
      <c r="K1748" s="32">
        <v>0</v>
      </c>
      <c r="L1748" s="32">
        <v>0</v>
      </c>
      <c r="M1748" s="32">
        <v>0</v>
      </c>
      <c r="N1748" s="32">
        <f>34016+27380</f>
        <v>61396</v>
      </c>
      <c r="O1748" s="32">
        <v>0</v>
      </c>
      <c r="P1748" s="32">
        <v>0</v>
      </c>
      <c r="Q1748" s="37">
        <f t="shared" si="54"/>
        <v>64978</v>
      </c>
      <c r="R1748" s="69">
        <f t="shared" si="55"/>
        <v>55231.3</v>
      </c>
      <c r="S1748" s="30"/>
      <c r="T1748" s="30"/>
    </row>
    <row r="1749" spans="1:20" ht="45" customHeight="1" x14ac:dyDescent="0.3">
      <c r="A1749" s="31">
        <v>1737</v>
      </c>
      <c r="B1749" s="32" t="s">
        <v>5765</v>
      </c>
      <c r="C1749" s="32" t="s">
        <v>5825</v>
      </c>
      <c r="D1749" s="32" t="s">
        <v>5826</v>
      </c>
      <c r="E1749" s="32">
        <v>2009</v>
      </c>
      <c r="F1749" s="32" t="s">
        <v>19</v>
      </c>
      <c r="G1749" s="32" t="s">
        <v>5887</v>
      </c>
      <c r="H1749" s="32" t="s">
        <v>5927</v>
      </c>
      <c r="I1749" s="32" t="s">
        <v>5953</v>
      </c>
      <c r="J1749" s="32">
        <v>6199</v>
      </c>
      <c r="K1749" s="32">
        <f>6278+4484+1166+2332+2332+2332+6995+2332+2332+1166+2801+3000+3000+3228</f>
        <v>43778</v>
      </c>
      <c r="L1749" s="32">
        <f>20807+13298</f>
        <v>34105</v>
      </c>
      <c r="M1749" s="32">
        <v>0</v>
      </c>
      <c r="N1749" s="32">
        <v>1793</v>
      </c>
      <c r="O1749" s="32">
        <v>0</v>
      </c>
      <c r="P1749" s="32">
        <v>0</v>
      </c>
      <c r="Q1749" s="37">
        <f t="shared" si="54"/>
        <v>85875</v>
      </c>
      <c r="R1749" s="69">
        <f t="shared" si="55"/>
        <v>72993.75</v>
      </c>
      <c r="S1749" s="30"/>
      <c r="T1749" s="30"/>
    </row>
    <row r="1750" spans="1:20" s="41" customFormat="1" ht="45" customHeight="1" x14ac:dyDescent="0.3">
      <c r="A1750" s="31">
        <v>1738</v>
      </c>
      <c r="B1750" s="38" t="s">
        <v>5765</v>
      </c>
      <c r="C1750" s="38" t="s">
        <v>5827</v>
      </c>
      <c r="D1750" s="38" t="s">
        <v>5800</v>
      </c>
      <c r="E1750" s="38">
        <v>2002</v>
      </c>
      <c r="F1750" s="38" t="s">
        <v>19</v>
      </c>
      <c r="G1750" s="38" t="s">
        <v>5875</v>
      </c>
      <c r="H1750" s="38" t="s">
        <v>5920</v>
      </c>
      <c r="I1750" s="38" t="s">
        <v>1060</v>
      </c>
      <c r="J1750" s="38">
        <v>3582</v>
      </c>
      <c r="K1750" s="38">
        <v>0</v>
      </c>
      <c r="L1750" s="38">
        <v>0</v>
      </c>
      <c r="M1750" s="38">
        <v>0</v>
      </c>
      <c r="N1750" s="38">
        <v>0</v>
      </c>
      <c r="O1750" s="38">
        <v>0</v>
      </c>
      <c r="P1750" s="38">
        <v>0</v>
      </c>
      <c r="Q1750" s="37">
        <f t="shared" si="54"/>
        <v>3582</v>
      </c>
      <c r="R1750" s="69">
        <f t="shared" si="55"/>
        <v>3044.7</v>
      </c>
      <c r="S1750" s="40"/>
      <c r="T1750" s="40"/>
    </row>
    <row r="1751" spans="1:20" ht="45" customHeight="1" x14ac:dyDescent="0.3">
      <c r="A1751" s="36">
        <v>1739</v>
      </c>
      <c r="B1751" s="32" t="s">
        <v>5765</v>
      </c>
      <c r="C1751" s="32" t="s">
        <v>5828</v>
      </c>
      <c r="D1751" s="32" t="s">
        <v>5829</v>
      </c>
      <c r="E1751" s="32">
        <v>2018</v>
      </c>
      <c r="F1751" s="32" t="s">
        <v>19</v>
      </c>
      <c r="G1751" s="32" t="s">
        <v>5888</v>
      </c>
      <c r="H1751" s="32" t="s">
        <v>5928</v>
      </c>
      <c r="I1751" s="32" t="s">
        <v>3947</v>
      </c>
      <c r="J1751" s="32">
        <v>6199</v>
      </c>
      <c r="K1751" s="32">
        <f>6278+4484+1346</f>
        <v>12108</v>
      </c>
      <c r="L1751" s="32">
        <v>0</v>
      </c>
      <c r="M1751" s="32">
        <v>0</v>
      </c>
      <c r="N1751" s="32">
        <v>3148</v>
      </c>
      <c r="O1751" s="32">
        <v>0</v>
      </c>
      <c r="P1751" s="32">
        <v>0</v>
      </c>
      <c r="Q1751" s="37">
        <f t="shared" si="54"/>
        <v>21455</v>
      </c>
      <c r="R1751" s="69">
        <f t="shared" si="55"/>
        <v>18236.75</v>
      </c>
      <c r="S1751" s="30"/>
      <c r="T1751" s="30"/>
    </row>
    <row r="1752" spans="1:20" ht="45" customHeight="1" x14ac:dyDescent="0.3">
      <c r="A1752" s="31">
        <v>1740</v>
      </c>
      <c r="B1752" s="32" t="s">
        <v>5765</v>
      </c>
      <c r="C1752" s="32" t="s">
        <v>5830</v>
      </c>
      <c r="D1752" s="32" t="s">
        <v>5831</v>
      </c>
      <c r="E1752" s="32">
        <v>2013</v>
      </c>
      <c r="F1752" s="32" t="s">
        <v>19</v>
      </c>
      <c r="G1752" s="32" t="s">
        <v>5889</v>
      </c>
      <c r="H1752" s="32" t="s">
        <v>5929</v>
      </c>
      <c r="I1752" s="32" t="s">
        <v>560</v>
      </c>
      <c r="J1752" s="32">
        <v>3582</v>
      </c>
      <c r="K1752" s="32">
        <v>0</v>
      </c>
      <c r="L1752" s="32">
        <v>0</v>
      </c>
      <c r="M1752" s="32">
        <v>0</v>
      </c>
      <c r="N1752" s="32">
        <f>35836+30886</f>
        <v>66722</v>
      </c>
      <c r="O1752" s="32">
        <v>0</v>
      </c>
      <c r="P1752" s="32">
        <v>0</v>
      </c>
      <c r="Q1752" s="37">
        <f t="shared" si="54"/>
        <v>70304</v>
      </c>
      <c r="R1752" s="69">
        <f t="shared" si="55"/>
        <v>59758.400000000001</v>
      </c>
      <c r="S1752" s="30"/>
      <c r="T1752" s="30"/>
    </row>
    <row r="1753" spans="1:20" ht="45" customHeight="1" x14ac:dyDescent="0.3">
      <c r="A1753" s="31">
        <v>1741</v>
      </c>
      <c r="B1753" s="32" t="s">
        <v>5765</v>
      </c>
      <c r="C1753" s="32" t="s">
        <v>5832</v>
      </c>
      <c r="D1753" s="32" t="s">
        <v>5833</v>
      </c>
      <c r="E1753" s="32">
        <v>1972</v>
      </c>
      <c r="F1753" s="32" t="s">
        <v>18</v>
      </c>
      <c r="G1753" s="32" t="s">
        <v>232</v>
      </c>
      <c r="H1753" s="32" t="s">
        <v>232</v>
      </c>
      <c r="I1753" s="32" t="s">
        <v>5954</v>
      </c>
      <c r="J1753" s="32">
        <v>6199</v>
      </c>
      <c r="K1753" s="32">
        <v>0</v>
      </c>
      <c r="L1753" s="32">
        <v>0</v>
      </c>
      <c r="M1753" s="32">
        <v>0</v>
      </c>
      <c r="N1753" s="32">
        <v>0</v>
      </c>
      <c r="O1753" s="32">
        <v>0</v>
      </c>
      <c r="P1753" s="32">
        <v>0</v>
      </c>
      <c r="Q1753" s="37">
        <f t="shared" si="54"/>
        <v>6199</v>
      </c>
      <c r="R1753" s="69">
        <f t="shared" si="55"/>
        <v>5269.15</v>
      </c>
      <c r="S1753" s="30"/>
      <c r="T1753" s="30"/>
    </row>
    <row r="1754" spans="1:20" ht="45" customHeight="1" x14ac:dyDescent="0.3">
      <c r="A1754" s="36">
        <v>1742</v>
      </c>
      <c r="B1754" s="32" t="s">
        <v>5765</v>
      </c>
      <c r="C1754" s="32" t="s">
        <v>5834</v>
      </c>
      <c r="D1754" s="32" t="s">
        <v>5835</v>
      </c>
      <c r="E1754" s="32">
        <v>2018</v>
      </c>
      <c r="F1754" s="32" t="s">
        <v>19</v>
      </c>
      <c r="G1754" s="32" t="s">
        <v>5890</v>
      </c>
      <c r="H1754" s="32" t="s">
        <v>5930</v>
      </c>
      <c r="I1754" s="32" t="s">
        <v>3678</v>
      </c>
      <c r="J1754" s="32">
        <v>6199</v>
      </c>
      <c r="K1754" s="32">
        <f>1346+6278+4484+4484+2332+2332+2332+2332+2332+2332+6995+6995+2332+6995</f>
        <v>53901</v>
      </c>
      <c r="L1754" s="32">
        <v>0</v>
      </c>
      <c r="M1754" s="32">
        <v>0</v>
      </c>
      <c r="N1754" s="32">
        <f>3148+1178+4053+2088</f>
        <v>10467</v>
      </c>
      <c r="O1754" s="32">
        <v>0</v>
      </c>
      <c r="P1754" s="32">
        <f>720+1080+120+360+56+60</f>
        <v>2396</v>
      </c>
      <c r="Q1754" s="35">
        <f t="shared" si="54"/>
        <v>72963</v>
      </c>
      <c r="R1754" s="69">
        <f t="shared" si="55"/>
        <v>62018.55</v>
      </c>
      <c r="S1754" s="30"/>
      <c r="T1754" s="30"/>
    </row>
    <row r="1755" spans="1:20" ht="45" customHeight="1" x14ac:dyDescent="0.3">
      <c r="A1755" s="31">
        <v>1743</v>
      </c>
      <c r="B1755" s="32" t="s">
        <v>5765</v>
      </c>
      <c r="C1755" s="32" t="s">
        <v>5834</v>
      </c>
      <c r="D1755" s="32" t="s">
        <v>5835</v>
      </c>
      <c r="E1755" s="32">
        <v>2018</v>
      </c>
      <c r="F1755" s="32" t="s">
        <v>19</v>
      </c>
      <c r="G1755" s="32" t="s">
        <v>5890</v>
      </c>
      <c r="H1755" s="32" t="s">
        <v>5930</v>
      </c>
      <c r="I1755" s="32" t="s">
        <v>3678</v>
      </c>
      <c r="J1755" s="32">
        <v>0</v>
      </c>
      <c r="K1755" s="32">
        <v>0</v>
      </c>
      <c r="L1755" s="32">
        <v>0</v>
      </c>
      <c r="M1755" s="32">
        <v>17688</v>
      </c>
      <c r="N1755" s="32">
        <v>0</v>
      </c>
      <c r="O1755" s="32">
        <v>0</v>
      </c>
      <c r="P1755" s="32">
        <f>360+56</f>
        <v>416</v>
      </c>
      <c r="Q1755" s="35">
        <f t="shared" si="54"/>
        <v>18104</v>
      </c>
      <c r="R1755" s="69">
        <f t="shared" si="55"/>
        <v>15388.4</v>
      </c>
      <c r="S1755" s="30"/>
      <c r="T1755" s="30"/>
    </row>
    <row r="1756" spans="1:20" ht="45" customHeight="1" x14ac:dyDescent="0.3">
      <c r="A1756" s="31">
        <v>1744</v>
      </c>
      <c r="B1756" s="32" t="s">
        <v>5765</v>
      </c>
      <c r="C1756" s="32" t="s">
        <v>5836</v>
      </c>
      <c r="D1756" s="32" t="s">
        <v>5837</v>
      </c>
      <c r="E1756" s="32">
        <v>1997</v>
      </c>
      <c r="F1756" s="32" t="s">
        <v>19</v>
      </c>
      <c r="G1756" s="32" t="s">
        <v>5891</v>
      </c>
      <c r="H1756" s="32" t="s">
        <v>5931</v>
      </c>
      <c r="I1756" s="32" t="s">
        <v>5955</v>
      </c>
      <c r="J1756" s="32">
        <v>6199</v>
      </c>
      <c r="K1756" s="32">
        <v>0</v>
      </c>
      <c r="L1756" s="32">
        <v>0</v>
      </c>
      <c r="M1756" s="32">
        <v>0</v>
      </c>
      <c r="N1756" s="32">
        <v>0</v>
      </c>
      <c r="O1756" s="32">
        <v>0</v>
      </c>
      <c r="P1756" s="32">
        <v>0</v>
      </c>
      <c r="Q1756" s="35">
        <f t="shared" si="54"/>
        <v>6199</v>
      </c>
      <c r="R1756" s="69">
        <f t="shared" si="55"/>
        <v>5269.15</v>
      </c>
      <c r="S1756" s="30"/>
      <c r="T1756" s="30"/>
    </row>
    <row r="1757" spans="1:20" ht="45" customHeight="1" x14ac:dyDescent="0.3">
      <c r="A1757" s="36">
        <v>1745</v>
      </c>
      <c r="B1757" s="32" t="s">
        <v>5765</v>
      </c>
      <c r="C1757" s="32" t="s">
        <v>5838</v>
      </c>
      <c r="D1757" s="32" t="s">
        <v>5839</v>
      </c>
      <c r="E1757" s="32">
        <v>2020</v>
      </c>
      <c r="F1757" s="32" t="s">
        <v>19</v>
      </c>
      <c r="G1757" s="32" t="s">
        <v>5892</v>
      </c>
      <c r="H1757" s="32" t="s">
        <v>5932</v>
      </c>
      <c r="I1757" s="32" t="s">
        <v>5956</v>
      </c>
      <c r="J1757" s="32">
        <v>6199</v>
      </c>
      <c r="K1757" s="32">
        <f>1346+6278+4484+4484+2332+2332+2332+2332+2332+2332+6995+6995+2332+6995</f>
        <v>53901</v>
      </c>
      <c r="L1757" s="32">
        <v>0</v>
      </c>
      <c r="M1757" s="32">
        <v>0</v>
      </c>
      <c r="N1757" s="32">
        <f>3148+1178+4053+2088</f>
        <v>10467</v>
      </c>
      <c r="O1757" s="32">
        <v>0</v>
      </c>
      <c r="P1757" s="32">
        <f>720+1080+120+360+56+60</f>
        <v>2396</v>
      </c>
      <c r="Q1757" s="35">
        <f t="shared" si="54"/>
        <v>72963</v>
      </c>
      <c r="R1757" s="69">
        <f t="shared" si="55"/>
        <v>62018.55</v>
      </c>
      <c r="S1757" s="30"/>
      <c r="T1757" s="30"/>
    </row>
    <row r="1758" spans="1:20" ht="45" customHeight="1" x14ac:dyDescent="0.3">
      <c r="A1758" s="31">
        <v>1746</v>
      </c>
      <c r="B1758" s="32" t="s">
        <v>5765</v>
      </c>
      <c r="C1758" s="32" t="s">
        <v>5838</v>
      </c>
      <c r="D1758" s="32" t="s">
        <v>5839</v>
      </c>
      <c r="E1758" s="32">
        <v>2020</v>
      </c>
      <c r="F1758" s="32" t="s">
        <v>19</v>
      </c>
      <c r="G1758" s="32" t="s">
        <v>5892</v>
      </c>
      <c r="H1758" s="32" t="s">
        <v>5932</v>
      </c>
      <c r="I1758" s="32" t="s">
        <v>5956</v>
      </c>
      <c r="J1758" s="32">
        <v>0</v>
      </c>
      <c r="K1758" s="32">
        <v>0</v>
      </c>
      <c r="L1758" s="32">
        <v>0</v>
      </c>
      <c r="M1758" s="32">
        <v>17688</v>
      </c>
      <c r="N1758" s="32">
        <v>0</v>
      </c>
      <c r="O1758" s="32">
        <v>0</v>
      </c>
      <c r="P1758" s="32">
        <f>360+56</f>
        <v>416</v>
      </c>
      <c r="Q1758" s="35">
        <f t="shared" si="54"/>
        <v>18104</v>
      </c>
      <c r="R1758" s="69">
        <f t="shared" si="55"/>
        <v>15388.4</v>
      </c>
      <c r="S1758" s="30"/>
      <c r="T1758" s="30"/>
    </row>
    <row r="1759" spans="1:20" s="41" customFormat="1" ht="45" customHeight="1" x14ac:dyDescent="0.3">
      <c r="A1759" s="31">
        <v>1747</v>
      </c>
      <c r="B1759" s="38" t="s">
        <v>5765</v>
      </c>
      <c r="C1759" s="38" t="s">
        <v>5840</v>
      </c>
      <c r="D1759" s="38" t="s">
        <v>5841</v>
      </c>
      <c r="E1759" s="38">
        <v>2017</v>
      </c>
      <c r="F1759" s="38" t="s">
        <v>18</v>
      </c>
      <c r="G1759" s="38" t="s">
        <v>5893</v>
      </c>
      <c r="H1759" s="38" t="s">
        <v>5933</v>
      </c>
      <c r="I1759" s="38" t="s">
        <v>5957</v>
      </c>
      <c r="J1759" s="38">
        <v>3582</v>
      </c>
      <c r="K1759" s="38">
        <v>0</v>
      </c>
      <c r="L1759" s="38">
        <v>0</v>
      </c>
      <c r="M1759" s="38">
        <v>0</v>
      </c>
      <c r="N1759" s="38">
        <f>15443+35836</f>
        <v>51279</v>
      </c>
      <c r="O1759" s="38">
        <v>0</v>
      </c>
      <c r="P1759" s="38">
        <v>0</v>
      </c>
      <c r="Q1759" s="37">
        <f t="shared" si="54"/>
        <v>54861</v>
      </c>
      <c r="R1759" s="69">
        <f t="shared" si="55"/>
        <v>46631.85</v>
      </c>
      <c r="S1759" s="40"/>
      <c r="T1759" s="40"/>
    </row>
    <row r="1760" spans="1:20" ht="45" customHeight="1" x14ac:dyDescent="0.3">
      <c r="A1760" s="36">
        <v>1748</v>
      </c>
      <c r="B1760" s="32" t="s">
        <v>5765</v>
      </c>
      <c r="C1760" s="32" t="s">
        <v>5842</v>
      </c>
      <c r="D1760" s="32" t="s">
        <v>5843</v>
      </c>
      <c r="E1760" s="32">
        <v>2022</v>
      </c>
      <c r="F1760" s="32" t="s">
        <v>19</v>
      </c>
      <c r="G1760" s="32" t="s">
        <v>5894</v>
      </c>
      <c r="H1760" s="32" t="s">
        <v>5934</v>
      </c>
      <c r="I1760" s="32" t="s">
        <v>5153</v>
      </c>
      <c r="J1760" s="32">
        <v>6199</v>
      </c>
      <c r="K1760" s="32">
        <f>1346+6278+4484+1166</f>
        <v>13274</v>
      </c>
      <c r="L1760" s="32">
        <v>0</v>
      </c>
      <c r="M1760" s="32">
        <v>0</v>
      </c>
      <c r="N1760" s="32">
        <v>3148</v>
      </c>
      <c r="O1760" s="32">
        <v>0</v>
      </c>
      <c r="P1760" s="32">
        <v>0</v>
      </c>
      <c r="Q1760" s="37">
        <f t="shared" si="54"/>
        <v>22621</v>
      </c>
      <c r="R1760" s="69">
        <f t="shared" si="55"/>
        <v>19227.849999999999</v>
      </c>
      <c r="S1760" s="30"/>
      <c r="T1760" s="30"/>
    </row>
    <row r="1761" spans="1:20" ht="45" customHeight="1" x14ac:dyDescent="0.3">
      <c r="A1761" s="31">
        <v>1749</v>
      </c>
      <c r="B1761" s="32" t="s">
        <v>5765</v>
      </c>
      <c r="C1761" s="32" t="s">
        <v>5844</v>
      </c>
      <c r="D1761" s="32" t="s">
        <v>5845</v>
      </c>
      <c r="E1761" s="32">
        <v>1977</v>
      </c>
      <c r="F1761" s="32" t="s">
        <v>18</v>
      </c>
      <c r="G1761" s="32" t="s">
        <v>5895</v>
      </c>
      <c r="H1761" s="32" t="s">
        <v>5895</v>
      </c>
      <c r="I1761" s="32" t="s">
        <v>5958</v>
      </c>
      <c r="J1761" s="32">
        <v>6199</v>
      </c>
      <c r="K1761" s="32">
        <f>6278+4484+2332+2332+2332+3228</f>
        <v>20986</v>
      </c>
      <c r="L1761" s="32">
        <v>0</v>
      </c>
      <c r="M1761" s="32">
        <v>0</v>
      </c>
      <c r="N1761" s="32">
        <v>1793</v>
      </c>
      <c r="O1761" s="32">
        <v>0</v>
      </c>
      <c r="P1761" s="32">
        <v>0</v>
      </c>
      <c r="Q1761" s="37">
        <f t="shared" si="54"/>
        <v>28978</v>
      </c>
      <c r="R1761" s="69">
        <f t="shared" si="55"/>
        <v>24631.3</v>
      </c>
      <c r="S1761" s="30"/>
      <c r="T1761" s="30"/>
    </row>
    <row r="1762" spans="1:20" ht="45" customHeight="1" x14ac:dyDescent="0.3">
      <c r="A1762" s="31">
        <v>1750</v>
      </c>
      <c r="B1762" s="32" t="s">
        <v>5765</v>
      </c>
      <c r="C1762" s="32" t="s">
        <v>5846</v>
      </c>
      <c r="D1762" s="32" t="s">
        <v>5847</v>
      </c>
      <c r="E1762" s="32">
        <v>2019</v>
      </c>
      <c r="F1762" s="32" t="s">
        <v>18</v>
      </c>
      <c r="G1762" s="32" t="s">
        <v>5896</v>
      </c>
      <c r="H1762" s="32" t="s">
        <v>5935</v>
      </c>
      <c r="I1762" s="32" t="s">
        <v>1069</v>
      </c>
      <c r="J1762" s="32">
        <v>6199</v>
      </c>
      <c r="K1762" s="32">
        <f>1346+6278+4484+4484+2332+2332+2332+2332+2332+2332+6995+6995+6995+2332+1166</f>
        <v>55067</v>
      </c>
      <c r="L1762" s="32">
        <v>0</v>
      </c>
      <c r="M1762" s="32">
        <v>0</v>
      </c>
      <c r="N1762" s="32">
        <v>3148</v>
      </c>
      <c r="O1762" s="32">
        <v>0</v>
      </c>
      <c r="P1762" s="32">
        <v>0</v>
      </c>
      <c r="Q1762" s="37">
        <f t="shared" si="54"/>
        <v>64414</v>
      </c>
      <c r="R1762" s="69">
        <f t="shared" si="55"/>
        <v>54751.9</v>
      </c>
      <c r="S1762" s="30"/>
      <c r="T1762" s="30"/>
    </row>
    <row r="1763" spans="1:20" ht="45" customHeight="1" x14ac:dyDescent="0.3">
      <c r="A1763" s="36">
        <v>1751</v>
      </c>
      <c r="B1763" s="32" t="s">
        <v>5765</v>
      </c>
      <c r="C1763" s="32" t="s">
        <v>5848</v>
      </c>
      <c r="D1763" s="32" t="s">
        <v>5849</v>
      </c>
      <c r="E1763" s="32">
        <v>2019</v>
      </c>
      <c r="F1763" s="32" t="s">
        <v>18</v>
      </c>
      <c r="G1763" s="32" t="s">
        <v>5897</v>
      </c>
      <c r="H1763" s="32" t="s">
        <v>5936</v>
      </c>
      <c r="I1763" s="32" t="s">
        <v>3088</v>
      </c>
      <c r="J1763" s="32">
        <v>6199</v>
      </c>
      <c r="K1763" s="32">
        <f>1346+6278+4484</f>
        <v>12108</v>
      </c>
      <c r="L1763" s="32">
        <v>0</v>
      </c>
      <c r="M1763" s="32">
        <v>0</v>
      </c>
      <c r="N1763" s="32">
        <v>3148</v>
      </c>
      <c r="O1763" s="32">
        <v>0</v>
      </c>
      <c r="P1763" s="32">
        <v>0</v>
      </c>
      <c r="Q1763" s="37">
        <f t="shared" si="54"/>
        <v>21455</v>
      </c>
      <c r="R1763" s="69">
        <f t="shared" si="55"/>
        <v>18236.75</v>
      </c>
      <c r="S1763" s="30"/>
      <c r="T1763" s="30"/>
    </row>
    <row r="1764" spans="1:20" ht="45" customHeight="1" x14ac:dyDescent="0.3">
      <c r="A1764" s="31">
        <v>1752</v>
      </c>
      <c r="B1764" s="32" t="s">
        <v>5765</v>
      </c>
      <c r="C1764" s="32" t="s">
        <v>7423</v>
      </c>
      <c r="D1764" s="32" t="s">
        <v>5850</v>
      </c>
      <c r="E1764" s="32">
        <v>2024</v>
      </c>
      <c r="F1764" s="32" t="s">
        <v>19</v>
      </c>
      <c r="G1764" s="32" t="s">
        <v>5898</v>
      </c>
      <c r="H1764" s="32" t="s">
        <v>5937</v>
      </c>
      <c r="I1764" s="32" t="s">
        <v>3675</v>
      </c>
      <c r="J1764" s="32">
        <v>6199</v>
      </c>
      <c r="K1764" s="32">
        <f>6278+4484+1346+4484+2332+2332+1166+2332+2332+2332+2332+6995+6995+2332+6995</f>
        <v>55067</v>
      </c>
      <c r="L1764" s="32">
        <v>0</v>
      </c>
      <c r="M1764" s="32">
        <v>0</v>
      </c>
      <c r="N1764" s="32">
        <v>3148</v>
      </c>
      <c r="O1764" s="32">
        <v>0</v>
      </c>
      <c r="P1764" s="32">
        <v>0</v>
      </c>
      <c r="Q1764" s="37">
        <f t="shared" si="54"/>
        <v>64414</v>
      </c>
      <c r="R1764" s="69">
        <f t="shared" si="55"/>
        <v>54751.9</v>
      </c>
      <c r="S1764" s="30"/>
      <c r="T1764" s="30"/>
    </row>
    <row r="1765" spans="1:20" ht="45" customHeight="1" x14ac:dyDescent="0.3">
      <c r="A1765" s="31">
        <v>1753</v>
      </c>
      <c r="B1765" s="32" t="s">
        <v>5765</v>
      </c>
      <c r="C1765" s="32" t="s">
        <v>7424</v>
      </c>
      <c r="D1765" s="32" t="s">
        <v>5851</v>
      </c>
      <c r="E1765" s="32">
        <v>1988</v>
      </c>
      <c r="F1765" s="32" t="s">
        <v>18</v>
      </c>
      <c r="G1765" s="32" t="s">
        <v>5899</v>
      </c>
      <c r="H1765" s="32" t="s">
        <v>5938</v>
      </c>
      <c r="I1765" s="32" t="s">
        <v>5959</v>
      </c>
      <c r="J1765" s="32">
        <v>6199</v>
      </c>
      <c r="K1765" s="32">
        <f>6278+4484+1346</f>
        <v>12108</v>
      </c>
      <c r="L1765" s="32">
        <v>0</v>
      </c>
      <c r="M1765" s="32">
        <v>0</v>
      </c>
      <c r="N1765" s="32">
        <v>1793</v>
      </c>
      <c r="O1765" s="32">
        <v>0</v>
      </c>
      <c r="P1765" s="32">
        <v>0</v>
      </c>
      <c r="Q1765" s="37">
        <f t="shared" si="54"/>
        <v>20100</v>
      </c>
      <c r="R1765" s="69">
        <f t="shared" si="55"/>
        <v>17085</v>
      </c>
      <c r="S1765" s="30"/>
      <c r="T1765" s="30"/>
    </row>
    <row r="1766" spans="1:20" ht="45" customHeight="1" x14ac:dyDescent="0.3">
      <c r="A1766" s="36">
        <v>1754</v>
      </c>
      <c r="B1766" s="32" t="s">
        <v>5765</v>
      </c>
      <c r="C1766" s="32" t="s">
        <v>7425</v>
      </c>
      <c r="D1766" s="32" t="s">
        <v>1089</v>
      </c>
      <c r="E1766" s="32">
        <v>1994</v>
      </c>
      <c r="F1766" s="32" t="s">
        <v>19</v>
      </c>
      <c r="G1766" s="32" t="s">
        <v>1171</v>
      </c>
      <c r="H1766" s="32" t="s">
        <v>1171</v>
      </c>
      <c r="I1766" s="32" t="s">
        <v>1255</v>
      </c>
      <c r="J1766" s="32">
        <v>6199</v>
      </c>
      <c r="K1766" s="32">
        <v>0</v>
      </c>
      <c r="L1766" s="32">
        <v>0</v>
      </c>
      <c r="M1766" s="32">
        <v>0</v>
      </c>
      <c r="N1766" s="32">
        <v>0</v>
      </c>
      <c r="O1766" s="32">
        <v>0</v>
      </c>
      <c r="P1766" s="32">
        <v>0</v>
      </c>
      <c r="Q1766" s="37">
        <f t="shared" si="54"/>
        <v>6199</v>
      </c>
      <c r="R1766" s="69">
        <f t="shared" si="55"/>
        <v>5269.15</v>
      </c>
      <c r="S1766" s="30"/>
      <c r="T1766" s="30"/>
    </row>
    <row r="1767" spans="1:20" ht="45" customHeight="1" x14ac:dyDescent="0.3">
      <c r="A1767" s="31">
        <v>1755</v>
      </c>
      <c r="B1767" s="32" t="s">
        <v>5765</v>
      </c>
      <c r="C1767" s="32" t="s">
        <v>7426</v>
      </c>
      <c r="D1767" s="32" t="s">
        <v>5852</v>
      </c>
      <c r="E1767" s="32">
        <v>2025</v>
      </c>
      <c r="F1767" s="32" t="s">
        <v>18</v>
      </c>
      <c r="G1767" s="32" t="s">
        <v>5900</v>
      </c>
      <c r="H1767" s="32" t="s">
        <v>5939</v>
      </c>
      <c r="I1767" s="32" t="s">
        <v>1263</v>
      </c>
      <c r="J1767" s="32">
        <v>6199</v>
      </c>
      <c r="K1767" s="32">
        <v>0</v>
      </c>
      <c r="L1767" s="32">
        <v>0</v>
      </c>
      <c r="M1767" s="32">
        <v>0</v>
      </c>
      <c r="N1767" s="32">
        <v>0</v>
      </c>
      <c r="O1767" s="32">
        <v>0</v>
      </c>
      <c r="P1767" s="32">
        <v>0</v>
      </c>
      <c r="Q1767" s="35">
        <f t="shared" si="54"/>
        <v>6199</v>
      </c>
      <c r="R1767" s="69">
        <f t="shared" si="55"/>
        <v>5269.15</v>
      </c>
      <c r="S1767" s="30"/>
      <c r="T1767" s="30"/>
    </row>
    <row r="1768" spans="1:20" ht="45" customHeight="1" x14ac:dyDescent="0.3">
      <c r="A1768" s="31">
        <v>1756</v>
      </c>
      <c r="B1768" s="32" t="s">
        <v>5765</v>
      </c>
      <c r="C1768" s="32" t="s">
        <v>7427</v>
      </c>
      <c r="D1768" s="32" t="s">
        <v>5853</v>
      </c>
      <c r="E1768" s="32">
        <v>2010</v>
      </c>
      <c r="F1768" s="32" t="s">
        <v>19</v>
      </c>
      <c r="G1768" s="32" t="s">
        <v>5901</v>
      </c>
      <c r="H1768" s="32" t="s">
        <v>5940</v>
      </c>
      <c r="I1768" s="32" t="s">
        <v>5960</v>
      </c>
      <c r="J1768" s="32">
        <v>6199</v>
      </c>
      <c r="K1768" s="32">
        <v>0</v>
      </c>
      <c r="L1768" s="32">
        <v>0</v>
      </c>
      <c r="M1768" s="32">
        <v>0</v>
      </c>
      <c r="N1768" s="32">
        <v>0</v>
      </c>
      <c r="O1768" s="32">
        <v>0</v>
      </c>
      <c r="P1768" s="32">
        <v>0</v>
      </c>
      <c r="Q1768" s="35">
        <f t="shared" si="54"/>
        <v>6199</v>
      </c>
      <c r="R1768" s="69">
        <f t="shared" si="55"/>
        <v>5269.15</v>
      </c>
      <c r="S1768" s="30"/>
      <c r="T1768" s="30"/>
    </row>
    <row r="1769" spans="1:20" ht="45" customHeight="1" x14ac:dyDescent="0.3">
      <c r="A1769" s="36">
        <v>1757</v>
      </c>
      <c r="B1769" s="32" t="s">
        <v>5765</v>
      </c>
      <c r="C1769" s="32" t="s">
        <v>7428</v>
      </c>
      <c r="D1769" s="32" t="s">
        <v>5182</v>
      </c>
      <c r="E1769" s="32">
        <v>1983</v>
      </c>
      <c r="F1769" s="32" t="s">
        <v>18</v>
      </c>
      <c r="G1769" s="32" t="s">
        <v>5902</v>
      </c>
      <c r="H1769" s="32" t="s">
        <v>5902</v>
      </c>
      <c r="I1769" s="32" t="s">
        <v>3089</v>
      </c>
      <c r="J1769" s="32">
        <v>0</v>
      </c>
      <c r="K1769" s="32">
        <v>0</v>
      </c>
      <c r="L1769" s="32">
        <v>0</v>
      </c>
      <c r="M1769" s="32">
        <v>0</v>
      </c>
      <c r="N1769" s="32">
        <v>5321</v>
      </c>
      <c r="O1769" s="32">
        <v>0</v>
      </c>
      <c r="P1769" s="32">
        <v>0</v>
      </c>
      <c r="Q1769" s="35">
        <f t="shared" si="54"/>
        <v>5321</v>
      </c>
      <c r="R1769" s="69">
        <f t="shared" si="55"/>
        <v>4522.8500000000004</v>
      </c>
      <c r="S1769" s="30"/>
      <c r="T1769" s="30"/>
    </row>
    <row r="1770" spans="1:20" ht="45" customHeight="1" x14ac:dyDescent="0.3">
      <c r="A1770" s="31">
        <v>1758</v>
      </c>
      <c r="B1770" s="32" t="s">
        <v>5765</v>
      </c>
      <c r="C1770" s="32" t="s">
        <v>7429</v>
      </c>
      <c r="D1770" s="32" t="s">
        <v>5854</v>
      </c>
      <c r="E1770" s="32">
        <v>1995</v>
      </c>
      <c r="F1770" s="32" t="s">
        <v>19</v>
      </c>
      <c r="G1770" s="32" t="s">
        <v>5903</v>
      </c>
      <c r="H1770" s="32" t="s">
        <v>5941</v>
      </c>
      <c r="I1770" s="32" t="s">
        <v>2618</v>
      </c>
      <c r="J1770" s="32">
        <v>6199</v>
      </c>
      <c r="K1770" s="32">
        <v>0</v>
      </c>
      <c r="L1770" s="32">
        <v>0</v>
      </c>
      <c r="M1770" s="32">
        <v>0</v>
      </c>
      <c r="N1770" s="32">
        <v>0</v>
      </c>
      <c r="O1770" s="32">
        <v>0</v>
      </c>
      <c r="P1770" s="32">
        <v>0</v>
      </c>
      <c r="Q1770" s="35">
        <f t="shared" si="54"/>
        <v>6199</v>
      </c>
      <c r="R1770" s="69">
        <f t="shared" si="55"/>
        <v>5269.15</v>
      </c>
      <c r="S1770" s="30"/>
      <c r="T1770" s="30"/>
    </row>
    <row r="1771" spans="1:20" ht="45" customHeight="1" x14ac:dyDescent="0.3">
      <c r="A1771" s="31">
        <v>1759</v>
      </c>
      <c r="B1771" s="32" t="s">
        <v>5765</v>
      </c>
      <c r="C1771" s="32" t="s">
        <v>7430</v>
      </c>
      <c r="D1771" s="32" t="s">
        <v>5855</v>
      </c>
      <c r="E1771" s="32">
        <v>1996</v>
      </c>
      <c r="F1771" s="32" t="s">
        <v>18</v>
      </c>
      <c r="G1771" s="32" t="s">
        <v>5904</v>
      </c>
      <c r="H1771" s="32" t="s">
        <v>5904</v>
      </c>
      <c r="I1771" s="32" t="s">
        <v>1487</v>
      </c>
      <c r="J1771" s="32">
        <v>6199</v>
      </c>
      <c r="K1771" s="32">
        <f>1346+6278+4484+2332+2332+2332+6995+3228+2332+2332</f>
        <v>33991</v>
      </c>
      <c r="L1771" s="32">
        <v>0</v>
      </c>
      <c r="M1771" s="32">
        <v>0</v>
      </c>
      <c r="N1771" s="32">
        <v>1793</v>
      </c>
      <c r="O1771" s="32">
        <v>0</v>
      </c>
      <c r="P1771" s="32">
        <v>0</v>
      </c>
      <c r="Q1771" s="37">
        <f t="shared" si="54"/>
        <v>41983</v>
      </c>
      <c r="R1771" s="69">
        <f t="shared" si="55"/>
        <v>35685.550000000003</v>
      </c>
      <c r="S1771" s="30"/>
      <c r="T1771" s="30"/>
    </row>
    <row r="1772" spans="1:20" ht="45" customHeight="1" x14ac:dyDescent="0.3">
      <c r="A1772" s="36">
        <v>1760</v>
      </c>
      <c r="B1772" s="32" t="s">
        <v>5765</v>
      </c>
      <c r="C1772" s="32" t="s">
        <v>7431</v>
      </c>
      <c r="D1772" s="32" t="s">
        <v>5856</v>
      </c>
      <c r="E1772" s="32">
        <v>1998</v>
      </c>
      <c r="F1772" s="32" t="s">
        <v>19</v>
      </c>
      <c r="G1772" s="32" t="s">
        <v>5905</v>
      </c>
      <c r="H1772" s="32" t="s">
        <v>5905</v>
      </c>
      <c r="I1772" s="32" t="s">
        <v>254</v>
      </c>
      <c r="J1772" s="32">
        <v>6199</v>
      </c>
      <c r="K1772" s="32">
        <f>1346+6278+4484+2332+2332+2332+2332+2332</f>
        <v>23768</v>
      </c>
      <c r="L1772" s="32">
        <v>0</v>
      </c>
      <c r="M1772" s="32">
        <v>0</v>
      </c>
      <c r="N1772" s="32">
        <v>1793</v>
      </c>
      <c r="O1772" s="32">
        <v>0</v>
      </c>
      <c r="P1772" s="32">
        <v>0</v>
      </c>
      <c r="Q1772" s="37">
        <f t="shared" si="54"/>
        <v>31760</v>
      </c>
      <c r="R1772" s="69">
        <f t="shared" si="55"/>
        <v>26996</v>
      </c>
      <c r="S1772" s="30"/>
      <c r="T1772" s="30"/>
    </row>
    <row r="1773" spans="1:20" ht="45" customHeight="1" x14ac:dyDescent="0.3">
      <c r="A1773" s="31">
        <v>1761</v>
      </c>
      <c r="B1773" s="32" t="s">
        <v>5765</v>
      </c>
      <c r="C1773" s="32" t="s">
        <v>7432</v>
      </c>
      <c r="D1773" s="32" t="s">
        <v>1298</v>
      </c>
      <c r="E1773" s="32">
        <v>2022</v>
      </c>
      <c r="F1773" s="32" t="s">
        <v>19</v>
      </c>
      <c r="G1773" s="32" t="s">
        <v>1388</v>
      </c>
      <c r="H1773" s="32" t="s">
        <v>1387</v>
      </c>
      <c r="I1773" s="32" t="s">
        <v>1462</v>
      </c>
      <c r="J1773" s="32">
        <v>6199</v>
      </c>
      <c r="K1773" s="32">
        <f>1346+6278+4484+4484+2332+2332+2332+2332+2332+2332+6995+6995+2332+6995</f>
        <v>53901</v>
      </c>
      <c r="L1773" s="32">
        <v>0</v>
      </c>
      <c r="M1773" s="32">
        <v>0</v>
      </c>
      <c r="N1773" s="32">
        <v>3148</v>
      </c>
      <c r="O1773" s="32">
        <v>0</v>
      </c>
      <c r="P1773" s="32">
        <v>63</v>
      </c>
      <c r="Q1773" s="37">
        <f t="shared" si="54"/>
        <v>63311</v>
      </c>
      <c r="R1773" s="69">
        <f t="shared" si="55"/>
        <v>53814.35</v>
      </c>
      <c r="S1773" s="30"/>
      <c r="T1773" s="30"/>
    </row>
    <row r="1774" spans="1:20" ht="45" customHeight="1" x14ac:dyDescent="0.3">
      <c r="A1774" s="31">
        <v>1762</v>
      </c>
      <c r="B1774" s="32" t="s">
        <v>5765</v>
      </c>
      <c r="C1774" s="32" t="s">
        <v>7433</v>
      </c>
      <c r="D1774" s="32" t="s">
        <v>5255</v>
      </c>
      <c r="E1774" s="32">
        <v>2022</v>
      </c>
      <c r="F1774" s="32" t="s">
        <v>19</v>
      </c>
      <c r="G1774" s="32" t="s">
        <v>5339</v>
      </c>
      <c r="H1774" s="32" t="s">
        <v>5381</v>
      </c>
      <c r="I1774" s="32" t="s">
        <v>1077</v>
      </c>
      <c r="J1774" s="32">
        <v>3793</v>
      </c>
      <c r="K1774" s="32">
        <f>1346+6278+4484</f>
        <v>12108</v>
      </c>
      <c r="L1774" s="32">
        <v>0</v>
      </c>
      <c r="M1774" s="32">
        <v>0</v>
      </c>
      <c r="N1774" s="32">
        <v>3148</v>
      </c>
      <c r="O1774" s="32">
        <v>0</v>
      </c>
      <c r="P1774" s="32">
        <v>0</v>
      </c>
      <c r="Q1774" s="37">
        <f t="shared" si="54"/>
        <v>19049</v>
      </c>
      <c r="R1774" s="69">
        <f t="shared" si="55"/>
        <v>16191.65</v>
      </c>
      <c r="S1774" s="30"/>
      <c r="T1774" s="30"/>
    </row>
    <row r="1775" spans="1:20" ht="45" customHeight="1" x14ac:dyDescent="0.3">
      <c r="A1775" s="36">
        <v>1763</v>
      </c>
      <c r="B1775" s="32" t="s">
        <v>5765</v>
      </c>
      <c r="C1775" s="32" t="s">
        <v>7434</v>
      </c>
      <c r="D1775" s="32" t="s">
        <v>3971</v>
      </c>
      <c r="E1775" s="32">
        <v>2021</v>
      </c>
      <c r="F1775" s="32" t="s">
        <v>18</v>
      </c>
      <c r="G1775" s="32" t="s">
        <v>4100</v>
      </c>
      <c r="H1775" s="32" t="s">
        <v>4165</v>
      </c>
      <c r="I1775" s="32" t="s">
        <v>4206</v>
      </c>
      <c r="J1775" s="32">
        <v>3793</v>
      </c>
      <c r="K1775" s="32">
        <v>0</v>
      </c>
      <c r="L1775" s="32">
        <v>0</v>
      </c>
      <c r="M1775" s="32">
        <v>0</v>
      </c>
      <c r="N1775" s="32">
        <v>0</v>
      </c>
      <c r="O1775" s="32">
        <v>0</v>
      </c>
      <c r="P1775" s="32">
        <v>0</v>
      </c>
      <c r="Q1775" s="37">
        <f t="shared" si="54"/>
        <v>3793</v>
      </c>
      <c r="R1775" s="69">
        <f t="shared" si="55"/>
        <v>3224.05</v>
      </c>
      <c r="S1775" s="30"/>
      <c r="T1775" s="30"/>
    </row>
    <row r="1776" spans="1:20" ht="45" customHeight="1" x14ac:dyDescent="0.3">
      <c r="A1776" s="31">
        <v>1764</v>
      </c>
      <c r="B1776" s="32" t="s">
        <v>5765</v>
      </c>
      <c r="C1776" s="32" t="s">
        <v>7435</v>
      </c>
      <c r="D1776" s="32" t="s">
        <v>5857</v>
      </c>
      <c r="E1776" s="32">
        <v>2020</v>
      </c>
      <c r="F1776" s="32" t="s">
        <v>19</v>
      </c>
      <c r="G1776" s="32" t="s">
        <v>5906</v>
      </c>
      <c r="H1776" s="32" t="s">
        <v>2390</v>
      </c>
      <c r="I1776" s="32" t="s">
        <v>1081</v>
      </c>
      <c r="J1776" s="32">
        <v>6199</v>
      </c>
      <c r="K1776" s="32">
        <f>1346+6278+4484</f>
        <v>12108</v>
      </c>
      <c r="L1776" s="32">
        <v>0</v>
      </c>
      <c r="M1776" s="32">
        <v>0</v>
      </c>
      <c r="N1776" s="32">
        <v>3148</v>
      </c>
      <c r="O1776" s="32">
        <v>0</v>
      </c>
      <c r="P1776" s="32">
        <v>0</v>
      </c>
      <c r="Q1776" s="37">
        <f t="shared" si="54"/>
        <v>21455</v>
      </c>
      <c r="R1776" s="69">
        <f t="shared" si="55"/>
        <v>18236.75</v>
      </c>
      <c r="S1776" s="30"/>
      <c r="T1776" s="30"/>
    </row>
    <row r="1777" spans="1:20" ht="45" customHeight="1" x14ac:dyDescent="0.3">
      <c r="A1777" s="31">
        <v>1765</v>
      </c>
      <c r="B1777" s="32" t="s">
        <v>5765</v>
      </c>
      <c r="C1777" s="32" t="s">
        <v>7436</v>
      </c>
      <c r="D1777" s="32" t="s">
        <v>5858</v>
      </c>
      <c r="E1777" s="32">
        <v>2022</v>
      </c>
      <c r="F1777" s="32" t="s">
        <v>19</v>
      </c>
      <c r="G1777" s="32" t="s">
        <v>5907</v>
      </c>
      <c r="H1777" s="32" t="s">
        <v>5942</v>
      </c>
      <c r="I1777" s="32" t="s">
        <v>3671</v>
      </c>
      <c r="J1777" s="32">
        <v>6199</v>
      </c>
      <c r="K1777" s="32">
        <v>0</v>
      </c>
      <c r="L1777" s="32">
        <v>0</v>
      </c>
      <c r="M1777" s="32">
        <v>0</v>
      </c>
      <c r="N1777" s="32">
        <v>0</v>
      </c>
      <c r="O1777" s="32">
        <v>0</v>
      </c>
      <c r="P1777" s="32">
        <v>0</v>
      </c>
      <c r="Q1777" s="37">
        <f t="shared" si="54"/>
        <v>6199</v>
      </c>
      <c r="R1777" s="69">
        <f t="shared" si="55"/>
        <v>5269.15</v>
      </c>
      <c r="S1777" s="30"/>
      <c r="T1777" s="30"/>
    </row>
    <row r="1778" spans="1:20" ht="45" customHeight="1" x14ac:dyDescent="0.3">
      <c r="A1778" s="36">
        <v>1766</v>
      </c>
      <c r="B1778" s="32" t="s">
        <v>5765</v>
      </c>
      <c r="C1778" s="32" t="s">
        <v>7437</v>
      </c>
      <c r="D1778" s="32" t="s">
        <v>5859</v>
      </c>
      <c r="E1778" s="32">
        <v>2014</v>
      </c>
      <c r="F1778" s="32" t="s">
        <v>18</v>
      </c>
      <c r="G1778" s="32" t="s">
        <v>5908</v>
      </c>
      <c r="H1778" s="32" t="s">
        <v>5943</v>
      </c>
      <c r="I1778" s="32" t="s">
        <v>4630</v>
      </c>
      <c r="J1778" s="32">
        <v>6199</v>
      </c>
      <c r="K1778" s="32">
        <v>0</v>
      </c>
      <c r="L1778" s="32">
        <v>0</v>
      </c>
      <c r="M1778" s="32">
        <v>0</v>
      </c>
      <c r="N1778" s="32">
        <v>0</v>
      </c>
      <c r="O1778" s="32">
        <v>0</v>
      </c>
      <c r="P1778" s="32">
        <v>0</v>
      </c>
      <c r="Q1778" s="37">
        <f t="shared" si="54"/>
        <v>6199</v>
      </c>
      <c r="R1778" s="69">
        <f t="shared" si="55"/>
        <v>5269.15</v>
      </c>
      <c r="S1778" s="30"/>
      <c r="T1778" s="30"/>
    </row>
    <row r="1779" spans="1:20" ht="45" customHeight="1" x14ac:dyDescent="0.3">
      <c r="A1779" s="31">
        <v>1767</v>
      </c>
      <c r="B1779" s="32" t="s">
        <v>5765</v>
      </c>
      <c r="C1779" s="32" t="s">
        <v>6945</v>
      </c>
      <c r="D1779" s="34" t="s">
        <v>5251</v>
      </c>
      <c r="E1779" s="32">
        <v>2023</v>
      </c>
      <c r="F1779" s="32" t="s">
        <v>19</v>
      </c>
      <c r="G1779" s="32" t="s">
        <v>5337</v>
      </c>
      <c r="H1779" s="32" t="s">
        <v>5380</v>
      </c>
      <c r="I1779" s="32" t="s">
        <v>1260</v>
      </c>
      <c r="J1779" s="32">
        <v>2900</v>
      </c>
      <c r="K1779" s="32">
        <v>0</v>
      </c>
      <c r="L1779" s="32">
        <v>0</v>
      </c>
      <c r="M1779" s="32">
        <v>0</v>
      </c>
      <c r="N1779" s="32">
        <v>2088</v>
      </c>
      <c r="O1779" s="32">
        <v>0</v>
      </c>
      <c r="P1779" s="32">
        <f>360+56</f>
        <v>416</v>
      </c>
      <c r="Q1779" s="37">
        <f t="shared" si="54"/>
        <v>5404</v>
      </c>
      <c r="R1779" s="69">
        <f t="shared" si="55"/>
        <v>4593.3999999999996</v>
      </c>
      <c r="S1779" s="30"/>
      <c r="T1779" s="30"/>
    </row>
    <row r="1780" spans="1:20" ht="45" customHeight="1" x14ac:dyDescent="0.3">
      <c r="A1780" s="31">
        <v>1768</v>
      </c>
      <c r="B1780" s="32" t="s">
        <v>5765</v>
      </c>
      <c r="C1780" s="32" t="s">
        <v>7438</v>
      </c>
      <c r="D1780" s="34" t="s">
        <v>5223</v>
      </c>
      <c r="E1780" s="32">
        <v>2022</v>
      </c>
      <c r="F1780" s="32" t="s">
        <v>19</v>
      </c>
      <c r="G1780" s="32" t="s">
        <v>5323</v>
      </c>
      <c r="H1780" s="32" t="s">
        <v>5372</v>
      </c>
      <c r="I1780" s="32" t="s">
        <v>569</v>
      </c>
      <c r="J1780" s="32">
        <v>2900</v>
      </c>
      <c r="K1780" s="32">
        <v>0</v>
      </c>
      <c r="L1780" s="32">
        <v>0</v>
      </c>
      <c r="M1780" s="32">
        <v>0</v>
      </c>
      <c r="N1780" s="32">
        <v>2088</v>
      </c>
      <c r="O1780" s="32">
        <v>0</v>
      </c>
      <c r="P1780" s="32">
        <f>360+56</f>
        <v>416</v>
      </c>
      <c r="Q1780" s="37">
        <f t="shared" si="54"/>
        <v>5404</v>
      </c>
      <c r="R1780" s="69">
        <f t="shared" si="55"/>
        <v>4593.3999999999996</v>
      </c>
      <c r="S1780" s="30"/>
      <c r="T1780" s="30"/>
    </row>
    <row r="1781" spans="1:20" ht="45" customHeight="1" x14ac:dyDescent="0.3">
      <c r="A1781" s="36">
        <v>1769</v>
      </c>
      <c r="B1781" s="32" t="s">
        <v>5765</v>
      </c>
      <c r="C1781" s="32" t="s">
        <v>7439</v>
      </c>
      <c r="D1781" s="34" t="s">
        <v>6942</v>
      </c>
      <c r="E1781" s="32">
        <v>2024</v>
      </c>
      <c r="F1781" s="32" t="s">
        <v>18</v>
      </c>
      <c r="G1781" s="32" t="s">
        <v>6944</v>
      </c>
      <c r="H1781" s="32" t="s">
        <v>3466</v>
      </c>
      <c r="I1781" s="32" t="s">
        <v>4208</v>
      </c>
      <c r="J1781" s="32">
        <v>2900</v>
      </c>
      <c r="K1781" s="32">
        <v>0</v>
      </c>
      <c r="L1781" s="32">
        <v>0</v>
      </c>
      <c r="M1781" s="32">
        <v>17688</v>
      </c>
      <c r="N1781" s="32">
        <v>2088</v>
      </c>
      <c r="O1781" s="32">
        <v>0</v>
      </c>
      <c r="P1781" s="32">
        <f>1080+168</f>
        <v>1248</v>
      </c>
      <c r="Q1781" s="37">
        <f t="shared" si="54"/>
        <v>23924</v>
      </c>
      <c r="R1781" s="69">
        <f t="shared" si="55"/>
        <v>20335.400000000001</v>
      </c>
      <c r="S1781" s="30"/>
      <c r="T1781" s="30"/>
    </row>
    <row r="1782" spans="1:20" ht="45" customHeight="1" x14ac:dyDescent="0.3">
      <c r="A1782" s="31">
        <v>1770</v>
      </c>
      <c r="B1782" s="32" t="s">
        <v>5765</v>
      </c>
      <c r="C1782" s="32" t="s">
        <v>7440</v>
      </c>
      <c r="D1782" s="34" t="s">
        <v>5437</v>
      </c>
      <c r="E1782" s="32">
        <v>2022</v>
      </c>
      <c r="F1782" s="32" t="s">
        <v>18</v>
      </c>
      <c r="G1782" s="32" t="s">
        <v>5604</v>
      </c>
      <c r="H1782" s="32" t="s">
        <v>5686</v>
      </c>
      <c r="I1782" s="32" t="s">
        <v>5732</v>
      </c>
      <c r="J1782" s="32">
        <v>2900</v>
      </c>
      <c r="K1782" s="32">
        <v>0</v>
      </c>
      <c r="L1782" s="32">
        <v>0</v>
      </c>
      <c r="M1782" s="32">
        <v>17688</v>
      </c>
      <c r="N1782" s="32">
        <v>2088</v>
      </c>
      <c r="O1782" s="32">
        <v>0</v>
      </c>
      <c r="P1782" s="32">
        <f>1080+168</f>
        <v>1248</v>
      </c>
      <c r="Q1782" s="37">
        <f t="shared" si="54"/>
        <v>23924</v>
      </c>
      <c r="R1782" s="69">
        <f t="shared" si="55"/>
        <v>20335.400000000001</v>
      </c>
      <c r="S1782" s="30"/>
      <c r="T1782" s="30"/>
    </row>
    <row r="1783" spans="1:20" ht="45" customHeight="1" x14ac:dyDescent="0.3">
      <c r="A1783" s="31">
        <v>1771</v>
      </c>
      <c r="B1783" s="32" t="s">
        <v>5765</v>
      </c>
      <c r="C1783" s="32" t="s">
        <v>7441</v>
      </c>
      <c r="D1783" s="34" t="s">
        <v>5457</v>
      </c>
      <c r="E1783" s="32">
        <v>2022</v>
      </c>
      <c r="F1783" s="32" t="s">
        <v>18</v>
      </c>
      <c r="G1783" s="32" t="s">
        <v>5614</v>
      </c>
      <c r="H1783" s="32" t="s">
        <v>5693</v>
      </c>
      <c r="I1783" s="32" t="s">
        <v>5737</v>
      </c>
      <c r="J1783" s="32">
        <v>2900</v>
      </c>
      <c r="K1783" s="32">
        <v>0</v>
      </c>
      <c r="L1783" s="32">
        <v>0</v>
      </c>
      <c r="M1783" s="32">
        <v>17688</v>
      </c>
      <c r="N1783" s="32">
        <f>2088+1178</f>
        <v>3266</v>
      </c>
      <c r="O1783" s="32">
        <v>0</v>
      </c>
      <c r="P1783" s="32">
        <f>1080+168+720+1080+120+396</f>
        <v>3564</v>
      </c>
      <c r="Q1783" s="37">
        <f t="shared" si="54"/>
        <v>27418</v>
      </c>
      <c r="R1783" s="69">
        <f t="shared" si="55"/>
        <v>23305.3</v>
      </c>
      <c r="S1783" s="30"/>
      <c r="T1783" s="30"/>
    </row>
    <row r="1784" spans="1:20" ht="45" customHeight="1" x14ac:dyDescent="0.3">
      <c r="A1784" s="36">
        <v>1772</v>
      </c>
      <c r="B1784" s="32" t="s">
        <v>5765</v>
      </c>
      <c r="C1784" s="32" t="s">
        <v>7442</v>
      </c>
      <c r="D1784" s="34" t="s">
        <v>5560</v>
      </c>
      <c r="E1784" s="32">
        <v>2021</v>
      </c>
      <c r="F1784" s="32" t="s">
        <v>18</v>
      </c>
      <c r="G1784" s="32" t="s">
        <v>5662</v>
      </c>
      <c r="H1784" s="32" t="s">
        <v>5719</v>
      </c>
      <c r="I1784" s="32" t="s">
        <v>7173</v>
      </c>
      <c r="J1784" s="32">
        <v>2900</v>
      </c>
      <c r="K1784" s="32">
        <v>0</v>
      </c>
      <c r="L1784" s="32">
        <v>0</v>
      </c>
      <c r="M1784" s="32">
        <v>0</v>
      </c>
      <c r="N1784" s="32">
        <v>2088</v>
      </c>
      <c r="O1784" s="32">
        <v>0</v>
      </c>
      <c r="P1784" s="32">
        <f>360+56</f>
        <v>416</v>
      </c>
      <c r="Q1784" s="37">
        <f t="shared" si="54"/>
        <v>5404</v>
      </c>
      <c r="R1784" s="69">
        <f t="shared" si="55"/>
        <v>4593.3999999999996</v>
      </c>
      <c r="S1784" s="30"/>
      <c r="T1784" s="30"/>
    </row>
    <row r="1785" spans="1:20" ht="45" customHeight="1" x14ac:dyDescent="0.3">
      <c r="A1785" s="31">
        <v>1773</v>
      </c>
      <c r="B1785" s="32" t="s">
        <v>5765</v>
      </c>
      <c r="C1785" s="32" t="s">
        <v>7443</v>
      </c>
      <c r="D1785" s="34" t="s">
        <v>5461</v>
      </c>
      <c r="E1785" s="32">
        <v>2016</v>
      </c>
      <c r="F1785" s="32" t="s">
        <v>19</v>
      </c>
      <c r="G1785" s="32" t="s">
        <v>5616</v>
      </c>
      <c r="H1785" s="32" t="s">
        <v>5694</v>
      </c>
      <c r="I1785" s="32" t="s">
        <v>5738</v>
      </c>
      <c r="J1785" s="32">
        <v>2900</v>
      </c>
      <c r="K1785" s="32">
        <v>0</v>
      </c>
      <c r="L1785" s="32">
        <v>0</v>
      </c>
      <c r="M1785" s="32">
        <v>0</v>
      </c>
      <c r="N1785" s="32">
        <v>2088</v>
      </c>
      <c r="O1785" s="32">
        <v>0</v>
      </c>
      <c r="P1785" s="32">
        <f>360+56</f>
        <v>416</v>
      </c>
      <c r="Q1785" s="37">
        <f t="shared" si="54"/>
        <v>5404</v>
      </c>
      <c r="R1785" s="69">
        <f t="shared" si="55"/>
        <v>4593.3999999999996</v>
      </c>
      <c r="S1785" s="30"/>
      <c r="T1785" s="30"/>
    </row>
    <row r="1786" spans="1:20" ht="45" customHeight="1" x14ac:dyDescent="0.3">
      <c r="A1786" s="31">
        <v>1774</v>
      </c>
      <c r="B1786" s="32" t="s">
        <v>5765</v>
      </c>
      <c r="C1786" s="32" t="s">
        <v>7444</v>
      </c>
      <c r="D1786" s="34" t="s">
        <v>3536</v>
      </c>
      <c r="E1786" s="32">
        <v>2021</v>
      </c>
      <c r="F1786" s="32" t="s">
        <v>18</v>
      </c>
      <c r="G1786" s="32" t="s">
        <v>3631</v>
      </c>
      <c r="H1786" s="32" t="s">
        <v>3593</v>
      </c>
      <c r="I1786" s="32" t="s">
        <v>1070</v>
      </c>
      <c r="J1786" s="32">
        <v>2900</v>
      </c>
      <c r="K1786" s="32">
        <v>0</v>
      </c>
      <c r="L1786" s="32">
        <v>0</v>
      </c>
      <c r="M1786" s="32">
        <v>0</v>
      </c>
      <c r="N1786" s="32">
        <v>2088</v>
      </c>
      <c r="O1786" s="32">
        <v>0</v>
      </c>
      <c r="P1786" s="32">
        <f>360+56</f>
        <v>416</v>
      </c>
      <c r="Q1786" s="37">
        <f t="shared" si="54"/>
        <v>5404</v>
      </c>
      <c r="R1786" s="69">
        <f t="shared" si="55"/>
        <v>4593.3999999999996</v>
      </c>
      <c r="S1786" s="30"/>
      <c r="T1786" s="30"/>
    </row>
    <row r="1787" spans="1:20" ht="45" customHeight="1" x14ac:dyDescent="0.3">
      <c r="A1787" s="36">
        <v>1775</v>
      </c>
      <c r="B1787" s="32" t="s">
        <v>5765</v>
      </c>
      <c r="C1787" s="32" t="s">
        <v>7445</v>
      </c>
      <c r="D1787" s="34" t="s">
        <v>2490</v>
      </c>
      <c r="E1787" s="32">
        <v>2022</v>
      </c>
      <c r="F1787" s="32" t="s">
        <v>19</v>
      </c>
      <c r="G1787" s="32" t="s">
        <v>2555</v>
      </c>
      <c r="H1787" s="32" t="s">
        <v>2587</v>
      </c>
      <c r="I1787" s="32" t="s">
        <v>2618</v>
      </c>
      <c r="J1787" s="32">
        <v>2900</v>
      </c>
      <c r="K1787" s="32">
        <v>0</v>
      </c>
      <c r="L1787" s="32">
        <v>0</v>
      </c>
      <c r="M1787" s="32">
        <v>0</v>
      </c>
      <c r="N1787" s="32">
        <v>2088</v>
      </c>
      <c r="O1787" s="32">
        <v>0</v>
      </c>
      <c r="P1787" s="32">
        <f>360+56</f>
        <v>416</v>
      </c>
      <c r="Q1787" s="37">
        <f t="shared" si="54"/>
        <v>5404</v>
      </c>
      <c r="R1787" s="69">
        <f t="shared" si="55"/>
        <v>4593.3999999999996</v>
      </c>
      <c r="S1787" s="30"/>
      <c r="T1787" s="30"/>
    </row>
    <row r="1788" spans="1:20" ht="45" customHeight="1" x14ac:dyDescent="0.3">
      <c r="A1788" s="31">
        <v>1776</v>
      </c>
      <c r="B1788" s="32" t="s">
        <v>5765</v>
      </c>
      <c r="C1788" s="32" t="s">
        <v>7446</v>
      </c>
      <c r="D1788" s="34" t="s">
        <v>5552</v>
      </c>
      <c r="E1788" s="32">
        <v>2023</v>
      </c>
      <c r="F1788" s="32" t="s">
        <v>18</v>
      </c>
      <c r="G1788" s="32" t="s">
        <v>5659</v>
      </c>
      <c r="H1788" s="32" t="s">
        <v>5717</v>
      </c>
      <c r="I1788" s="32" t="s">
        <v>1890</v>
      </c>
      <c r="J1788" s="32">
        <v>2900</v>
      </c>
      <c r="K1788" s="32">
        <v>0</v>
      </c>
      <c r="L1788" s="32">
        <v>0</v>
      </c>
      <c r="M1788" s="32">
        <v>17688</v>
      </c>
      <c r="N1788" s="32">
        <v>2088</v>
      </c>
      <c r="O1788" s="32">
        <v>0</v>
      </c>
      <c r="P1788" s="32">
        <f>1080+112</f>
        <v>1192</v>
      </c>
      <c r="Q1788" s="37">
        <f t="shared" si="54"/>
        <v>23868</v>
      </c>
      <c r="R1788" s="69">
        <f t="shared" si="55"/>
        <v>20287.8</v>
      </c>
      <c r="S1788" s="30"/>
      <c r="T1788" s="30"/>
    </row>
    <row r="1789" spans="1:20" ht="45" customHeight="1" x14ac:dyDescent="0.3">
      <c r="A1789" s="31">
        <v>1777</v>
      </c>
      <c r="B1789" s="32" t="s">
        <v>5961</v>
      </c>
      <c r="C1789" s="32" t="s">
        <v>5962</v>
      </c>
      <c r="D1789" s="32" t="s">
        <v>5963</v>
      </c>
      <c r="E1789" s="32">
        <v>2025</v>
      </c>
      <c r="F1789" s="32" t="s">
        <v>19</v>
      </c>
      <c r="G1789" s="32" t="s">
        <v>6071</v>
      </c>
      <c r="H1789" s="32" t="s">
        <v>6117</v>
      </c>
      <c r="I1789" s="32" t="s">
        <v>1046</v>
      </c>
      <c r="J1789" s="32">
        <v>6199</v>
      </c>
      <c r="K1789" s="32">
        <f>1346+6278+4484+4484+2332+2332+2332+2332+2332+2332+6995+6995+2332+6995</f>
        <v>53901</v>
      </c>
      <c r="L1789" s="32">
        <v>0</v>
      </c>
      <c r="M1789" s="32">
        <v>0</v>
      </c>
      <c r="N1789" s="32">
        <v>3148</v>
      </c>
      <c r="O1789" s="32">
        <v>0</v>
      </c>
      <c r="P1789" s="32">
        <v>0</v>
      </c>
      <c r="Q1789" s="37">
        <f t="shared" si="54"/>
        <v>63248</v>
      </c>
      <c r="R1789" s="69">
        <f t="shared" si="55"/>
        <v>53760.800000000003</v>
      </c>
      <c r="S1789" s="30"/>
      <c r="T1789" s="30"/>
    </row>
    <row r="1790" spans="1:20" ht="45" customHeight="1" x14ac:dyDescent="0.3">
      <c r="A1790" s="36">
        <v>1778</v>
      </c>
      <c r="B1790" s="32" t="s">
        <v>5961</v>
      </c>
      <c r="C1790" s="32" t="s">
        <v>5964</v>
      </c>
      <c r="D1790" s="32" t="s">
        <v>5012</v>
      </c>
      <c r="E1790" s="32">
        <v>2025</v>
      </c>
      <c r="F1790" s="32" t="s">
        <v>19</v>
      </c>
      <c r="G1790" s="32" t="s">
        <v>5079</v>
      </c>
      <c r="H1790" s="32" t="s">
        <v>5118</v>
      </c>
      <c r="I1790" s="32" t="s">
        <v>1483</v>
      </c>
      <c r="J1790" s="32">
        <v>6199</v>
      </c>
      <c r="K1790" s="32">
        <f>1346+6278+4484+4484+2332+2332+2332+2332+2332+2332+6995+6995+2332+6995</f>
        <v>53901</v>
      </c>
      <c r="L1790" s="32">
        <v>13298</v>
      </c>
      <c r="M1790" s="32">
        <v>0</v>
      </c>
      <c r="N1790" s="32">
        <v>3148</v>
      </c>
      <c r="O1790" s="32">
        <v>0</v>
      </c>
      <c r="P1790" s="32">
        <v>0</v>
      </c>
      <c r="Q1790" s="46">
        <f t="shared" si="54"/>
        <v>76546</v>
      </c>
      <c r="R1790" s="69">
        <f t="shared" si="55"/>
        <v>65064.1</v>
      </c>
      <c r="S1790" s="30"/>
      <c r="T1790" s="30"/>
    </row>
    <row r="1791" spans="1:20" ht="45" customHeight="1" x14ac:dyDescent="0.3">
      <c r="A1791" s="31">
        <v>1779</v>
      </c>
      <c r="B1791" s="32" t="s">
        <v>5961</v>
      </c>
      <c r="C1791" s="32" t="s">
        <v>5965</v>
      </c>
      <c r="D1791" s="32" t="s">
        <v>5966</v>
      </c>
      <c r="E1791" s="32">
        <v>2020</v>
      </c>
      <c r="F1791" s="32" t="s">
        <v>18</v>
      </c>
      <c r="G1791" s="32" t="s">
        <v>6072</v>
      </c>
      <c r="H1791" s="32" t="s">
        <v>6118</v>
      </c>
      <c r="I1791" s="32" t="s">
        <v>2137</v>
      </c>
      <c r="J1791" s="32">
        <v>6199</v>
      </c>
      <c r="K1791" s="32">
        <v>0</v>
      </c>
      <c r="L1791" s="32">
        <v>0</v>
      </c>
      <c r="M1791" s="32">
        <v>0</v>
      </c>
      <c r="N1791" s="32">
        <v>0</v>
      </c>
      <c r="O1791" s="32">
        <v>0</v>
      </c>
      <c r="P1791" s="32">
        <v>0</v>
      </c>
      <c r="Q1791" s="46">
        <f t="shared" si="54"/>
        <v>6199</v>
      </c>
      <c r="R1791" s="69">
        <f t="shared" si="55"/>
        <v>5269.15</v>
      </c>
      <c r="S1791" s="30"/>
      <c r="T1791" s="30"/>
    </row>
    <row r="1792" spans="1:20" ht="45" customHeight="1" x14ac:dyDescent="0.3">
      <c r="A1792" s="31">
        <v>1780</v>
      </c>
      <c r="B1792" s="32" t="s">
        <v>5961</v>
      </c>
      <c r="C1792" s="32" t="s">
        <v>5967</v>
      </c>
      <c r="D1792" s="32" t="s">
        <v>2253</v>
      </c>
      <c r="E1792" s="32">
        <v>2022</v>
      </c>
      <c r="F1792" s="32" t="s">
        <v>18</v>
      </c>
      <c r="G1792" s="32" t="s">
        <v>2365</v>
      </c>
      <c r="H1792" s="32" t="s">
        <v>2420</v>
      </c>
      <c r="I1792" s="32" t="s">
        <v>34</v>
      </c>
      <c r="J1792" s="32">
        <v>0</v>
      </c>
      <c r="K1792" s="32">
        <v>0</v>
      </c>
      <c r="L1792" s="32">
        <v>0</v>
      </c>
      <c r="M1792" s="32">
        <v>0</v>
      </c>
      <c r="N1792" s="32">
        <v>29964</v>
      </c>
      <c r="O1792" s="32">
        <v>0</v>
      </c>
      <c r="P1792" s="32">
        <v>0</v>
      </c>
      <c r="Q1792" s="46">
        <f t="shared" si="54"/>
        <v>29964</v>
      </c>
      <c r="R1792" s="69">
        <f t="shared" si="55"/>
        <v>25469.4</v>
      </c>
      <c r="S1792" s="30"/>
      <c r="T1792" s="30"/>
    </row>
    <row r="1793" spans="1:20" ht="45" customHeight="1" x14ac:dyDescent="0.3">
      <c r="A1793" s="36">
        <v>1781</v>
      </c>
      <c r="B1793" s="32" t="s">
        <v>5961</v>
      </c>
      <c r="C1793" s="32" t="s">
        <v>5968</v>
      </c>
      <c r="D1793" s="32" t="s">
        <v>5969</v>
      </c>
      <c r="E1793" s="32">
        <v>2022</v>
      </c>
      <c r="F1793" s="32" t="s">
        <v>19</v>
      </c>
      <c r="G1793" s="32" t="s">
        <v>6073</v>
      </c>
      <c r="H1793" s="32" t="s">
        <v>6119</v>
      </c>
      <c r="I1793" s="32" t="s">
        <v>6144</v>
      </c>
      <c r="J1793" s="32">
        <v>6199</v>
      </c>
      <c r="K1793" s="32">
        <f>6278+4484+2332+4484+2332+2332+2332+2332+2332+1346+6995+6995+2332+6995</f>
        <v>53901</v>
      </c>
      <c r="L1793" s="32">
        <v>0</v>
      </c>
      <c r="M1793" s="32">
        <v>0</v>
      </c>
      <c r="N1793" s="32">
        <v>3148</v>
      </c>
      <c r="O1793" s="32">
        <v>0</v>
      </c>
      <c r="P1793" s="32">
        <v>0</v>
      </c>
      <c r="Q1793" s="46">
        <f t="shared" si="54"/>
        <v>63248</v>
      </c>
      <c r="R1793" s="69">
        <f t="shared" si="55"/>
        <v>53760.800000000003</v>
      </c>
      <c r="S1793" s="30"/>
      <c r="T1793" s="30"/>
    </row>
    <row r="1794" spans="1:20" ht="45" customHeight="1" x14ac:dyDescent="0.3">
      <c r="A1794" s="31">
        <v>1782</v>
      </c>
      <c r="B1794" s="32" t="s">
        <v>5961</v>
      </c>
      <c r="C1794" s="32" t="s">
        <v>5970</v>
      </c>
      <c r="D1794" s="32" t="s">
        <v>5971</v>
      </c>
      <c r="E1794" s="32">
        <v>2012</v>
      </c>
      <c r="F1794" s="32" t="s">
        <v>19</v>
      </c>
      <c r="G1794" s="32" t="s">
        <v>6074</v>
      </c>
      <c r="H1794" s="32" t="s">
        <v>6120</v>
      </c>
      <c r="I1794" s="32" t="s">
        <v>552</v>
      </c>
      <c r="J1794" s="32">
        <v>3582</v>
      </c>
      <c r="K1794" s="32">
        <v>0</v>
      </c>
      <c r="L1794" s="32">
        <v>0</v>
      </c>
      <c r="M1794" s="32">
        <v>0</v>
      </c>
      <c r="N1794" s="32">
        <f>34016+29964</f>
        <v>63980</v>
      </c>
      <c r="O1794" s="32">
        <v>0</v>
      </c>
      <c r="P1794" s="32">
        <v>0</v>
      </c>
      <c r="Q1794" s="46">
        <f t="shared" si="54"/>
        <v>67562</v>
      </c>
      <c r="R1794" s="69">
        <f t="shared" si="55"/>
        <v>57427.7</v>
      </c>
      <c r="S1794" s="30"/>
      <c r="T1794" s="30"/>
    </row>
    <row r="1795" spans="1:20" ht="45" customHeight="1" x14ac:dyDescent="0.3">
      <c r="A1795" s="31">
        <v>1783</v>
      </c>
      <c r="B1795" s="32" t="s">
        <v>5961</v>
      </c>
      <c r="C1795" s="32" t="s">
        <v>5972</v>
      </c>
      <c r="D1795" s="32" t="s">
        <v>2483</v>
      </c>
      <c r="E1795" s="32">
        <v>2022</v>
      </c>
      <c r="F1795" s="32" t="s">
        <v>19</v>
      </c>
      <c r="G1795" s="32" t="s">
        <v>2552</v>
      </c>
      <c r="H1795" s="32" t="s">
        <v>1875</v>
      </c>
      <c r="I1795" s="32" t="s">
        <v>1267</v>
      </c>
      <c r="J1795" s="32">
        <v>6199</v>
      </c>
      <c r="K1795" s="32">
        <f>1346+6278+4484+4484+2332+2332+2332+2332+2332+2332+6995+6995+2332+6995+1166</f>
        <v>55067</v>
      </c>
      <c r="L1795" s="32">
        <v>0</v>
      </c>
      <c r="M1795" s="32">
        <v>0</v>
      </c>
      <c r="N1795" s="32">
        <v>3148</v>
      </c>
      <c r="O1795" s="32">
        <v>0</v>
      </c>
      <c r="P1795" s="32">
        <v>0</v>
      </c>
      <c r="Q1795" s="46">
        <f t="shared" si="54"/>
        <v>64414</v>
      </c>
      <c r="R1795" s="69">
        <f t="shared" si="55"/>
        <v>54751.9</v>
      </c>
      <c r="S1795" s="30"/>
      <c r="T1795" s="30"/>
    </row>
    <row r="1796" spans="1:20" ht="45" customHeight="1" x14ac:dyDescent="0.3">
      <c r="A1796" s="36">
        <v>1784</v>
      </c>
      <c r="B1796" s="32" t="s">
        <v>5961</v>
      </c>
      <c r="C1796" s="32" t="s">
        <v>5973</v>
      </c>
      <c r="D1796" s="32" t="s">
        <v>5974</v>
      </c>
      <c r="E1796" s="32">
        <v>1983</v>
      </c>
      <c r="F1796" s="32" t="s">
        <v>18</v>
      </c>
      <c r="G1796" s="32" t="s">
        <v>6075</v>
      </c>
      <c r="H1796" s="32" t="s">
        <v>6075</v>
      </c>
      <c r="I1796" s="32" t="s">
        <v>25</v>
      </c>
      <c r="J1796" s="32">
        <v>6199</v>
      </c>
      <c r="K1796" s="32">
        <f>6278+4484+2332+2332+2332+3228+2332+2332+1166</f>
        <v>26816</v>
      </c>
      <c r="L1796" s="32">
        <v>0</v>
      </c>
      <c r="M1796" s="32">
        <v>0</v>
      </c>
      <c r="N1796" s="32">
        <v>1793</v>
      </c>
      <c r="O1796" s="32">
        <v>0</v>
      </c>
      <c r="P1796" s="32">
        <v>0</v>
      </c>
      <c r="Q1796" s="46">
        <f t="shared" si="54"/>
        <v>34808</v>
      </c>
      <c r="R1796" s="69">
        <f t="shared" si="55"/>
        <v>29586.799999999999</v>
      </c>
      <c r="S1796" s="30"/>
      <c r="T1796" s="30"/>
    </row>
    <row r="1797" spans="1:20" ht="45" customHeight="1" x14ac:dyDescent="0.3">
      <c r="A1797" s="31">
        <v>1785</v>
      </c>
      <c r="B1797" s="32" t="s">
        <v>5961</v>
      </c>
      <c r="C1797" s="32" t="s">
        <v>5975</v>
      </c>
      <c r="D1797" s="32" t="s">
        <v>5976</v>
      </c>
      <c r="E1797" s="32">
        <v>2024</v>
      </c>
      <c r="F1797" s="32" t="s">
        <v>19</v>
      </c>
      <c r="G1797" s="32" t="s">
        <v>6076</v>
      </c>
      <c r="H1797" s="32" t="s">
        <v>2390</v>
      </c>
      <c r="I1797" s="32" t="s">
        <v>1068</v>
      </c>
      <c r="J1797" s="32">
        <v>6199</v>
      </c>
      <c r="K1797" s="32">
        <f>1346+6278+4484</f>
        <v>12108</v>
      </c>
      <c r="L1797" s="32">
        <v>0</v>
      </c>
      <c r="M1797" s="32">
        <v>0</v>
      </c>
      <c r="N1797" s="32">
        <v>3148</v>
      </c>
      <c r="O1797" s="32">
        <v>0</v>
      </c>
      <c r="P1797" s="32">
        <v>0</v>
      </c>
      <c r="Q1797" s="46">
        <f t="shared" si="54"/>
        <v>21455</v>
      </c>
      <c r="R1797" s="69">
        <f t="shared" si="55"/>
        <v>18236.75</v>
      </c>
      <c r="S1797" s="30"/>
      <c r="T1797" s="30"/>
    </row>
    <row r="1798" spans="1:20" ht="45" customHeight="1" x14ac:dyDescent="0.3">
      <c r="A1798" s="31">
        <v>1786</v>
      </c>
      <c r="B1798" s="32" t="s">
        <v>5961</v>
      </c>
      <c r="C1798" s="32" t="s">
        <v>5977</v>
      </c>
      <c r="D1798" s="32" t="s">
        <v>5978</v>
      </c>
      <c r="E1798" s="32">
        <v>2024</v>
      </c>
      <c r="F1798" s="32" t="s">
        <v>18</v>
      </c>
      <c r="G1798" s="32" t="s">
        <v>6077</v>
      </c>
      <c r="H1798" s="32" t="s">
        <v>6121</v>
      </c>
      <c r="I1798" s="32" t="s">
        <v>6145</v>
      </c>
      <c r="J1798" s="32">
        <v>6199</v>
      </c>
      <c r="K1798" s="32">
        <v>0</v>
      </c>
      <c r="L1798" s="32">
        <v>13298</v>
      </c>
      <c r="M1798" s="32">
        <v>0</v>
      </c>
      <c r="N1798" s="32">
        <v>0</v>
      </c>
      <c r="O1798" s="32">
        <v>0</v>
      </c>
      <c r="P1798" s="32">
        <v>0</v>
      </c>
      <c r="Q1798" s="46">
        <f t="shared" si="54"/>
        <v>19497</v>
      </c>
      <c r="R1798" s="69">
        <f t="shared" si="55"/>
        <v>16572.45</v>
      </c>
      <c r="S1798" s="30"/>
      <c r="T1798" s="30"/>
    </row>
    <row r="1799" spans="1:20" ht="45" customHeight="1" x14ac:dyDescent="0.3">
      <c r="A1799" s="36">
        <v>1787</v>
      </c>
      <c r="B1799" s="32" t="s">
        <v>5961</v>
      </c>
      <c r="C1799" s="32" t="s">
        <v>5979</v>
      </c>
      <c r="D1799" s="32" t="s">
        <v>2674</v>
      </c>
      <c r="E1799" s="32">
        <v>2022</v>
      </c>
      <c r="F1799" s="32" t="s">
        <v>19</v>
      </c>
      <c r="G1799" s="32" t="s">
        <v>2766</v>
      </c>
      <c r="H1799" s="32" t="s">
        <v>2813</v>
      </c>
      <c r="I1799" s="32" t="s">
        <v>2848</v>
      </c>
      <c r="J1799" s="32">
        <v>6199</v>
      </c>
      <c r="K1799" s="32">
        <f>6278+4484+1346+4484+2332+2332+2332+2332+2332+2332+1166+6995+6995+2332+6995</f>
        <v>55067</v>
      </c>
      <c r="L1799" s="32">
        <v>0</v>
      </c>
      <c r="M1799" s="32">
        <v>0</v>
      </c>
      <c r="N1799" s="32">
        <v>3148</v>
      </c>
      <c r="O1799" s="32">
        <v>0</v>
      </c>
      <c r="P1799" s="32">
        <v>0</v>
      </c>
      <c r="Q1799" s="46">
        <f t="shared" si="54"/>
        <v>64414</v>
      </c>
      <c r="R1799" s="69">
        <f t="shared" si="55"/>
        <v>54751.9</v>
      </c>
      <c r="S1799" s="30"/>
      <c r="T1799" s="30"/>
    </row>
    <row r="1800" spans="1:20" ht="45" customHeight="1" x14ac:dyDescent="0.3">
      <c r="A1800" s="31">
        <v>1788</v>
      </c>
      <c r="B1800" s="32" t="s">
        <v>5961</v>
      </c>
      <c r="C1800" s="32" t="s">
        <v>5980</v>
      </c>
      <c r="D1800" s="32" t="s">
        <v>5981</v>
      </c>
      <c r="E1800" s="32">
        <v>2024</v>
      </c>
      <c r="F1800" s="32" t="s">
        <v>18</v>
      </c>
      <c r="G1800" s="32" t="s">
        <v>6078</v>
      </c>
      <c r="H1800" s="32" t="s">
        <v>6122</v>
      </c>
      <c r="I1800" s="32" t="s">
        <v>1695</v>
      </c>
      <c r="J1800" s="32">
        <v>6199</v>
      </c>
      <c r="K1800" s="32">
        <f>6278+4484+1346+4484+2332+2332+2332+2332</f>
        <v>25920</v>
      </c>
      <c r="L1800" s="32">
        <v>13298</v>
      </c>
      <c r="M1800" s="32">
        <v>0</v>
      </c>
      <c r="N1800" s="32">
        <f>3148+24937+2088</f>
        <v>30173</v>
      </c>
      <c r="O1800" s="32">
        <v>0</v>
      </c>
      <c r="P1800" s="32">
        <f>168+56</f>
        <v>224</v>
      </c>
      <c r="Q1800" s="47">
        <f t="shared" si="54"/>
        <v>75814</v>
      </c>
      <c r="R1800" s="69">
        <f t="shared" si="55"/>
        <v>64441.9</v>
      </c>
      <c r="S1800" s="30"/>
      <c r="T1800" s="30"/>
    </row>
    <row r="1801" spans="1:20" ht="45" customHeight="1" x14ac:dyDescent="0.3">
      <c r="A1801" s="31">
        <v>1789</v>
      </c>
      <c r="B1801" s="32" t="s">
        <v>5961</v>
      </c>
      <c r="C1801" s="32" t="s">
        <v>5980</v>
      </c>
      <c r="D1801" s="32" t="s">
        <v>5981</v>
      </c>
      <c r="E1801" s="32">
        <v>2024</v>
      </c>
      <c r="F1801" s="32" t="s">
        <v>18</v>
      </c>
      <c r="G1801" s="32" t="s">
        <v>6078</v>
      </c>
      <c r="H1801" s="32" t="s">
        <v>6122</v>
      </c>
      <c r="I1801" s="32" t="s">
        <v>1695</v>
      </c>
      <c r="J1801" s="32">
        <v>0</v>
      </c>
      <c r="K1801" s="32">
        <v>0</v>
      </c>
      <c r="L1801" s="32">
        <v>0</v>
      </c>
      <c r="M1801" s="32">
        <v>17688</v>
      </c>
      <c r="N1801" s="32">
        <v>2088</v>
      </c>
      <c r="O1801" s="32">
        <v>0</v>
      </c>
      <c r="P1801" s="32">
        <f>168+56</f>
        <v>224</v>
      </c>
      <c r="Q1801" s="47">
        <f t="shared" si="54"/>
        <v>20000</v>
      </c>
      <c r="R1801" s="69">
        <f t="shared" si="55"/>
        <v>17000</v>
      </c>
      <c r="S1801" s="30"/>
      <c r="T1801" s="30"/>
    </row>
    <row r="1802" spans="1:20" ht="45" customHeight="1" x14ac:dyDescent="0.3">
      <c r="A1802" s="36">
        <v>1790</v>
      </c>
      <c r="B1802" s="32" t="s">
        <v>5961</v>
      </c>
      <c r="C1802" s="32" t="s">
        <v>5982</v>
      </c>
      <c r="D1802" s="32" t="s">
        <v>5983</v>
      </c>
      <c r="E1802" s="32">
        <v>1997</v>
      </c>
      <c r="F1802" s="32" t="s">
        <v>19</v>
      </c>
      <c r="G1802" s="32" t="s">
        <v>6079</v>
      </c>
      <c r="H1802" s="32" t="s">
        <v>5386</v>
      </c>
      <c r="I1802" s="32" t="s">
        <v>557</v>
      </c>
      <c r="J1802" s="32">
        <v>6199</v>
      </c>
      <c r="K1802" s="32">
        <f>1346+6278+4484+2332+2332+2332</f>
        <v>19104</v>
      </c>
      <c r="L1802" s="32">
        <v>9422</v>
      </c>
      <c r="M1802" s="32">
        <v>0</v>
      </c>
      <c r="N1802" s="32">
        <v>1793</v>
      </c>
      <c r="O1802" s="32">
        <v>0</v>
      </c>
      <c r="P1802" s="32">
        <v>0</v>
      </c>
      <c r="Q1802" s="46">
        <f t="shared" si="54"/>
        <v>36518</v>
      </c>
      <c r="R1802" s="69">
        <f t="shared" si="55"/>
        <v>31040.3</v>
      </c>
      <c r="S1802" s="30"/>
      <c r="T1802" s="30"/>
    </row>
    <row r="1803" spans="1:20" ht="45" customHeight="1" x14ac:dyDescent="0.3">
      <c r="A1803" s="31">
        <v>1791</v>
      </c>
      <c r="B1803" s="32" t="s">
        <v>5961</v>
      </c>
      <c r="C1803" s="32" t="s">
        <v>5984</v>
      </c>
      <c r="D1803" s="32" t="s">
        <v>2299</v>
      </c>
      <c r="E1803" s="32">
        <v>2024</v>
      </c>
      <c r="F1803" s="32" t="s">
        <v>19</v>
      </c>
      <c r="G1803" s="32" t="s">
        <v>2387</v>
      </c>
      <c r="H1803" s="32" t="s">
        <v>1452</v>
      </c>
      <c r="I1803" s="32" t="s">
        <v>282</v>
      </c>
      <c r="J1803" s="32">
        <v>6199</v>
      </c>
      <c r="K1803" s="32">
        <v>0</v>
      </c>
      <c r="L1803" s="32">
        <v>0</v>
      </c>
      <c r="M1803" s="32">
        <v>0</v>
      </c>
      <c r="N1803" s="32">
        <v>0</v>
      </c>
      <c r="O1803" s="32">
        <v>0</v>
      </c>
      <c r="P1803" s="32">
        <v>0</v>
      </c>
      <c r="Q1803" s="46">
        <f t="shared" si="54"/>
        <v>6199</v>
      </c>
      <c r="R1803" s="69">
        <f t="shared" si="55"/>
        <v>5269.15</v>
      </c>
      <c r="S1803" s="30"/>
      <c r="T1803" s="30"/>
    </row>
    <row r="1804" spans="1:20" ht="45" customHeight="1" x14ac:dyDescent="0.3">
      <c r="A1804" s="31">
        <v>1792</v>
      </c>
      <c r="B1804" s="32" t="s">
        <v>5961</v>
      </c>
      <c r="C1804" s="32" t="s">
        <v>5985</v>
      </c>
      <c r="D1804" s="32" t="s">
        <v>5986</v>
      </c>
      <c r="E1804" s="32">
        <v>1988</v>
      </c>
      <c r="F1804" s="32" t="s">
        <v>19</v>
      </c>
      <c r="G1804" s="32" t="s">
        <v>6080</v>
      </c>
      <c r="H1804" s="32" t="s">
        <v>6123</v>
      </c>
      <c r="I1804" s="32" t="s">
        <v>6146</v>
      </c>
      <c r="J1804" s="32">
        <v>6199</v>
      </c>
      <c r="K1804" s="32">
        <v>0</v>
      </c>
      <c r="L1804" s="32">
        <v>9422</v>
      </c>
      <c r="M1804" s="32">
        <v>0</v>
      </c>
      <c r="N1804" s="32">
        <v>0</v>
      </c>
      <c r="O1804" s="32">
        <v>0</v>
      </c>
      <c r="P1804" s="32">
        <v>0</v>
      </c>
      <c r="Q1804" s="46">
        <f t="shared" si="54"/>
        <v>15621</v>
      </c>
      <c r="R1804" s="69">
        <f t="shared" si="55"/>
        <v>13277.85</v>
      </c>
      <c r="S1804" s="30"/>
      <c r="T1804" s="30"/>
    </row>
    <row r="1805" spans="1:20" ht="45" customHeight="1" x14ac:dyDescent="0.3">
      <c r="A1805" s="36">
        <v>1793</v>
      </c>
      <c r="B1805" s="32" t="s">
        <v>5961</v>
      </c>
      <c r="C1805" s="32" t="s">
        <v>5987</v>
      </c>
      <c r="D1805" s="32" t="s">
        <v>5988</v>
      </c>
      <c r="E1805" s="32">
        <v>1990</v>
      </c>
      <c r="F1805" s="32" t="s">
        <v>19</v>
      </c>
      <c r="G1805" s="32" t="s">
        <v>6081</v>
      </c>
      <c r="H1805" s="32" t="s">
        <v>6081</v>
      </c>
      <c r="I1805" s="32" t="s">
        <v>281</v>
      </c>
      <c r="J1805" s="32">
        <v>6199</v>
      </c>
      <c r="K1805" s="32">
        <f>1346+6278+4484+2801+1166+2332+2332+2332+2332+2332+2332+6995+3000+3000+3228</f>
        <v>46290</v>
      </c>
      <c r="L1805" s="32">
        <v>0</v>
      </c>
      <c r="M1805" s="32">
        <v>0</v>
      </c>
      <c r="N1805" s="32">
        <f>1793+3179+1178+1681</f>
        <v>7831</v>
      </c>
      <c r="O1805" s="32">
        <v>0</v>
      </c>
      <c r="P1805" s="32">
        <f>312+396+56+720+660</f>
        <v>2144</v>
      </c>
      <c r="Q1805" s="46">
        <f t="shared" ref="Q1805:Q1868" si="56">SUM(J1805:P1805)</f>
        <v>62464</v>
      </c>
      <c r="R1805" s="69">
        <f t="shared" si="55"/>
        <v>53094.400000000001</v>
      </c>
      <c r="S1805" s="30"/>
      <c r="T1805" s="30"/>
    </row>
    <row r="1806" spans="1:20" ht="45" customHeight="1" x14ac:dyDescent="0.3">
      <c r="A1806" s="31">
        <v>1794</v>
      </c>
      <c r="B1806" s="32" t="s">
        <v>5961</v>
      </c>
      <c r="C1806" s="32" t="s">
        <v>5989</v>
      </c>
      <c r="D1806" s="32" t="s">
        <v>5990</v>
      </c>
      <c r="E1806" s="32">
        <v>2011</v>
      </c>
      <c r="F1806" s="32" t="s">
        <v>19</v>
      </c>
      <c r="G1806" s="32" t="s">
        <v>6082</v>
      </c>
      <c r="H1806" s="32" t="s">
        <v>6124</v>
      </c>
      <c r="I1806" s="32" t="s">
        <v>6147</v>
      </c>
      <c r="J1806" s="32">
        <v>6199</v>
      </c>
      <c r="K1806" s="32">
        <f>6278+4484+1346+4484+2332+2332+2332+2332+2332+2332+2332+1166+2801+3000+3000</f>
        <v>42883</v>
      </c>
      <c r="L1806" s="32">
        <v>0</v>
      </c>
      <c r="M1806" s="32">
        <v>0</v>
      </c>
      <c r="N1806" s="32">
        <f>3148+4053+1178+2088</f>
        <v>10467</v>
      </c>
      <c r="O1806" s="32">
        <v>0</v>
      </c>
      <c r="P1806" s="32">
        <f>720+360+312+56</f>
        <v>1448</v>
      </c>
      <c r="Q1806" s="46">
        <f t="shared" si="56"/>
        <v>60997</v>
      </c>
      <c r="R1806" s="69">
        <f t="shared" ref="R1806:R1869" si="57">Q1806*85/100</f>
        <v>51847.45</v>
      </c>
      <c r="S1806" s="30"/>
      <c r="T1806" s="30"/>
    </row>
    <row r="1807" spans="1:20" ht="45" customHeight="1" x14ac:dyDescent="0.3">
      <c r="A1807" s="31">
        <v>1795</v>
      </c>
      <c r="B1807" s="32" t="s">
        <v>5961</v>
      </c>
      <c r="C1807" s="32" t="s">
        <v>5991</v>
      </c>
      <c r="D1807" s="32" t="s">
        <v>5992</v>
      </c>
      <c r="E1807" s="32">
        <v>1987</v>
      </c>
      <c r="F1807" s="32" t="s">
        <v>18</v>
      </c>
      <c r="G1807" s="32" t="s">
        <v>6083</v>
      </c>
      <c r="H1807" s="32" t="s">
        <v>6083</v>
      </c>
      <c r="I1807" s="32" t="s">
        <v>6148</v>
      </c>
      <c r="J1807" s="32">
        <v>6199</v>
      </c>
      <c r="K1807" s="32">
        <f>2332+2332+2243</f>
        <v>6907</v>
      </c>
      <c r="L1807" s="32">
        <v>0</v>
      </c>
      <c r="M1807" s="32">
        <v>0</v>
      </c>
      <c r="N1807" s="32">
        <f>3179+2088</f>
        <v>5267</v>
      </c>
      <c r="O1807" s="32">
        <v>0</v>
      </c>
      <c r="P1807" s="32">
        <f>624+112</f>
        <v>736</v>
      </c>
      <c r="Q1807" s="46">
        <f t="shared" si="56"/>
        <v>19109</v>
      </c>
      <c r="R1807" s="69">
        <f t="shared" si="57"/>
        <v>16242.65</v>
      </c>
      <c r="S1807" s="30"/>
      <c r="T1807" s="30"/>
    </row>
    <row r="1808" spans="1:20" ht="45" customHeight="1" x14ac:dyDescent="0.3">
      <c r="A1808" s="36">
        <v>1796</v>
      </c>
      <c r="B1808" s="32" t="s">
        <v>5961</v>
      </c>
      <c r="C1808" s="32" t="s">
        <v>5993</v>
      </c>
      <c r="D1808" s="32" t="s">
        <v>5994</v>
      </c>
      <c r="E1808" s="32">
        <v>1986</v>
      </c>
      <c r="F1808" s="32" t="s">
        <v>18</v>
      </c>
      <c r="G1808" s="32" t="s">
        <v>5693</v>
      </c>
      <c r="H1808" s="32" t="s">
        <v>5693</v>
      </c>
      <c r="I1808" s="32" t="s">
        <v>5737</v>
      </c>
      <c r="J1808" s="32">
        <v>6199</v>
      </c>
      <c r="K1808" s="32">
        <f>1346+6278+4484</f>
        <v>12108</v>
      </c>
      <c r="L1808" s="32">
        <v>0</v>
      </c>
      <c r="M1808" s="32">
        <v>0</v>
      </c>
      <c r="N1808" s="32">
        <v>1793</v>
      </c>
      <c r="O1808" s="32">
        <v>0</v>
      </c>
      <c r="P1808" s="32">
        <v>0</v>
      </c>
      <c r="Q1808" s="46">
        <f t="shared" si="56"/>
        <v>20100</v>
      </c>
      <c r="R1808" s="69">
        <f t="shared" si="57"/>
        <v>17085</v>
      </c>
      <c r="S1808" s="30"/>
      <c r="T1808" s="30"/>
    </row>
    <row r="1809" spans="1:20" ht="45" customHeight="1" x14ac:dyDescent="0.3">
      <c r="A1809" s="31">
        <v>1797</v>
      </c>
      <c r="B1809" s="32" t="s">
        <v>5961</v>
      </c>
      <c r="C1809" s="32" t="s">
        <v>5995</v>
      </c>
      <c r="D1809" s="32" t="s">
        <v>96</v>
      </c>
      <c r="E1809" s="32">
        <v>2019</v>
      </c>
      <c r="F1809" s="32" t="s">
        <v>18</v>
      </c>
      <c r="G1809" s="32" t="s">
        <v>177</v>
      </c>
      <c r="H1809" s="32" t="s">
        <v>228</v>
      </c>
      <c r="I1809" s="32" t="s">
        <v>274</v>
      </c>
      <c r="J1809" s="32">
        <v>6199</v>
      </c>
      <c r="K1809" s="32">
        <v>0</v>
      </c>
      <c r="L1809" s="32">
        <v>0</v>
      </c>
      <c r="M1809" s="32">
        <v>0</v>
      </c>
      <c r="N1809" s="32">
        <v>0</v>
      </c>
      <c r="O1809" s="32">
        <v>0</v>
      </c>
      <c r="P1809" s="32">
        <v>0</v>
      </c>
      <c r="Q1809" s="46">
        <f t="shared" si="56"/>
        <v>6199</v>
      </c>
      <c r="R1809" s="69">
        <f t="shared" si="57"/>
        <v>5269.15</v>
      </c>
      <c r="S1809" s="30"/>
      <c r="T1809" s="30"/>
    </row>
    <row r="1810" spans="1:20" ht="45" customHeight="1" x14ac:dyDescent="0.3">
      <c r="A1810" s="31">
        <v>1798</v>
      </c>
      <c r="B1810" s="32" t="s">
        <v>5961</v>
      </c>
      <c r="C1810" s="32" t="s">
        <v>5996</v>
      </c>
      <c r="D1810" s="32" t="s">
        <v>5186</v>
      </c>
      <c r="E1810" s="32">
        <v>2023</v>
      </c>
      <c r="F1810" s="32" t="s">
        <v>19</v>
      </c>
      <c r="G1810" s="32" t="s">
        <v>5305</v>
      </c>
      <c r="H1810" s="32" t="s">
        <v>5360</v>
      </c>
      <c r="I1810" s="32" t="s">
        <v>5394</v>
      </c>
      <c r="J1810" s="32">
        <v>3793</v>
      </c>
      <c r="K1810" s="32">
        <v>0</v>
      </c>
      <c r="L1810" s="32">
        <v>0</v>
      </c>
      <c r="M1810" s="32">
        <v>0</v>
      </c>
      <c r="N1810" s="32">
        <v>0</v>
      </c>
      <c r="O1810" s="32">
        <v>0</v>
      </c>
      <c r="P1810" s="32">
        <v>0</v>
      </c>
      <c r="Q1810" s="46">
        <f t="shared" si="56"/>
        <v>3793</v>
      </c>
      <c r="R1810" s="69">
        <f t="shared" si="57"/>
        <v>3224.05</v>
      </c>
      <c r="S1810" s="30"/>
      <c r="T1810" s="30"/>
    </row>
    <row r="1811" spans="1:20" ht="45" customHeight="1" x14ac:dyDescent="0.3">
      <c r="A1811" s="36">
        <v>1799</v>
      </c>
      <c r="B1811" s="32" t="s">
        <v>5961</v>
      </c>
      <c r="C1811" s="32" t="s">
        <v>5997</v>
      </c>
      <c r="D1811" s="32" t="s">
        <v>5998</v>
      </c>
      <c r="E1811" s="32">
        <v>1993</v>
      </c>
      <c r="F1811" s="32" t="s">
        <v>19</v>
      </c>
      <c r="G1811" s="32" t="s">
        <v>6084</v>
      </c>
      <c r="H1811" s="32" t="s">
        <v>6125</v>
      </c>
      <c r="I1811" s="32" t="s">
        <v>6149</v>
      </c>
      <c r="J1811" s="32">
        <v>6199</v>
      </c>
      <c r="K1811" s="32">
        <v>0</v>
      </c>
      <c r="L1811" s="32">
        <v>0</v>
      </c>
      <c r="M1811" s="32">
        <v>0</v>
      </c>
      <c r="N1811" s="32">
        <v>0</v>
      </c>
      <c r="O1811" s="32">
        <v>0</v>
      </c>
      <c r="P1811" s="32">
        <v>0</v>
      </c>
      <c r="Q1811" s="46">
        <f t="shared" si="56"/>
        <v>6199</v>
      </c>
      <c r="R1811" s="69">
        <f t="shared" si="57"/>
        <v>5269.15</v>
      </c>
      <c r="S1811" s="30"/>
      <c r="T1811" s="30"/>
    </row>
    <row r="1812" spans="1:20" ht="45" customHeight="1" x14ac:dyDescent="0.3">
      <c r="A1812" s="31">
        <v>1800</v>
      </c>
      <c r="B1812" s="32" t="s">
        <v>5961</v>
      </c>
      <c r="C1812" s="32" t="s">
        <v>5999</v>
      </c>
      <c r="D1812" s="32" t="s">
        <v>4256</v>
      </c>
      <c r="E1812" s="32">
        <v>1991</v>
      </c>
      <c r="F1812" s="32" t="s">
        <v>18</v>
      </c>
      <c r="G1812" s="32" t="s">
        <v>4345</v>
      </c>
      <c r="H1812" s="32" t="s">
        <v>4345</v>
      </c>
      <c r="I1812" s="32" t="s">
        <v>2122</v>
      </c>
      <c r="J1812" s="32">
        <v>3793</v>
      </c>
      <c r="K1812" s="32">
        <v>0</v>
      </c>
      <c r="L1812" s="32">
        <v>0</v>
      </c>
      <c r="M1812" s="32">
        <v>0</v>
      </c>
      <c r="N1812" s="32">
        <v>22781</v>
      </c>
      <c r="O1812" s="32">
        <v>0</v>
      </c>
      <c r="P1812" s="32">
        <v>0</v>
      </c>
      <c r="Q1812" s="46">
        <f t="shared" si="56"/>
        <v>26574</v>
      </c>
      <c r="R1812" s="69">
        <f t="shared" si="57"/>
        <v>22587.9</v>
      </c>
      <c r="S1812" s="30"/>
      <c r="T1812" s="30"/>
    </row>
    <row r="1813" spans="1:20" ht="45" customHeight="1" x14ac:dyDescent="0.3">
      <c r="A1813" s="31">
        <v>1801</v>
      </c>
      <c r="B1813" s="32" t="s">
        <v>5961</v>
      </c>
      <c r="C1813" s="32" t="s">
        <v>6000</v>
      </c>
      <c r="D1813" s="32" t="s">
        <v>6001</v>
      </c>
      <c r="E1813" s="32">
        <v>2020</v>
      </c>
      <c r="F1813" s="32" t="s">
        <v>19</v>
      </c>
      <c r="G1813" s="32" t="s">
        <v>6085</v>
      </c>
      <c r="H1813" s="32" t="s">
        <v>6126</v>
      </c>
      <c r="I1813" s="32" t="s">
        <v>6150</v>
      </c>
      <c r="J1813" s="32">
        <v>6199</v>
      </c>
      <c r="K1813" s="32">
        <f>6278+4484+1346</f>
        <v>12108</v>
      </c>
      <c r="L1813" s="32">
        <v>0</v>
      </c>
      <c r="M1813" s="32">
        <v>0</v>
      </c>
      <c r="N1813" s="32">
        <v>3148</v>
      </c>
      <c r="O1813" s="32">
        <v>0</v>
      </c>
      <c r="P1813" s="32">
        <v>0</v>
      </c>
      <c r="Q1813" s="46">
        <f t="shared" si="56"/>
        <v>21455</v>
      </c>
      <c r="R1813" s="69">
        <f t="shared" si="57"/>
        <v>18236.75</v>
      </c>
      <c r="S1813" s="30"/>
      <c r="T1813" s="30"/>
    </row>
    <row r="1814" spans="1:20" ht="45" customHeight="1" x14ac:dyDescent="0.3">
      <c r="A1814" s="36">
        <v>1802</v>
      </c>
      <c r="B1814" s="32" t="s">
        <v>5961</v>
      </c>
      <c r="C1814" s="32" t="s">
        <v>6002</v>
      </c>
      <c r="D1814" s="32" t="s">
        <v>6003</v>
      </c>
      <c r="E1814" s="32">
        <v>2019</v>
      </c>
      <c r="F1814" s="32" t="s">
        <v>19</v>
      </c>
      <c r="G1814" s="32" t="s">
        <v>6086</v>
      </c>
      <c r="H1814" s="32" t="s">
        <v>6127</v>
      </c>
      <c r="I1814" s="32" t="s">
        <v>6151</v>
      </c>
      <c r="J1814" s="32">
        <v>6199</v>
      </c>
      <c r="K1814" s="32">
        <f>1346+6278+4484+6995+2332+2332+2332+1166</f>
        <v>27265</v>
      </c>
      <c r="L1814" s="32">
        <v>17620</v>
      </c>
      <c r="M1814" s="32">
        <v>0</v>
      </c>
      <c r="N1814" s="32">
        <v>3148</v>
      </c>
      <c r="O1814" s="32">
        <v>0</v>
      </c>
      <c r="P1814" s="32">
        <v>0</v>
      </c>
      <c r="Q1814" s="46">
        <f t="shared" si="56"/>
        <v>54232</v>
      </c>
      <c r="R1814" s="69">
        <f t="shared" si="57"/>
        <v>46097.2</v>
      </c>
      <c r="S1814" s="30"/>
      <c r="T1814" s="30"/>
    </row>
    <row r="1815" spans="1:20" ht="45" customHeight="1" x14ac:dyDescent="0.3">
      <c r="A1815" s="31">
        <v>1803</v>
      </c>
      <c r="B1815" s="32" t="s">
        <v>5961</v>
      </c>
      <c r="C1815" s="32" t="s">
        <v>6004</v>
      </c>
      <c r="D1815" s="32" t="s">
        <v>6005</v>
      </c>
      <c r="E1815" s="32">
        <v>1999</v>
      </c>
      <c r="F1815" s="32" t="s">
        <v>18</v>
      </c>
      <c r="G1815" s="32" t="s">
        <v>6087</v>
      </c>
      <c r="H1815" s="32" t="s">
        <v>6087</v>
      </c>
      <c r="I1815" s="32" t="s">
        <v>6152</v>
      </c>
      <c r="J1815" s="32">
        <v>6199</v>
      </c>
      <c r="K1815" s="32">
        <f>1166+2801</f>
        <v>3967</v>
      </c>
      <c r="L1815" s="32">
        <v>0</v>
      </c>
      <c r="M1815" s="32">
        <v>0</v>
      </c>
      <c r="N1815" s="32">
        <v>0</v>
      </c>
      <c r="O1815" s="32">
        <v>0</v>
      </c>
      <c r="P1815" s="32">
        <v>0</v>
      </c>
      <c r="Q1815" s="46">
        <f t="shared" si="56"/>
        <v>10166</v>
      </c>
      <c r="R1815" s="69">
        <f t="shared" si="57"/>
        <v>8641.1</v>
      </c>
      <c r="S1815" s="30"/>
      <c r="T1815" s="30"/>
    </row>
    <row r="1816" spans="1:20" ht="45" customHeight="1" x14ac:dyDescent="0.3">
      <c r="A1816" s="31">
        <v>1804</v>
      </c>
      <c r="B1816" s="32" t="s">
        <v>5961</v>
      </c>
      <c r="C1816" s="32" t="s">
        <v>6006</v>
      </c>
      <c r="D1816" s="32" t="s">
        <v>6007</v>
      </c>
      <c r="E1816" s="32">
        <v>1998</v>
      </c>
      <c r="F1816" s="32" t="s">
        <v>18</v>
      </c>
      <c r="G1816" s="32" t="s">
        <v>6088</v>
      </c>
      <c r="H1816" s="32" t="s">
        <v>6088</v>
      </c>
      <c r="I1816" s="32" t="s">
        <v>6153</v>
      </c>
      <c r="J1816" s="32">
        <v>6199</v>
      </c>
      <c r="K1816" s="32">
        <f>6278+4484+1346+2332+2332+2332+2332+2332+4484+3000+3000+2332+2332+1166+2801+6995</f>
        <v>49878</v>
      </c>
      <c r="L1816" s="32">
        <v>0</v>
      </c>
      <c r="M1816" s="32">
        <v>0</v>
      </c>
      <c r="N1816" s="32">
        <v>1793</v>
      </c>
      <c r="O1816" s="32">
        <v>0</v>
      </c>
      <c r="P1816" s="32">
        <v>0</v>
      </c>
      <c r="Q1816" s="46">
        <f t="shared" si="56"/>
        <v>57870</v>
      </c>
      <c r="R1816" s="69">
        <f t="shared" si="57"/>
        <v>49189.5</v>
      </c>
      <c r="S1816" s="30"/>
      <c r="T1816" s="30"/>
    </row>
    <row r="1817" spans="1:20" ht="45" customHeight="1" x14ac:dyDescent="0.3">
      <c r="A1817" s="36">
        <v>1805</v>
      </c>
      <c r="B1817" s="32" t="s">
        <v>5961</v>
      </c>
      <c r="C1817" s="32" t="s">
        <v>6008</v>
      </c>
      <c r="D1817" s="32" t="s">
        <v>6009</v>
      </c>
      <c r="E1817" s="32">
        <v>2019</v>
      </c>
      <c r="F1817" s="32" t="s">
        <v>18</v>
      </c>
      <c r="G1817" s="32" t="s">
        <v>6089</v>
      </c>
      <c r="H1817" s="32" t="s">
        <v>6128</v>
      </c>
      <c r="I1817" s="32" t="s">
        <v>1069</v>
      </c>
      <c r="J1817" s="32">
        <v>3582</v>
      </c>
      <c r="K1817" s="32">
        <v>0</v>
      </c>
      <c r="L1817" s="32">
        <v>0</v>
      </c>
      <c r="M1817" s="32">
        <v>0</v>
      </c>
      <c r="N1817" s="32">
        <f>30886+35836</f>
        <v>66722</v>
      </c>
      <c r="O1817" s="32">
        <v>0</v>
      </c>
      <c r="P1817" s="32">
        <v>0</v>
      </c>
      <c r="Q1817" s="46">
        <f t="shared" si="56"/>
        <v>70304</v>
      </c>
      <c r="R1817" s="69">
        <f t="shared" si="57"/>
        <v>59758.400000000001</v>
      </c>
      <c r="S1817" s="30"/>
      <c r="T1817" s="30"/>
    </row>
    <row r="1818" spans="1:20" ht="45" customHeight="1" x14ac:dyDescent="0.3">
      <c r="A1818" s="31">
        <v>1806</v>
      </c>
      <c r="B1818" s="32" t="s">
        <v>5961</v>
      </c>
      <c r="C1818" s="32" t="s">
        <v>6010</v>
      </c>
      <c r="D1818" s="32" t="s">
        <v>6011</v>
      </c>
      <c r="E1818" s="32">
        <v>1996</v>
      </c>
      <c r="F1818" s="32" t="s">
        <v>19</v>
      </c>
      <c r="G1818" s="32" t="s">
        <v>6090</v>
      </c>
      <c r="H1818" s="32" t="s">
        <v>6129</v>
      </c>
      <c r="I1818" s="32" t="s">
        <v>6154</v>
      </c>
      <c r="J1818" s="32">
        <v>6199</v>
      </c>
      <c r="K1818" s="32">
        <f>6278+2332+2332+2332+2332+2332+6995+6995+2332+6995</f>
        <v>41255</v>
      </c>
      <c r="L1818" s="32">
        <v>0</v>
      </c>
      <c r="M1818" s="32">
        <v>0</v>
      </c>
      <c r="N1818" s="32">
        <f>3148+3179+1178</f>
        <v>7505</v>
      </c>
      <c r="O1818" s="32">
        <v>0</v>
      </c>
      <c r="P1818" s="32">
        <f>1440+1320+120+720</f>
        <v>3600</v>
      </c>
      <c r="Q1818" s="47">
        <f t="shared" si="56"/>
        <v>58559</v>
      </c>
      <c r="R1818" s="69">
        <f t="shared" si="57"/>
        <v>49775.15</v>
      </c>
      <c r="S1818" s="30"/>
      <c r="T1818" s="30"/>
    </row>
    <row r="1819" spans="1:20" ht="45" customHeight="1" x14ac:dyDescent="0.3">
      <c r="A1819" s="31">
        <v>1807</v>
      </c>
      <c r="B1819" s="32" t="s">
        <v>5961</v>
      </c>
      <c r="C1819" s="32" t="s">
        <v>6010</v>
      </c>
      <c r="D1819" s="32" t="s">
        <v>6011</v>
      </c>
      <c r="E1819" s="32">
        <v>1996</v>
      </c>
      <c r="F1819" s="32" t="s">
        <v>19</v>
      </c>
      <c r="G1819" s="32" t="s">
        <v>6090</v>
      </c>
      <c r="H1819" s="32" t="s">
        <v>6129</v>
      </c>
      <c r="I1819" s="32" t="s">
        <v>6154</v>
      </c>
      <c r="J1819" s="32">
        <v>0</v>
      </c>
      <c r="K1819" s="32">
        <v>0</v>
      </c>
      <c r="L1819" s="32">
        <v>0</v>
      </c>
      <c r="M1819" s="32">
        <v>17688</v>
      </c>
      <c r="N1819" s="32">
        <v>0</v>
      </c>
      <c r="O1819" s="32">
        <v>0</v>
      </c>
      <c r="P1819" s="32">
        <v>0</v>
      </c>
      <c r="Q1819" s="47">
        <f t="shared" si="56"/>
        <v>17688</v>
      </c>
      <c r="R1819" s="69">
        <f t="shared" si="57"/>
        <v>15034.8</v>
      </c>
      <c r="S1819" s="30"/>
      <c r="T1819" s="30"/>
    </row>
    <row r="1820" spans="1:20" ht="45" customHeight="1" x14ac:dyDescent="0.3">
      <c r="A1820" s="36">
        <v>1808</v>
      </c>
      <c r="B1820" s="32" t="s">
        <v>5961</v>
      </c>
      <c r="C1820" s="32" t="s">
        <v>6012</v>
      </c>
      <c r="D1820" s="32" t="s">
        <v>6013</v>
      </c>
      <c r="E1820" s="32">
        <v>1983</v>
      </c>
      <c r="F1820" s="32" t="s">
        <v>19</v>
      </c>
      <c r="G1820" s="32" t="s">
        <v>6091</v>
      </c>
      <c r="H1820" s="32" t="s">
        <v>6130</v>
      </c>
      <c r="I1820" s="32" t="s">
        <v>6155</v>
      </c>
      <c r="J1820" s="32">
        <v>6199</v>
      </c>
      <c r="K1820" s="32">
        <v>0</v>
      </c>
      <c r="L1820" s="32">
        <f>13298+13298</f>
        <v>26596</v>
      </c>
      <c r="M1820" s="32">
        <v>0</v>
      </c>
      <c r="N1820" s="32">
        <v>0</v>
      </c>
      <c r="O1820" s="32">
        <v>0</v>
      </c>
      <c r="P1820" s="32">
        <v>0</v>
      </c>
      <c r="Q1820" s="46">
        <f t="shared" si="56"/>
        <v>32795</v>
      </c>
      <c r="R1820" s="69">
        <f t="shared" si="57"/>
        <v>27875.75</v>
      </c>
      <c r="S1820" s="30"/>
      <c r="T1820" s="30"/>
    </row>
    <row r="1821" spans="1:20" ht="45" customHeight="1" x14ac:dyDescent="0.3">
      <c r="A1821" s="31">
        <v>1809</v>
      </c>
      <c r="B1821" s="32" t="s">
        <v>5961</v>
      </c>
      <c r="C1821" s="32" t="s">
        <v>6014</v>
      </c>
      <c r="D1821" s="32" t="s">
        <v>6015</v>
      </c>
      <c r="E1821" s="32">
        <v>2022</v>
      </c>
      <c r="F1821" s="32" t="s">
        <v>18</v>
      </c>
      <c r="G1821" s="32" t="s">
        <v>6092</v>
      </c>
      <c r="H1821" s="32" t="s">
        <v>6131</v>
      </c>
      <c r="I1821" s="32" t="s">
        <v>6156</v>
      </c>
      <c r="J1821" s="32">
        <v>6199</v>
      </c>
      <c r="K1821" s="32">
        <f>1346+4484+6278+2332+2332+2332+2332+2332+2332+6995+6995+2332+6995+1166+4484</f>
        <v>55067</v>
      </c>
      <c r="L1821" s="32">
        <v>0</v>
      </c>
      <c r="M1821" s="32">
        <v>0</v>
      </c>
      <c r="N1821" s="32">
        <v>3148</v>
      </c>
      <c r="O1821" s="32">
        <v>0</v>
      </c>
      <c r="P1821" s="32">
        <v>0</v>
      </c>
      <c r="Q1821" s="46">
        <f t="shared" si="56"/>
        <v>64414</v>
      </c>
      <c r="R1821" s="69">
        <f t="shared" si="57"/>
        <v>54751.9</v>
      </c>
      <c r="S1821" s="30"/>
      <c r="T1821" s="30"/>
    </row>
    <row r="1822" spans="1:20" ht="45" customHeight="1" x14ac:dyDescent="0.3">
      <c r="A1822" s="31">
        <v>1810</v>
      </c>
      <c r="B1822" s="32" t="s">
        <v>5961</v>
      </c>
      <c r="C1822" s="32" t="s">
        <v>6016</v>
      </c>
      <c r="D1822" s="32" t="s">
        <v>6017</v>
      </c>
      <c r="E1822" s="32">
        <v>2018</v>
      </c>
      <c r="F1822" s="32" t="s">
        <v>19</v>
      </c>
      <c r="G1822" s="32" t="s">
        <v>6093</v>
      </c>
      <c r="H1822" s="32" t="s">
        <v>6132</v>
      </c>
      <c r="I1822" s="32" t="s">
        <v>6157</v>
      </c>
      <c r="J1822" s="32">
        <v>6199</v>
      </c>
      <c r="K1822" s="32">
        <f>1346+6278+4484+2332+2332+1166+4484</f>
        <v>22422</v>
      </c>
      <c r="L1822" s="32">
        <v>0</v>
      </c>
      <c r="M1822" s="32">
        <v>0</v>
      </c>
      <c r="N1822" s="32">
        <v>3148</v>
      </c>
      <c r="O1822" s="32">
        <v>0</v>
      </c>
      <c r="P1822" s="32">
        <v>0</v>
      </c>
      <c r="Q1822" s="46">
        <f t="shared" si="56"/>
        <v>31769</v>
      </c>
      <c r="R1822" s="69">
        <f t="shared" si="57"/>
        <v>27003.65</v>
      </c>
      <c r="S1822" s="30"/>
      <c r="T1822" s="30"/>
    </row>
    <row r="1823" spans="1:20" ht="45" customHeight="1" x14ac:dyDescent="0.3">
      <c r="A1823" s="36">
        <v>1811</v>
      </c>
      <c r="B1823" s="32" t="s">
        <v>5961</v>
      </c>
      <c r="C1823" s="32" t="s">
        <v>6018</v>
      </c>
      <c r="D1823" s="32" t="s">
        <v>2699</v>
      </c>
      <c r="E1823" s="32">
        <v>1966</v>
      </c>
      <c r="F1823" s="32" t="s">
        <v>19</v>
      </c>
      <c r="G1823" s="32" t="s">
        <v>2777</v>
      </c>
      <c r="H1823" s="32" t="s">
        <v>2822</v>
      </c>
      <c r="I1823" s="32" t="s">
        <v>1480</v>
      </c>
      <c r="J1823" s="32">
        <v>3793</v>
      </c>
      <c r="K1823" s="32">
        <v>0</v>
      </c>
      <c r="L1823" s="32">
        <v>0</v>
      </c>
      <c r="M1823" s="32">
        <v>0</v>
      </c>
      <c r="N1823" s="32">
        <v>1681</v>
      </c>
      <c r="O1823" s="32">
        <v>0</v>
      </c>
      <c r="P1823" s="32">
        <f>240+56</f>
        <v>296</v>
      </c>
      <c r="Q1823" s="46">
        <f t="shared" si="56"/>
        <v>5770</v>
      </c>
      <c r="R1823" s="69">
        <f t="shared" si="57"/>
        <v>4904.5</v>
      </c>
      <c r="S1823" s="30"/>
      <c r="T1823" s="30"/>
    </row>
    <row r="1824" spans="1:20" ht="45" customHeight="1" x14ac:dyDescent="0.3">
      <c r="A1824" s="31">
        <v>1812</v>
      </c>
      <c r="B1824" s="32" t="s">
        <v>5961</v>
      </c>
      <c r="C1824" s="32" t="s">
        <v>6019</v>
      </c>
      <c r="D1824" s="32" t="s">
        <v>332</v>
      </c>
      <c r="E1824" s="32">
        <v>2025</v>
      </c>
      <c r="F1824" s="32" t="s">
        <v>18</v>
      </c>
      <c r="G1824" s="32" t="s">
        <v>447</v>
      </c>
      <c r="H1824" s="32" t="s">
        <v>504</v>
      </c>
      <c r="I1824" s="32" t="s">
        <v>544</v>
      </c>
      <c r="J1824" s="32">
        <v>6199</v>
      </c>
      <c r="K1824" s="32">
        <v>0</v>
      </c>
      <c r="L1824" s="32">
        <v>0</v>
      </c>
      <c r="M1824" s="32">
        <v>0</v>
      </c>
      <c r="N1824" s="32">
        <v>0</v>
      </c>
      <c r="O1824" s="32">
        <v>0</v>
      </c>
      <c r="P1824" s="32">
        <v>0</v>
      </c>
      <c r="Q1824" s="46">
        <f t="shared" si="56"/>
        <v>6199</v>
      </c>
      <c r="R1824" s="69">
        <f t="shared" si="57"/>
        <v>5269.15</v>
      </c>
      <c r="S1824" s="30"/>
      <c r="T1824" s="30"/>
    </row>
    <row r="1825" spans="1:20" ht="45" customHeight="1" x14ac:dyDescent="0.3">
      <c r="A1825" s="31">
        <v>1813</v>
      </c>
      <c r="B1825" s="32" t="s">
        <v>5961</v>
      </c>
      <c r="C1825" s="32" t="s">
        <v>6020</v>
      </c>
      <c r="D1825" s="32" t="s">
        <v>6021</v>
      </c>
      <c r="E1825" s="32">
        <v>1986</v>
      </c>
      <c r="F1825" s="32" t="s">
        <v>18</v>
      </c>
      <c r="G1825" s="32" t="s">
        <v>6094</v>
      </c>
      <c r="H1825" s="32" t="s">
        <v>6094</v>
      </c>
      <c r="I1825" s="32" t="s">
        <v>5956</v>
      </c>
      <c r="J1825" s="32">
        <v>6199</v>
      </c>
      <c r="K1825" s="32">
        <v>0</v>
      </c>
      <c r="L1825" s="32">
        <v>0</v>
      </c>
      <c r="M1825" s="32">
        <v>0</v>
      </c>
      <c r="N1825" s="32">
        <v>0</v>
      </c>
      <c r="O1825" s="32">
        <v>0</v>
      </c>
      <c r="P1825" s="32">
        <v>0</v>
      </c>
      <c r="Q1825" s="46">
        <f t="shared" si="56"/>
        <v>6199</v>
      </c>
      <c r="R1825" s="69">
        <f t="shared" si="57"/>
        <v>5269.15</v>
      </c>
      <c r="S1825" s="30"/>
      <c r="T1825" s="30"/>
    </row>
    <row r="1826" spans="1:20" ht="45" customHeight="1" x14ac:dyDescent="0.3">
      <c r="A1826" s="36">
        <v>1814</v>
      </c>
      <c r="B1826" s="32" t="s">
        <v>5961</v>
      </c>
      <c r="C1826" s="32" t="s">
        <v>6022</v>
      </c>
      <c r="D1826" s="32" t="s">
        <v>6023</v>
      </c>
      <c r="E1826" s="32">
        <v>2020</v>
      </c>
      <c r="F1826" s="32" t="s">
        <v>19</v>
      </c>
      <c r="G1826" s="32" t="s">
        <v>6095</v>
      </c>
      <c r="H1826" s="32" t="s">
        <v>6133</v>
      </c>
      <c r="I1826" s="32" t="s">
        <v>2622</v>
      </c>
      <c r="J1826" s="32">
        <v>6199</v>
      </c>
      <c r="K1826" s="32">
        <f>6278+4484+1346+1166</f>
        <v>13274</v>
      </c>
      <c r="L1826" s="32">
        <v>0</v>
      </c>
      <c r="M1826" s="32">
        <v>0</v>
      </c>
      <c r="N1826" s="32">
        <v>3148</v>
      </c>
      <c r="O1826" s="32">
        <v>0</v>
      </c>
      <c r="P1826" s="32">
        <v>0</v>
      </c>
      <c r="Q1826" s="46">
        <f t="shared" si="56"/>
        <v>22621</v>
      </c>
      <c r="R1826" s="69">
        <f t="shared" si="57"/>
        <v>19227.849999999999</v>
      </c>
      <c r="S1826" s="30"/>
      <c r="T1826" s="30"/>
    </row>
    <row r="1827" spans="1:20" ht="45" customHeight="1" x14ac:dyDescent="0.3">
      <c r="A1827" s="31">
        <v>1815</v>
      </c>
      <c r="B1827" s="32" t="s">
        <v>5961</v>
      </c>
      <c r="C1827" s="32" t="s">
        <v>6024</v>
      </c>
      <c r="D1827" s="32" t="s">
        <v>6025</v>
      </c>
      <c r="E1827" s="32">
        <v>1980</v>
      </c>
      <c r="F1827" s="32" t="s">
        <v>18</v>
      </c>
      <c r="G1827" s="32" t="s">
        <v>6096</v>
      </c>
      <c r="H1827" s="32" t="s">
        <v>6096</v>
      </c>
      <c r="I1827" s="32" t="s">
        <v>24</v>
      </c>
      <c r="J1827" s="32">
        <v>6199</v>
      </c>
      <c r="K1827" s="32">
        <v>0</v>
      </c>
      <c r="L1827" s="32">
        <v>13298</v>
      </c>
      <c r="M1827" s="32">
        <v>0</v>
      </c>
      <c r="N1827" s="32">
        <v>0</v>
      </c>
      <c r="O1827" s="32">
        <v>0</v>
      </c>
      <c r="P1827" s="32">
        <v>0</v>
      </c>
      <c r="Q1827" s="46">
        <f t="shared" si="56"/>
        <v>19497</v>
      </c>
      <c r="R1827" s="69">
        <f t="shared" si="57"/>
        <v>16572.45</v>
      </c>
      <c r="S1827" s="30"/>
      <c r="T1827" s="30"/>
    </row>
    <row r="1828" spans="1:20" ht="45" customHeight="1" x14ac:dyDescent="0.3">
      <c r="A1828" s="31">
        <v>1816</v>
      </c>
      <c r="B1828" s="32" t="s">
        <v>5961</v>
      </c>
      <c r="C1828" s="32" t="s">
        <v>6026</v>
      </c>
      <c r="D1828" s="32" t="s">
        <v>6027</v>
      </c>
      <c r="E1828" s="32">
        <v>1972</v>
      </c>
      <c r="F1828" s="32" t="s">
        <v>19</v>
      </c>
      <c r="G1828" s="32" t="s">
        <v>6097</v>
      </c>
      <c r="H1828" s="32" t="s">
        <v>6097</v>
      </c>
      <c r="I1828" s="32" t="s">
        <v>6158</v>
      </c>
      <c r="J1828" s="32">
        <v>6199</v>
      </c>
      <c r="K1828" s="32">
        <f>1346+6278+4484+2332+2332+2332+4484+4484+2332+3228+6995+2332+2332+2332+3000+3000</f>
        <v>53623</v>
      </c>
      <c r="L1828" s="32">
        <v>0</v>
      </c>
      <c r="M1828" s="32">
        <v>0</v>
      </c>
      <c r="N1828" s="32">
        <v>1793</v>
      </c>
      <c r="O1828" s="32">
        <v>0</v>
      </c>
      <c r="P1828" s="32">
        <v>0</v>
      </c>
      <c r="Q1828" s="46">
        <f t="shared" si="56"/>
        <v>61615</v>
      </c>
      <c r="R1828" s="69">
        <f t="shared" si="57"/>
        <v>52372.75</v>
      </c>
      <c r="S1828" s="30"/>
      <c r="T1828" s="30"/>
    </row>
    <row r="1829" spans="1:20" ht="45" customHeight="1" x14ac:dyDescent="0.3">
      <c r="A1829" s="36">
        <v>1817</v>
      </c>
      <c r="B1829" s="32" t="s">
        <v>5961</v>
      </c>
      <c r="C1829" s="32" t="s">
        <v>6028</v>
      </c>
      <c r="D1829" s="32" t="s">
        <v>433</v>
      </c>
      <c r="E1829" s="32">
        <v>2021</v>
      </c>
      <c r="F1829" s="32" t="s">
        <v>19</v>
      </c>
      <c r="G1829" s="32" t="s">
        <v>498</v>
      </c>
      <c r="H1829" s="32" t="s">
        <v>533</v>
      </c>
      <c r="I1829" s="32" t="s">
        <v>27</v>
      </c>
      <c r="J1829" s="32">
        <v>3793</v>
      </c>
      <c r="K1829" s="32">
        <f>1346+6278+4484</f>
        <v>12108</v>
      </c>
      <c r="L1829" s="32">
        <v>0</v>
      </c>
      <c r="M1829" s="32">
        <v>0</v>
      </c>
      <c r="N1829" s="32">
        <v>3148</v>
      </c>
      <c r="O1829" s="32">
        <v>0</v>
      </c>
      <c r="P1829" s="32">
        <v>0</v>
      </c>
      <c r="Q1829" s="46">
        <f t="shared" si="56"/>
        <v>19049</v>
      </c>
      <c r="R1829" s="69">
        <f t="shared" si="57"/>
        <v>16191.65</v>
      </c>
      <c r="S1829" s="30"/>
      <c r="T1829" s="30"/>
    </row>
    <row r="1830" spans="1:20" ht="45" customHeight="1" x14ac:dyDescent="0.3">
      <c r="A1830" s="31">
        <v>1818</v>
      </c>
      <c r="B1830" s="32" t="s">
        <v>5961</v>
      </c>
      <c r="C1830" s="32" t="s">
        <v>6029</v>
      </c>
      <c r="D1830" s="32" t="s">
        <v>6030</v>
      </c>
      <c r="E1830" s="32">
        <v>2020</v>
      </c>
      <c r="F1830" s="32" t="s">
        <v>18</v>
      </c>
      <c r="G1830" s="32" t="s">
        <v>6098</v>
      </c>
      <c r="H1830" s="32" t="s">
        <v>6134</v>
      </c>
      <c r="I1830" s="32" t="s">
        <v>2463</v>
      </c>
      <c r="J1830" s="32">
        <v>6199</v>
      </c>
      <c r="K1830" s="32">
        <v>0</v>
      </c>
      <c r="L1830" s="32">
        <v>0</v>
      </c>
      <c r="M1830" s="32">
        <v>0</v>
      </c>
      <c r="N1830" s="32">
        <v>0</v>
      </c>
      <c r="O1830" s="32">
        <v>0</v>
      </c>
      <c r="P1830" s="32">
        <v>0</v>
      </c>
      <c r="Q1830" s="46">
        <f t="shared" si="56"/>
        <v>6199</v>
      </c>
      <c r="R1830" s="69">
        <f t="shared" si="57"/>
        <v>5269.15</v>
      </c>
      <c r="S1830" s="30"/>
      <c r="T1830" s="30"/>
    </row>
    <row r="1831" spans="1:20" ht="45" customHeight="1" x14ac:dyDescent="0.3">
      <c r="A1831" s="31">
        <v>1819</v>
      </c>
      <c r="B1831" s="32" t="s">
        <v>5961</v>
      </c>
      <c r="C1831" s="32" t="s">
        <v>6031</v>
      </c>
      <c r="D1831" s="32" t="s">
        <v>6032</v>
      </c>
      <c r="E1831" s="32">
        <v>2019</v>
      </c>
      <c r="F1831" s="32" t="s">
        <v>19</v>
      </c>
      <c r="G1831" s="32" t="s">
        <v>6099</v>
      </c>
      <c r="H1831" s="32" t="s">
        <v>6135</v>
      </c>
      <c r="I1831" s="32" t="s">
        <v>6159</v>
      </c>
      <c r="J1831" s="32">
        <v>6199</v>
      </c>
      <c r="K1831" s="32">
        <v>0</v>
      </c>
      <c r="L1831" s="32">
        <v>0</v>
      </c>
      <c r="M1831" s="32">
        <v>0</v>
      </c>
      <c r="N1831" s="32">
        <v>0</v>
      </c>
      <c r="O1831" s="32">
        <v>0</v>
      </c>
      <c r="P1831" s="32">
        <v>0</v>
      </c>
      <c r="Q1831" s="46">
        <f t="shared" si="56"/>
        <v>6199</v>
      </c>
      <c r="R1831" s="69">
        <f t="shared" si="57"/>
        <v>5269.15</v>
      </c>
      <c r="S1831" s="30"/>
      <c r="T1831" s="30"/>
    </row>
    <row r="1832" spans="1:20" ht="45" customHeight="1" x14ac:dyDescent="0.3">
      <c r="A1832" s="36">
        <v>1820</v>
      </c>
      <c r="B1832" s="32" t="s">
        <v>5961</v>
      </c>
      <c r="C1832" s="32" t="s">
        <v>6033</v>
      </c>
      <c r="D1832" s="32" t="s">
        <v>6034</v>
      </c>
      <c r="E1832" s="32">
        <v>2015</v>
      </c>
      <c r="F1832" s="32" t="s">
        <v>18</v>
      </c>
      <c r="G1832" s="32" t="s">
        <v>6100</v>
      </c>
      <c r="H1832" s="32" t="s">
        <v>6136</v>
      </c>
      <c r="I1832" s="32" t="s">
        <v>24</v>
      </c>
      <c r="J1832" s="32">
        <v>6199</v>
      </c>
      <c r="K1832" s="32">
        <f>6278+4484+1346</f>
        <v>12108</v>
      </c>
      <c r="L1832" s="32">
        <v>0</v>
      </c>
      <c r="M1832" s="32">
        <v>0</v>
      </c>
      <c r="N1832" s="32">
        <v>3148</v>
      </c>
      <c r="O1832" s="32">
        <v>0</v>
      </c>
      <c r="P1832" s="32">
        <v>0</v>
      </c>
      <c r="Q1832" s="46">
        <f t="shared" si="56"/>
        <v>21455</v>
      </c>
      <c r="R1832" s="69">
        <f t="shared" si="57"/>
        <v>18236.75</v>
      </c>
      <c r="S1832" s="30"/>
      <c r="T1832" s="30"/>
    </row>
    <row r="1833" spans="1:20" ht="45" customHeight="1" x14ac:dyDescent="0.3">
      <c r="A1833" s="31">
        <v>1821</v>
      </c>
      <c r="B1833" s="32" t="s">
        <v>5961</v>
      </c>
      <c r="C1833" s="32" t="s">
        <v>6035</v>
      </c>
      <c r="D1833" s="32" t="s">
        <v>622</v>
      </c>
      <c r="E1833" s="32">
        <v>2021</v>
      </c>
      <c r="F1833" s="32" t="s">
        <v>18</v>
      </c>
      <c r="G1833" s="32" t="s">
        <v>6101</v>
      </c>
      <c r="H1833" s="32" t="s">
        <v>798</v>
      </c>
      <c r="I1833" s="32" t="s">
        <v>835</v>
      </c>
      <c r="J1833" s="32">
        <v>6199</v>
      </c>
      <c r="K1833" s="32">
        <v>0</v>
      </c>
      <c r="L1833" s="32">
        <v>0</v>
      </c>
      <c r="M1833" s="32">
        <v>0</v>
      </c>
      <c r="N1833" s="32">
        <v>24937</v>
      </c>
      <c r="O1833" s="32">
        <v>0</v>
      </c>
      <c r="P1833" s="32">
        <v>0</v>
      </c>
      <c r="Q1833" s="46">
        <f t="shared" si="56"/>
        <v>31136</v>
      </c>
      <c r="R1833" s="69">
        <f t="shared" si="57"/>
        <v>26465.599999999999</v>
      </c>
      <c r="S1833" s="30"/>
      <c r="T1833" s="30"/>
    </row>
    <row r="1834" spans="1:20" ht="45" customHeight="1" x14ac:dyDescent="0.3">
      <c r="A1834" s="31">
        <v>1822</v>
      </c>
      <c r="B1834" s="32" t="s">
        <v>5961</v>
      </c>
      <c r="C1834" s="32" t="s">
        <v>6036</v>
      </c>
      <c r="D1834" s="32" t="s">
        <v>6037</v>
      </c>
      <c r="E1834" s="32">
        <v>2022</v>
      </c>
      <c r="F1834" s="32" t="s">
        <v>19</v>
      </c>
      <c r="G1834" s="32" t="s">
        <v>6102</v>
      </c>
      <c r="H1834" s="32" t="s">
        <v>6137</v>
      </c>
      <c r="I1834" s="32" t="s">
        <v>6160</v>
      </c>
      <c r="J1834" s="32">
        <v>6199</v>
      </c>
      <c r="K1834" s="32">
        <f>6278+4484+1346+4484+2332+2332+2332+2332+2332+2332+6995+6995+2332+6995</f>
        <v>53901</v>
      </c>
      <c r="L1834" s="32">
        <v>0</v>
      </c>
      <c r="M1834" s="32">
        <v>0</v>
      </c>
      <c r="N1834" s="32">
        <v>3148</v>
      </c>
      <c r="O1834" s="32">
        <v>0</v>
      </c>
      <c r="P1834" s="32">
        <v>0</v>
      </c>
      <c r="Q1834" s="46">
        <f t="shared" si="56"/>
        <v>63248</v>
      </c>
      <c r="R1834" s="69">
        <f t="shared" si="57"/>
        <v>53760.800000000003</v>
      </c>
      <c r="S1834" s="30"/>
      <c r="T1834" s="30"/>
    </row>
    <row r="1835" spans="1:20" ht="45" customHeight="1" x14ac:dyDescent="0.3">
      <c r="A1835" s="36">
        <v>1823</v>
      </c>
      <c r="B1835" s="32" t="s">
        <v>5961</v>
      </c>
      <c r="C1835" s="32" t="s">
        <v>6038</v>
      </c>
      <c r="D1835" s="32" t="s">
        <v>6039</v>
      </c>
      <c r="E1835" s="32">
        <v>2022</v>
      </c>
      <c r="F1835" s="32" t="s">
        <v>18</v>
      </c>
      <c r="G1835" s="32" t="s">
        <v>6103</v>
      </c>
      <c r="H1835" s="32" t="s">
        <v>6138</v>
      </c>
      <c r="I1835" s="32" t="s">
        <v>6161</v>
      </c>
      <c r="J1835" s="32">
        <v>6199</v>
      </c>
      <c r="K1835" s="32">
        <v>0</v>
      </c>
      <c r="L1835" s="32">
        <v>0</v>
      </c>
      <c r="M1835" s="32">
        <v>0</v>
      </c>
      <c r="N1835" s="32">
        <v>0</v>
      </c>
      <c r="O1835" s="32">
        <v>0</v>
      </c>
      <c r="P1835" s="32">
        <v>0</v>
      </c>
      <c r="Q1835" s="46">
        <f t="shared" si="56"/>
        <v>6199</v>
      </c>
      <c r="R1835" s="69">
        <f t="shared" si="57"/>
        <v>5269.15</v>
      </c>
      <c r="S1835" s="30"/>
      <c r="T1835" s="30"/>
    </row>
    <row r="1836" spans="1:20" ht="45" customHeight="1" x14ac:dyDescent="0.3">
      <c r="A1836" s="31">
        <v>1824</v>
      </c>
      <c r="B1836" s="32" t="s">
        <v>5961</v>
      </c>
      <c r="C1836" s="32" t="s">
        <v>6040</v>
      </c>
      <c r="D1836" s="32" t="s">
        <v>6041</v>
      </c>
      <c r="E1836" s="32">
        <v>2023</v>
      </c>
      <c r="F1836" s="32" t="s">
        <v>19</v>
      </c>
      <c r="G1836" s="32" t="s">
        <v>6104</v>
      </c>
      <c r="H1836" s="32" t="s">
        <v>6139</v>
      </c>
      <c r="I1836" s="32" t="s">
        <v>5152</v>
      </c>
      <c r="J1836" s="32">
        <v>6199</v>
      </c>
      <c r="K1836" s="32">
        <v>0</v>
      </c>
      <c r="L1836" s="32">
        <v>0</v>
      </c>
      <c r="M1836" s="32">
        <v>0</v>
      </c>
      <c r="N1836" s="32">
        <v>0</v>
      </c>
      <c r="O1836" s="32">
        <v>0</v>
      </c>
      <c r="P1836" s="32">
        <v>0</v>
      </c>
      <c r="Q1836" s="46">
        <f t="shared" si="56"/>
        <v>6199</v>
      </c>
      <c r="R1836" s="69">
        <f t="shared" si="57"/>
        <v>5269.15</v>
      </c>
      <c r="S1836" s="30"/>
      <c r="T1836" s="30"/>
    </row>
    <row r="1837" spans="1:20" ht="45" customHeight="1" x14ac:dyDescent="0.3">
      <c r="A1837" s="31">
        <v>1825</v>
      </c>
      <c r="B1837" s="32" t="s">
        <v>5961</v>
      </c>
      <c r="C1837" s="32" t="s">
        <v>6042</v>
      </c>
      <c r="D1837" s="32" t="s">
        <v>6043</v>
      </c>
      <c r="E1837" s="32">
        <v>1990</v>
      </c>
      <c r="F1837" s="32" t="s">
        <v>18</v>
      </c>
      <c r="G1837" s="32" t="s">
        <v>3710</v>
      </c>
      <c r="H1837" s="32" t="s">
        <v>3710</v>
      </c>
      <c r="I1837" s="32" t="s">
        <v>25</v>
      </c>
      <c r="J1837" s="32">
        <v>6199</v>
      </c>
      <c r="K1837" s="32">
        <f>6278+2332+2332+2332+2332+2332</f>
        <v>17938</v>
      </c>
      <c r="L1837" s="32">
        <f>13298+17620</f>
        <v>30918</v>
      </c>
      <c r="M1837" s="32">
        <v>0</v>
      </c>
      <c r="N1837" s="32">
        <v>1793</v>
      </c>
      <c r="O1837" s="32">
        <v>0</v>
      </c>
      <c r="P1837" s="32">
        <v>0</v>
      </c>
      <c r="Q1837" s="46">
        <f t="shared" si="56"/>
        <v>56848</v>
      </c>
      <c r="R1837" s="69">
        <f t="shared" si="57"/>
        <v>48320.800000000003</v>
      </c>
      <c r="S1837" s="30"/>
      <c r="T1837" s="30"/>
    </row>
    <row r="1838" spans="1:20" ht="45" customHeight="1" x14ac:dyDescent="0.3">
      <c r="A1838" s="36">
        <v>1826</v>
      </c>
      <c r="B1838" s="32" t="s">
        <v>5961</v>
      </c>
      <c r="C1838" s="32" t="s">
        <v>6044</v>
      </c>
      <c r="D1838" s="32" t="s">
        <v>6045</v>
      </c>
      <c r="E1838" s="32">
        <v>2007</v>
      </c>
      <c r="F1838" s="32" t="s">
        <v>19</v>
      </c>
      <c r="G1838" s="32" t="s">
        <v>6105</v>
      </c>
      <c r="H1838" s="32" t="s">
        <v>6140</v>
      </c>
      <c r="I1838" s="32" t="s">
        <v>6162</v>
      </c>
      <c r="J1838" s="32">
        <v>6199</v>
      </c>
      <c r="K1838" s="32">
        <f>2332+2332+2243</f>
        <v>6907</v>
      </c>
      <c r="L1838" s="32">
        <v>0</v>
      </c>
      <c r="M1838" s="32">
        <v>0</v>
      </c>
      <c r="N1838" s="32">
        <v>0</v>
      </c>
      <c r="O1838" s="32">
        <v>0</v>
      </c>
      <c r="P1838" s="32">
        <v>0</v>
      </c>
      <c r="Q1838" s="46">
        <f t="shared" si="56"/>
        <v>13106</v>
      </c>
      <c r="R1838" s="69">
        <f t="shared" si="57"/>
        <v>11140.1</v>
      </c>
      <c r="S1838" s="30"/>
      <c r="T1838" s="30"/>
    </row>
    <row r="1839" spans="1:20" ht="45" customHeight="1" x14ac:dyDescent="0.3">
      <c r="A1839" s="31">
        <v>1827</v>
      </c>
      <c r="B1839" s="32" t="s">
        <v>5961</v>
      </c>
      <c r="C1839" s="32" t="s">
        <v>6046</v>
      </c>
      <c r="D1839" s="32" t="s">
        <v>426</v>
      </c>
      <c r="E1839" s="32">
        <v>2024</v>
      </c>
      <c r="F1839" s="32" t="s">
        <v>18</v>
      </c>
      <c r="G1839" s="32" t="s">
        <v>492</v>
      </c>
      <c r="H1839" s="32" t="s">
        <v>529</v>
      </c>
      <c r="I1839" s="32" t="s">
        <v>577</v>
      </c>
      <c r="J1839" s="32">
        <v>6199</v>
      </c>
      <c r="K1839" s="32">
        <f>6278+4484</f>
        <v>10762</v>
      </c>
      <c r="L1839" s="32">
        <v>0</v>
      </c>
      <c r="M1839" s="32">
        <v>0</v>
      </c>
      <c r="N1839" s="32">
        <v>3148</v>
      </c>
      <c r="O1839" s="32">
        <v>0</v>
      </c>
      <c r="P1839" s="32">
        <v>0</v>
      </c>
      <c r="Q1839" s="46">
        <f t="shared" si="56"/>
        <v>20109</v>
      </c>
      <c r="R1839" s="69">
        <f t="shared" si="57"/>
        <v>17092.650000000001</v>
      </c>
      <c r="S1839" s="30"/>
      <c r="T1839" s="30"/>
    </row>
    <row r="1840" spans="1:20" ht="45" customHeight="1" x14ac:dyDescent="0.3">
      <c r="A1840" s="31">
        <v>1828</v>
      </c>
      <c r="B1840" s="32" t="s">
        <v>5961</v>
      </c>
      <c r="C1840" s="32" t="s">
        <v>6047</v>
      </c>
      <c r="D1840" s="32" t="s">
        <v>6048</v>
      </c>
      <c r="E1840" s="32">
        <v>1992</v>
      </c>
      <c r="F1840" s="32" t="s">
        <v>18</v>
      </c>
      <c r="G1840" s="32" t="s">
        <v>5706</v>
      </c>
      <c r="H1840" s="32" t="s">
        <v>5706</v>
      </c>
      <c r="I1840" s="32" t="s">
        <v>6163</v>
      </c>
      <c r="J1840" s="32">
        <v>6199</v>
      </c>
      <c r="K1840" s="32">
        <v>0</v>
      </c>
      <c r="L1840" s="32">
        <v>0</v>
      </c>
      <c r="M1840" s="32">
        <v>0</v>
      </c>
      <c r="N1840" s="32">
        <v>0</v>
      </c>
      <c r="O1840" s="32">
        <v>0</v>
      </c>
      <c r="P1840" s="32">
        <v>0</v>
      </c>
      <c r="Q1840" s="46">
        <f t="shared" si="56"/>
        <v>6199</v>
      </c>
      <c r="R1840" s="69">
        <f t="shared" si="57"/>
        <v>5269.15</v>
      </c>
      <c r="S1840" s="30"/>
      <c r="T1840" s="30"/>
    </row>
    <row r="1841" spans="1:20" ht="45" customHeight="1" x14ac:dyDescent="0.3">
      <c r="A1841" s="36">
        <v>1829</v>
      </c>
      <c r="B1841" s="32" t="s">
        <v>5961</v>
      </c>
      <c r="C1841" s="32" t="s">
        <v>6049</v>
      </c>
      <c r="D1841" s="32" t="s">
        <v>6050</v>
      </c>
      <c r="E1841" s="32">
        <v>2000</v>
      </c>
      <c r="F1841" s="32" t="s">
        <v>18</v>
      </c>
      <c r="G1841" s="32" t="s">
        <v>6106</v>
      </c>
      <c r="H1841" s="32" t="s">
        <v>6106</v>
      </c>
      <c r="I1841" s="32" t="s">
        <v>2141</v>
      </c>
      <c r="J1841" s="32">
        <v>6199</v>
      </c>
      <c r="K1841" s="32">
        <v>0</v>
      </c>
      <c r="L1841" s="32">
        <v>0</v>
      </c>
      <c r="M1841" s="32">
        <v>0</v>
      </c>
      <c r="N1841" s="32">
        <v>0</v>
      </c>
      <c r="O1841" s="32">
        <v>0</v>
      </c>
      <c r="P1841" s="32">
        <v>0</v>
      </c>
      <c r="Q1841" s="46">
        <f t="shared" si="56"/>
        <v>6199</v>
      </c>
      <c r="R1841" s="69">
        <f t="shared" si="57"/>
        <v>5269.15</v>
      </c>
      <c r="S1841" s="30"/>
      <c r="T1841" s="30"/>
    </row>
    <row r="1842" spans="1:20" ht="45" customHeight="1" x14ac:dyDescent="0.3">
      <c r="A1842" s="31">
        <v>1830</v>
      </c>
      <c r="B1842" s="32" t="s">
        <v>5961</v>
      </c>
      <c r="C1842" s="32" t="s">
        <v>6051</v>
      </c>
      <c r="D1842" s="32" t="s">
        <v>6052</v>
      </c>
      <c r="E1842" s="32">
        <v>1985</v>
      </c>
      <c r="F1842" s="32" t="s">
        <v>18</v>
      </c>
      <c r="G1842" s="32" t="s">
        <v>6107</v>
      </c>
      <c r="H1842" s="32" t="s">
        <v>6107</v>
      </c>
      <c r="I1842" s="32" t="s">
        <v>540</v>
      </c>
      <c r="J1842" s="32">
        <v>6199</v>
      </c>
      <c r="K1842" s="32">
        <f>2332+2332+2243</f>
        <v>6907</v>
      </c>
      <c r="L1842" s="32">
        <v>0</v>
      </c>
      <c r="M1842" s="32">
        <v>0</v>
      </c>
      <c r="N1842" s="32">
        <v>0</v>
      </c>
      <c r="O1842" s="32">
        <v>0</v>
      </c>
      <c r="P1842" s="32">
        <v>0</v>
      </c>
      <c r="Q1842" s="46">
        <f t="shared" si="56"/>
        <v>13106</v>
      </c>
      <c r="R1842" s="69">
        <f t="shared" si="57"/>
        <v>11140.1</v>
      </c>
      <c r="S1842" s="30"/>
      <c r="T1842" s="30"/>
    </row>
    <row r="1843" spans="1:20" ht="45" customHeight="1" x14ac:dyDescent="0.3">
      <c r="A1843" s="31">
        <v>1831</v>
      </c>
      <c r="B1843" s="32" t="s">
        <v>5961</v>
      </c>
      <c r="C1843" s="32" t="s">
        <v>6053</v>
      </c>
      <c r="D1843" s="32" t="s">
        <v>6054</v>
      </c>
      <c r="E1843" s="32">
        <v>2015</v>
      </c>
      <c r="F1843" s="32" t="s">
        <v>19</v>
      </c>
      <c r="G1843" s="32" t="s">
        <v>6108</v>
      </c>
      <c r="H1843" s="32" t="s">
        <v>6141</v>
      </c>
      <c r="I1843" s="32" t="s">
        <v>4207</v>
      </c>
      <c r="J1843" s="32">
        <v>6199</v>
      </c>
      <c r="K1843" s="32">
        <v>0</v>
      </c>
      <c r="L1843" s="32">
        <v>0</v>
      </c>
      <c r="M1843" s="32">
        <v>0</v>
      </c>
      <c r="N1843" s="32">
        <v>0</v>
      </c>
      <c r="O1843" s="32">
        <v>0</v>
      </c>
      <c r="P1843" s="32">
        <v>0</v>
      </c>
      <c r="Q1843" s="46">
        <f t="shared" si="56"/>
        <v>6199</v>
      </c>
      <c r="R1843" s="69">
        <f t="shared" si="57"/>
        <v>5269.15</v>
      </c>
      <c r="S1843" s="30"/>
      <c r="T1843" s="30"/>
    </row>
    <row r="1844" spans="1:20" ht="45" customHeight="1" x14ac:dyDescent="0.3">
      <c r="A1844" s="36">
        <v>1832</v>
      </c>
      <c r="B1844" s="32" t="s">
        <v>5961</v>
      </c>
      <c r="C1844" s="32" t="s">
        <v>6055</v>
      </c>
      <c r="D1844" s="32" t="s">
        <v>6056</v>
      </c>
      <c r="E1844" s="32">
        <v>1987</v>
      </c>
      <c r="F1844" s="32" t="s">
        <v>19</v>
      </c>
      <c r="G1844" s="32" t="s">
        <v>6109</v>
      </c>
      <c r="H1844" s="32" t="s">
        <v>6109</v>
      </c>
      <c r="I1844" s="32" t="s">
        <v>289</v>
      </c>
      <c r="J1844" s="32">
        <v>6199</v>
      </c>
      <c r="K1844" s="32">
        <f>2332+2332+2243+1346+6278+4484</f>
        <v>19015</v>
      </c>
      <c r="L1844" s="32">
        <v>0</v>
      </c>
      <c r="M1844" s="32">
        <v>0</v>
      </c>
      <c r="N1844" s="32">
        <v>1793</v>
      </c>
      <c r="O1844" s="32">
        <v>0</v>
      </c>
      <c r="P1844" s="32">
        <v>0</v>
      </c>
      <c r="Q1844" s="46">
        <f t="shared" si="56"/>
        <v>27007</v>
      </c>
      <c r="R1844" s="69">
        <f t="shared" si="57"/>
        <v>22955.95</v>
      </c>
      <c r="S1844" s="30"/>
      <c r="T1844" s="30"/>
    </row>
    <row r="1845" spans="1:20" ht="45" customHeight="1" x14ac:dyDescent="0.3">
      <c r="A1845" s="31">
        <v>1833</v>
      </c>
      <c r="B1845" s="32" t="s">
        <v>5961</v>
      </c>
      <c r="C1845" s="32" t="s">
        <v>6057</v>
      </c>
      <c r="D1845" s="32" t="s">
        <v>6058</v>
      </c>
      <c r="E1845" s="32">
        <v>1975</v>
      </c>
      <c r="F1845" s="32" t="s">
        <v>18</v>
      </c>
      <c r="G1845" s="32" t="s">
        <v>6110</v>
      </c>
      <c r="H1845" s="32" t="s">
        <v>6110</v>
      </c>
      <c r="I1845" s="32" t="s">
        <v>6164</v>
      </c>
      <c r="J1845" s="32">
        <v>6199</v>
      </c>
      <c r="K1845" s="32">
        <v>0</v>
      </c>
      <c r="L1845" s="32">
        <v>0</v>
      </c>
      <c r="M1845" s="32">
        <v>0</v>
      </c>
      <c r="N1845" s="32">
        <v>0</v>
      </c>
      <c r="O1845" s="32">
        <v>0</v>
      </c>
      <c r="P1845" s="32">
        <v>0</v>
      </c>
      <c r="Q1845" s="46">
        <f t="shared" si="56"/>
        <v>6199</v>
      </c>
      <c r="R1845" s="69">
        <f t="shared" si="57"/>
        <v>5269.15</v>
      </c>
      <c r="S1845" s="30"/>
      <c r="T1845" s="30"/>
    </row>
    <row r="1846" spans="1:20" ht="45" customHeight="1" x14ac:dyDescent="0.3">
      <c r="A1846" s="31">
        <v>1834</v>
      </c>
      <c r="B1846" s="32" t="s">
        <v>5961</v>
      </c>
      <c r="C1846" s="32" t="s">
        <v>6059</v>
      </c>
      <c r="D1846" s="32" t="s">
        <v>6060</v>
      </c>
      <c r="E1846" s="32">
        <v>2022</v>
      </c>
      <c r="F1846" s="32" t="s">
        <v>19</v>
      </c>
      <c r="G1846" s="32" t="s">
        <v>6111</v>
      </c>
      <c r="H1846" s="32" t="s">
        <v>6129</v>
      </c>
      <c r="I1846" s="32" t="s">
        <v>6154</v>
      </c>
      <c r="J1846" s="32">
        <v>6199</v>
      </c>
      <c r="K1846" s="32">
        <f>1346+6278+4484+4484</f>
        <v>16592</v>
      </c>
      <c r="L1846" s="32">
        <v>0</v>
      </c>
      <c r="M1846" s="32">
        <v>0</v>
      </c>
      <c r="N1846" s="32">
        <v>3148</v>
      </c>
      <c r="O1846" s="32">
        <v>0</v>
      </c>
      <c r="P1846" s="32">
        <v>0</v>
      </c>
      <c r="Q1846" s="46">
        <f t="shared" si="56"/>
        <v>25939</v>
      </c>
      <c r="R1846" s="69">
        <f t="shared" si="57"/>
        <v>22048.15</v>
      </c>
      <c r="S1846" s="30"/>
      <c r="T1846" s="30"/>
    </row>
    <row r="1847" spans="1:20" ht="45" customHeight="1" x14ac:dyDescent="0.3">
      <c r="A1847" s="36">
        <v>1835</v>
      </c>
      <c r="B1847" s="32" t="s">
        <v>5961</v>
      </c>
      <c r="C1847" s="32" t="s">
        <v>6061</v>
      </c>
      <c r="D1847" s="32" t="s">
        <v>6062</v>
      </c>
      <c r="E1847" s="32">
        <v>1986</v>
      </c>
      <c r="F1847" s="32" t="s">
        <v>19</v>
      </c>
      <c r="G1847" s="32" t="s">
        <v>6112</v>
      </c>
      <c r="H1847" s="32" t="s">
        <v>6112</v>
      </c>
      <c r="I1847" s="32" t="s">
        <v>1055</v>
      </c>
      <c r="J1847" s="32">
        <v>6199</v>
      </c>
      <c r="K1847" s="32">
        <f>1166+2801</f>
        <v>3967</v>
      </c>
      <c r="L1847" s="32">
        <v>0</v>
      </c>
      <c r="M1847" s="32">
        <v>0</v>
      </c>
      <c r="N1847" s="32">
        <v>0</v>
      </c>
      <c r="O1847" s="32">
        <v>0</v>
      </c>
      <c r="P1847" s="32">
        <v>0</v>
      </c>
      <c r="Q1847" s="46">
        <f t="shared" si="56"/>
        <v>10166</v>
      </c>
      <c r="R1847" s="69">
        <f t="shared" si="57"/>
        <v>8641.1</v>
      </c>
      <c r="S1847" s="30"/>
      <c r="T1847" s="30"/>
    </row>
    <row r="1848" spans="1:20" ht="45" customHeight="1" x14ac:dyDescent="0.3">
      <c r="A1848" s="31">
        <v>1836</v>
      </c>
      <c r="B1848" s="32" t="s">
        <v>5961</v>
      </c>
      <c r="C1848" s="32" t="s">
        <v>6063</v>
      </c>
      <c r="D1848" s="32" t="s">
        <v>5564</v>
      </c>
      <c r="E1848" s="32">
        <v>1982</v>
      </c>
      <c r="F1848" s="32" t="s">
        <v>19</v>
      </c>
      <c r="G1848" s="32" t="s">
        <v>5664</v>
      </c>
      <c r="H1848" s="32" t="s">
        <v>5664</v>
      </c>
      <c r="I1848" s="32" t="s">
        <v>1890</v>
      </c>
      <c r="J1848" s="32">
        <v>3793</v>
      </c>
      <c r="K1848" s="32">
        <v>0</v>
      </c>
      <c r="L1848" s="32">
        <v>0</v>
      </c>
      <c r="M1848" s="32">
        <v>0</v>
      </c>
      <c r="N1848" s="32">
        <v>0</v>
      </c>
      <c r="O1848" s="32">
        <v>0</v>
      </c>
      <c r="P1848" s="32">
        <v>0</v>
      </c>
      <c r="Q1848" s="46">
        <f t="shared" si="56"/>
        <v>3793</v>
      </c>
      <c r="R1848" s="69">
        <f t="shared" si="57"/>
        <v>3224.05</v>
      </c>
      <c r="S1848" s="30"/>
      <c r="T1848" s="30"/>
    </row>
    <row r="1849" spans="1:20" ht="45" customHeight="1" x14ac:dyDescent="0.3">
      <c r="A1849" s="31">
        <v>1837</v>
      </c>
      <c r="B1849" s="32" t="s">
        <v>5961</v>
      </c>
      <c r="C1849" s="32" t="s">
        <v>6064</v>
      </c>
      <c r="D1849" s="32" t="s">
        <v>6065</v>
      </c>
      <c r="E1849" s="32">
        <v>2024</v>
      </c>
      <c r="F1849" s="32" t="s">
        <v>19</v>
      </c>
      <c r="G1849" s="32" t="s">
        <v>6113</v>
      </c>
      <c r="H1849" s="32" t="s">
        <v>6142</v>
      </c>
      <c r="I1849" s="32" t="s">
        <v>2467</v>
      </c>
      <c r="J1849" s="32">
        <v>6199</v>
      </c>
      <c r="K1849" s="32">
        <f>1346+6278+4484</f>
        <v>12108</v>
      </c>
      <c r="L1849" s="32">
        <v>0</v>
      </c>
      <c r="M1849" s="32">
        <v>0</v>
      </c>
      <c r="N1849" s="32">
        <v>3148</v>
      </c>
      <c r="O1849" s="32">
        <v>0</v>
      </c>
      <c r="P1849" s="32">
        <v>0</v>
      </c>
      <c r="Q1849" s="46">
        <f t="shared" si="56"/>
        <v>21455</v>
      </c>
      <c r="R1849" s="69">
        <f t="shared" si="57"/>
        <v>18236.75</v>
      </c>
      <c r="S1849" s="30"/>
      <c r="T1849" s="30"/>
    </row>
    <row r="1850" spans="1:20" ht="45" customHeight="1" x14ac:dyDescent="0.3">
      <c r="A1850" s="36">
        <v>1838</v>
      </c>
      <c r="B1850" s="32" t="s">
        <v>5961</v>
      </c>
      <c r="C1850" s="32" t="s">
        <v>6066</v>
      </c>
      <c r="D1850" s="32" t="s">
        <v>6067</v>
      </c>
      <c r="E1850" s="32">
        <v>2022</v>
      </c>
      <c r="F1850" s="32" t="s">
        <v>18</v>
      </c>
      <c r="G1850" s="32" t="s">
        <v>6114</v>
      </c>
      <c r="H1850" s="32" t="s">
        <v>6143</v>
      </c>
      <c r="I1850" s="32" t="s">
        <v>3703</v>
      </c>
      <c r="J1850" s="32">
        <v>6199</v>
      </c>
      <c r="K1850" s="32">
        <f>1346+6278+4484+4484+2332+2332+2332+2332+2332+2332+6995+6995+2332+6995</f>
        <v>53901</v>
      </c>
      <c r="L1850" s="32">
        <v>0</v>
      </c>
      <c r="M1850" s="32">
        <v>0</v>
      </c>
      <c r="N1850" s="32">
        <v>3148</v>
      </c>
      <c r="O1850" s="32">
        <v>0</v>
      </c>
      <c r="P1850" s="32">
        <v>0</v>
      </c>
      <c r="Q1850" s="46">
        <f t="shared" si="56"/>
        <v>63248</v>
      </c>
      <c r="R1850" s="69">
        <f t="shared" si="57"/>
        <v>53760.800000000003</v>
      </c>
      <c r="S1850" s="30"/>
      <c r="T1850" s="30"/>
    </row>
    <row r="1851" spans="1:20" ht="45" customHeight="1" x14ac:dyDescent="0.3">
      <c r="A1851" s="31">
        <v>1839</v>
      </c>
      <c r="B1851" s="32" t="s">
        <v>5961</v>
      </c>
      <c r="C1851" s="32" t="s">
        <v>6068</v>
      </c>
      <c r="D1851" s="32" t="s">
        <v>2738</v>
      </c>
      <c r="E1851" s="32">
        <v>2020</v>
      </c>
      <c r="F1851" s="32" t="s">
        <v>18</v>
      </c>
      <c r="G1851" s="32" t="s">
        <v>6115</v>
      </c>
      <c r="H1851" s="32" t="s">
        <v>2836</v>
      </c>
      <c r="I1851" s="32" t="s">
        <v>1279</v>
      </c>
      <c r="J1851" s="32">
        <v>6199</v>
      </c>
      <c r="K1851" s="32">
        <f>1346+6278+4484</f>
        <v>12108</v>
      </c>
      <c r="L1851" s="32">
        <v>0</v>
      </c>
      <c r="M1851" s="32">
        <v>0</v>
      </c>
      <c r="N1851" s="32">
        <v>3148</v>
      </c>
      <c r="O1851" s="32">
        <v>0</v>
      </c>
      <c r="P1851" s="32">
        <v>0</v>
      </c>
      <c r="Q1851" s="46">
        <f t="shared" si="56"/>
        <v>21455</v>
      </c>
      <c r="R1851" s="69">
        <f t="shared" si="57"/>
        <v>18236.75</v>
      </c>
      <c r="S1851" s="30"/>
      <c r="T1851" s="30"/>
    </row>
    <row r="1852" spans="1:20" ht="45" customHeight="1" x14ac:dyDescent="0.3">
      <c r="A1852" s="31">
        <v>1840</v>
      </c>
      <c r="B1852" s="32" t="s">
        <v>5961</v>
      </c>
      <c r="C1852" s="32" t="s">
        <v>6069</v>
      </c>
      <c r="D1852" s="32" t="s">
        <v>6070</v>
      </c>
      <c r="E1852" s="32">
        <v>2016</v>
      </c>
      <c r="F1852" s="32" t="s">
        <v>19</v>
      </c>
      <c r="G1852" s="32" t="s">
        <v>6116</v>
      </c>
      <c r="H1852" s="32" t="s">
        <v>2834</v>
      </c>
      <c r="I1852" s="32" t="s">
        <v>1279</v>
      </c>
      <c r="J1852" s="32">
        <v>6199</v>
      </c>
      <c r="K1852" s="32">
        <f>1346+6278+4484</f>
        <v>12108</v>
      </c>
      <c r="L1852" s="32">
        <v>0</v>
      </c>
      <c r="M1852" s="32">
        <v>0</v>
      </c>
      <c r="N1852" s="32">
        <v>3148</v>
      </c>
      <c r="O1852" s="32">
        <v>0</v>
      </c>
      <c r="P1852" s="32">
        <v>0</v>
      </c>
      <c r="Q1852" s="46">
        <f t="shared" si="56"/>
        <v>21455</v>
      </c>
      <c r="R1852" s="69">
        <f t="shared" si="57"/>
        <v>18236.75</v>
      </c>
      <c r="S1852" s="30"/>
      <c r="T1852" s="30"/>
    </row>
    <row r="1853" spans="1:20" ht="45" customHeight="1" x14ac:dyDescent="0.3">
      <c r="A1853" s="36">
        <v>1841</v>
      </c>
      <c r="B1853" s="32" t="s">
        <v>5961</v>
      </c>
      <c r="C1853" s="32" t="s">
        <v>7289</v>
      </c>
      <c r="D1853" s="34" t="s">
        <v>6946</v>
      </c>
      <c r="E1853" s="32">
        <v>2016</v>
      </c>
      <c r="F1853" s="32" t="s">
        <v>19</v>
      </c>
      <c r="G1853" s="32" t="s">
        <v>6947</v>
      </c>
      <c r="H1853" s="32" t="s">
        <v>6828</v>
      </c>
      <c r="I1853" s="32" t="s">
        <v>1702</v>
      </c>
      <c r="J1853" s="32">
        <v>6199</v>
      </c>
      <c r="K1853" s="32">
        <f>1346+6278+4484+4484+1166+2332+2332+2332+2332+2332+2332+6995+6995+2332+6995</f>
        <v>55067</v>
      </c>
      <c r="L1853" s="32">
        <v>0</v>
      </c>
      <c r="M1853" s="32">
        <v>0</v>
      </c>
      <c r="N1853" s="32">
        <f>3148+4053+1178+2088</f>
        <v>10467</v>
      </c>
      <c r="O1853" s="32">
        <v>0</v>
      </c>
      <c r="P1853" s="32">
        <f>720+1080+120+360+56+396</f>
        <v>2732</v>
      </c>
      <c r="Q1853" s="46">
        <f t="shared" si="56"/>
        <v>74465</v>
      </c>
      <c r="R1853" s="69">
        <f t="shared" si="57"/>
        <v>63295.25</v>
      </c>
      <c r="S1853" s="30"/>
      <c r="T1853" s="30"/>
    </row>
    <row r="1854" spans="1:20" ht="45" customHeight="1" x14ac:dyDescent="0.3">
      <c r="A1854" s="31">
        <v>1842</v>
      </c>
      <c r="B1854" s="32" t="s">
        <v>5961</v>
      </c>
      <c r="C1854" s="32" t="s">
        <v>7289</v>
      </c>
      <c r="D1854" s="34" t="s">
        <v>6946</v>
      </c>
      <c r="E1854" s="32">
        <v>2016</v>
      </c>
      <c r="F1854" s="32" t="s">
        <v>19</v>
      </c>
      <c r="G1854" s="32" t="s">
        <v>6947</v>
      </c>
      <c r="H1854" s="32" t="s">
        <v>6828</v>
      </c>
      <c r="I1854" s="32" t="s">
        <v>1702</v>
      </c>
      <c r="J1854" s="32">
        <v>0</v>
      </c>
      <c r="K1854" s="32">
        <v>0</v>
      </c>
      <c r="L1854" s="32">
        <v>0</v>
      </c>
      <c r="M1854" s="32">
        <v>17688</v>
      </c>
      <c r="N1854" s="32">
        <v>2088</v>
      </c>
      <c r="O1854" s="32">
        <v>0</v>
      </c>
      <c r="P1854" s="32">
        <f>360+56</f>
        <v>416</v>
      </c>
      <c r="Q1854" s="46">
        <f t="shared" si="56"/>
        <v>20192</v>
      </c>
      <c r="R1854" s="69">
        <f t="shared" si="57"/>
        <v>17163.2</v>
      </c>
      <c r="S1854" s="30"/>
      <c r="T1854" s="30"/>
    </row>
    <row r="1855" spans="1:20" ht="45" customHeight="1" x14ac:dyDescent="0.3">
      <c r="A1855" s="31">
        <v>1843</v>
      </c>
      <c r="B1855" s="32" t="s">
        <v>5961</v>
      </c>
      <c r="C1855" s="32" t="s">
        <v>7290</v>
      </c>
      <c r="D1855" s="34" t="s">
        <v>5420</v>
      </c>
      <c r="E1855" s="32">
        <v>2020</v>
      </c>
      <c r="F1855" s="32" t="s">
        <v>2635</v>
      </c>
      <c r="G1855" s="32" t="s">
        <v>5596</v>
      </c>
      <c r="H1855" s="32" t="s">
        <v>6367</v>
      </c>
      <c r="I1855" s="32" t="s">
        <v>7285</v>
      </c>
      <c r="J1855" s="32">
        <v>3793</v>
      </c>
      <c r="K1855" s="32">
        <f>1346+6278+2332+2332+2332+6995+6995+2332+6995+2332+2332+2332+1166</f>
        <v>46099</v>
      </c>
      <c r="L1855" s="32">
        <v>0</v>
      </c>
      <c r="M1855" s="32">
        <v>0</v>
      </c>
      <c r="N1855" s="32">
        <f>3148+4053+1178</f>
        <v>8379</v>
      </c>
      <c r="O1855" s="32">
        <v>0</v>
      </c>
      <c r="P1855" s="32">
        <f>720+1080+120+396</f>
        <v>2316</v>
      </c>
      <c r="Q1855" s="46">
        <f t="shared" si="56"/>
        <v>60587</v>
      </c>
      <c r="R1855" s="69">
        <f t="shared" si="57"/>
        <v>51498.95</v>
      </c>
      <c r="S1855" s="30"/>
      <c r="T1855" s="30"/>
    </row>
    <row r="1856" spans="1:20" ht="45" customHeight="1" x14ac:dyDescent="0.3">
      <c r="A1856" s="36">
        <v>1844</v>
      </c>
      <c r="B1856" s="32" t="s">
        <v>5961</v>
      </c>
      <c r="C1856" s="32" t="s">
        <v>7290</v>
      </c>
      <c r="D1856" s="34" t="s">
        <v>5420</v>
      </c>
      <c r="E1856" s="32">
        <v>2020</v>
      </c>
      <c r="F1856" s="32" t="s">
        <v>19</v>
      </c>
      <c r="G1856" s="32" t="s">
        <v>5596</v>
      </c>
      <c r="H1856" s="32" t="s">
        <v>6367</v>
      </c>
      <c r="I1856" s="32" t="s">
        <v>7285</v>
      </c>
      <c r="J1856" s="32">
        <v>0</v>
      </c>
      <c r="K1856" s="32">
        <v>0</v>
      </c>
      <c r="L1856" s="32">
        <v>0</v>
      </c>
      <c r="M1856" s="32">
        <v>17688</v>
      </c>
      <c r="N1856" s="32">
        <v>2088</v>
      </c>
      <c r="O1856" s="32">
        <v>0</v>
      </c>
      <c r="P1856" s="32">
        <f>360+56</f>
        <v>416</v>
      </c>
      <c r="Q1856" s="46">
        <f t="shared" si="56"/>
        <v>20192</v>
      </c>
      <c r="R1856" s="69">
        <f t="shared" si="57"/>
        <v>17163.2</v>
      </c>
      <c r="S1856" s="30"/>
      <c r="T1856" s="30"/>
    </row>
    <row r="1857" spans="1:20" ht="45" customHeight="1" x14ac:dyDescent="0.3">
      <c r="A1857" s="31">
        <v>1845</v>
      </c>
      <c r="B1857" s="32" t="s">
        <v>5961</v>
      </c>
      <c r="C1857" s="32" t="s">
        <v>7291</v>
      </c>
      <c r="D1857" s="34" t="s">
        <v>7286</v>
      </c>
      <c r="E1857" s="32">
        <v>1967</v>
      </c>
      <c r="F1857" s="32" t="s">
        <v>18</v>
      </c>
      <c r="G1857" s="32" t="s">
        <v>7287</v>
      </c>
      <c r="H1857" s="32" t="s">
        <v>7287</v>
      </c>
      <c r="I1857" s="32" t="s">
        <v>7288</v>
      </c>
      <c r="J1857" s="32">
        <v>6199</v>
      </c>
      <c r="K1857" s="32">
        <f>6278+1346+4484+6995+3000+2332+2332+2332+3000+3000+3228+2332+2332+2332+1346+1346+2332+2332+1166+2801</f>
        <v>56646</v>
      </c>
      <c r="L1857" s="32">
        <v>20807</v>
      </c>
      <c r="M1857" s="32">
        <v>0</v>
      </c>
      <c r="N1857" s="32">
        <f>1178+3179+1793+1681</f>
        <v>7831</v>
      </c>
      <c r="O1857" s="32">
        <v>0</v>
      </c>
      <c r="P1857" s="32">
        <f>720+720+144+120+660+312+56+396+360</f>
        <v>3488</v>
      </c>
      <c r="Q1857" s="46">
        <f t="shared" si="56"/>
        <v>94971</v>
      </c>
      <c r="R1857" s="69">
        <f t="shared" si="57"/>
        <v>80725.350000000006</v>
      </c>
      <c r="S1857" s="30"/>
      <c r="T1857" s="30"/>
    </row>
    <row r="1858" spans="1:20" ht="45" customHeight="1" x14ac:dyDescent="0.3">
      <c r="A1858" s="31">
        <v>1846</v>
      </c>
      <c r="B1858" s="32" t="s">
        <v>5961</v>
      </c>
      <c r="C1858" s="32" t="s">
        <v>7291</v>
      </c>
      <c r="D1858" s="34" t="s">
        <v>7286</v>
      </c>
      <c r="E1858" s="32">
        <v>1967</v>
      </c>
      <c r="F1858" s="32" t="s">
        <v>18</v>
      </c>
      <c r="G1858" s="32" t="s">
        <v>7287</v>
      </c>
      <c r="H1858" s="32" t="s">
        <v>7287</v>
      </c>
      <c r="I1858" s="32" t="s">
        <v>7288</v>
      </c>
      <c r="J1858" s="32">
        <v>0</v>
      </c>
      <c r="K1858" s="32">
        <v>0</v>
      </c>
      <c r="L1858" s="32">
        <v>0</v>
      </c>
      <c r="M1858" s="32">
        <v>17688</v>
      </c>
      <c r="N1858" s="32">
        <v>1681</v>
      </c>
      <c r="O1858" s="32">
        <v>0</v>
      </c>
      <c r="P1858" s="32">
        <f>312+56+60</f>
        <v>428</v>
      </c>
      <c r="Q1858" s="46">
        <f t="shared" si="56"/>
        <v>19797</v>
      </c>
      <c r="R1858" s="69">
        <f t="shared" si="57"/>
        <v>16827.45</v>
      </c>
      <c r="S1858" s="30"/>
      <c r="T1858" s="30"/>
    </row>
    <row r="1859" spans="1:20" ht="45" customHeight="1" x14ac:dyDescent="0.3">
      <c r="A1859" s="36">
        <v>1847</v>
      </c>
      <c r="B1859" s="32" t="s">
        <v>5961</v>
      </c>
      <c r="C1859" s="32" t="s">
        <v>7292</v>
      </c>
      <c r="D1859" s="34" t="s">
        <v>7174</v>
      </c>
      <c r="E1859" s="32">
        <v>2023</v>
      </c>
      <c r="F1859" s="32" t="s">
        <v>19</v>
      </c>
      <c r="G1859" s="32" t="s">
        <v>7175</v>
      </c>
      <c r="H1859" s="32" t="s">
        <v>6828</v>
      </c>
      <c r="I1859" s="32" t="s">
        <v>1702</v>
      </c>
      <c r="J1859" s="32">
        <v>6199</v>
      </c>
      <c r="K1859" s="32">
        <f>1346+6278+4484+4484+1166+2332+2332+2332+6995+6995+2332+6995+2332+2332+2332</f>
        <v>55067</v>
      </c>
      <c r="L1859" s="32">
        <v>0</v>
      </c>
      <c r="M1859" s="32">
        <v>0</v>
      </c>
      <c r="N1859" s="32">
        <f>3148+1178+4053+2088</f>
        <v>10467</v>
      </c>
      <c r="O1859" s="32">
        <v>0</v>
      </c>
      <c r="P1859" s="32">
        <f>720+1080+120+360+56+396</f>
        <v>2732</v>
      </c>
      <c r="Q1859" s="46">
        <f t="shared" si="56"/>
        <v>74465</v>
      </c>
      <c r="R1859" s="69">
        <f t="shared" si="57"/>
        <v>63295.25</v>
      </c>
      <c r="S1859" s="30"/>
      <c r="T1859" s="30"/>
    </row>
    <row r="1860" spans="1:20" ht="45" customHeight="1" x14ac:dyDescent="0.3">
      <c r="A1860" s="31">
        <v>1848</v>
      </c>
      <c r="B1860" s="32" t="s">
        <v>5961</v>
      </c>
      <c r="C1860" s="32" t="s">
        <v>7292</v>
      </c>
      <c r="D1860" s="34" t="s">
        <v>7174</v>
      </c>
      <c r="E1860" s="32">
        <v>2023</v>
      </c>
      <c r="F1860" s="32" t="s">
        <v>19</v>
      </c>
      <c r="G1860" s="32" t="s">
        <v>7175</v>
      </c>
      <c r="H1860" s="32" t="s">
        <v>6828</v>
      </c>
      <c r="I1860" s="32" t="s">
        <v>1702</v>
      </c>
      <c r="J1860" s="32">
        <v>0</v>
      </c>
      <c r="K1860" s="32">
        <v>0</v>
      </c>
      <c r="L1860" s="32">
        <v>0</v>
      </c>
      <c r="M1860" s="32">
        <v>17688</v>
      </c>
      <c r="N1860" s="32">
        <v>2088</v>
      </c>
      <c r="O1860" s="32">
        <v>0</v>
      </c>
      <c r="P1860" s="32">
        <f>360+56</f>
        <v>416</v>
      </c>
      <c r="Q1860" s="46">
        <f t="shared" si="56"/>
        <v>20192</v>
      </c>
      <c r="R1860" s="69">
        <f t="shared" si="57"/>
        <v>17163.2</v>
      </c>
      <c r="S1860" s="30"/>
      <c r="T1860" s="30"/>
    </row>
    <row r="1861" spans="1:20" ht="45" customHeight="1" x14ac:dyDescent="0.3">
      <c r="A1861" s="31">
        <v>1849</v>
      </c>
      <c r="B1861" s="32" t="s">
        <v>5961</v>
      </c>
      <c r="C1861" s="32" t="s">
        <v>7293</v>
      </c>
      <c r="D1861" s="34" t="s">
        <v>5769</v>
      </c>
      <c r="E1861" s="32">
        <v>2022</v>
      </c>
      <c r="F1861" s="32" t="s">
        <v>18</v>
      </c>
      <c r="G1861" s="32" t="s">
        <v>5861</v>
      </c>
      <c r="H1861" s="32" t="s">
        <v>5909</v>
      </c>
      <c r="I1861" s="32" t="s">
        <v>1267</v>
      </c>
      <c r="J1861" s="32">
        <v>2900</v>
      </c>
      <c r="K1861" s="32">
        <v>0</v>
      </c>
      <c r="L1861" s="32">
        <v>0</v>
      </c>
      <c r="M1861" s="32">
        <v>0</v>
      </c>
      <c r="N1861" s="32">
        <v>2088</v>
      </c>
      <c r="O1861" s="32">
        <v>0</v>
      </c>
      <c r="P1861" s="32">
        <f>360+56</f>
        <v>416</v>
      </c>
      <c r="Q1861" s="46">
        <f t="shared" si="56"/>
        <v>5404</v>
      </c>
      <c r="R1861" s="69">
        <f t="shared" si="57"/>
        <v>4593.3999999999996</v>
      </c>
      <c r="S1861" s="30"/>
      <c r="T1861" s="30"/>
    </row>
    <row r="1862" spans="1:20" ht="45" customHeight="1" x14ac:dyDescent="0.3">
      <c r="A1862" s="36">
        <v>1850</v>
      </c>
      <c r="B1862" s="32" t="s">
        <v>5961</v>
      </c>
      <c r="C1862" s="32" t="s">
        <v>7294</v>
      </c>
      <c r="D1862" s="34" t="s">
        <v>6942</v>
      </c>
      <c r="E1862" s="32">
        <v>2024</v>
      </c>
      <c r="F1862" s="32" t="s">
        <v>18</v>
      </c>
      <c r="G1862" s="32" t="s">
        <v>6944</v>
      </c>
      <c r="H1862" s="32" t="s">
        <v>3466</v>
      </c>
      <c r="I1862" s="32" t="s">
        <v>4208</v>
      </c>
      <c r="J1862" s="32">
        <v>2900</v>
      </c>
      <c r="K1862" s="32">
        <v>0</v>
      </c>
      <c r="L1862" s="32">
        <v>0</v>
      </c>
      <c r="M1862" s="32">
        <v>17688</v>
      </c>
      <c r="N1862" s="32">
        <f>2088+1178</f>
        <v>3266</v>
      </c>
      <c r="O1862" s="32">
        <v>0</v>
      </c>
      <c r="P1862" s="32">
        <f>1080+168+720+1080+374</f>
        <v>3422</v>
      </c>
      <c r="Q1862" s="46">
        <f t="shared" si="56"/>
        <v>27276</v>
      </c>
      <c r="R1862" s="69">
        <f t="shared" si="57"/>
        <v>23184.6</v>
      </c>
      <c r="S1862" s="30"/>
      <c r="T1862" s="30"/>
    </row>
    <row r="1863" spans="1:20" ht="45" customHeight="1" x14ac:dyDescent="0.3">
      <c r="A1863" s="31">
        <v>1851</v>
      </c>
      <c r="B1863" s="32" t="s">
        <v>5961</v>
      </c>
      <c r="C1863" s="32" t="s">
        <v>7295</v>
      </c>
      <c r="D1863" s="34" t="s">
        <v>5457</v>
      </c>
      <c r="E1863" s="32">
        <v>2022</v>
      </c>
      <c r="F1863" s="32" t="s">
        <v>18</v>
      </c>
      <c r="G1863" s="32" t="s">
        <v>5614</v>
      </c>
      <c r="H1863" s="32" t="s">
        <v>5693</v>
      </c>
      <c r="I1863" s="32" t="s">
        <v>5737</v>
      </c>
      <c r="J1863" s="32">
        <v>2900</v>
      </c>
      <c r="K1863" s="32">
        <v>0</v>
      </c>
      <c r="L1863" s="32">
        <v>0</v>
      </c>
      <c r="M1863" s="32">
        <v>0</v>
      </c>
      <c r="N1863" s="32">
        <v>2088</v>
      </c>
      <c r="O1863" s="32">
        <v>0</v>
      </c>
      <c r="P1863" s="32">
        <f>360+56</f>
        <v>416</v>
      </c>
      <c r="Q1863" s="46">
        <f t="shared" si="56"/>
        <v>5404</v>
      </c>
      <c r="R1863" s="69">
        <f t="shared" si="57"/>
        <v>4593.3999999999996</v>
      </c>
      <c r="S1863" s="30"/>
      <c r="T1863" s="30"/>
    </row>
    <row r="1864" spans="1:20" ht="45" customHeight="1" x14ac:dyDescent="0.3">
      <c r="A1864" s="31">
        <v>1852</v>
      </c>
      <c r="B1864" s="32" t="s">
        <v>5961</v>
      </c>
      <c r="C1864" s="32" t="s">
        <v>7296</v>
      </c>
      <c r="D1864" s="34" t="s">
        <v>5808</v>
      </c>
      <c r="E1864" s="32">
        <v>2023</v>
      </c>
      <c r="F1864" s="32" t="s">
        <v>19</v>
      </c>
      <c r="G1864" s="32" t="s">
        <v>5879</v>
      </c>
      <c r="H1864" s="32" t="s">
        <v>5923</v>
      </c>
      <c r="I1864" s="32" t="s">
        <v>5951</v>
      </c>
      <c r="J1864" s="32">
        <v>2900</v>
      </c>
      <c r="K1864" s="32">
        <v>0</v>
      </c>
      <c r="L1864" s="32">
        <v>0</v>
      </c>
      <c r="M1864" s="32">
        <v>0</v>
      </c>
      <c r="N1864" s="32">
        <v>2088</v>
      </c>
      <c r="O1864" s="32">
        <v>0</v>
      </c>
      <c r="P1864" s="32">
        <f>360+56</f>
        <v>416</v>
      </c>
      <c r="Q1864" s="46">
        <f t="shared" si="56"/>
        <v>5404</v>
      </c>
      <c r="R1864" s="69">
        <f t="shared" si="57"/>
        <v>4593.3999999999996</v>
      </c>
      <c r="S1864" s="30"/>
      <c r="T1864" s="30"/>
    </row>
    <row r="1865" spans="1:20" ht="45" customHeight="1" x14ac:dyDescent="0.3">
      <c r="A1865" s="36">
        <v>1853</v>
      </c>
      <c r="B1865" s="32" t="s">
        <v>5961</v>
      </c>
      <c r="C1865" s="32" t="s">
        <v>7297</v>
      </c>
      <c r="D1865" s="34" t="s">
        <v>5835</v>
      </c>
      <c r="E1865" s="32">
        <v>2018</v>
      </c>
      <c r="F1865" s="32" t="s">
        <v>19</v>
      </c>
      <c r="G1865" s="32" t="s">
        <v>5890</v>
      </c>
      <c r="H1865" s="32" t="s">
        <v>5930</v>
      </c>
      <c r="I1865" s="32" t="s">
        <v>3678</v>
      </c>
      <c r="J1865" s="32">
        <v>2900</v>
      </c>
      <c r="K1865" s="32">
        <v>0</v>
      </c>
      <c r="L1865" s="32">
        <v>0</v>
      </c>
      <c r="M1865" s="32">
        <v>0</v>
      </c>
      <c r="N1865" s="32">
        <v>2088</v>
      </c>
      <c r="O1865" s="32">
        <v>0</v>
      </c>
      <c r="P1865" s="32">
        <f>360+56</f>
        <v>416</v>
      </c>
      <c r="Q1865" s="46">
        <f t="shared" si="56"/>
        <v>5404</v>
      </c>
      <c r="R1865" s="69">
        <f t="shared" si="57"/>
        <v>4593.3999999999996</v>
      </c>
      <c r="S1865" s="30"/>
      <c r="T1865" s="30"/>
    </row>
    <row r="1866" spans="1:20" ht="45" customHeight="1" x14ac:dyDescent="0.3">
      <c r="A1866" s="31">
        <v>1854</v>
      </c>
      <c r="B1866" s="32" t="s">
        <v>5961</v>
      </c>
      <c r="C1866" s="32" t="s">
        <v>7298</v>
      </c>
      <c r="D1866" s="34" t="s">
        <v>5552</v>
      </c>
      <c r="E1866" s="32">
        <v>2023</v>
      </c>
      <c r="F1866" s="32" t="s">
        <v>18</v>
      </c>
      <c r="G1866" s="32" t="s">
        <v>5659</v>
      </c>
      <c r="H1866" s="32" t="s">
        <v>5717</v>
      </c>
      <c r="I1866" s="32" t="s">
        <v>1890</v>
      </c>
      <c r="J1866" s="32">
        <v>2900</v>
      </c>
      <c r="K1866" s="32">
        <v>0</v>
      </c>
      <c r="L1866" s="32">
        <v>0</v>
      </c>
      <c r="M1866" s="32">
        <v>17688</v>
      </c>
      <c r="N1866" s="32">
        <v>2088</v>
      </c>
      <c r="O1866" s="32">
        <v>0</v>
      </c>
      <c r="P1866" s="32">
        <f>1080+168</f>
        <v>1248</v>
      </c>
      <c r="Q1866" s="46">
        <f t="shared" si="56"/>
        <v>23924</v>
      </c>
      <c r="R1866" s="69">
        <f t="shared" si="57"/>
        <v>20335.400000000001</v>
      </c>
      <c r="S1866" s="30"/>
      <c r="T1866" s="30"/>
    </row>
    <row r="1867" spans="1:20" ht="45" customHeight="1" x14ac:dyDescent="0.3">
      <c r="A1867" s="31">
        <v>1855</v>
      </c>
      <c r="B1867" s="32" t="s">
        <v>5961</v>
      </c>
      <c r="C1867" s="32" t="s">
        <v>7299</v>
      </c>
      <c r="D1867" s="34" t="s">
        <v>5786</v>
      </c>
      <c r="E1867" s="32">
        <v>2023</v>
      </c>
      <c r="F1867" s="32" t="s">
        <v>18</v>
      </c>
      <c r="G1867" s="32" t="s">
        <v>5869</v>
      </c>
      <c r="H1867" s="32" t="s">
        <v>5915</v>
      </c>
      <c r="I1867" s="32" t="s">
        <v>290</v>
      </c>
      <c r="J1867" s="32">
        <v>2900</v>
      </c>
      <c r="K1867" s="32">
        <v>0</v>
      </c>
      <c r="L1867" s="32">
        <v>0</v>
      </c>
      <c r="M1867" s="32">
        <v>0</v>
      </c>
      <c r="N1867" s="32">
        <v>2088</v>
      </c>
      <c r="O1867" s="32">
        <v>0</v>
      </c>
      <c r="P1867" s="32">
        <f>168+720</f>
        <v>888</v>
      </c>
      <c r="Q1867" s="46">
        <f t="shared" si="56"/>
        <v>5876</v>
      </c>
      <c r="R1867" s="69">
        <f t="shared" si="57"/>
        <v>4994.6000000000004</v>
      </c>
      <c r="S1867" s="30"/>
      <c r="T1867" s="30"/>
    </row>
    <row r="1868" spans="1:20" ht="45" customHeight="1" x14ac:dyDescent="0.3">
      <c r="A1868" s="36">
        <v>1856</v>
      </c>
      <c r="B1868" s="32" t="s">
        <v>5961</v>
      </c>
      <c r="C1868" s="32" t="s">
        <v>7300</v>
      </c>
      <c r="D1868" s="34" t="s">
        <v>5437</v>
      </c>
      <c r="E1868" s="32">
        <v>2022</v>
      </c>
      <c r="F1868" s="32" t="s">
        <v>18</v>
      </c>
      <c r="G1868" s="32" t="s">
        <v>5604</v>
      </c>
      <c r="H1868" s="32" t="s">
        <v>5686</v>
      </c>
      <c r="I1868" s="32" t="s">
        <v>5732</v>
      </c>
      <c r="J1868" s="32">
        <v>2900</v>
      </c>
      <c r="K1868" s="32">
        <v>0</v>
      </c>
      <c r="L1868" s="32">
        <v>0</v>
      </c>
      <c r="M1868" s="32">
        <v>0</v>
      </c>
      <c r="N1868" s="32">
        <v>2088</v>
      </c>
      <c r="O1868" s="32">
        <v>0</v>
      </c>
      <c r="P1868" s="32">
        <f>360+56</f>
        <v>416</v>
      </c>
      <c r="Q1868" s="46">
        <f t="shared" si="56"/>
        <v>5404</v>
      </c>
      <c r="R1868" s="69">
        <f t="shared" si="57"/>
        <v>4593.3999999999996</v>
      </c>
      <c r="S1868" s="30"/>
      <c r="T1868" s="30"/>
    </row>
    <row r="1869" spans="1:20" ht="45" customHeight="1" x14ac:dyDescent="0.3">
      <c r="A1869" s="31">
        <v>1857</v>
      </c>
      <c r="B1869" s="32" t="s">
        <v>5961</v>
      </c>
      <c r="C1869" s="32" t="s">
        <v>7301</v>
      </c>
      <c r="D1869" s="34" t="s">
        <v>5839</v>
      </c>
      <c r="E1869" s="32">
        <v>2020</v>
      </c>
      <c r="F1869" s="32" t="s">
        <v>19</v>
      </c>
      <c r="G1869" s="32" t="s">
        <v>5892</v>
      </c>
      <c r="H1869" s="32" t="s">
        <v>5932</v>
      </c>
      <c r="I1869" s="32" t="s">
        <v>5956</v>
      </c>
      <c r="J1869" s="32">
        <v>2900</v>
      </c>
      <c r="K1869" s="32">
        <v>0</v>
      </c>
      <c r="L1869" s="32">
        <v>0</v>
      </c>
      <c r="M1869" s="32">
        <v>0</v>
      </c>
      <c r="N1869" s="32">
        <v>2088</v>
      </c>
      <c r="O1869" s="32">
        <v>0</v>
      </c>
      <c r="P1869" s="32">
        <f>360+56</f>
        <v>416</v>
      </c>
      <c r="Q1869" s="46">
        <f t="shared" ref="Q1869:Q1932" si="58">SUM(J1869:P1869)</f>
        <v>5404</v>
      </c>
      <c r="R1869" s="69">
        <f t="shared" si="57"/>
        <v>4593.3999999999996</v>
      </c>
      <c r="S1869" s="30"/>
      <c r="T1869" s="30"/>
    </row>
    <row r="1870" spans="1:20" ht="45" customHeight="1" x14ac:dyDescent="0.3">
      <c r="A1870" s="31">
        <v>1858</v>
      </c>
      <c r="B1870" s="32" t="s">
        <v>6165</v>
      </c>
      <c r="C1870" s="32" t="s">
        <v>6166</v>
      </c>
      <c r="D1870" s="32" t="s">
        <v>6167</v>
      </c>
      <c r="E1870" s="32">
        <v>1996</v>
      </c>
      <c r="F1870" s="32" t="s">
        <v>19</v>
      </c>
      <c r="G1870" s="32" t="s">
        <v>6289</v>
      </c>
      <c r="H1870" s="32" t="s">
        <v>6289</v>
      </c>
      <c r="I1870" s="32" t="s">
        <v>1890</v>
      </c>
      <c r="J1870" s="32">
        <v>6199</v>
      </c>
      <c r="K1870" s="32">
        <f>6278+4484+2332+1346+2332+2332+2332+2332+6995+2332+6995+6995+2332+6995+6995+3000+3000</f>
        <v>69407</v>
      </c>
      <c r="L1870" s="32">
        <v>0</v>
      </c>
      <c r="M1870" s="32">
        <v>0</v>
      </c>
      <c r="N1870" s="32">
        <v>1793</v>
      </c>
      <c r="O1870" s="32">
        <v>0</v>
      </c>
      <c r="P1870" s="32">
        <v>0</v>
      </c>
      <c r="Q1870" s="46">
        <f t="shared" si="58"/>
        <v>77399</v>
      </c>
      <c r="R1870" s="69">
        <f t="shared" ref="R1870:R1933" si="59">Q1870*85/100</f>
        <v>65789.149999999994</v>
      </c>
      <c r="S1870" s="30"/>
      <c r="T1870" s="30"/>
    </row>
    <row r="1871" spans="1:20" ht="45" customHeight="1" x14ac:dyDescent="0.3">
      <c r="A1871" s="36">
        <v>1859</v>
      </c>
      <c r="B1871" s="32" t="s">
        <v>6165</v>
      </c>
      <c r="C1871" s="32" t="s">
        <v>6168</v>
      </c>
      <c r="D1871" s="32" t="s">
        <v>6169</v>
      </c>
      <c r="E1871" s="32">
        <v>2019</v>
      </c>
      <c r="F1871" s="32" t="s">
        <v>19</v>
      </c>
      <c r="G1871" s="32" t="s">
        <v>6290</v>
      </c>
      <c r="H1871" s="32" t="s">
        <v>6343</v>
      </c>
      <c r="I1871" s="32" t="s">
        <v>1267</v>
      </c>
      <c r="J1871" s="32">
        <v>6199</v>
      </c>
      <c r="K1871" s="32">
        <f>1166+2801+6278+4484+2332+1346+2332+2332+2332+2332+6995+6995+2332+6995+2332+4484</f>
        <v>57868</v>
      </c>
      <c r="L1871" s="32">
        <v>0</v>
      </c>
      <c r="M1871" s="32">
        <v>0</v>
      </c>
      <c r="N1871" s="32">
        <v>3148</v>
      </c>
      <c r="O1871" s="32">
        <v>0</v>
      </c>
      <c r="P1871" s="32">
        <v>0</v>
      </c>
      <c r="Q1871" s="46">
        <f t="shared" si="58"/>
        <v>67215</v>
      </c>
      <c r="R1871" s="69">
        <f t="shared" si="59"/>
        <v>57132.75</v>
      </c>
      <c r="S1871" s="30"/>
      <c r="T1871" s="30"/>
    </row>
    <row r="1872" spans="1:20" ht="45" customHeight="1" x14ac:dyDescent="0.3">
      <c r="A1872" s="31">
        <v>1860</v>
      </c>
      <c r="B1872" s="32" t="s">
        <v>6165</v>
      </c>
      <c r="C1872" s="32" t="s">
        <v>6170</v>
      </c>
      <c r="D1872" s="32" t="s">
        <v>6171</v>
      </c>
      <c r="E1872" s="32">
        <v>2023</v>
      </c>
      <c r="F1872" s="32" t="s">
        <v>19</v>
      </c>
      <c r="G1872" s="32" t="s">
        <v>6291</v>
      </c>
      <c r="H1872" s="32" t="s">
        <v>6344</v>
      </c>
      <c r="I1872" s="32" t="s">
        <v>249</v>
      </c>
      <c r="J1872" s="32">
        <v>6199</v>
      </c>
      <c r="K1872" s="32">
        <f>6278+4484+1346+2332+2332+2332+2332+2332+6995+6995+6995+2332+4484+2332+1166</f>
        <v>55067</v>
      </c>
      <c r="L1872" s="32">
        <v>0</v>
      </c>
      <c r="M1872" s="32">
        <v>0</v>
      </c>
      <c r="N1872" s="32">
        <v>3148</v>
      </c>
      <c r="O1872" s="32">
        <v>0</v>
      </c>
      <c r="P1872" s="32">
        <v>0</v>
      </c>
      <c r="Q1872" s="46">
        <f t="shared" si="58"/>
        <v>64414</v>
      </c>
      <c r="R1872" s="69">
        <f t="shared" si="59"/>
        <v>54751.9</v>
      </c>
      <c r="S1872" s="30"/>
      <c r="T1872" s="30"/>
    </row>
    <row r="1873" spans="1:20" ht="45" customHeight="1" x14ac:dyDescent="0.3">
      <c r="A1873" s="31">
        <v>1861</v>
      </c>
      <c r="B1873" s="32" t="s">
        <v>6165</v>
      </c>
      <c r="C1873" s="32" t="s">
        <v>6172</v>
      </c>
      <c r="D1873" s="32" t="s">
        <v>6173</v>
      </c>
      <c r="E1873" s="32">
        <v>1994</v>
      </c>
      <c r="F1873" s="32" t="s">
        <v>19</v>
      </c>
      <c r="G1873" s="32" t="s">
        <v>6292</v>
      </c>
      <c r="H1873" s="32" t="s">
        <v>6345</v>
      </c>
      <c r="I1873" s="32" t="s">
        <v>277</v>
      </c>
      <c r="J1873" s="32">
        <v>6199</v>
      </c>
      <c r="K1873" s="32">
        <v>0</v>
      </c>
      <c r="L1873" s="32">
        <v>17279</v>
      </c>
      <c r="M1873" s="32">
        <v>0</v>
      </c>
      <c r="N1873" s="32">
        <v>19725</v>
      </c>
      <c r="O1873" s="32">
        <v>0</v>
      </c>
      <c r="P1873" s="32">
        <v>0</v>
      </c>
      <c r="Q1873" s="46">
        <f t="shared" si="58"/>
        <v>43203</v>
      </c>
      <c r="R1873" s="69">
        <f t="shared" si="59"/>
        <v>36722.550000000003</v>
      </c>
      <c r="S1873" s="30"/>
      <c r="T1873" s="30"/>
    </row>
    <row r="1874" spans="1:20" ht="45" customHeight="1" x14ac:dyDescent="0.3">
      <c r="A1874" s="36">
        <v>1862</v>
      </c>
      <c r="B1874" s="32" t="s">
        <v>6165</v>
      </c>
      <c r="C1874" s="32" t="s">
        <v>6174</v>
      </c>
      <c r="D1874" s="32" t="s">
        <v>6175</v>
      </c>
      <c r="E1874" s="32">
        <v>2005</v>
      </c>
      <c r="F1874" s="32" t="s">
        <v>19</v>
      </c>
      <c r="G1874" s="32" t="s">
        <v>6293</v>
      </c>
      <c r="H1874" s="32" t="s">
        <v>6346</v>
      </c>
      <c r="I1874" s="32" t="s">
        <v>6373</v>
      </c>
      <c r="J1874" s="32">
        <v>6199</v>
      </c>
      <c r="K1874" s="32">
        <f>6278+4484+2332+2332+2332+3228</f>
        <v>20986</v>
      </c>
      <c r="L1874" s="32">
        <v>0</v>
      </c>
      <c r="M1874" s="32">
        <v>0</v>
      </c>
      <c r="N1874" s="32">
        <f>22781+1793</f>
        <v>24574</v>
      </c>
      <c r="O1874" s="32">
        <v>0</v>
      </c>
      <c r="P1874" s="32">
        <v>0</v>
      </c>
      <c r="Q1874" s="46">
        <f t="shared" si="58"/>
        <v>51759</v>
      </c>
      <c r="R1874" s="69">
        <f t="shared" si="59"/>
        <v>43995.15</v>
      </c>
      <c r="S1874" s="30"/>
      <c r="T1874" s="30"/>
    </row>
    <row r="1875" spans="1:20" ht="45" customHeight="1" x14ac:dyDescent="0.3">
      <c r="A1875" s="31">
        <v>1863</v>
      </c>
      <c r="B1875" s="32" t="s">
        <v>6165</v>
      </c>
      <c r="C1875" s="32" t="s">
        <v>6176</v>
      </c>
      <c r="D1875" s="32" t="s">
        <v>6177</v>
      </c>
      <c r="E1875" s="32">
        <v>2022</v>
      </c>
      <c r="F1875" s="32" t="s">
        <v>19</v>
      </c>
      <c r="G1875" s="32" t="s">
        <v>6294</v>
      </c>
      <c r="H1875" s="32" t="s">
        <v>6347</v>
      </c>
      <c r="I1875" s="32" t="s">
        <v>1279</v>
      </c>
      <c r="J1875" s="32">
        <v>6199</v>
      </c>
      <c r="K1875" s="32">
        <f>6278+1346+4484+4484+2332+2332+2332+2332+2332+2332+6995+6995+2332+6995</f>
        <v>53901</v>
      </c>
      <c r="L1875" s="32">
        <v>0</v>
      </c>
      <c r="M1875" s="32">
        <v>0</v>
      </c>
      <c r="N1875" s="32">
        <v>3148</v>
      </c>
      <c r="O1875" s="32">
        <v>0</v>
      </c>
      <c r="P1875" s="32">
        <v>0</v>
      </c>
      <c r="Q1875" s="46">
        <f t="shared" si="58"/>
        <v>63248</v>
      </c>
      <c r="R1875" s="69">
        <f t="shared" si="59"/>
        <v>53760.800000000003</v>
      </c>
      <c r="S1875" s="30"/>
      <c r="T1875" s="30"/>
    </row>
    <row r="1876" spans="1:20" ht="45" customHeight="1" x14ac:dyDescent="0.3">
      <c r="A1876" s="31">
        <v>1864</v>
      </c>
      <c r="B1876" s="32" t="s">
        <v>6165</v>
      </c>
      <c r="C1876" s="32" t="s">
        <v>6178</v>
      </c>
      <c r="D1876" s="32" t="s">
        <v>660</v>
      </c>
      <c r="E1876" s="32">
        <v>2012</v>
      </c>
      <c r="F1876" s="32" t="s">
        <v>19</v>
      </c>
      <c r="G1876" s="32" t="s">
        <v>757</v>
      </c>
      <c r="H1876" s="32" t="s">
        <v>807</v>
      </c>
      <c r="I1876" s="32" t="s">
        <v>20</v>
      </c>
      <c r="J1876" s="32">
        <v>6199</v>
      </c>
      <c r="K1876" s="32">
        <v>0</v>
      </c>
      <c r="L1876" s="32">
        <v>0</v>
      </c>
      <c r="M1876" s="32">
        <v>0</v>
      </c>
      <c r="N1876" s="32">
        <v>0</v>
      </c>
      <c r="O1876" s="32">
        <v>0</v>
      </c>
      <c r="P1876" s="32">
        <v>0</v>
      </c>
      <c r="Q1876" s="46">
        <f t="shared" si="58"/>
        <v>6199</v>
      </c>
      <c r="R1876" s="69">
        <f t="shared" si="59"/>
        <v>5269.15</v>
      </c>
      <c r="S1876" s="30"/>
      <c r="T1876" s="30"/>
    </row>
    <row r="1877" spans="1:20" ht="45" customHeight="1" x14ac:dyDescent="0.3">
      <c r="A1877" s="36">
        <v>1865</v>
      </c>
      <c r="B1877" s="32" t="s">
        <v>6165</v>
      </c>
      <c r="C1877" s="32" t="s">
        <v>6179</v>
      </c>
      <c r="D1877" s="32" t="s">
        <v>6180</v>
      </c>
      <c r="E1877" s="32">
        <v>1990</v>
      </c>
      <c r="F1877" s="32" t="s">
        <v>18</v>
      </c>
      <c r="G1877" s="32" t="s">
        <v>2097</v>
      </c>
      <c r="H1877" s="32" t="s">
        <v>2097</v>
      </c>
      <c r="I1877" s="32" t="s">
        <v>1069</v>
      </c>
      <c r="J1877" s="32">
        <v>6199</v>
      </c>
      <c r="K1877" s="32">
        <f>1346+6278+4484+2332+2332+2332</f>
        <v>19104</v>
      </c>
      <c r="L1877" s="32">
        <v>0</v>
      </c>
      <c r="M1877" s="32">
        <v>0</v>
      </c>
      <c r="N1877" s="32">
        <v>1793</v>
      </c>
      <c r="O1877" s="32">
        <v>0</v>
      </c>
      <c r="P1877" s="32">
        <v>0</v>
      </c>
      <c r="Q1877" s="46">
        <f t="shared" si="58"/>
        <v>27096</v>
      </c>
      <c r="R1877" s="69">
        <f t="shared" si="59"/>
        <v>23031.599999999999</v>
      </c>
      <c r="S1877" s="30"/>
      <c r="T1877" s="30"/>
    </row>
    <row r="1878" spans="1:20" ht="45" customHeight="1" x14ac:dyDescent="0.3">
      <c r="A1878" s="31">
        <v>1866</v>
      </c>
      <c r="B1878" s="32" t="s">
        <v>6165</v>
      </c>
      <c r="C1878" s="32" t="s">
        <v>6181</v>
      </c>
      <c r="D1878" s="32" t="s">
        <v>1765</v>
      </c>
      <c r="E1878" s="32">
        <v>2021</v>
      </c>
      <c r="F1878" s="32" t="s">
        <v>19</v>
      </c>
      <c r="G1878" s="32" t="s">
        <v>1829</v>
      </c>
      <c r="H1878" s="32" t="s">
        <v>1870</v>
      </c>
      <c r="I1878" s="32" t="s">
        <v>1050</v>
      </c>
      <c r="J1878" s="32">
        <v>6199</v>
      </c>
      <c r="K1878" s="32">
        <f>6278+4484+2332+1346+2332+2332+2332+2332+6995+6995+2332+6995+2332+4484</f>
        <v>53901</v>
      </c>
      <c r="L1878" s="32">
        <v>0</v>
      </c>
      <c r="M1878" s="32">
        <v>0</v>
      </c>
      <c r="N1878" s="32">
        <v>3148</v>
      </c>
      <c r="O1878" s="32">
        <v>0</v>
      </c>
      <c r="P1878" s="32">
        <v>0</v>
      </c>
      <c r="Q1878" s="46">
        <f t="shared" si="58"/>
        <v>63248</v>
      </c>
      <c r="R1878" s="69">
        <f t="shared" si="59"/>
        <v>53760.800000000003</v>
      </c>
      <c r="S1878" s="30"/>
      <c r="T1878" s="30"/>
    </row>
    <row r="1879" spans="1:20" ht="45" customHeight="1" x14ac:dyDescent="0.3">
      <c r="A1879" s="31">
        <v>1867</v>
      </c>
      <c r="B1879" s="32" t="s">
        <v>6165</v>
      </c>
      <c r="C1879" s="32" t="s">
        <v>6182</v>
      </c>
      <c r="D1879" s="32" t="s">
        <v>6183</v>
      </c>
      <c r="E1879" s="32">
        <v>1987</v>
      </c>
      <c r="F1879" s="32" t="s">
        <v>19</v>
      </c>
      <c r="G1879" s="32" t="s">
        <v>6295</v>
      </c>
      <c r="H1879" s="32" t="s">
        <v>6348</v>
      </c>
      <c r="I1879" s="32" t="s">
        <v>1050</v>
      </c>
      <c r="J1879" s="32">
        <v>6199</v>
      </c>
      <c r="K1879" s="32">
        <f>1346+6278+4484</f>
        <v>12108</v>
      </c>
      <c r="L1879" s="32">
        <v>0</v>
      </c>
      <c r="M1879" s="32">
        <v>0</v>
      </c>
      <c r="N1879" s="32">
        <v>1793</v>
      </c>
      <c r="O1879" s="32">
        <v>0</v>
      </c>
      <c r="P1879" s="32">
        <v>0</v>
      </c>
      <c r="Q1879" s="46">
        <f t="shared" si="58"/>
        <v>20100</v>
      </c>
      <c r="R1879" s="69">
        <f t="shared" si="59"/>
        <v>17085</v>
      </c>
      <c r="S1879" s="30"/>
      <c r="T1879" s="30"/>
    </row>
    <row r="1880" spans="1:20" ht="45" customHeight="1" x14ac:dyDescent="0.3">
      <c r="A1880" s="36">
        <v>1868</v>
      </c>
      <c r="B1880" s="32" t="s">
        <v>6165</v>
      </c>
      <c r="C1880" s="32" t="s">
        <v>6184</v>
      </c>
      <c r="D1880" s="32" t="s">
        <v>6185</v>
      </c>
      <c r="E1880" s="32">
        <v>1983</v>
      </c>
      <c r="F1880" s="32" t="s">
        <v>18</v>
      </c>
      <c r="G1880" s="32" t="s">
        <v>6296</v>
      </c>
      <c r="H1880" s="32" t="s">
        <v>6296</v>
      </c>
      <c r="I1880" s="32" t="s">
        <v>576</v>
      </c>
      <c r="J1880" s="32">
        <v>6199</v>
      </c>
      <c r="K1880" s="32">
        <f>1346+6278+4484+2332+2332+2332</f>
        <v>19104</v>
      </c>
      <c r="L1880" s="32">
        <v>0</v>
      </c>
      <c r="M1880" s="32">
        <v>0</v>
      </c>
      <c r="N1880" s="32">
        <v>1793</v>
      </c>
      <c r="O1880" s="32">
        <v>0</v>
      </c>
      <c r="P1880" s="32">
        <v>0</v>
      </c>
      <c r="Q1880" s="46">
        <f t="shared" si="58"/>
        <v>27096</v>
      </c>
      <c r="R1880" s="69">
        <f t="shared" si="59"/>
        <v>23031.599999999999</v>
      </c>
      <c r="S1880" s="30"/>
      <c r="T1880" s="30"/>
    </row>
    <row r="1881" spans="1:20" ht="45" customHeight="1" x14ac:dyDescent="0.3">
      <c r="A1881" s="31">
        <v>1869</v>
      </c>
      <c r="B1881" s="32" t="s">
        <v>6165</v>
      </c>
      <c r="C1881" s="32" t="s">
        <v>6186</v>
      </c>
      <c r="D1881" s="32" t="s">
        <v>6187</v>
      </c>
      <c r="E1881" s="32">
        <v>2024</v>
      </c>
      <c r="F1881" s="32" t="s">
        <v>18</v>
      </c>
      <c r="G1881" s="32" t="s">
        <v>6297</v>
      </c>
      <c r="H1881" s="32" t="s">
        <v>6349</v>
      </c>
      <c r="I1881" s="32" t="s">
        <v>6374</v>
      </c>
      <c r="J1881" s="32">
        <v>6199</v>
      </c>
      <c r="K1881" s="32">
        <f>6278+4484+2332+1346+2332+2332+2332+2332+6995+6995+2332+6995+2332+4484</f>
        <v>53901</v>
      </c>
      <c r="L1881" s="32">
        <v>0</v>
      </c>
      <c r="M1881" s="32">
        <v>0</v>
      </c>
      <c r="N1881" s="32">
        <v>3148</v>
      </c>
      <c r="O1881" s="32">
        <v>0</v>
      </c>
      <c r="P1881" s="32">
        <v>63</v>
      </c>
      <c r="Q1881" s="46">
        <f t="shared" si="58"/>
        <v>63311</v>
      </c>
      <c r="R1881" s="69">
        <f t="shared" si="59"/>
        <v>53814.35</v>
      </c>
      <c r="S1881" s="30"/>
      <c r="T1881" s="30"/>
    </row>
    <row r="1882" spans="1:20" ht="45" customHeight="1" x14ac:dyDescent="0.3">
      <c r="A1882" s="31">
        <v>1870</v>
      </c>
      <c r="B1882" s="32" t="s">
        <v>6165</v>
      </c>
      <c r="C1882" s="32" t="s">
        <v>6188</v>
      </c>
      <c r="D1882" s="32" t="s">
        <v>6189</v>
      </c>
      <c r="E1882" s="32">
        <v>1983</v>
      </c>
      <c r="F1882" s="32" t="s">
        <v>19</v>
      </c>
      <c r="G1882" s="32" t="s">
        <v>6298</v>
      </c>
      <c r="H1882" s="32" t="s">
        <v>6298</v>
      </c>
      <c r="I1882" s="32" t="s">
        <v>1279</v>
      </c>
      <c r="J1882" s="32">
        <v>6199</v>
      </c>
      <c r="K1882" s="32">
        <f>1166+2801</f>
        <v>3967</v>
      </c>
      <c r="L1882" s="32">
        <v>20807</v>
      </c>
      <c r="M1882" s="32">
        <v>0</v>
      </c>
      <c r="N1882" s="32">
        <v>0</v>
      </c>
      <c r="O1882" s="32">
        <v>0</v>
      </c>
      <c r="P1882" s="32">
        <v>0</v>
      </c>
      <c r="Q1882" s="46">
        <f t="shared" si="58"/>
        <v>30973</v>
      </c>
      <c r="R1882" s="69">
        <f t="shared" si="59"/>
        <v>26327.05</v>
      </c>
      <c r="S1882" s="30"/>
      <c r="T1882" s="30"/>
    </row>
    <row r="1883" spans="1:20" ht="45" customHeight="1" x14ac:dyDescent="0.3">
      <c r="A1883" s="36">
        <v>1871</v>
      </c>
      <c r="B1883" s="32" t="s">
        <v>6165</v>
      </c>
      <c r="C1883" s="32" t="s">
        <v>6190</v>
      </c>
      <c r="D1883" s="32" t="s">
        <v>6191</v>
      </c>
      <c r="E1883" s="32">
        <v>2008</v>
      </c>
      <c r="F1883" s="32" t="s">
        <v>19</v>
      </c>
      <c r="G1883" s="32" t="s">
        <v>6299</v>
      </c>
      <c r="H1883" s="32" t="s">
        <v>6350</v>
      </c>
      <c r="I1883" s="32" t="s">
        <v>6375</v>
      </c>
      <c r="J1883" s="32">
        <v>6199</v>
      </c>
      <c r="K1883" s="32">
        <f>1346+6278+4484</f>
        <v>12108</v>
      </c>
      <c r="L1883" s="32">
        <v>0</v>
      </c>
      <c r="M1883" s="32">
        <v>0</v>
      </c>
      <c r="N1883" s="32">
        <v>1793</v>
      </c>
      <c r="O1883" s="32">
        <v>0</v>
      </c>
      <c r="P1883" s="32">
        <v>0</v>
      </c>
      <c r="Q1883" s="46">
        <f t="shared" si="58"/>
        <v>20100</v>
      </c>
      <c r="R1883" s="69">
        <f t="shared" si="59"/>
        <v>17085</v>
      </c>
      <c r="S1883" s="30"/>
      <c r="T1883" s="30"/>
    </row>
    <row r="1884" spans="1:20" ht="45" customHeight="1" x14ac:dyDescent="0.3">
      <c r="A1884" s="31">
        <v>1872</v>
      </c>
      <c r="B1884" s="32" t="s">
        <v>6165</v>
      </c>
      <c r="C1884" s="32" t="s">
        <v>6192</v>
      </c>
      <c r="D1884" s="32" t="s">
        <v>6193</v>
      </c>
      <c r="E1884" s="32">
        <v>1980</v>
      </c>
      <c r="F1884" s="32" t="s">
        <v>19</v>
      </c>
      <c r="G1884" s="32" t="s">
        <v>6300</v>
      </c>
      <c r="H1884" s="32" t="s">
        <v>6300</v>
      </c>
      <c r="I1884" s="32" t="s">
        <v>6376</v>
      </c>
      <c r="J1884" s="32">
        <v>6199</v>
      </c>
      <c r="K1884" s="32">
        <v>0</v>
      </c>
      <c r="L1884" s="32">
        <v>0</v>
      </c>
      <c r="M1884" s="32">
        <v>0</v>
      </c>
      <c r="N1884" s="32">
        <v>0</v>
      </c>
      <c r="O1884" s="32">
        <v>0</v>
      </c>
      <c r="P1884" s="32">
        <v>0</v>
      </c>
      <c r="Q1884" s="46">
        <f t="shared" si="58"/>
        <v>6199</v>
      </c>
      <c r="R1884" s="69">
        <f t="shared" si="59"/>
        <v>5269.15</v>
      </c>
      <c r="S1884" s="30"/>
      <c r="T1884" s="30"/>
    </row>
    <row r="1885" spans="1:20" ht="45" customHeight="1" x14ac:dyDescent="0.3">
      <c r="A1885" s="31">
        <v>1873</v>
      </c>
      <c r="B1885" s="32" t="s">
        <v>6165</v>
      </c>
      <c r="C1885" s="32" t="s">
        <v>6194</v>
      </c>
      <c r="D1885" s="32" t="s">
        <v>6195</v>
      </c>
      <c r="E1885" s="32">
        <v>2015</v>
      </c>
      <c r="F1885" s="32" t="s">
        <v>19</v>
      </c>
      <c r="G1885" s="32" t="s">
        <v>6301</v>
      </c>
      <c r="H1885" s="32" t="s">
        <v>6351</v>
      </c>
      <c r="I1885" s="32" t="s">
        <v>836</v>
      </c>
      <c r="J1885" s="32">
        <v>6199</v>
      </c>
      <c r="K1885" s="32">
        <v>0</v>
      </c>
      <c r="L1885" s="32">
        <v>0</v>
      </c>
      <c r="M1885" s="32">
        <v>0</v>
      </c>
      <c r="N1885" s="32">
        <v>0</v>
      </c>
      <c r="O1885" s="32">
        <v>0</v>
      </c>
      <c r="P1885" s="32">
        <v>0</v>
      </c>
      <c r="Q1885" s="46">
        <f t="shared" si="58"/>
        <v>6199</v>
      </c>
      <c r="R1885" s="69">
        <f t="shared" si="59"/>
        <v>5269.15</v>
      </c>
      <c r="S1885" s="30"/>
      <c r="T1885" s="30"/>
    </row>
    <row r="1886" spans="1:20" ht="45" customHeight="1" x14ac:dyDescent="0.3">
      <c r="A1886" s="36">
        <v>1874</v>
      </c>
      <c r="B1886" s="32" t="s">
        <v>6165</v>
      </c>
      <c r="C1886" s="32" t="s">
        <v>6196</v>
      </c>
      <c r="D1886" s="32" t="s">
        <v>6197</v>
      </c>
      <c r="E1886" s="32">
        <v>2015</v>
      </c>
      <c r="F1886" s="32" t="s">
        <v>18</v>
      </c>
      <c r="G1886" s="32" t="s">
        <v>6302</v>
      </c>
      <c r="H1886" s="32" t="s">
        <v>6352</v>
      </c>
      <c r="I1886" s="32" t="s">
        <v>289</v>
      </c>
      <c r="J1886" s="32">
        <v>6199</v>
      </c>
      <c r="K1886" s="32">
        <f>1346+6278+4484+2332+2332+2332+4484+2332+2332+2332+6995+6995+2332+6995</f>
        <v>53901</v>
      </c>
      <c r="L1886" s="32">
        <v>0</v>
      </c>
      <c r="M1886" s="32">
        <v>0</v>
      </c>
      <c r="N1886" s="32">
        <f>3148+4053+1178+2088</f>
        <v>10467</v>
      </c>
      <c r="O1886" s="32">
        <v>0</v>
      </c>
      <c r="P1886" s="32">
        <f>720+1080+120+720+56</f>
        <v>2696</v>
      </c>
      <c r="Q1886" s="46">
        <f t="shared" si="58"/>
        <v>73263</v>
      </c>
      <c r="R1886" s="69">
        <f t="shared" si="59"/>
        <v>62273.55</v>
      </c>
      <c r="S1886" s="30"/>
      <c r="T1886" s="30"/>
    </row>
    <row r="1887" spans="1:20" ht="45" customHeight="1" x14ac:dyDescent="0.3">
      <c r="A1887" s="31">
        <v>1875</v>
      </c>
      <c r="B1887" s="32" t="s">
        <v>6165</v>
      </c>
      <c r="C1887" s="32" t="s">
        <v>6198</v>
      </c>
      <c r="D1887" s="32" t="s">
        <v>3971</v>
      </c>
      <c r="E1887" s="32">
        <v>2021</v>
      </c>
      <c r="F1887" s="32" t="s">
        <v>18</v>
      </c>
      <c r="G1887" s="32" t="s">
        <v>4100</v>
      </c>
      <c r="H1887" s="32" t="s">
        <v>4165</v>
      </c>
      <c r="I1887" s="32" t="s">
        <v>4206</v>
      </c>
      <c r="J1887" s="32">
        <v>3582</v>
      </c>
      <c r="K1887" s="32">
        <v>0</v>
      </c>
      <c r="L1887" s="32">
        <v>0</v>
      </c>
      <c r="M1887" s="32">
        <v>0</v>
      </c>
      <c r="N1887" s="32">
        <v>0</v>
      </c>
      <c r="O1887" s="32">
        <v>0</v>
      </c>
      <c r="P1887" s="32">
        <v>0</v>
      </c>
      <c r="Q1887" s="46">
        <f t="shared" si="58"/>
        <v>3582</v>
      </c>
      <c r="R1887" s="69">
        <f t="shared" si="59"/>
        <v>3044.7</v>
      </c>
      <c r="S1887" s="30"/>
      <c r="T1887" s="30"/>
    </row>
    <row r="1888" spans="1:20" ht="45" customHeight="1" x14ac:dyDescent="0.3">
      <c r="A1888" s="31">
        <v>1876</v>
      </c>
      <c r="B1888" s="32" t="s">
        <v>6165</v>
      </c>
      <c r="C1888" s="32" t="s">
        <v>6199</v>
      </c>
      <c r="D1888" s="32" t="s">
        <v>6200</v>
      </c>
      <c r="E1888" s="32">
        <v>2022</v>
      </c>
      <c r="F1888" s="32" t="s">
        <v>19</v>
      </c>
      <c r="G1888" s="32" t="s">
        <v>6303</v>
      </c>
      <c r="H1888" s="32" t="s">
        <v>6353</v>
      </c>
      <c r="I1888" s="32" t="s">
        <v>6377</v>
      </c>
      <c r="J1888" s="32">
        <v>6199</v>
      </c>
      <c r="K1888" s="32">
        <f>6278+4484+2332+1346+2332+2332+2332+2332+6995+6995+2332+6995+4484+2332</f>
        <v>53901</v>
      </c>
      <c r="L1888" s="32">
        <v>0</v>
      </c>
      <c r="M1888" s="32">
        <v>0</v>
      </c>
      <c r="N1888" s="32">
        <v>3148</v>
      </c>
      <c r="O1888" s="32">
        <v>0</v>
      </c>
      <c r="P1888" s="32">
        <v>63</v>
      </c>
      <c r="Q1888" s="46">
        <f t="shared" si="58"/>
        <v>63311</v>
      </c>
      <c r="R1888" s="69">
        <f t="shared" si="59"/>
        <v>53814.35</v>
      </c>
      <c r="S1888" s="30"/>
      <c r="T1888" s="30"/>
    </row>
    <row r="1889" spans="1:20" ht="45" customHeight="1" x14ac:dyDescent="0.3">
      <c r="A1889" s="36">
        <v>1877</v>
      </c>
      <c r="B1889" s="32" t="s">
        <v>6165</v>
      </c>
      <c r="C1889" s="32" t="s">
        <v>6201</v>
      </c>
      <c r="D1889" s="32" t="s">
        <v>6202</v>
      </c>
      <c r="E1889" s="32">
        <v>1990</v>
      </c>
      <c r="F1889" s="32" t="s">
        <v>19</v>
      </c>
      <c r="G1889" s="32" t="s">
        <v>6304</v>
      </c>
      <c r="H1889" s="32" t="s">
        <v>6354</v>
      </c>
      <c r="I1889" s="32" t="s">
        <v>1471</v>
      </c>
      <c r="J1889" s="32">
        <v>6199</v>
      </c>
      <c r="K1889" s="32">
        <v>0</v>
      </c>
      <c r="L1889" s="32">
        <v>17279</v>
      </c>
      <c r="M1889" s="32">
        <v>0</v>
      </c>
      <c r="N1889" s="32">
        <v>19725</v>
      </c>
      <c r="O1889" s="32">
        <v>0</v>
      </c>
      <c r="P1889" s="32">
        <v>0</v>
      </c>
      <c r="Q1889" s="46">
        <f t="shared" si="58"/>
        <v>43203</v>
      </c>
      <c r="R1889" s="69">
        <f t="shared" si="59"/>
        <v>36722.550000000003</v>
      </c>
      <c r="S1889" s="30"/>
      <c r="T1889" s="30"/>
    </row>
    <row r="1890" spans="1:20" ht="45" customHeight="1" x14ac:dyDescent="0.3">
      <c r="A1890" s="31">
        <v>1878</v>
      </c>
      <c r="B1890" s="32" t="s">
        <v>6165</v>
      </c>
      <c r="C1890" s="32" t="s">
        <v>6203</v>
      </c>
      <c r="D1890" s="32" t="s">
        <v>6204</v>
      </c>
      <c r="E1890" s="32">
        <v>1997</v>
      </c>
      <c r="F1890" s="32" t="s">
        <v>19</v>
      </c>
      <c r="G1890" s="32" t="s">
        <v>6305</v>
      </c>
      <c r="H1890" s="32" t="s">
        <v>6305</v>
      </c>
      <c r="I1890" s="32" t="s">
        <v>6378</v>
      </c>
      <c r="J1890" s="32">
        <v>6199</v>
      </c>
      <c r="K1890" s="32">
        <v>0</v>
      </c>
      <c r="L1890" s="32">
        <v>0</v>
      </c>
      <c r="M1890" s="32">
        <v>0</v>
      </c>
      <c r="N1890" s="32">
        <v>0</v>
      </c>
      <c r="O1890" s="32">
        <v>0</v>
      </c>
      <c r="P1890" s="32">
        <v>0</v>
      </c>
      <c r="Q1890" s="46">
        <f t="shared" si="58"/>
        <v>6199</v>
      </c>
      <c r="R1890" s="69">
        <f t="shared" si="59"/>
        <v>5269.15</v>
      </c>
      <c r="S1890" s="30"/>
      <c r="T1890" s="30"/>
    </row>
    <row r="1891" spans="1:20" ht="45" customHeight="1" x14ac:dyDescent="0.3">
      <c r="A1891" s="31">
        <v>1879</v>
      </c>
      <c r="B1891" s="32" t="s">
        <v>6165</v>
      </c>
      <c r="C1891" s="32" t="s">
        <v>6205</v>
      </c>
      <c r="D1891" s="32" t="s">
        <v>6206</v>
      </c>
      <c r="E1891" s="32">
        <v>2020</v>
      </c>
      <c r="F1891" s="32" t="s">
        <v>18</v>
      </c>
      <c r="G1891" s="32" t="s">
        <v>6306</v>
      </c>
      <c r="H1891" s="32" t="s">
        <v>6355</v>
      </c>
      <c r="I1891" s="32" t="s">
        <v>6379</v>
      </c>
      <c r="J1891" s="32">
        <v>6199</v>
      </c>
      <c r="K1891" s="32">
        <f>6278+4484+2332+1346</f>
        <v>14440</v>
      </c>
      <c r="L1891" s="32">
        <v>0</v>
      </c>
      <c r="M1891" s="32">
        <v>0</v>
      </c>
      <c r="N1891" s="32">
        <v>3148</v>
      </c>
      <c r="O1891" s="32">
        <v>0</v>
      </c>
      <c r="P1891" s="32">
        <v>0</v>
      </c>
      <c r="Q1891" s="46">
        <f t="shared" si="58"/>
        <v>23787</v>
      </c>
      <c r="R1891" s="69">
        <f t="shared" si="59"/>
        <v>20218.95</v>
      </c>
      <c r="S1891" s="30"/>
      <c r="T1891" s="30"/>
    </row>
    <row r="1892" spans="1:20" ht="45" customHeight="1" x14ac:dyDescent="0.3">
      <c r="A1892" s="36">
        <v>1880</v>
      </c>
      <c r="B1892" s="32" t="s">
        <v>6165</v>
      </c>
      <c r="C1892" s="32" t="s">
        <v>6207</v>
      </c>
      <c r="D1892" s="32" t="s">
        <v>6208</v>
      </c>
      <c r="E1892" s="32">
        <v>1980</v>
      </c>
      <c r="F1892" s="32" t="s">
        <v>18</v>
      </c>
      <c r="G1892" s="32" t="s">
        <v>6307</v>
      </c>
      <c r="H1892" s="32" t="s">
        <v>6307</v>
      </c>
      <c r="I1892" s="32" t="s">
        <v>1084</v>
      </c>
      <c r="J1892" s="32">
        <v>6199</v>
      </c>
      <c r="K1892" s="32">
        <f>1346+6278+4484+2332+2332+2332</f>
        <v>19104</v>
      </c>
      <c r="L1892" s="32">
        <v>0</v>
      </c>
      <c r="M1892" s="32">
        <v>0</v>
      </c>
      <c r="N1892" s="32">
        <v>1793</v>
      </c>
      <c r="O1892" s="32">
        <v>0</v>
      </c>
      <c r="P1892" s="32">
        <v>0</v>
      </c>
      <c r="Q1892" s="46">
        <f t="shared" si="58"/>
        <v>27096</v>
      </c>
      <c r="R1892" s="69">
        <f t="shared" si="59"/>
        <v>23031.599999999999</v>
      </c>
      <c r="S1892" s="30"/>
      <c r="T1892" s="30"/>
    </row>
    <row r="1893" spans="1:20" ht="45" customHeight="1" x14ac:dyDescent="0.3">
      <c r="A1893" s="31">
        <v>1881</v>
      </c>
      <c r="B1893" s="32" t="s">
        <v>6165</v>
      </c>
      <c r="C1893" s="32" t="s">
        <v>6209</v>
      </c>
      <c r="D1893" s="32" t="s">
        <v>6210</v>
      </c>
      <c r="E1893" s="32">
        <v>1999</v>
      </c>
      <c r="F1893" s="32" t="s">
        <v>19</v>
      </c>
      <c r="G1893" s="32" t="s">
        <v>6308</v>
      </c>
      <c r="H1893" s="32" t="s">
        <v>6308</v>
      </c>
      <c r="I1893" s="32" t="s">
        <v>1064</v>
      </c>
      <c r="J1893" s="32">
        <v>6199</v>
      </c>
      <c r="K1893" s="32">
        <v>0</v>
      </c>
      <c r="L1893" s="32">
        <v>0</v>
      </c>
      <c r="M1893" s="32">
        <v>0</v>
      </c>
      <c r="N1893" s="32">
        <v>0</v>
      </c>
      <c r="O1893" s="32">
        <v>0</v>
      </c>
      <c r="P1893" s="32">
        <v>0</v>
      </c>
      <c r="Q1893" s="46">
        <f t="shared" si="58"/>
        <v>6199</v>
      </c>
      <c r="R1893" s="69">
        <f t="shared" si="59"/>
        <v>5269.15</v>
      </c>
      <c r="S1893" s="30"/>
      <c r="T1893" s="30"/>
    </row>
    <row r="1894" spans="1:20" ht="45" customHeight="1" x14ac:dyDescent="0.3">
      <c r="A1894" s="31">
        <v>1882</v>
      </c>
      <c r="B1894" s="32" t="s">
        <v>6165</v>
      </c>
      <c r="C1894" s="32" t="s">
        <v>6211</v>
      </c>
      <c r="D1894" s="32" t="s">
        <v>6212</v>
      </c>
      <c r="E1894" s="32">
        <v>2025</v>
      </c>
      <c r="F1894" s="32" t="s">
        <v>19</v>
      </c>
      <c r="G1894" s="32" t="s">
        <v>6309</v>
      </c>
      <c r="H1894" s="32" t="s">
        <v>6356</v>
      </c>
      <c r="I1894" s="32" t="s">
        <v>3944</v>
      </c>
      <c r="J1894" s="32">
        <v>6199</v>
      </c>
      <c r="K1894" s="32">
        <v>0</v>
      </c>
      <c r="L1894" s="32">
        <v>0</v>
      </c>
      <c r="M1894" s="32">
        <v>0</v>
      </c>
      <c r="N1894" s="32">
        <v>0</v>
      </c>
      <c r="O1894" s="32">
        <v>0</v>
      </c>
      <c r="P1894" s="32">
        <v>0</v>
      </c>
      <c r="Q1894" s="46">
        <f t="shared" si="58"/>
        <v>6199</v>
      </c>
      <c r="R1894" s="69">
        <f t="shared" si="59"/>
        <v>5269.15</v>
      </c>
      <c r="S1894" s="30"/>
      <c r="T1894" s="30"/>
    </row>
    <row r="1895" spans="1:20" ht="45" customHeight="1" x14ac:dyDescent="0.3">
      <c r="A1895" s="36">
        <v>1883</v>
      </c>
      <c r="B1895" s="32" t="s">
        <v>6165</v>
      </c>
      <c r="C1895" s="32" t="s">
        <v>6213</v>
      </c>
      <c r="D1895" s="32" t="s">
        <v>6214</v>
      </c>
      <c r="E1895" s="32">
        <v>2023</v>
      </c>
      <c r="F1895" s="32" t="s">
        <v>19</v>
      </c>
      <c r="G1895" s="32" t="s">
        <v>6310</v>
      </c>
      <c r="H1895" s="32" t="s">
        <v>6357</v>
      </c>
      <c r="I1895" s="32" t="s">
        <v>6380</v>
      </c>
      <c r="J1895" s="32">
        <v>6199</v>
      </c>
      <c r="K1895" s="32">
        <f>1346+6278+4484+4484+1166+2332+2332+2332+6995+6995+2332+6995+2332+2332+2332</f>
        <v>55067</v>
      </c>
      <c r="L1895" s="32">
        <v>0</v>
      </c>
      <c r="M1895" s="32">
        <v>0</v>
      </c>
      <c r="N1895" s="32">
        <v>3148</v>
      </c>
      <c r="O1895" s="32">
        <v>0</v>
      </c>
      <c r="P1895" s="32">
        <v>0</v>
      </c>
      <c r="Q1895" s="46">
        <f t="shared" si="58"/>
        <v>64414</v>
      </c>
      <c r="R1895" s="69">
        <f t="shared" si="59"/>
        <v>54751.9</v>
      </c>
      <c r="S1895" s="30"/>
      <c r="T1895" s="30"/>
    </row>
    <row r="1896" spans="1:20" ht="45" customHeight="1" x14ac:dyDescent="0.3">
      <c r="A1896" s="31">
        <v>1884</v>
      </c>
      <c r="B1896" s="32" t="s">
        <v>6165</v>
      </c>
      <c r="C1896" s="32" t="s">
        <v>6215</v>
      </c>
      <c r="D1896" s="32" t="s">
        <v>6216</v>
      </c>
      <c r="E1896" s="32">
        <v>2023</v>
      </c>
      <c r="F1896" s="32" t="s">
        <v>18</v>
      </c>
      <c r="G1896" s="32" t="s">
        <v>6311</v>
      </c>
      <c r="H1896" s="32" t="s">
        <v>6315</v>
      </c>
      <c r="I1896" s="32" t="s">
        <v>1064</v>
      </c>
      <c r="J1896" s="32">
        <v>6199</v>
      </c>
      <c r="K1896" s="32">
        <v>0</v>
      </c>
      <c r="L1896" s="32">
        <v>0</v>
      </c>
      <c r="M1896" s="32">
        <v>0</v>
      </c>
      <c r="N1896" s="32">
        <v>0</v>
      </c>
      <c r="O1896" s="32">
        <v>0</v>
      </c>
      <c r="P1896" s="32">
        <v>0</v>
      </c>
      <c r="Q1896" s="46">
        <f t="shared" si="58"/>
        <v>6199</v>
      </c>
      <c r="R1896" s="69">
        <f t="shared" si="59"/>
        <v>5269.15</v>
      </c>
      <c r="S1896" s="30"/>
      <c r="T1896" s="30"/>
    </row>
    <row r="1897" spans="1:20" ht="45" customHeight="1" x14ac:dyDescent="0.3">
      <c r="A1897" s="31">
        <v>1885</v>
      </c>
      <c r="B1897" s="32" t="s">
        <v>6165</v>
      </c>
      <c r="C1897" s="32" t="s">
        <v>6217</v>
      </c>
      <c r="D1897" s="32" t="s">
        <v>6218</v>
      </c>
      <c r="E1897" s="32">
        <v>2025</v>
      </c>
      <c r="F1897" s="32" t="s">
        <v>19</v>
      </c>
      <c r="G1897" s="32" t="s">
        <v>6312</v>
      </c>
      <c r="H1897" s="32" t="s">
        <v>6358</v>
      </c>
      <c r="I1897" s="32" t="s">
        <v>27</v>
      </c>
      <c r="J1897" s="32">
        <v>6199</v>
      </c>
      <c r="K1897" s="32">
        <f>6278+4484+2332+1346</f>
        <v>14440</v>
      </c>
      <c r="L1897" s="32">
        <v>0</v>
      </c>
      <c r="M1897" s="32">
        <v>0</v>
      </c>
      <c r="N1897" s="32">
        <v>3148</v>
      </c>
      <c r="O1897" s="32">
        <v>0</v>
      </c>
      <c r="P1897" s="32">
        <v>63</v>
      </c>
      <c r="Q1897" s="46">
        <f t="shared" si="58"/>
        <v>23850</v>
      </c>
      <c r="R1897" s="69">
        <f t="shared" si="59"/>
        <v>20272.5</v>
      </c>
      <c r="S1897" s="30"/>
      <c r="T1897" s="30"/>
    </row>
    <row r="1898" spans="1:20" ht="45" customHeight="1" x14ac:dyDescent="0.3">
      <c r="A1898" s="36">
        <v>1886</v>
      </c>
      <c r="B1898" s="32" t="s">
        <v>6165</v>
      </c>
      <c r="C1898" s="32" t="s">
        <v>6219</v>
      </c>
      <c r="D1898" s="32" t="s">
        <v>5265</v>
      </c>
      <c r="E1898" s="32">
        <v>1970</v>
      </c>
      <c r="F1898" s="32" t="s">
        <v>18</v>
      </c>
      <c r="G1898" s="32" t="s">
        <v>5344</v>
      </c>
      <c r="H1898" s="32" t="s">
        <v>5344</v>
      </c>
      <c r="I1898" s="32" t="s">
        <v>1280</v>
      </c>
      <c r="J1898" s="32">
        <v>6199</v>
      </c>
      <c r="K1898" s="32">
        <f>1346+6278+4484+2332+2332+2332</f>
        <v>19104</v>
      </c>
      <c r="L1898" s="32">
        <v>0</v>
      </c>
      <c r="M1898" s="32">
        <v>0</v>
      </c>
      <c r="N1898" s="32">
        <v>1793</v>
      </c>
      <c r="O1898" s="32">
        <v>0</v>
      </c>
      <c r="P1898" s="32">
        <v>0</v>
      </c>
      <c r="Q1898" s="46">
        <f t="shared" si="58"/>
        <v>27096</v>
      </c>
      <c r="R1898" s="69">
        <f t="shared" si="59"/>
        <v>23031.599999999999</v>
      </c>
      <c r="S1898" s="30"/>
      <c r="T1898" s="30"/>
    </row>
    <row r="1899" spans="1:20" ht="45" customHeight="1" x14ac:dyDescent="0.3">
      <c r="A1899" s="31">
        <v>1887</v>
      </c>
      <c r="B1899" s="32" t="s">
        <v>6165</v>
      </c>
      <c r="C1899" s="32" t="s">
        <v>6220</v>
      </c>
      <c r="D1899" s="32" t="s">
        <v>2636</v>
      </c>
      <c r="E1899" s="32">
        <v>2024</v>
      </c>
      <c r="F1899" s="32" t="s">
        <v>18</v>
      </c>
      <c r="G1899" s="32" t="s">
        <v>6313</v>
      </c>
      <c r="H1899" s="32" t="s">
        <v>6359</v>
      </c>
      <c r="I1899" s="32" t="s">
        <v>3684</v>
      </c>
      <c r="J1899" s="32">
        <v>6199</v>
      </c>
      <c r="K1899" s="32">
        <f>1346+6278+4484+4484+2332+2332+2332+2332+2332+2332+6995+6995+2332+6995</f>
        <v>53901</v>
      </c>
      <c r="L1899" s="32">
        <v>0</v>
      </c>
      <c r="M1899" s="32">
        <v>0</v>
      </c>
      <c r="N1899" s="32">
        <v>3148</v>
      </c>
      <c r="O1899" s="32">
        <v>0</v>
      </c>
      <c r="P1899" s="32">
        <v>63</v>
      </c>
      <c r="Q1899" s="46">
        <f t="shared" si="58"/>
        <v>63311</v>
      </c>
      <c r="R1899" s="69">
        <f t="shared" si="59"/>
        <v>53814.35</v>
      </c>
      <c r="S1899" s="30"/>
      <c r="T1899" s="30"/>
    </row>
    <row r="1900" spans="1:20" ht="45" customHeight="1" x14ac:dyDescent="0.3">
      <c r="A1900" s="31">
        <v>1888</v>
      </c>
      <c r="B1900" s="32" t="s">
        <v>6165</v>
      </c>
      <c r="C1900" s="32" t="s">
        <v>6221</v>
      </c>
      <c r="D1900" s="32" t="s">
        <v>6222</v>
      </c>
      <c r="E1900" s="32">
        <v>1991</v>
      </c>
      <c r="F1900" s="32" t="s">
        <v>18</v>
      </c>
      <c r="G1900" s="32" t="s">
        <v>6314</v>
      </c>
      <c r="H1900" s="32" t="s">
        <v>6314</v>
      </c>
      <c r="I1900" s="32" t="s">
        <v>297</v>
      </c>
      <c r="J1900" s="32">
        <v>6199</v>
      </c>
      <c r="K1900" s="32">
        <f>1346+6278+4484</f>
        <v>12108</v>
      </c>
      <c r="L1900" s="32">
        <v>0</v>
      </c>
      <c r="M1900" s="32">
        <v>0</v>
      </c>
      <c r="N1900" s="32">
        <v>1793</v>
      </c>
      <c r="O1900" s="32">
        <v>0</v>
      </c>
      <c r="P1900" s="32">
        <v>0</v>
      </c>
      <c r="Q1900" s="46">
        <f t="shared" si="58"/>
        <v>20100</v>
      </c>
      <c r="R1900" s="69">
        <f t="shared" si="59"/>
        <v>17085</v>
      </c>
      <c r="S1900" s="30"/>
      <c r="T1900" s="30"/>
    </row>
    <row r="1901" spans="1:20" ht="45" customHeight="1" x14ac:dyDescent="0.3">
      <c r="A1901" s="36">
        <v>1889</v>
      </c>
      <c r="B1901" s="32" t="s">
        <v>6165</v>
      </c>
      <c r="C1901" s="32" t="s">
        <v>6223</v>
      </c>
      <c r="D1901" s="32" t="s">
        <v>6224</v>
      </c>
      <c r="E1901" s="32">
        <v>1993</v>
      </c>
      <c r="F1901" s="32" t="s">
        <v>19</v>
      </c>
      <c r="G1901" s="32" t="s">
        <v>6315</v>
      </c>
      <c r="H1901" s="32" t="s">
        <v>6315</v>
      </c>
      <c r="I1901" s="32" t="s">
        <v>1064</v>
      </c>
      <c r="J1901" s="32">
        <v>6199</v>
      </c>
      <c r="K1901" s="32">
        <v>0</v>
      </c>
      <c r="L1901" s="32">
        <v>0</v>
      </c>
      <c r="M1901" s="32">
        <v>0</v>
      </c>
      <c r="N1901" s="32">
        <v>0</v>
      </c>
      <c r="O1901" s="32">
        <v>0</v>
      </c>
      <c r="P1901" s="32">
        <v>0</v>
      </c>
      <c r="Q1901" s="46">
        <f t="shared" si="58"/>
        <v>6199</v>
      </c>
      <c r="R1901" s="69">
        <f t="shared" si="59"/>
        <v>5269.15</v>
      </c>
      <c r="S1901" s="30"/>
      <c r="T1901" s="30"/>
    </row>
    <row r="1902" spans="1:20" ht="45" customHeight="1" x14ac:dyDescent="0.3">
      <c r="A1902" s="31">
        <v>1890</v>
      </c>
      <c r="B1902" s="32" t="s">
        <v>6165</v>
      </c>
      <c r="C1902" s="32" t="s">
        <v>6225</v>
      </c>
      <c r="D1902" s="32" t="s">
        <v>2892</v>
      </c>
      <c r="E1902" s="32">
        <v>1988</v>
      </c>
      <c r="F1902" s="32" t="s">
        <v>19</v>
      </c>
      <c r="G1902" s="32" t="s">
        <v>3001</v>
      </c>
      <c r="H1902" s="32" t="s">
        <v>2825</v>
      </c>
      <c r="I1902" s="32" t="s">
        <v>24</v>
      </c>
      <c r="J1902" s="32">
        <v>0</v>
      </c>
      <c r="K1902" s="32">
        <v>0</v>
      </c>
      <c r="L1902" s="32">
        <v>0</v>
      </c>
      <c r="M1902" s="32">
        <v>0</v>
      </c>
      <c r="N1902" s="32">
        <v>38478</v>
      </c>
      <c r="O1902" s="32">
        <v>0</v>
      </c>
      <c r="P1902" s="32">
        <v>0</v>
      </c>
      <c r="Q1902" s="46">
        <f t="shared" si="58"/>
        <v>38478</v>
      </c>
      <c r="R1902" s="69">
        <f t="shared" si="59"/>
        <v>32706.3</v>
      </c>
      <c r="S1902" s="30"/>
      <c r="T1902" s="30"/>
    </row>
    <row r="1903" spans="1:20" ht="45" customHeight="1" x14ac:dyDescent="0.3">
      <c r="A1903" s="31">
        <v>1891</v>
      </c>
      <c r="B1903" s="32" t="s">
        <v>6165</v>
      </c>
      <c r="C1903" s="32" t="s">
        <v>6226</v>
      </c>
      <c r="D1903" s="32" t="s">
        <v>6227</v>
      </c>
      <c r="E1903" s="32">
        <v>2023</v>
      </c>
      <c r="F1903" s="32" t="s">
        <v>18</v>
      </c>
      <c r="G1903" s="32" t="s">
        <v>6316</v>
      </c>
      <c r="H1903" s="32" t="s">
        <v>6360</v>
      </c>
      <c r="I1903" s="32" t="s">
        <v>6381</v>
      </c>
      <c r="J1903" s="32">
        <v>6199</v>
      </c>
      <c r="K1903" s="32">
        <f>1346+6278+4484+4484+2332+2332+2332+2332+2332+2332+6995+6995+2332+6995</f>
        <v>53901</v>
      </c>
      <c r="L1903" s="32">
        <v>0</v>
      </c>
      <c r="M1903" s="32">
        <v>0</v>
      </c>
      <c r="N1903" s="32">
        <v>3148</v>
      </c>
      <c r="O1903" s="32">
        <v>0</v>
      </c>
      <c r="P1903" s="32">
        <v>0</v>
      </c>
      <c r="Q1903" s="46">
        <f t="shared" si="58"/>
        <v>63248</v>
      </c>
      <c r="R1903" s="69">
        <f t="shared" si="59"/>
        <v>53760.800000000003</v>
      </c>
      <c r="S1903" s="30"/>
      <c r="T1903" s="30"/>
    </row>
    <row r="1904" spans="1:20" ht="45" customHeight="1" x14ac:dyDescent="0.3">
      <c r="A1904" s="36">
        <v>1892</v>
      </c>
      <c r="B1904" s="32" t="s">
        <v>6165</v>
      </c>
      <c r="C1904" s="32" t="s">
        <v>6228</v>
      </c>
      <c r="D1904" s="32" t="s">
        <v>6229</v>
      </c>
      <c r="E1904" s="32">
        <v>2005</v>
      </c>
      <c r="F1904" s="32" t="s">
        <v>19</v>
      </c>
      <c r="G1904" s="32" t="s">
        <v>6317</v>
      </c>
      <c r="H1904" s="32" t="s">
        <v>6361</v>
      </c>
      <c r="I1904" s="32" t="s">
        <v>6382</v>
      </c>
      <c r="J1904" s="32">
        <v>6199</v>
      </c>
      <c r="K1904" s="32">
        <f>1346+6278+4484+1166+2332+2332</f>
        <v>17938</v>
      </c>
      <c r="L1904" s="32">
        <v>0</v>
      </c>
      <c r="M1904" s="32">
        <v>0</v>
      </c>
      <c r="N1904" s="32">
        <v>1793</v>
      </c>
      <c r="O1904" s="32">
        <v>0</v>
      </c>
      <c r="P1904" s="32">
        <v>0</v>
      </c>
      <c r="Q1904" s="46">
        <f t="shared" si="58"/>
        <v>25930</v>
      </c>
      <c r="R1904" s="69">
        <f t="shared" si="59"/>
        <v>22040.5</v>
      </c>
      <c r="S1904" s="30"/>
      <c r="T1904" s="30"/>
    </row>
    <row r="1905" spans="1:20" ht="45" customHeight="1" x14ac:dyDescent="0.3">
      <c r="A1905" s="31">
        <v>1893</v>
      </c>
      <c r="B1905" s="32" t="s">
        <v>6165</v>
      </c>
      <c r="C1905" s="32" t="s">
        <v>6230</v>
      </c>
      <c r="D1905" s="32" t="s">
        <v>6231</v>
      </c>
      <c r="E1905" s="32">
        <v>1988</v>
      </c>
      <c r="F1905" s="32" t="s">
        <v>18</v>
      </c>
      <c r="G1905" s="32" t="s">
        <v>6318</v>
      </c>
      <c r="H1905" s="32" t="s">
        <v>6318</v>
      </c>
      <c r="I1905" s="32" t="s">
        <v>2141</v>
      </c>
      <c r="J1905" s="32">
        <v>6199</v>
      </c>
      <c r="K1905" s="32">
        <v>0</v>
      </c>
      <c r="L1905" s="32">
        <v>0</v>
      </c>
      <c r="M1905" s="32">
        <v>0</v>
      </c>
      <c r="N1905" s="32">
        <v>55997</v>
      </c>
      <c r="O1905" s="32">
        <v>0</v>
      </c>
      <c r="P1905" s="32">
        <v>0</v>
      </c>
      <c r="Q1905" s="46">
        <f t="shared" si="58"/>
        <v>62196</v>
      </c>
      <c r="R1905" s="69">
        <f t="shared" si="59"/>
        <v>52866.6</v>
      </c>
      <c r="S1905" s="30"/>
      <c r="T1905" s="30"/>
    </row>
    <row r="1906" spans="1:20" ht="45" customHeight="1" x14ac:dyDescent="0.3">
      <c r="A1906" s="31">
        <v>1894</v>
      </c>
      <c r="B1906" s="32" t="s">
        <v>6165</v>
      </c>
      <c r="C1906" s="32" t="s">
        <v>6232</v>
      </c>
      <c r="D1906" s="32" t="s">
        <v>6233</v>
      </c>
      <c r="E1906" s="32">
        <v>1996</v>
      </c>
      <c r="F1906" s="32" t="s">
        <v>19</v>
      </c>
      <c r="G1906" s="32" t="s">
        <v>6319</v>
      </c>
      <c r="H1906" s="32" t="s">
        <v>6319</v>
      </c>
      <c r="I1906" s="32" t="s">
        <v>6383</v>
      </c>
      <c r="J1906" s="32">
        <v>3582</v>
      </c>
      <c r="K1906" s="32">
        <v>0</v>
      </c>
      <c r="L1906" s="32">
        <v>0</v>
      </c>
      <c r="M1906" s="32">
        <v>0</v>
      </c>
      <c r="N1906" s="32">
        <f>15443+20859+29964</f>
        <v>66266</v>
      </c>
      <c r="O1906" s="32">
        <v>0</v>
      </c>
      <c r="P1906" s="32">
        <v>0</v>
      </c>
      <c r="Q1906" s="46">
        <f t="shared" si="58"/>
        <v>69848</v>
      </c>
      <c r="R1906" s="69">
        <f t="shared" si="59"/>
        <v>59370.8</v>
      </c>
      <c r="S1906" s="30"/>
      <c r="T1906" s="30"/>
    </row>
    <row r="1907" spans="1:20" ht="45" customHeight="1" x14ac:dyDescent="0.3">
      <c r="A1907" s="36">
        <v>1895</v>
      </c>
      <c r="B1907" s="32" t="s">
        <v>6165</v>
      </c>
      <c r="C1907" s="32" t="s">
        <v>6234</v>
      </c>
      <c r="D1907" s="32" t="s">
        <v>6235</v>
      </c>
      <c r="E1907" s="32">
        <v>1990</v>
      </c>
      <c r="F1907" s="32" t="s">
        <v>18</v>
      </c>
      <c r="G1907" s="32" t="s">
        <v>6320</v>
      </c>
      <c r="H1907" s="32" t="s">
        <v>6362</v>
      </c>
      <c r="I1907" s="32" t="s">
        <v>1260</v>
      </c>
      <c r="J1907" s="32">
        <v>6199</v>
      </c>
      <c r="K1907" s="32">
        <f>1346+6278+4484</f>
        <v>12108</v>
      </c>
      <c r="L1907" s="32">
        <v>0</v>
      </c>
      <c r="M1907" s="32">
        <v>0</v>
      </c>
      <c r="N1907" s="32">
        <v>1793</v>
      </c>
      <c r="O1907" s="32">
        <v>0</v>
      </c>
      <c r="P1907" s="32">
        <v>0</v>
      </c>
      <c r="Q1907" s="46">
        <f t="shared" si="58"/>
        <v>20100</v>
      </c>
      <c r="R1907" s="69">
        <f t="shared" si="59"/>
        <v>17085</v>
      </c>
      <c r="S1907" s="30"/>
      <c r="T1907" s="30"/>
    </row>
    <row r="1908" spans="1:20" ht="45" customHeight="1" x14ac:dyDescent="0.3">
      <c r="A1908" s="31">
        <v>1896</v>
      </c>
      <c r="B1908" s="32" t="s">
        <v>6165</v>
      </c>
      <c r="C1908" s="32" t="s">
        <v>6236</v>
      </c>
      <c r="D1908" s="32" t="s">
        <v>1942</v>
      </c>
      <c r="E1908" s="32">
        <v>2025</v>
      </c>
      <c r="F1908" s="32" t="s">
        <v>18</v>
      </c>
      <c r="G1908" s="32" t="s">
        <v>6321</v>
      </c>
      <c r="H1908" s="32" t="s">
        <v>6363</v>
      </c>
      <c r="I1908" s="32" t="s">
        <v>5952</v>
      </c>
      <c r="J1908" s="32">
        <v>6199</v>
      </c>
      <c r="K1908" s="32">
        <v>0</v>
      </c>
      <c r="L1908" s="32">
        <v>0</v>
      </c>
      <c r="M1908" s="32">
        <v>0</v>
      </c>
      <c r="N1908" s="32">
        <v>0</v>
      </c>
      <c r="O1908" s="32">
        <v>0</v>
      </c>
      <c r="P1908" s="32">
        <v>0</v>
      </c>
      <c r="Q1908" s="46">
        <f t="shared" si="58"/>
        <v>6199</v>
      </c>
      <c r="R1908" s="69">
        <f t="shared" si="59"/>
        <v>5269.15</v>
      </c>
      <c r="S1908" s="30"/>
      <c r="T1908" s="30"/>
    </row>
    <row r="1909" spans="1:20" ht="45" customHeight="1" x14ac:dyDescent="0.3">
      <c r="A1909" s="31">
        <v>1897</v>
      </c>
      <c r="B1909" s="32" t="s">
        <v>6165</v>
      </c>
      <c r="C1909" s="32" t="s">
        <v>6237</v>
      </c>
      <c r="D1909" s="32" t="s">
        <v>6238</v>
      </c>
      <c r="E1909" s="32">
        <v>1996</v>
      </c>
      <c r="F1909" s="32" t="s">
        <v>19</v>
      </c>
      <c r="G1909" s="32" t="s">
        <v>6322</v>
      </c>
      <c r="H1909" s="32" t="s">
        <v>5935</v>
      </c>
      <c r="I1909" s="32" t="s">
        <v>1069</v>
      </c>
      <c r="J1909" s="32">
        <v>6199</v>
      </c>
      <c r="K1909" s="32">
        <f>6278+2332+4484+2332+2332+2243+3500+3000+3000+6995+3500+3228</f>
        <v>43224</v>
      </c>
      <c r="L1909" s="32">
        <v>18406</v>
      </c>
      <c r="M1909" s="32">
        <v>0</v>
      </c>
      <c r="N1909" s="32">
        <v>1793</v>
      </c>
      <c r="O1909" s="32">
        <v>0</v>
      </c>
      <c r="P1909" s="32">
        <v>0</v>
      </c>
      <c r="Q1909" s="46">
        <f t="shared" si="58"/>
        <v>69622</v>
      </c>
      <c r="R1909" s="69">
        <f t="shared" si="59"/>
        <v>59178.7</v>
      </c>
      <c r="S1909" s="30"/>
      <c r="T1909" s="30"/>
    </row>
    <row r="1910" spans="1:20" ht="45" customHeight="1" x14ac:dyDescent="0.3">
      <c r="A1910" s="36">
        <v>1898</v>
      </c>
      <c r="B1910" s="32" t="s">
        <v>6165</v>
      </c>
      <c r="C1910" s="32" t="s">
        <v>6239</v>
      </c>
      <c r="D1910" s="32" t="s">
        <v>6240</v>
      </c>
      <c r="E1910" s="32">
        <v>1997</v>
      </c>
      <c r="F1910" s="32" t="s">
        <v>19</v>
      </c>
      <c r="G1910" s="32" t="s">
        <v>6323</v>
      </c>
      <c r="H1910" s="32" t="s">
        <v>6323</v>
      </c>
      <c r="I1910" s="32" t="s">
        <v>6384</v>
      </c>
      <c r="J1910" s="32">
        <v>6199</v>
      </c>
      <c r="K1910" s="32">
        <f>2332+2332+2243</f>
        <v>6907</v>
      </c>
      <c r="L1910" s="32">
        <v>18406</v>
      </c>
      <c r="M1910" s="32">
        <v>0</v>
      </c>
      <c r="N1910" s="32">
        <v>0</v>
      </c>
      <c r="O1910" s="32">
        <v>0</v>
      </c>
      <c r="P1910" s="32">
        <v>0</v>
      </c>
      <c r="Q1910" s="46">
        <f t="shared" si="58"/>
        <v>31512</v>
      </c>
      <c r="R1910" s="69">
        <f t="shared" si="59"/>
        <v>26785.200000000001</v>
      </c>
      <c r="S1910" s="30"/>
      <c r="T1910" s="30"/>
    </row>
    <row r="1911" spans="1:20" ht="45" customHeight="1" x14ac:dyDescent="0.3">
      <c r="A1911" s="31">
        <v>1899</v>
      </c>
      <c r="B1911" s="32" t="s">
        <v>6165</v>
      </c>
      <c r="C1911" s="32" t="s">
        <v>6241</v>
      </c>
      <c r="D1911" s="32" t="s">
        <v>6242</v>
      </c>
      <c r="E1911" s="32">
        <v>1980</v>
      </c>
      <c r="F1911" s="32" t="s">
        <v>19</v>
      </c>
      <c r="G1911" s="32" t="s">
        <v>215</v>
      </c>
      <c r="H1911" s="32" t="s">
        <v>215</v>
      </c>
      <c r="I1911" s="32" t="s">
        <v>253</v>
      </c>
      <c r="J1911" s="32">
        <v>6199</v>
      </c>
      <c r="K1911" s="32">
        <v>0</v>
      </c>
      <c r="L1911" s="32">
        <v>13526</v>
      </c>
      <c r="M1911" s="32">
        <v>0</v>
      </c>
      <c r="N1911" s="32">
        <v>0</v>
      </c>
      <c r="O1911" s="32">
        <v>0</v>
      </c>
      <c r="P1911" s="32">
        <v>0</v>
      </c>
      <c r="Q1911" s="46">
        <f t="shared" si="58"/>
        <v>19725</v>
      </c>
      <c r="R1911" s="69">
        <f t="shared" si="59"/>
        <v>16766.25</v>
      </c>
      <c r="S1911" s="30"/>
      <c r="T1911" s="30"/>
    </row>
    <row r="1912" spans="1:20" ht="45" customHeight="1" x14ac:dyDescent="0.3">
      <c r="A1912" s="31">
        <v>1900</v>
      </c>
      <c r="B1912" s="32" t="s">
        <v>6165</v>
      </c>
      <c r="C1912" s="32" t="s">
        <v>6243</v>
      </c>
      <c r="D1912" s="32" t="s">
        <v>6244</v>
      </c>
      <c r="E1912" s="32">
        <v>1988</v>
      </c>
      <c r="F1912" s="32" t="s">
        <v>19</v>
      </c>
      <c r="G1912" s="32" t="s">
        <v>233</v>
      </c>
      <c r="H1912" s="32" t="s">
        <v>233</v>
      </c>
      <c r="I1912" s="32" t="s">
        <v>829</v>
      </c>
      <c r="J1912" s="32">
        <v>6199</v>
      </c>
      <c r="K1912" s="32">
        <v>0</v>
      </c>
      <c r="L1912" s="32">
        <v>0</v>
      </c>
      <c r="M1912" s="32">
        <v>0</v>
      </c>
      <c r="N1912" s="32">
        <v>0</v>
      </c>
      <c r="O1912" s="32">
        <v>0</v>
      </c>
      <c r="P1912" s="32">
        <v>0</v>
      </c>
      <c r="Q1912" s="46">
        <f t="shared" si="58"/>
        <v>6199</v>
      </c>
      <c r="R1912" s="69">
        <f t="shared" si="59"/>
        <v>5269.15</v>
      </c>
      <c r="S1912" s="30"/>
      <c r="T1912" s="30"/>
    </row>
    <row r="1913" spans="1:20" ht="45" customHeight="1" x14ac:dyDescent="0.3">
      <c r="A1913" s="36">
        <v>1901</v>
      </c>
      <c r="B1913" s="32" t="s">
        <v>6165</v>
      </c>
      <c r="C1913" s="32" t="s">
        <v>6245</v>
      </c>
      <c r="D1913" s="32" t="s">
        <v>6246</v>
      </c>
      <c r="E1913" s="32">
        <v>2016</v>
      </c>
      <c r="F1913" s="32" t="s">
        <v>19</v>
      </c>
      <c r="G1913" s="32" t="s">
        <v>6324</v>
      </c>
      <c r="H1913" s="32" t="s">
        <v>233</v>
      </c>
      <c r="I1913" s="32" t="s">
        <v>282</v>
      </c>
      <c r="J1913" s="32">
        <v>6199</v>
      </c>
      <c r="K1913" s="32">
        <v>0</v>
      </c>
      <c r="L1913" s="32">
        <v>0</v>
      </c>
      <c r="M1913" s="32">
        <v>0</v>
      </c>
      <c r="N1913" s="32">
        <v>0</v>
      </c>
      <c r="O1913" s="32">
        <v>0</v>
      </c>
      <c r="P1913" s="32">
        <v>0</v>
      </c>
      <c r="Q1913" s="46">
        <f t="shared" si="58"/>
        <v>6199</v>
      </c>
      <c r="R1913" s="69">
        <f t="shared" si="59"/>
        <v>5269.15</v>
      </c>
      <c r="S1913" s="30"/>
      <c r="T1913" s="30"/>
    </row>
    <row r="1914" spans="1:20" ht="45" customHeight="1" x14ac:dyDescent="0.3">
      <c r="A1914" s="31">
        <v>1902</v>
      </c>
      <c r="B1914" s="32" t="s">
        <v>6165</v>
      </c>
      <c r="C1914" s="32" t="s">
        <v>6247</v>
      </c>
      <c r="D1914" s="32" t="s">
        <v>3734</v>
      </c>
      <c r="E1914" s="32">
        <v>1990</v>
      </c>
      <c r="F1914" s="32" t="s">
        <v>19</v>
      </c>
      <c r="G1914" s="32" t="s">
        <v>5622</v>
      </c>
      <c r="H1914" s="32" t="s">
        <v>3618</v>
      </c>
      <c r="I1914" s="32" t="s">
        <v>28</v>
      </c>
      <c r="J1914" s="32">
        <v>6199</v>
      </c>
      <c r="K1914" s="32">
        <v>0</v>
      </c>
      <c r="L1914" s="32">
        <v>0</v>
      </c>
      <c r="M1914" s="32">
        <v>0</v>
      </c>
      <c r="N1914" s="32">
        <v>0</v>
      </c>
      <c r="O1914" s="32">
        <v>0</v>
      </c>
      <c r="P1914" s="32">
        <v>0</v>
      </c>
      <c r="Q1914" s="46">
        <f t="shared" si="58"/>
        <v>6199</v>
      </c>
      <c r="R1914" s="69">
        <f t="shared" si="59"/>
        <v>5269.15</v>
      </c>
      <c r="S1914" s="30"/>
      <c r="T1914" s="30"/>
    </row>
    <row r="1915" spans="1:20" ht="45" customHeight="1" x14ac:dyDescent="0.3">
      <c r="A1915" s="31">
        <v>1903</v>
      </c>
      <c r="B1915" s="32" t="s">
        <v>6165</v>
      </c>
      <c r="C1915" s="32" t="s">
        <v>6248</v>
      </c>
      <c r="D1915" s="32" t="s">
        <v>6249</v>
      </c>
      <c r="E1915" s="32">
        <v>1992</v>
      </c>
      <c r="F1915" s="32" t="s">
        <v>19</v>
      </c>
      <c r="G1915" s="32" t="s">
        <v>6325</v>
      </c>
      <c r="H1915" s="32" t="s">
        <v>6325</v>
      </c>
      <c r="I1915" s="32" t="s">
        <v>6385</v>
      </c>
      <c r="J1915" s="32">
        <v>6199</v>
      </c>
      <c r="K1915" s="32">
        <v>0</v>
      </c>
      <c r="L1915" s="32">
        <v>18406</v>
      </c>
      <c r="M1915" s="32">
        <v>0</v>
      </c>
      <c r="N1915" s="32">
        <v>0</v>
      </c>
      <c r="O1915" s="32">
        <v>0</v>
      </c>
      <c r="P1915" s="32">
        <v>0</v>
      </c>
      <c r="Q1915" s="46">
        <f t="shared" si="58"/>
        <v>24605</v>
      </c>
      <c r="R1915" s="69">
        <f t="shared" si="59"/>
        <v>20914.25</v>
      </c>
      <c r="S1915" s="30"/>
      <c r="T1915" s="30"/>
    </row>
    <row r="1916" spans="1:20" ht="45" customHeight="1" x14ac:dyDescent="0.3">
      <c r="A1916" s="36">
        <v>1904</v>
      </c>
      <c r="B1916" s="32" t="s">
        <v>6165</v>
      </c>
      <c r="C1916" s="32" t="s">
        <v>6250</v>
      </c>
      <c r="D1916" s="32" t="s">
        <v>6251</v>
      </c>
      <c r="E1916" s="32">
        <v>1985</v>
      </c>
      <c r="F1916" s="32" t="s">
        <v>18</v>
      </c>
      <c r="G1916" s="32" t="s">
        <v>6326</v>
      </c>
      <c r="H1916" s="32" t="s">
        <v>6326</v>
      </c>
      <c r="I1916" s="32" t="s">
        <v>32</v>
      </c>
      <c r="J1916" s="32">
        <v>6199</v>
      </c>
      <c r="K1916" s="32">
        <f>1346+6278+4484+1166</f>
        <v>13274</v>
      </c>
      <c r="L1916" s="32">
        <v>0</v>
      </c>
      <c r="M1916" s="32">
        <v>0</v>
      </c>
      <c r="N1916" s="32">
        <v>1793</v>
      </c>
      <c r="O1916" s="32">
        <v>0</v>
      </c>
      <c r="P1916" s="32">
        <v>0</v>
      </c>
      <c r="Q1916" s="46">
        <f t="shared" si="58"/>
        <v>21266</v>
      </c>
      <c r="R1916" s="69">
        <f t="shared" si="59"/>
        <v>18076.099999999999</v>
      </c>
      <c r="S1916" s="30"/>
      <c r="T1916" s="30"/>
    </row>
    <row r="1917" spans="1:20" ht="45" customHeight="1" x14ac:dyDescent="0.3">
      <c r="A1917" s="31">
        <v>1905</v>
      </c>
      <c r="B1917" s="32" t="s">
        <v>6165</v>
      </c>
      <c r="C1917" s="32" t="s">
        <v>6252</v>
      </c>
      <c r="D1917" s="32" t="s">
        <v>6253</v>
      </c>
      <c r="E1917" s="32">
        <v>2024</v>
      </c>
      <c r="F1917" s="32" t="s">
        <v>18</v>
      </c>
      <c r="G1917" s="32" t="s">
        <v>6327</v>
      </c>
      <c r="H1917" s="32" t="s">
        <v>6364</v>
      </c>
      <c r="I1917" s="32" t="s">
        <v>6386</v>
      </c>
      <c r="J1917" s="32">
        <v>6199</v>
      </c>
      <c r="K1917" s="32">
        <f>1346+6278+4484+4484+2332+2332+2332+2332+2332+2332+6995+6995+2332+6995+1166</f>
        <v>55067</v>
      </c>
      <c r="L1917" s="32">
        <v>0</v>
      </c>
      <c r="M1917" s="32">
        <v>0</v>
      </c>
      <c r="N1917" s="32">
        <v>3148</v>
      </c>
      <c r="O1917" s="32">
        <v>0</v>
      </c>
      <c r="P1917" s="32">
        <v>0</v>
      </c>
      <c r="Q1917" s="46">
        <f t="shared" si="58"/>
        <v>64414</v>
      </c>
      <c r="R1917" s="69">
        <f t="shared" si="59"/>
        <v>54751.9</v>
      </c>
      <c r="S1917" s="30"/>
      <c r="T1917" s="30"/>
    </row>
    <row r="1918" spans="1:20" ht="45" customHeight="1" x14ac:dyDescent="0.3">
      <c r="A1918" s="31">
        <v>1906</v>
      </c>
      <c r="B1918" s="32" t="s">
        <v>6165</v>
      </c>
      <c r="C1918" s="32" t="s">
        <v>6254</v>
      </c>
      <c r="D1918" s="32" t="s">
        <v>6255</v>
      </c>
      <c r="E1918" s="32">
        <v>2024</v>
      </c>
      <c r="F1918" s="32" t="s">
        <v>18</v>
      </c>
      <c r="G1918" s="32" t="s">
        <v>6328</v>
      </c>
      <c r="H1918" s="32" t="s">
        <v>6365</v>
      </c>
      <c r="I1918" s="32" t="s">
        <v>6387</v>
      </c>
      <c r="J1918" s="32">
        <v>6199</v>
      </c>
      <c r="K1918" s="32">
        <v>0</v>
      </c>
      <c r="L1918" s="32">
        <v>0</v>
      </c>
      <c r="M1918" s="32">
        <v>0</v>
      </c>
      <c r="N1918" s="32">
        <v>4053</v>
      </c>
      <c r="O1918" s="32">
        <v>0</v>
      </c>
      <c r="P1918" s="32">
        <v>1200</v>
      </c>
      <c r="Q1918" s="46">
        <f t="shared" si="58"/>
        <v>11452</v>
      </c>
      <c r="R1918" s="69">
        <f t="shared" si="59"/>
        <v>9734.2000000000007</v>
      </c>
      <c r="S1918" s="30"/>
      <c r="T1918" s="30"/>
    </row>
    <row r="1919" spans="1:20" ht="45" customHeight="1" x14ac:dyDescent="0.3">
      <c r="A1919" s="36">
        <v>1907</v>
      </c>
      <c r="B1919" s="32" t="s">
        <v>6165</v>
      </c>
      <c r="C1919" s="32" t="s">
        <v>6256</v>
      </c>
      <c r="D1919" s="32" t="s">
        <v>6257</v>
      </c>
      <c r="E1919" s="32">
        <v>1973</v>
      </c>
      <c r="F1919" s="32" t="s">
        <v>19</v>
      </c>
      <c r="G1919" s="32" t="s">
        <v>6329</v>
      </c>
      <c r="H1919" s="32" t="s">
        <v>4191</v>
      </c>
      <c r="I1919" s="32" t="s">
        <v>1460</v>
      </c>
      <c r="J1919" s="32">
        <v>6199</v>
      </c>
      <c r="K1919" s="32">
        <f>1346+6278+4484+2332+2332+2332+1166+2332+2332+6995+2332+2332+2332</f>
        <v>38925</v>
      </c>
      <c r="L1919" s="32">
        <v>0</v>
      </c>
      <c r="M1919" s="32">
        <v>0</v>
      </c>
      <c r="N1919" s="32">
        <v>1793</v>
      </c>
      <c r="O1919" s="32">
        <v>0</v>
      </c>
      <c r="P1919" s="32">
        <v>0</v>
      </c>
      <c r="Q1919" s="46">
        <f t="shared" si="58"/>
        <v>46917</v>
      </c>
      <c r="R1919" s="69">
        <f t="shared" si="59"/>
        <v>39879.449999999997</v>
      </c>
      <c r="S1919" s="30"/>
      <c r="T1919" s="30"/>
    </row>
    <row r="1920" spans="1:20" ht="45" customHeight="1" x14ac:dyDescent="0.3">
      <c r="A1920" s="31">
        <v>1908</v>
      </c>
      <c r="B1920" s="32" t="s">
        <v>6165</v>
      </c>
      <c r="C1920" s="32" t="s">
        <v>6258</v>
      </c>
      <c r="D1920" s="32" t="s">
        <v>1325</v>
      </c>
      <c r="E1920" s="32">
        <v>2022</v>
      </c>
      <c r="F1920" s="32" t="s">
        <v>19</v>
      </c>
      <c r="G1920" s="32" t="s">
        <v>1401</v>
      </c>
      <c r="H1920" s="32" t="s">
        <v>1443</v>
      </c>
      <c r="I1920" s="32" t="s">
        <v>1472</v>
      </c>
      <c r="J1920" s="32">
        <v>6199</v>
      </c>
      <c r="K1920" s="32">
        <v>0</v>
      </c>
      <c r="L1920" s="32">
        <v>0</v>
      </c>
      <c r="M1920" s="32">
        <v>0</v>
      </c>
      <c r="N1920" s="32">
        <v>0</v>
      </c>
      <c r="O1920" s="32">
        <v>0</v>
      </c>
      <c r="P1920" s="32">
        <v>0</v>
      </c>
      <c r="Q1920" s="46">
        <f t="shared" si="58"/>
        <v>6199</v>
      </c>
      <c r="R1920" s="69">
        <f t="shared" si="59"/>
        <v>5269.15</v>
      </c>
      <c r="S1920" s="30"/>
      <c r="T1920" s="30"/>
    </row>
    <row r="1921" spans="1:20" ht="45" customHeight="1" x14ac:dyDescent="0.3">
      <c r="A1921" s="31">
        <v>1909</v>
      </c>
      <c r="B1921" s="32" t="s">
        <v>6165</v>
      </c>
      <c r="C1921" s="32" t="s">
        <v>6259</v>
      </c>
      <c r="D1921" s="32" t="s">
        <v>6260</v>
      </c>
      <c r="E1921" s="32">
        <v>1989</v>
      </c>
      <c r="F1921" s="32" t="s">
        <v>18</v>
      </c>
      <c r="G1921" s="32" t="s">
        <v>6330</v>
      </c>
      <c r="H1921" s="32" t="s">
        <v>6330</v>
      </c>
      <c r="I1921" s="32" t="s">
        <v>3094</v>
      </c>
      <c r="J1921" s="32">
        <v>6199</v>
      </c>
      <c r="K1921" s="32">
        <v>0</v>
      </c>
      <c r="L1921" s="32">
        <v>0</v>
      </c>
      <c r="M1921" s="32">
        <v>0</v>
      </c>
      <c r="N1921" s="32">
        <v>0</v>
      </c>
      <c r="O1921" s="32">
        <v>0</v>
      </c>
      <c r="P1921" s="32">
        <v>0</v>
      </c>
      <c r="Q1921" s="46">
        <f t="shared" si="58"/>
        <v>6199</v>
      </c>
      <c r="R1921" s="69">
        <f t="shared" si="59"/>
        <v>5269.15</v>
      </c>
      <c r="S1921" s="30"/>
      <c r="T1921" s="30"/>
    </row>
    <row r="1922" spans="1:20" ht="45" customHeight="1" x14ac:dyDescent="0.3">
      <c r="A1922" s="36">
        <v>1910</v>
      </c>
      <c r="B1922" s="32" t="s">
        <v>6165</v>
      </c>
      <c r="C1922" s="32" t="s">
        <v>6261</v>
      </c>
      <c r="D1922" s="32" t="s">
        <v>6262</v>
      </c>
      <c r="E1922" s="32">
        <v>1994</v>
      </c>
      <c r="F1922" s="32" t="s">
        <v>19</v>
      </c>
      <c r="G1922" s="32" t="s">
        <v>6331</v>
      </c>
      <c r="H1922" s="32" t="s">
        <v>6366</v>
      </c>
      <c r="I1922" s="32" t="s">
        <v>6388</v>
      </c>
      <c r="J1922" s="32">
        <v>6199</v>
      </c>
      <c r="K1922" s="32">
        <f>1346+6278+4484+2332+2332+2332+2332+2332</f>
        <v>23768</v>
      </c>
      <c r="L1922" s="32">
        <v>9422</v>
      </c>
      <c r="M1922" s="32">
        <v>0</v>
      </c>
      <c r="N1922" s="32">
        <v>1793</v>
      </c>
      <c r="O1922" s="32">
        <v>0</v>
      </c>
      <c r="P1922" s="32">
        <v>0</v>
      </c>
      <c r="Q1922" s="46">
        <f t="shared" si="58"/>
        <v>41182</v>
      </c>
      <c r="R1922" s="69">
        <f t="shared" si="59"/>
        <v>35004.699999999997</v>
      </c>
      <c r="S1922" s="30"/>
      <c r="T1922" s="30"/>
    </row>
    <row r="1923" spans="1:20" ht="45" customHeight="1" x14ac:dyDescent="0.3">
      <c r="A1923" s="31">
        <v>1911</v>
      </c>
      <c r="B1923" s="32" t="s">
        <v>6165</v>
      </c>
      <c r="C1923" s="32" t="s">
        <v>6263</v>
      </c>
      <c r="D1923" s="32" t="s">
        <v>6264</v>
      </c>
      <c r="E1923" s="32">
        <v>2022</v>
      </c>
      <c r="F1923" s="32" t="s">
        <v>18</v>
      </c>
      <c r="G1923" s="32" t="s">
        <v>6332</v>
      </c>
      <c r="H1923" s="32" t="s">
        <v>6367</v>
      </c>
      <c r="I1923" s="32" t="s">
        <v>6389</v>
      </c>
      <c r="J1923" s="32">
        <v>6199</v>
      </c>
      <c r="K1923" s="32">
        <f>1346+6278+4484+2332+2332+2332+2332+2332+2332+6995+6995+2332+6995+4484+1166</f>
        <v>55067</v>
      </c>
      <c r="L1923" s="32">
        <v>0</v>
      </c>
      <c r="M1923" s="32">
        <v>0</v>
      </c>
      <c r="N1923" s="32">
        <v>3148</v>
      </c>
      <c r="O1923" s="32">
        <v>0</v>
      </c>
      <c r="P1923" s="32">
        <v>0</v>
      </c>
      <c r="Q1923" s="46">
        <f t="shared" si="58"/>
        <v>64414</v>
      </c>
      <c r="R1923" s="69">
        <f t="shared" si="59"/>
        <v>54751.9</v>
      </c>
      <c r="S1923" s="30"/>
      <c r="T1923" s="30"/>
    </row>
    <row r="1924" spans="1:20" ht="45" customHeight="1" x14ac:dyDescent="0.3">
      <c r="A1924" s="31">
        <v>1912</v>
      </c>
      <c r="B1924" s="32" t="s">
        <v>6165</v>
      </c>
      <c r="C1924" s="32" t="s">
        <v>6265</v>
      </c>
      <c r="D1924" s="32" t="s">
        <v>6266</v>
      </c>
      <c r="E1924" s="32">
        <v>1980</v>
      </c>
      <c r="F1924" s="32" t="s">
        <v>19</v>
      </c>
      <c r="G1924" s="32" t="s">
        <v>6333</v>
      </c>
      <c r="H1924" s="32" t="s">
        <v>6333</v>
      </c>
      <c r="I1924" s="32" t="s">
        <v>6390</v>
      </c>
      <c r="J1924" s="32">
        <v>6199</v>
      </c>
      <c r="K1924" s="32">
        <f>1346+6278+4484</f>
        <v>12108</v>
      </c>
      <c r="L1924" s="32">
        <v>0</v>
      </c>
      <c r="M1924" s="32">
        <v>0</v>
      </c>
      <c r="N1924" s="32">
        <v>1793</v>
      </c>
      <c r="O1924" s="32">
        <v>0</v>
      </c>
      <c r="P1924" s="32">
        <v>0</v>
      </c>
      <c r="Q1924" s="46">
        <f t="shared" si="58"/>
        <v>20100</v>
      </c>
      <c r="R1924" s="69">
        <f t="shared" si="59"/>
        <v>17085</v>
      </c>
      <c r="S1924" s="30"/>
      <c r="T1924" s="30"/>
    </row>
    <row r="1925" spans="1:20" ht="45" customHeight="1" x14ac:dyDescent="0.3">
      <c r="A1925" s="36">
        <v>1913</v>
      </c>
      <c r="B1925" s="32" t="s">
        <v>6165</v>
      </c>
      <c r="C1925" s="32" t="s">
        <v>6267</v>
      </c>
      <c r="D1925" s="32" t="s">
        <v>6268</v>
      </c>
      <c r="E1925" s="32">
        <v>2022</v>
      </c>
      <c r="F1925" s="32" t="s">
        <v>19</v>
      </c>
      <c r="G1925" s="32" t="s">
        <v>6334</v>
      </c>
      <c r="H1925" s="32" t="s">
        <v>6368</v>
      </c>
      <c r="I1925" s="32" t="s">
        <v>300</v>
      </c>
      <c r="J1925" s="32">
        <v>6199</v>
      </c>
      <c r="K1925" s="32">
        <f>6278+4484</f>
        <v>10762</v>
      </c>
      <c r="L1925" s="32">
        <v>0</v>
      </c>
      <c r="M1925" s="32">
        <v>0</v>
      </c>
      <c r="N1925" s="32">
        <v>3148</v>
      </c>
      <c r="O1925" s="32">
        <v>0</v>
      </c>
      <c r="P1925" s="32">
        <v>0</v>
      </c>
      <c r="Q1925" s="46">
        <f t="shared" si="58"/>
        <v>20109</v>
      </c>
      <c r="R1925" s="69">
        <f t="shared" si="59"/>
        <v>17092.650000000001</v>
      </c>
      <c r="S1925" s="30"/>
      <c r="T1925" s="30"/>
    </row>
    <row r="1926" spans="1:20" ht="45" customHeight="1" x14ac:dyDescent="0.3">
      <c r="A1926" s="31">
        <v>1914</v>
      </c>
      <c r="B1926" s="32" t="s">
        <v>6165</v>
      </c>
      <c r="C1926" s="32" t="s">
        <v>6269</v>
      </c>
      <c r="D1926" s="32" t="s">
        <v>6270</v>
      </c>
      <c r="E1926" s="32">
        <v>1983</v>
      </c>
      <c r="F1926" s="32" t="s">
        <v>19</v>
      </c>
      <c r="G1926" s="32" t="s">
        <v>6335</v>
      </c>
      <c r="H1926" s="32" t="s">
        <v>6369</v>
      </c>
      <c r="I1926" s="32" t="s">
        <v>35</v>
      </c>
      <c r="J1926" s="32">
        <v>6199</v>
      </c>
      <c r="K1926" s="32">
        <v>0</v>
      </c>
      <c r="L1926" s="32">
        <v>0</v>
      </c>
      <c r="M1926" s="32">
        <v>0</v>
      </c>
      <c r="N1926" s="32">
        <v>0</v>
      </c>
      <c r="O1926" s="32">
        <v>0</v>
      </c>
      <c r="P1926" s="32">
        <v>0</v>
      </c>
      <c r="Q1926" s="46">
        <f t="shared" si="58"/>
        <v>6199</v>
      </c>
      <c r="R1926" s="69">
        <f t="shared" si="59"/>
        <v>5269.15</v>
      </c>
      <c r="S1926" s="30"/>
      <c r="T1926" s="30"/>
    </row>
    <row r="1927" spans="1:20" ht="45" customHeight="1" x14ac:dyDescent="0.3">
      <c r="A1927" s="31">
        <v>1915</v>
      </c>
      <c r="B1927" s="32" t="s">
        <v>6165</v>
      </c>
      <c r="C1927" s="32" t="s">
        <v>6271</v>
      </c>
      <c r="D1927" s="32" t="s">
        <v>4968</v>
      </c>
      <c r="E1927" s="32">
        <v>1989</v>
      </c>
      <c r="F1927" s="32" t="s">
        <v>19</v>
      </c>
      <c r="G1927" s="32" t="s">
        <v>5057</v>
      </c>
      <c r="H1927" s="32" t="s">
        <v>5057</v>
      </c>
      <c r="I1927" s="32" t="s">
        <v>34</v>
      </c>
      <c r="J1927" s="32">
        <v>3793</v>
      </c>
      <c r="K1927" s="32">
        <f>1346+6278+4484+2332+2332+2332</f>
        <v>19104</v>
      </c>
      <c r="L1927" s="32">
        <v>0</v>
      </c>
      <c r="M1927" s="32">
        <v>0</v>
      </c>
      <c r="N1927" s="32">
        <v>1793</v>
      </c>
      <c r="O1927" s="32">
        <v>0</v>
      </c>
      <c r="P1927" s="32">
        <v>0</v>
      </c>
      <c r="Q1927" s="46">
        <f t="shared" si="58"/>
        <v>24690</v>
      </c>
      <c r="R1927" s="69">
        <f t="shared" si="59"/>
        <v>20986.5</v>
      </c>
      <c r="S1927" s="30"/>
      <c r="T1927" s="30"/>
    </row>
    <row r="1928" spans="1:20" ht="45" customHeight="1" x14ac:dyDescent="0.3">
      <c r="A1928" s="36">
        <v>1916</v>
      </c>
      <c r="B1928" s="32" t="s">
        <v>6165</v>
      </c>
      <c r="C1928" s="32" t="s">
        <v>6272</v>
      </c>
      <c r="D1928" s="34">
        <v>10215583</v>
      </c>
      <c r="E1928" s="32">
        <v>1979</v>
      </c>
      <c r="F1928" s="32" t="s">
        <v>19</v>
      </c>
      <c r="G1928" s="32" t="s">
        <v>6336</v>
      </c>
      <c r="H1928" s="32" t="s">
        <v>6336</v>
      </c>
      <c r="I1928" s="32" t="s">
        <v>2849</v>
      </c>
      <c r="J1928" s="32">
        <v>6199</v>
      </c>
      <c r="K1928" s="32">
        <f>2332+2332+1166+2801</f>
        <v>8631</v>
      </c>
      <c r="L1928" s="32">
        <v>0</v>
      </c>
      <c r="M1928" s="32">
        <v>0</v>
      </c>
      <c r="N1928" s="32">
        <v>0</v>
      </c>
      <c r="O1928" s="32">
        <v>0</v>
      </c>
      <c r="P1928" s="32">
        <v>0</v>
      </c>
      <c r="Q1928" s="46">
        <f t="shared" si="58"/>
        <v>14830</v>
      </c>
      <c r="R1928" s="69">
        <f t="shared" si="59"/>
        <v>12605.5</v>
      </c>
      <c r="S1928" s="30"/>
      <c r="T1928" s="30"/>
    </row>
    <row r="1929" spans="1:20" ht="45" customHeight="1" x14ac:dyDescent="0.3">
      <c r="A1929" s="31">
        <v>1917</v>
      </c>
      <c r="B1929" s="32" t="s">
        <v>6165</v>
      </c>
      <c r="C1929" s="32" t="s">
        <v>6273</v>
      </c>
      <c r="D1929" s="32" t="s">
        <v>6274</v>
      </c>
      <c r="E1929" s="32">
        <v>2015</v>
      </c>
      <c r="F1929" s="32" t="s">
        <v>19</v>
      </c>
      <c r="G1929" s="32" t="s">
        <v>6337</v>
      </c>
      <c r="H1929" s="32" t="s">
        <v>6370</v>
      </c>
      <c r="I1929" s="32" t="s">
        <v>567</v>
      </c>
      <c r="J1929" s="32">
        <v>6199</v>
      </c>
      <c r="K1929" s="32">
        <f>1346+6278+4484+4484</f>
        <v>16592</v>
      </c>
      <c r="L1929" s="32">
        <v>0</v>
      </c>
      <c r="M1929" s="32">
        <v>0</v>
      </c>
      <c r="N1929" s="32">
        <v>3148</v>
      </c>
      <c r="O1929" s="32">
        <v>0</v>
      </c>
      <c r="P1929" s="32">
        <v>0</v>
      </c>
      <c r="Q1929" s="46">
        <f t="shared" si="58"/>
        <v>25939</v>
      </c>
      <c r="R1929" s="69">
        <f t="shared" si="59"/>
        <v>22048.15</v>
      </c>
      <c r="S1929" s="30"/>
      <c r="T1929" s="30"/>
    </row>
    <row r="1930" spans="1:20" ht="45" customHeight="1" x14ac:dyDescent="0.3">
      <c r="A1930" s="31">
        <v>1918</v>
      </c>
      <c r="B1930" s="32" t="s">
        <v>6165</v>
      </c>
      <c r="C1930" s="32" t="s">
        <v>6275</v>
      </c>
      <c r="D1930" s="32" t="s">
        <v>6276</v>
      </c>
      <c r="E1930" s="32">
        <v>2024</v>
      </c>
      <c r="F1930" s="32" t="s">
        <v>19</v>
      </c>
      <c r="G1930" s="32" t="s">
        <v>6338</v>
      </c>
      <c r="H1930" s="32" t="s">
        <v>1217</v>
      </c>
      <c r="I1930" s="32" t="s">
        <v>300</v>
      </c>
      <c r="J1930" s="32">
        <v>6199</v>
      </c>
      <c r="K1930" s="32">
        <f>1346+6278+4484</f>
        <v>12108</v>
      </c>
      <c r="L1930" s="32">
        <v>0</v>
      </c>
      <c r="M1930" s="32">
        <v>0</v>
      </c>
      <c r="N1930" s="32">
        <v>3148</v>
      </c>
      <c r="O1930" s="32">
        <v>0</v>
      </c>
      <c r="P1930" s="32">
        <v>0</v>
      </c>
      <c r="Q1930" s="46">
        <f t="shared" si="58"/>
        <v>21455</v>
      </c>
      <c r="R1930" s="69">
        <f t="shared" si="59"/>
        <v>18236.75</v>
      </c>
      <c r="S1930" s="30"/>
      <c r="T1930" s="30"/>
    </row>
    <row r="1931" spans="1:20" ht="45" customHeight="1" x14ac:dyDescent="0.3">
      <c r="A1931" s="36">
        <v>1919</v>
      </c>
      <c r="B1931" s="32" t="s">
        <v>6165</v>
      </c>
      <c r="C1931" s="32" t="s">
        <v>6277</v>
      </c>
      <c r="D1931" s="32" t="s">
        <v>6278</v>
      </c>
      <c r="E1931" s="32">
        <v>2018</v>
      </c>
      <c r="F1931" s="32" t="s">
        <v>19</v>
      </c>
      <c r="G1931" s="32" t="s">
        <v>6339</v>
      </c>
      <c r="H1931" s="32" t="s">
        <v>5121</v>
      </c>
      <c r="I1931" s="32" t="s">
        <v>300</v>
      </c>
      <c r="J1931" s="32">
        <v>6199</v>
      </c>
      <c r="K1931" s="32">
        <v>0</v>
      </c>
      <c r="L1931" s="32">
        <v>0</v>
      </c>
      <c r="M1931" s="32">
        <v>0</v>
      </c>
      <c r="N1931" s="32">
        <v>0</v>
      </c>
      <c r="O1931" s="32">
        <v>0</v>
      </c>
      <c r="P1931" s="32">
        <v>0</v>
      </c>
      <c r="Q1931" s="46">
        <f t="shared" si="58"/>
        <v>6199</v>
      </c>
      <c r="R1931" s="69">
        <f t="shared" si="59"/>
        <v>5269.15</v>
      </c>
      <c r="S1931" s="30"/>
      <c r="T1931" s="30"/>
    </row>
    <row r="1932" spans="1:20" ht="45" customHeight="1" x14ac:dyDescent="0.3">
      <c r="A1932" s="31">
        <v>1920</v>
      </c>
      <c r="B1932" s="32" t="s">
        <v>6165</v>
      </c>
      <c r="C1932" s="32" t="s">
        <v>6279</v>
      </c>
      <c r="D1932" s="32" t="s">
        <v>6280</v>
      </c>
      <c r="E1932" s="32">
        <v>2003</v>
      </c>
      <c r="F1932" s="32" t="s">
        <v>19</v>
      </c>
      <c r="G1932" s="32" t="s">
        <v>6340</v>
      </c>
      <c r="H1932" s="32" t="s">
        <v>6371</v>
      </c>
      <c r="I1932" s="32" t="s">
        <v>6391</v>
      </c>
      <c r="J1932" s="32">
        <v>6199</v>
      </c>
      <c r="K1932" s="32">
        <f>1346+6278+4484</f>
        <v>12108</v>
      </c>
      <c r="L1932" s="32">
        <v>0</v>
      </c>
      <c r="M1932" s="32">
        <v>0</v>
      </c>
      <c r="N1932" s="32">
        <v>1793</v>
      </c>
      <c r="O1932" s="32">
        <v>0</v>
      </c>
      <c r="P1932" s="32">
        <v>0</v>
      </c>
      <c r="Q1932" s="46">
        <f t="shared" si="58"/>
        <v>20100</v>
      </c>
      <c r="R1932" s="69">
        <f t="shared" si="59"/>
        <v>17085</v>
      </c>
      <c r="S1932" s="30"/>
      <c r="T1932" s="30"/>
    </row>
    <row r="1933" spans="1:20" ht="45" customHeight="1" x14ac:dyDescent="0.3">
      <c r="A1933" s="31">
        <v>1921</v>
      </c>
      <c r="B1933" s="32" t="s">
        <v>6165</v>
      </c>
      <c r="C1933" s="32" t="s">
        <v>6281</v>
      </c>
      <c r="D1933" s="32" t="s">
        <v>6282</v>
      </c>
      <c r="E1933" s="32">
        <v>2023</v>
      </c>
      <c r="F1933" s="32" t="s">
        <v>18</v>
      </c>
      <c r="G1933" s="32" t="s">
        <v>6341</v>
      </c>
      <c r="H1933" s="32" t="s">
        <v>6372</v>
      </c>
      <c r="I1933" s="32" t="s">
        <v>299</v>
      </c>
      <c r="J1933" s="32">
        <v>6199</v>
      </c>
      <c r="K1933" s="32">
        <f>1346+6278+4484</f>
        <v>12108</v>
      </c>
      <c r="L1933" s="32">
        <v>0</v>
      </c>
      <c r="M1933" s="32">
        <v>0</v>
      </c>
      <c r="N1933" s="32">
        <v>3148</v>
      </c>
      <c r="O1933" s="32">
        <v>0</v>
      </c>
      <c r="P1933" s="32">
        <v>0</v>
      </c>
      <c r="Q1933" s="46">
        <f t="shared" ref="Q1933:Q1996" si="60">SUM(J1933:P1933)</f>
        <v>21455</v>
      </c>
      <c r="R1933" s="69">
        <f t="shared" si="59"/>
        <v>18236.75</v>
      </c>
      <c r="S1933" s="30"/>
      <c r="T1933" s="30"/>
    </row>
    <row r="1934" spans="1:20" ht="45" customHeight="1" x14ac:dyDescent="0.3">
      <c r="A1934" s="36">
        <v>1922</v>
      </c>
      <c r="B1934" s="32" t="s">
        <v>6165</v>
      </c>
      <c r="C1934" s="32" t="s">
        <v>6283</v>
      </c>
      <c r="D1934" s="32" t="s">
        <v>6284</v>
      </c>
      <c r="E1934" s="32">
        <v>1994</v>
      </c>
      <c r="F1934" s="32" t="s">
        <v>19</v>
      </c>
      <c r="G1934" s="32" t="s">
        <v>3072</v>
      </c>
      <c r="H1934" s="32" t="s">
        <v>3072</v>
      </c>
      <c r="I1934" s="32" t="s">
        <v>6392</v>
      </c>
      <c r="J1934" s="32">
        <v>6199</v>
      </c>
      <c r="K1934" s="32">
        <v>0</v>
      </c>
      <c r="L1934" s="32">
        <v>0</v>
      </c>
      <c r="M1934" s="32">
        <v>0</v>
      </c>
      <c r="N1934" s="32">
        <v>0</v>
      </c>
      <c r="O1934" s="32">
        <v>0</v>
      </c>
      <c r="P1934" s="32">
        <v>0</v>
      </c>
      <c r="Q1934" s="46">
        <f t="shared" si="60"/>
        <v>6199</v>
      </c>
      <c r="R1934" s="69">
        <f t="shared" ref="R1934:R1997" si="61">Q1934*85/100</f>
        <v>5269.15</v>
      </c>
      <c r="S1934" s="30"/>
      <c r="T1934" s="30"/>
    </row>
    <row r="1935" spans="1:20" ht="45" customHeight="1" x14ac:dyDescent="0.3">
      <c r="A1935" s="31">
        <v>1923</v>
      </c>
      <c r="B1935" s="32" t="s">
        <v>6165</v>
      </c>
      <c r="C1935" s="32" t="s">
        <v>6285</v>
      </c>
      <c r="D1935" s="32" t="s">
        <v>2874</v>
      </c>
      <c r="E1935" s="32">
        <v>2023</v>
      </c>
      <c r="F1935" s="32" t="s">
        <v>18</v>
      </c>
      <c r="G1935" s="32" t="s">
        <v>2993</v>
      </c>
      <c r="H1935" s="32" t="s">
        <v>3048</v>
      </c>
      <c r="I1935" s="32" t="s">
        <v>3082</v>
      </c>
      <c r="J1935" s="32">
        <v>6199</v>
      </c>
      <c r="K1935" s="32">
        <v>0</v>
      </c>
      <c r="L1935" s="32">
        <v>0</v>
      </c>
      <c r="M1935" s="32">
        <v>0</v>
      </c>
      <c r="N1935" s="32">
        <v>0</v>
      </c>
      <c r="O1935" s="32">
        <v>0</v>
      </c>
      <c r="P1935" s="32">
        <v>0</v>
      </c>
      <c r="Q1935" s="46">
        <f t="shared" si="60"/>
        <v>6199</v>
      </c>
      <c r="R1935" s="69">
        <f t="shared" si="61"/>
        <v>5269.15</v>
      </c>
      <c r="S1935" s="30"/>
      <c r="T1935" s="30"/>
    </row>
    <row r="1936" spans="1:20" ht="45" customHeight="1" x14ac:dyDescent="0.3">
      <c r="A1936" s="31">
        <v>1924</v>
      </c>
      <c r="B1936" s="32" t="s">
        <v>6165</v>
      </c>
      <c r="C1936" s="32" t="s">
        <v>6286</v>
      </c>
      <c r="D1936" s="32" t="s">
        <v>5527</v>
      </c>
      <c r="E1936" s="32">
        <v>2024</v>
      </c>
      <c r="F1936" s="32" t="s">
        <v>19</v>
      </c>
      <c r="G1936" s="32" t="s">
        <v>5647</v>
      </c>
      <c r="H1936" s="32" t="s">
        <v>5711</v>
      </c>
      <c r="I1936" s="32" t="s">
        <v>5757</v>
      </c>
      <c r="J1936" s="32">
        <v>3793</v>
      </c>
      <c r="K1936" s="32">
        <v>0</v>
      </c>
      <c r="L1936" s="32">
        <v>0</v>
      </c>
      <c r="M1936" s="32">
        <v>0</v>
      </c>
      <c r="N1936" s="32">
        <v>0</v>
      </c>
      <c r="O1936" s="32">
        <v>0</v>
      </c>
      <c r="P1936" s="32">
        <v>0</v>
      </c>
      <c r="Q1936" s="46">
        <f t="shared" si="60"/>
        <v>3793</v>
      </c>
      <c r="R1936" s="69">
        <f t="shared" si="61"/>
        <v>3224.05</v>
      </c>
      <c r="S1936" s="30"/>
      <c r="T1936" s="30"/>
    </row>
    <row r="1937" spans="1:20" ht="45" customHeight="1" x14ac:dyDescent="0.3">
      <c r="A1937" s="36">
        <v>1925</v>
      </c>
      <c r="B1937" s="32" t="s">
        <v>6165</v>
      </c>
      <c r="C1937" s="32" t="s">
        <v>6287</v>
      </c>
      <c r="D1937" s="32" t="s">
        <v>6288</v>
      </c>
      <c r="E1937" s="32">
        <v>1992</v>
      </c>
      <c r="F1937" s="32" t="s">
        <v>18</v>
      </c>
      <c r="G1937" s="32" t="s">
        <v>6342</v>
      </c>
      <c r="H1937" s="32" t="s">
        <v>6342</v>
      </c>
      <c r="I1937" s="32" t="s">
        <v>3090</v>
      </c>
      <c r="J1937" s="32">
        <v>6199</v>
      </c>
      <c r="K1937" s="32">
        <f>1346+6278+4484</f>
        <v>12108</v>
      </c>
      <c r="L1937" s="32">
        <v>0</v>
      </c>
      <c r="M1937" s="32">
        <v>0</v>
      </c>
      <c r="N1937" s="32">
        <v>1793</v>
      </c>
      <c r="O1937" s="32">
        <v>0</v>
      </c>
      <c r="P1937" s="32">
        <v>0</v>
      </c>
      <c r="Q1937" s="46">
        <f t="shared" si="60"/>
        <v>20100</v>
      </c>
      <c r="R1937" s="69">
        <f t="shared" si="61"/>
        <v>17085</v>
      </c>
      <c r="S1937" s="30"/>
      <c r="T1937" s="30"/>
    </row>
    <row r="1938" spans="1:20" ht="45" customHeight="1" x14ac:dyDescent="0.3">
      <c r="A1938" s="31">
        <v>1926</v>
      </c>
      <c r="B1938" s="32" t="s">
        <v>6165</v>
      </c>
      <c r="C1938" s="32" t="s">
        <v>7302</v>
      </c>
      <c r="D1938" s="34" t="s">
        <v>3171</v>
      </c>
      <c r="E1938" s="32">
        <v>1999</v>
      </c>
      <c r="F1938" s="32" t="s">
        <v>19</v>
      </c>
      <c r="G1938" s="32" t="s">
        <v>3252</v>
      </c>
      <c r="H1938" s="32" t="s">
        <v>3252</v>
      </c>
      <c r="I1938" s="32" t="s">
        <v>254</v>
      </c>
      <c r="J1938" s="32">
        <v>3793</v>
      </c>
      <c r="K1938" s="32">
        <f>1346+6278+4484+6995+2332+2332+2332+2332+2332+2332+6995+6995+2332+6995</f>
        <v>56412</v>
      </c>
      <c r="L1938" s="32">
        <v>0</v>
      </c>
      <c r="M1938" s="32">
        <v>0</v>
      </c>
      <c r="N1938" s="32">
        <f>3148+3179+1178</f>
        <v>7505</v>
      </c>
      <c r="O1938" s="32">
        <v>0</v>
      </c>
      <c r="P1938" s="32">
        <f>720+720+144+374</f>
        <v>1958</v>
      </c>
      <c r="Q1938" s="46">
        <f t="shared" si="60"/>
        <v>69668</v>
      </c>
      <c r="R1938" s="69">
        <f t="shared" si="61"/>
        <v>59217.8</v>
      </c>
      <c r="S1938" s="30"/>
      <c r="T1938" s="30"/>
    </row>
    <row r="1939" spans="1:20" ht="45" customHeight="1" x14ac:dyDescent="0.3">
      <c r="A1939" s="31">
        <v>1927</v>
      </c>
      <c r="B1939" s="32" t="s">
        <v>6165</v>
      </c>
      <c r="C1939" s="32" t="s">
        <v>7302</v>
      </c>
      <c r="D1939" s="34" t="s">
        <v>3171</v>
      </c>
      <c r="E1939" s="32">
        <v>1999</v>
      </c>
      <c r="F1939" s="32" t="s">
        <v>19</v>
      </c>
      <c r="G1939" s="32" t="s">
        <v>3252</v>
      </c>
      <c r="H1939" s="32" t="s">
        <v>3252</v>
      </c>
      <c r="I1939" s="32" t="s">
        <v>254</v>
      </c>
      <c r="J1939" s="32">
        <v>0</v>
      </c>
      <c r="K1939" s="32">
        <v>0</v>
      </c>
      <c r="L1939" s="32">
        <v>0</v>
      </c>
      <c r="M1939" s="32">
        <v>17688</v>
      </c>
      <c r="N1939" s="32">
        <v>0</v>
      </c>
      <c r="O1939" s="32">
        <v>0</v>
      </c>
      <c r="P1939" s="32">
        <v>0</v>
      </c>
      <c r="Q1939" s="46">
        <f t="shared" si="60"/>
        <v>17688</v>
      </c>
      <c r="R1939" s="69">
        <f t="shared" si="61"/>
        <v>15034.8</v>
      </c>
      <c r="S1939" s="30"/>
      <c r="T1939" s="30"/>
    </row>
    <row r="1940" spans="1:20" ht="45" customHeight="1" x14ac:dyDescent="0.3">
      <c r="A1940" s="36">
        <v>1928</v>
      </c>
      <c r="B1940" s="32" t="s">
        <v>6165</v>
      </c>
      <c r="C1940" s="32" t="s">
        <v>7303</v>
      </c>
      <c r="D1940" s="34" t="s">
        <v>4911</v>
      </c>
      <c r="E1940" s="32">
        <v>2024</v>
      </c>
      <c r="F1940" s="32" t="s">
        <v>18</v>
      </c>
      <c r="G1940" s="32" t="s">
        <v>5029</v>
      </c>
      <c r="H1940" s="32" t="s">
        <v>1044</v>
      </c>
      <c r="I1940" s="32" t="s">
        <v>5128</v>
      </c>
      <c r="J1940" s="32">
        <v>3793</v>
      </c>
      <c r="K1940" s="32">
        <f>1346+6278+4484+4484+2332+2332+2332+6995+6995+2332+6995+2332+2332+2332+1166</f>
        <v>55067</v>
      </c>
      <c r="L1940" s="32">
        <v>0</v>
      </c>
      <c r="M1940" s="32">
        <v>0</v>
      </c>
      <c r="N1940" s="32">
        <f>3148+4053+2088</f>
        <v>9289</v>
      </c>
      <c r="O1940" s="32">
        <v>0</v>
      </c>
      <c r="P1940" s="32">
        <f>63+720+1080+120+1200</f>
        <v>3183</v>
      </c>
      <c r="Q1940" s="46">
        <f t="shared" si="60"/>
        <v>71332</v>
      </c>
      <c r="R1940" s="69">
        <f t="shared" si="61"/>
        <v>60632.2</v>
      </c>
      <c r="S1940" s="30"/>
      <c r="T1940" s="30"/>
    </row>
    <row r="1941" spans="1:20" ht="45" customHeight="1" x14ac:dyDescent="0.3">
      <c r="A1941" s="31">
        <v>1929</v>
      </c>
      <c r="B1941" s="32" t="s">
        <v>6165</v>
      </c>
      <c r="C1941" s="32" t="s">
        <v>7303</v>
      </c>
      <c r="D1941" s="34" t="s">
        <v>4911</v>
      </c>
      <c r="E1941" s="32">
        <v>2024</v>
      </c>
      <c r="F1941" s="32" t="s">
        <v>18</v>
      </c>
      <c r="G1941" s="32" t="s">
        <v>5029</v>
      </c>
      <c r="H1941" s="32" t="s">
        <v>1044</v>
      </c>
      <c r="I1941" s="32" t="s">
        <v>5128</v>
      </c>
      <c r="J1941" s="32">
        <v>0</v>
      </c>
      <c r="K1941" s="32">
        <v>0</v>
      </c>
      <c r="L1941" s="32">
        <v>0</v>
      </c>
      <c r="M1941" s="32">
        <v>17688</v>
      </c>
      <c r="N1941" s="32">
        <v>0</v>
      </c>
      <c r="O1941" s="32">
        <v>0</v>
      </c>
      <c r="P1941" s="32">
        <f>360+56</f>
        <v>416</v>
      </c>
      <c r="Q1941" s="46">
        <f t="shared" si="60"/>
        <v>18104</v>
      </c>
      <c r="R1941" s="69">
        <f t="shared" si="61"/>
        <v>15388.4</v>
      </c>
      <c r="S1941" s="30"/>
      <c r="T1941" s="30"/>
    </row>
    <row r="1942" spans="1:20" ht="45" customHeight="1" x14ac:dyDescent="0.3">
      <c r="A1942" s="31">
        <v>1930</v>
      </c>
      <c r="B1942" s="32" t="s">
        <v>6165</v>
      </c>
      <c r="C1942" s="32" t="s">
        <v>7304</v>
      </c>
      <c r="D1942" s="34" t="s">
        <v>6946</v>
      </c>
      <c r="E1942" s="32">
        <v>2016</v>
      </c>
      <c r="F1942" s="32" t="s">
        <v>19</v>
      </c>
      <c r="G1942" s="32" t="s">
        <v>6947</v>
      </c>
      <c r="H1942" s="32" t="s">
        <v>6828</v>
      </c>
      <c r="I1942" s="32" t="s">
        <v>1702</v>
      </c>
      <c r="J1942" s="32">
        <v>2900</v>
      </c>
      <c r="K1942" s="32">
        <v>0</v>
      </c>
      <c r="L1942" s="32">
        <v>0</v>
      </c>
      <c r="M1942" s="32">
        <v>17688</v>
      </c>
      <c r="N1942" s="32">
        <v>2088</v>
      </c>
      <c r="O1942" s="32">
        <v>0</v>
      </c>
      <c r="P1942" s="32">
        <f>1080+168</f>
        <v>1248</v>
      </c>
      <c r="Q1942" s="46">
        <f t="shared" si="60"/>
        <v>23924</v>
      </c>
      <c r="R1942" s="69">
        <f t="shared" si="61"/>
        <v>20335.400000000001</v>
      </c>
      <c r="S1942" s="30"/>
      <c r="T1942" s="30"/>
    </row>
    <row r="1943" spans="1:20" ht="45" customHeight="1" x14ac:dyDescent="0.3">
      <c r="A1943" s="36">
        <v>1931</v>
      </c>
      <c r="B1943" s="32" t="s">
        <v>6165</v>
      </c>
      <c r="C1943" s="32" t="s">
        <v>7305</v>
      </c>
      <c r="D1943" s="34" t="s">
        <v>6942</v>
      </c>
      <c r="E1943" s="32">
        <v>2024</v>
      </c>
      <c r="F1943" s="32" t="s">
        <v>18</v>
      </c>
      <c r="G1943" s="32" t="s">
        <v>6944</v>
      </c>
      <c r="H1943" s="32" t="s">
        <v>3466</v>
      </c>
      <c r="I1943" s="32" t="s">
        <v>4208</v>
      </c>
      <c r="J1943" s="32">
        <v>2900</v>
      </c>
      <c r="K1943" s="32">
        <v>0</v>
      </c>
      <c r="L1943" s="32">
        <v>0</v>
      </c>
      <c r="M1943" s="32">
        <v>17688</v>
      </c>
      <c r="N1943" s="32">
        <v>2088</v>
      </c>
      <c r="O1943" s="32">
        <v>0</v>
      </c>
      <c r="P1943" s="32">
        <f>1080+168</f>
        <v>1248</v>
      </c>
      <c r="Q1943" s="46">
        <f t="shared" si="60"/>
        <v>23924</v>
      </c>
      <c r="R1943" s="69">
        <f t="shared" si="61"/>
        <v>20335.400000000001</v>
      </c>
      <c r="S1943" s="30"/>
      <c r="T1943" s="30"/>
    </row>
    <row r="1944" spans="1:20" ht="45" customHeight="1" x14ac:dyDescent="0.3">
      <c r="A1944" s="31">
        <v>1932</v>
      </c>
      <c r="B1944" s="32" t="s">
        <v>6165</v>
      </c>
      <c r="C1944" s="32" t="s">
        <v>7306</v>
      </c>
      <c r="D1944" s="34" t="s">
        <v>6011</v>
      </c>
      <c r="E1944" s="32">
        <v>1996</v>
      </c>
      <c r="F1944" s="32" t="s">
        <v>19</v>
      </c>
      <c r="G1944" s="32" t="s">
        <v>6090</v>
      </c>
      <c r="H1944" s="32" t="s">
        <v>6129</v>
      </c>
      <c r="I1944" s="32" t="s">
        <v>6154</v>
      </c>
      <c r="J1944" s="32">
        <v>2900</v>
      </c>
      <c r="K1944" s="32">
        <v>0</v>
      </c>
      <c r="L1944" s="32">
        <v>0</v>
      </c>
      <c r="M1944" s="32">
        <v>0</v>
      </c>
      <c r="N1944" s="32">
        <v>1178</v>
      </c>
      <c r="O1944" s="32">
        <v>0</v>
      </c>
      <c r="P1944" s="32">
        <v>660</v>
      </c>
      <c r="Q1944" s="46">
        <f t="shared" si="60"/>
        <v>4738</v>
      </c>
      <c r="R1944" s="69">
        <f t="shared" si="61"/>
        <v>4027.3</v>
      </c>
      <c r="S1944" s="30"/>
      <c r="T1944" s="30"/>
    </row>
    <row r="1945" spans="1:20" ht="45" customHeight="1" x14ac:dyDescent="0.3">
      <c r="A1945" s="31">
        <v>1933</v>
      </c>
      <c r="B1945" s="32" t="s">
        <v>6165</v>
      </c>
      <c r="C1945" s="32" t="s">
        <v>7307</v>
      </c>
      <c r="D1945" s="34" t="s">
        <v>5981</v>
      </c>
      <c r="E1945" s="32">
        <v>2024</v>
      </c>
      <c r="F1945" s="32" t="s">
        <v>18</v>
      </c>
      <c r="G1945" s="32" t="s">
        <v>6078</v>
      </c>
      <c r="H1945" s="32" t="s">
        <v>6122</v>
      </c>
      <c r="I1945" s="32" t="s">
        <v>1695</v>
      </c>
      <c r="J1945" s="32">
        <v>2900</v>
      </c>
      <c r="K1945" s="32">
        <v>0</v>
      </c>
      <c r="L1945" s="32">
        <v>0</v>
      </c>
      <c r="M1945" s="32">
        <v>0</v>
      </c>
      <c r="N1945" s="32">
        <v>2088</v>
      </c>
      <c r="O1945" s="32">
        <v>0</v>
      </c>
      <c r="P1945" s="32">
        <f>336+112</f>
        <v>448</v>
      </c>
      <c r="Q1945" s="46">
        <f t="shared" si="60"/>
        <v>5436</v>
      </c>
      <c r="R1945" s="69">
        <f t="shared" si="61"/>
        <v>4620.6000000000004</v>
      </c>
      <c r="S1945" s="30"/>
      <c r="T1945" s="30"/>
    </row>
    <row r="1946" spans="1:20" ht="45" customHeight="1" x14ac:dyDescent="0.3">
      <c r="A1946" s="36">
        <v>1934</v>
      </c>
      <c r="B1946" s="32" t="s">
        <v>6165</v>
      </c>
      <c r="C1946" s="32" t="s">
        <v>7308</v>
      </c>
      <c r="D1946" s="34" t="s">
        <v>5552</v>
      </c>
      <c r="E1946" s="32">
        <v>2023</v>
      </c>
      <c r="F1946" s="32" t="s">
        <v>18</v>
      </c>
      <c r="G1946" s="32" t="s">
        <v>5659</v>
      </c>
      <c r="H1946" s="32" t="s">
        <v>5717</v>
      </c>
      <c r="I1946" s="32" t="s">
        <v>1890</v>
      </c>
      <c r="J1946" s="32">
        <v>2900</v>
      </c>
      <c r="K1946" s="32">
        <v>0</v>
      </c>
      <c r="L1946" s="32">
        <v>0</v>
      </c>
      <c r="M1946" s="32">
        <v>0</v>
      </c>
      <c r="N1946" s="32">
        <v>2088</v>
      </c>
      <c r="O1946" s="32">
        <v>0</v>
      </c>
      <c r="P1946" s="32">
        <f>720+112</f>
        <v>832</v>
      </c>
      <c r="Q1946" s="46">
        <f t="shared" si="60"/>
        <v>5820</v>
      </c>
      <c r="R1946" s="69">
        <f t="shared" si="61"/>
        <v>4947</v>
      </c>
      <c r="S1946" s="30"/>
      <c r="T1946" s="30"/>
    </row>
    <row r="1947" spans="1:20" ht="45" customHeight="1" x14ac:dyDescent="0.3">
      <c r="A1947" s="31">
        <v>1935</v>
      </c>
      <c r="B1947" s="32" t="s">
        <v>6165</v>
      </c>
      <c r="C1947" s="32" t="s">
        <v>7309</v>
      </c>
      <c r="D1947" s="34" t="s">
        <v>7174</v>
      </c>
      <c r="E1947" s="32">
        <v>2023</v>
      </c>
      <c r="F1947" s="32" t="s">
        <v>19</v>
      </c>
      <c r="G1947" s="32" t="s">
        <v>7175</v>
      </c>
      <c r="H1947" s="32" t="s">
        <v>6828</v>
      </c>
      <c r="I1947" s="32" t="s">
        <v>1702</v>
      </c>
      <c r="J1947" s="32">
        <v>2900</v>
      </c>
      <c r="K1947" s="32">
        <v>0</v>
      </c>
      <c r="L1947" s="32">
        <v>0</v>
      </c>
      <c r="M1947" s="32">
        <v>17688</v>
      </c>
      <c r="N1947" s="32">
        <v>2088</v>
      </c>
      <c r="O1947" s="32">
        <v>0</v>
      </c>
      <c r="P1947" s="32">
        <f>1080+168+720+1080+120+1200</f>
        <v>4368</v>
      </c>
      <c r="Q1947" s="46">
        <f t="shared" si="60"/>
        <v>27044</v>
      </c>
      <c r="R1947" s="69">
        <f t="shared" si="61"/>
        <v>22987.4</v>
      </c>
      <c r="S1947" s="30"/>
      <c r="T1947" s="30"/>
    </row>
    <row r="1948" spans="1:20" ht="45" customHeight="1" x14ac:dyDescent="0.3">
      <c r="A1948" s="31">
        <v>1936</v>
      </c>
      <c r="B1948" s="32" t="s">
        <v>6165</v>
      </c>
      <c r="C1948" s="32" t="s">
        <v>7310</v>
      </c>
      <c r="D1948" s="34" t="s">
        <v>5420</v>
      </c>
      <c r="E1948" s="32">
        <v>2020</v>
      </c>
      <c r="F1948" s="32" t="s">
        <v>19</v>
      </c>
      <c r="G1948" s="32" t="s">
        <v>5596</v>
      </c>
      <c r="H1948" s="32" t="s">
        <v>5680</v>
      </c>
      <c r="I1948" s="32" t="s">
        <v>1702</v>
      </c>
      <c r="J1948" s="32">
        <v>2900</v>
      </c>
      <c r="K1948" s="32">
        <v>0</v>
      </c>
      <c r="L1948" s="32">
        <v>0</v>
      </c>
      <c r="M1948" s="32">
        <v>17688</v>
      </c>
      <c r="N1948" s="32">
        <v>2088</v>
      </c>
      <c r="O1948" s="32">
        <v>0</v>
      </c>
      <c r="P1948" s="32">
        <f>1080+168</f>
        <v>1248</v>
      </c>
      <c r="Q1948" s="46">
        <f t="shared" si="60"/>
        <v>23924</v>
      </c>
      <c r="R1948" s="69">
        <f t="shared" si="61"/>
        <v>20335.400000000001</v>
      </c>
      <c r="S1948" s="30"/>
      <c r="T1948" s="30"/>
    </row>
    <row r="1949" spans="1:20" ht="45" customHeight="1" x14ac:dyDescent="0.3">
      <c r="A1949" s="36">
        <v>1937</v>
      </c>
      <c r="B1949" s="32" t="s">
        <v>6165</v>
      </c>
      <c r="C1949" s="32" t="s">
        <v>7311</v>
      </c>
      <c r="D1949" s="34" t="s">
        <v>7286</v>
      </c>
      <c r="E1949" s="32">
        <v>1967</v>
      </c>
      <c r="F1949" s="32" t="s">
        <v>18</v>
      </c>
      <c r="G1949" s="32" t="s">
        <v>7287</v>
      </c>
      <c r="H1949" s="32" t="s">
        <v>7287</v>
      </c>
      <c r="I1949" s="32" t="s">
        <v>7288</v>
      </c>
      <c r="J1949" s="32">
        <v>2900</v>
      </c>
      <c r="K1949" s="32">
        <v>0</v>
      </c>
      <c r="L1949" s="32">
        <v>0</v>
      </c>
      <c r="M1949" s="32">
        <v>17688</v>
      </c>
      <c r="N1949" s="32">
        <v>1681</v>
      </c>
      <c r="O1949" s="32">
        <v>0</v>
      </c>
      <c r="P1949" s="32">
        <f>624+112+60+1320+240+1200+288+720+720+396</f>
        <v>5680</v>
      </c>
      <c r="Q1949" s="46">
        <f t="shared" si="60"/>
        <v>27949</v>
      </c>
      <c r="R1949" s="69">
        <f t="shared" si="61"/>
        <v>23756.65</v>
      </c>
      <c r="S1949" s="30"/>
      <c r="T1949" s="30"/>
    </row>
    <row r="1950" spans="1:20" ht="45" customHeight="1" x14ac:dyDescent="0.3">
      <c r="A1950" s="31">
        <v>1938</v>
      </c>
      <c r="B1950" s="32" t="s">
        <v>6397</v>
      </c>
      <c r="C1950" s="32" t="s">
        <v>6398</v>
      </c>
      <c r="D1950" s="32" t="s">
        <v>6399</v>
      </c>
      <c r="E1950" s="32">
        <v>2025</v>
      </c>
      <c r="F1950" s="32" t="s">
        <v>18</v>
      </c>
      <c r="G1950" s="32" t="s">
        <v>6550</v>
      </c>
      <c r="H1950" s="32" t="s">
        <v>6621</v>
      </c>
      <c r="I1950" s="32" t="s">
        <v>6661</v>
      </c>
      <c r="J1950" s="32">
        <v>6199</v>
      </c>
      <c r="K1950" s="32">
        <v>0</v>
      </c>
      <c r="L1950" s="32">
        <v>0</v>
      </c>
      <c r="M1950" s="32">
        <v>0</v>
      </c>
      <c r="N1950" s="32">
        <v>0</v>
      </c>
      <c r="O1950" s="32">
        <v>0</v>
      </c>
      <c r="P1950" s="32">
        <v>0</v>
      </c>
      <c r="Q1950" s="46">
        <f t="shared" si="60"/>
        <v>6199</v>
      </c>
      <c r="R1950" s="69">
        <f t="shared" si="61"/>
        <v>5269.15</v>
      </c>
      <c r="S1950" s="30"/>
      <c r="T1950" s="30"/>
    </row>
    <row r="1951" spans="1:20" ht="45" customHeight="1" x14ac:dyDescent="0.3">
      <c r="A1951" s="31">
        <v>1939</v>
      </c>
      <c r="B1951" s="32" t="s">
        <v>6397</v>
      </c>
      <c r="C1951" s="32" t="s">
        <v>6400</v>
      </c>
      <c r="D1951" s="32" t="s">
        <v>2938</v>
      </c>
      <c r="E1951" s="32">
        <v>1979</v>
      </c>
      <c r="F1951" s="32" t="s">
        <v>18</v>
      </c>
      <c r="G1951" s="32" t="s">
        <v>3023</v>
      </c>
      <c r="H1951" s="32" t="s">
        <v>3023</v>
      </c>
      <c r="I1951" s="32" t="s">
        <v>3096</v>
      </c>
      <c r="J1951" s="32">
        <v>6199</v>
      </c>
      <c r="K1951" s="32">
        <f>1166+2801</f>
        <v>3967</v>
      </c>
      <c r="L1951" s="32">
        <v>0</v>
      </c>
      <c r="M1951" s="32">
        <v>0</v>
      </c>
      <c r="N1951" s="32">
        <v>0</v>
      </c>
      <c r="O1951" s="32">
        <v>0</v>
      </c>
      <c r="P1951" s="32">
        <v>0</v>
      </c>
      <c r="Q1951" s="46">
        <f t="shared" si="60"/>
        <v>10166</v>
      </c>
      <c r="R1951" s="69">
        <f t="shared" si="61"/>
        <v>8641.1</v>
      </c>
      <c r="S1951" s="30"/>
      <c r="T1951" s="30"/>
    </row>
    <row r="1952" spans="1:20" ht="45" customHeight="1" x14ac:dyDescent="0.3">
      <c r="A1952" s="36">
        <v>1940</v>
      </c>
      <c r="B1952" s="32" t="s">
        <v>6397</v>
      </c>
      <c r="C1952" s="32" t="s">
        <v>6401</v>
      </c>
      <c r="D1952" s="32" t="s">
        <v>6402</v>
      </c>
      <c r="E1952" s="32">
        <v>2023</v>
      </c>
      <c r="F1952" s="32" t="s">
        <v>19</v>
      </c>
      <c r="G1952" s="32" t="s">
        <v>6551</v>
      </c>
      <c r="H1952" s="32" t="s">
        <v>6622</v>
      </c>
      <c r="I1952" s="32" t="s">
        <v>6662</v>
      </c>
      <c r="J1952" s="32">
        <v>6199</v>
      </c>
      <c r="K1952" s="32">
        <f>6278+4484</f>
        <v>10762</v>
      </c>
      <c r="L1952" s="32">
        <v>0</v>
      </c>
      <c r="M1952" s="32">
        <v>0</v>
      </c>
      <c r="N1952" s="32">
        <v>3148</v>
      </c>
      <c r="O1952" s="32">
        <v>0</v>
      </c>
      <c r="P1952" s="32">
        <v>0</v>
      </c>
      <c r="Q1952" s="46">
        <f t="shared" si="60"/>
        <v>20109</v>
      </c>
      <c r="R1952" s="69">
        <f t="shared" si="61"/>
        <v>17092.650000000001</v>
      </c>
      <c r="S1952" s="30"/>
      <c r="T1952" s="30"/>
    </row>
    <row r="1953" spans="1:20" ht="45" customHeight="1" x14ac:dyDescent="0.3">
      <c r="A1953" s="31">
        <v>1941</v>
      </c>
      <c r="B1953" s="32" t="s">
        <v>6397</v>
      </c>
      <c r="C1953" s="32" t="s">
        <v>6403</v>
      </c>
      <c r="D1953" s="32" t="s">
        <v>6404</v>
      </c>
      <c r="E1953" s="32">
        <v>2014</v>
      </c>
      <c r="F1953" s="32" t="s">
        <v>19</v>
      </c>
      <c r="G1953" s="32" t="s">
        <v>6552</v>
      </c>
      <c r="H1953" s="32" t="s">
        <v>6623</v>
      </c>
      <c r="I1953" s="32" t="s">
        <v>6663</v>
      </c>
      <c r="J1953" s="32">
        <v>6199</v>
      </c>
      <c r="K1953" s="32">
        <v>0</v>
      </c>
      <c r="L1953" s="32">
        <v>0</v>
      </c>
      <c r="M1953" s="32">
        <v>0</v>
      </c>
      <c r="N1953" s="32">
        <v>1681</v>
      </c>
      <c r="O1953" s="32">
        <v>0</v>
      </c>
      <c r="P1953" s="32">
        <v>540</v>
      </c>
      <c r="Q1953" s="47">
        <f t="shared" si="60"/>
        <v>8420</v>
      </c>
      <c r="R1953" s="69">
        <f t="shared" si="61"/>
        <v>7157</v>
      </c>
      <c r="S1953" s="30"/>
      <c r="T1953" s="30"/>
    </row>
    <row r="1954" spans="1:20" ht="45" customHeight="1" x14ac:dyDescent="0.3">
      <c r="A1954" s="31">
        <v>1942</v>
      </c>
      <c r="B1954" s="32" t="s">
        <v>6397</v>
      </c>
      <c r="C1954" s="32" t="s">
        <v>6405</v>
      </c>
      <c r="D1954" s="32" t="s">
        <v>4499</v>
      </c>
      <c r="E1954" s="32">
        <v>2025</v>
      </c>
      <c r="F1954" s="32" t="s">
        <v>19</v>
      </c>
      <c r="G1954" s="32" t="s">
        <v>4565</v>
      </c>
      <c r="H1954" s="32" t="s">
        <v>4601</v>
      </c>
      <c r="I1954" s="32" t="s">
        <v>1709</v>
      </c>
      <c r="J1954" s="32">
        <v>6199</v>
      </c>
      <c r="K1954" s="32">
        <v>0</v>
      </c>
      <c r="L1954" s="32">
        <v>0</v>
      </c>
      <c r="M1954" s="32">
        <v>0</v>
      </c>
      <c r="N1954" s="32">
        <v>10232</v>
      </c>
      <c r="O1954" s="32">
        <v>0</v>
      </c>
      <c r="P1954" s="32">
        <v>0</v>
      </c>
      <c r="Q1954" s="46">
        <f t="shared" si="60"/>
        <v>16431</v>
      </c>
      <c r="R1954" s="69">
        <f t="shared" si="61"/>
        <v>13966.35</v>
      </c>
      <c r="S1954" s="30"/>
      <c r="T1954" s="30"/>
    </row>
    <row r="1955" spans="1:20" ht="45" customHeight="1" x14ac:dyDescent="0.3">
      <c r="A1955" s="36">
        <v>1943</v>
      </c>
      <c r="B1955" s="32" t="s">
        <v>6397</v>
      </c>
      <c r="C1955" s="32" t="s">
        <v>6406</v>
      </c>
      <c r="D1955" s="32" t="s">
        <v>6407</v>
      </c>
      <c r="E1955" s="32">
        <v>2025</v>
      </c>
      <c r="F1955" s="32" t="s">
        <v>18</v>
      </c>
      <c r="G1955" s="32" t="s">
        <v>6553</v>
      </c>
      <c r="H1955" s="32" t="s">
        <v>6624</v>
      </c>
      <c r="I1955" s="32" t="s">
        <v>6664</v>
      </c>
      <c r="J1955" s="32">
        <v>6199</v>
      </c>
      <c r="K1955" s="32">
        <f>6278+4484+2332+1346+2332+2332+2332+2332+6995+6995+2332+6995+2332+4484</f>
        <v>53901</v>
      </c>
      <c r="L1955" s="32">
        <v>0</v>
      </c>
      <c r="M1955" s="32">
        <v>0</v>
      </c>
      <c r="N1955" s="32">
        <v>3148</v>
      </c>
      <c r="O1955" s="32">
        <v>0</v>
      </c>
      <c r="P1955" s="32">
        <v>0</v>
      </c>
      <c r="Q1955" s="46">
        <f t="shared" si="60"/>
        <v>63248</v>
      </c>
      <c r="R1955" s="69">
        <f t="shared" si="61"/>
        <v>53760.800000000003</v>
      </c>
      <c r="S1955" s="30"/>
      <c r="T1955" s="30"/>
    </row>
    <row r="1956" spans="1:20" ht="45" customHeight="1" x14ac:dyDescent="0.3">
      <c r="A1956" s="31">
        <v>1944</v>
      </c>
      <c r="B1956" s="32" t="s">
        <v>6397</v>
      </c>
      <c r="C1956" s="32" t="s">
        <v>6408</v>
      </c>
      <c r="D1956" s="32" t="s">
        <v>6409</v>
      </c>
      <c r="E1956" s="32">
        <v>1984</v>
      </c>
      <c r="F1956" s="32" t="s">
        <v>19</v>
      </c>
      <c r="G1956" s="32" t="s">
        <v>6554</v>
      </c>
      <c r="H1956" s="32" t="s">
        <v>6554</v>
      </c>
      <c r="I1956" s="32" t="s">
        <v>300</v>
      </c>
      <c r="J1956" s="32">
        <v>6199</v>
      </c>
      <c r="K1956" s="32">
        <v>0</v>
      </c>
      <c r="L1956" s="32">
        <v>0</v>
      </c>
      <c r="M1956" s="32">
        <v>0</v>
      </c>
      <c r="N1956" s="32">
        <v>0</v>
      </c>
      <c r="O1956" s="32">
        <v>0</v>
      </c>
      <c r="P1956" s="32">
        <v>0</v>
      </c>
      <c r="Q1956" s="46">
        <f t="shared" si="60"/>
        <v>6199</v>
      </c>
      <c r="R1956" s="69">
        <f t="shared" si="61"/>
        <v>5269.15</v>
      </c>
      <c r="S1956" s="30"/>
      <c r="T1956" s="30"/>
    </row>
    <row r="1957" spans="1:20" ht="45" customHeight="1" x14ac:dyDescent="0.3">
      <c r="A1957" s="31">
        <v>1945</v>
      </c>
      <c r="B1957" s="32" t="s">
        <v>6397</v>
      </c>
      <c r="C1957" s="32" t="s">
        <v>6410</v>
      </c>
      <c r="D1957" s="32" t="s">
        <v>6411</v>
      </c>
      <c r="E1957" s="32">
        <v>2024</v>
      </c>
      <c r="F1957" s="32" t="s">
        <v>18</v>
      </c>
      <c r="G1957" s="32" t="s">
        <v>6555</v>
      </c>
      <c r="H1957" s="32" t="s">
        <v>5657</v>
      </c>
      <c r="I1957" s="32" t="s">
        <v>6665</v>
      </c>
      <c r="J1957" s="32">
        <v>6199</v>
      </c>
      <c r="K1957" s="32">
        <f>6278+4484+1346+4484+2332+2332+2332+2332+6995+6995+2332+6995+2332+2332</f>
        <v>53901</v>
      </c>
      <c r="L1957" s="32">
        <v>0</v>
      </c>
      <c r="M1957" s="32">
        <v>0</v>
      </c>
      <c r="N1957" s="32">
        <v>3148</v>
      </c>
      <c r="O1957" s="32">
        <v>0</v>
      </c>
      <c r="P1957" s="32">
        <v>0</v>
      </c>
      <c r="Q1957" s="47">
        <f t="shared" si="60"/>
        <v>63248</v>
      </c>
      <c r="R1957" s="69">
        <f t="shared" si="61"/>
        <v>53760.800000000003</v>
      </c>
      <c r="S1957" s="30"/>
      <c r="T1957" s="30"/>
    </row>
    <row r="1958" spans="1:20" ht="45" customHeight="1" x14ac:dyDescent="0.3">
      <c r="A1958" s="36">
        <v>1946</v>
      </c>
      <c r="B1958" s="32" t="s">
        <v>6397</v>
      </c>
      <c r="C1958" s="32" t="s">
        <v>6412</v>
      </c>
      <c r="D1958" s="32" t="s">
        <v>6413</v>
      </c>
      <c r="E1958" s="32">
        <v>1954</v>
      </c>
      <c r="F1958" s="32" t="s">
        <v>19</v>
      </c>
      <c r="G1958" s="32" t="s">
        <v>6556</v>
      </c>
      <c r="H1958" s="32" t="s">
        <v>6556</v>
      </c>
      <c r="I1958" s="32" t="s">
        <v>253</v>
      </c>
      <c r="J1958" s="32">
        <v>6199</v>
      </c>
      <c r="K1958" s="32">
        <f>6278+13452+1166+2801+2332+2332+2332</f>
        <v>30693</v>
      </c>
      <c r="L1958" s="32">
        <v>0</v>
      </c>
      <c r="M1958" s="32">
        <v>0</v>
      </c>
      <c r="N1958" s="32">
        <v>1793</v>
      </c>
      <c r="O1958" s="32">
        <v>0</v>
      </c>
      <c r="P1958" s="32">
        <v>0</v>
      </c>
      <c r="Q1958" s="46">
        <f t="shared" si="60"/>
        <v>38685</v>
      </c>
      <c r="R1958" s="69">
        <f t="shared" si="61"/>
        <v>32882.25</v>
      </c>
      <c r="S1958" s="30"/>
      <c r="T1958" s="30"/>
    </row>
    <row r="1959" spans="1:20" ht="45" customHeight="1" x14ac:dyDescent="0.3">
      <c r="A1959" s="31">
        <v>1947</v>
      </c>
      <c r="B1959" s="32" t="s">
        <v>6397</v>
      </c>
      <c r="C1959" s="32" t="s">
        <v>6414</v>
      </c>
      <c r="D1959" s="32" t="s">
        <v>6415</v>
      </c>
      <c r="E1959" s="32">
        <v>1948</v>
      </c>
      <c r="F1959" s="32" t="s">
        <v>18</v>
      </c>
      <c r="G1959" s="32" t="s">
        <v>6557</v>
      </c>
      <c r="H1959" s="32" t="s">
        <v>6557</v>
      </c>
      <c r="I1959" s="32" t="s">
        <v>276</v>
      </c>
      <c r="J1959" s="32">
        <v>6199</v>
      </c>
      <c r="K1959" s="32">
        <v>0</v>
      </c>
      <c r="L1959" s="32">
        <v>0</v>
      </c>
      <c r="M1959" s="32">
        <v>0</v>
      </c>
      <c r="N1959" s="32">
        <v>0</v>
      </c>
      <c r="O1959" s="32">
        <v>0</v>
      </c>
      <c r="P1959" s="32">
        <v>0</v>
      </c>
      <c r="Q1959" s="46">
        <f t="shared" si="60"/>
        <v>6199</v>
      </c>
      <c r="R1959" s="69">
        <f t="shared" si="61"/>
        <v>5269.15</v>
      </c>
      <c r="S1959" s="30"/>
      <c r="T1959" s="30"/>
    </row>
    <row r="1960" spans="1:20" ht="45" customHeight="1" x14ac:dyDescent="0.3">
      <c r="A1960" s="31">
        <v>1948</v>
      </c>
      <c r="B1960" s="32" t="s">
        <v>6397</v>
      </c>
      <c r="C1960" s="32" t="s">
        <v>6416</v>
      </c>
      <c r="D1960" s="32" t="s">
        <v>6417</v>
      </c>
      <c r="E1960" s="32">
        <v>1989</v>
      </c>
      <c r="F1960" s="32" t="s">
        <v>19</v>
      </c>
      <c r="G1960" s="32" t="s">
        <v>6558</v>
      </c>
      <c r="H1960" s="32" t="s">
        <v>6558</v>
      </c>
      <c r="I1960" s="32" t="s">
        <v>6666</v>
      </c>
      <c r="J1960" s="32">
        <v>6199</v>
      </c>
      <c r="K1960" s="32">
        <v>0</v>
      </c>
      <c r="L1960" s="32">
        <v>18406</v>
      </c>
      <c r="M1960" s="32">
        <v>0</v>
      </c>
      <c r="N1960" s="32">
        <v>0</v>
      </c>
      <c r="O1960" s="32">
        <v>0</v>
      </c>
      <c r="P1960" s="32">
        <v>0</v>
      </c>
      <c r="Q1960" s="46">
        <f t="shared" si="60"/>
        <v>24605</v>
      </c>
      <c r="R1960" s="69">
        <f t="shared" si="61"/>
        <v>20914.25</v>
      </c>
      <c r="S1960" s="30"/>
      <c r="T1960" s="30"/>
    </row>
    <row r="1961" spans="1:20" ht="45" customHeight="1" x14ac:dyDescent="0.3">
      <c r="A1961" s="36">
        <v>1949</v>
      </c>
      <c r="B1961" s="32" t="s">
        <v>6397</v>
      </c>
      <c r="C1961" s="32" t="s">
        <v>6418</v>
      </c>
      <c r="D1961" s="32" t="s">
        <v>6419</v>
      </c>
      <c r="E1961" s="32">
        <v>2019</v>
      </c>
      <c r="F1961" s="32" t="s">
        <v>19</v>
      </c>
      <c r="G1961" s="32" t="s">
        <v>6559</v>
      </c>
      <c r="H1961" s="32" t="s">
        <v>6625</v>
      </c>
      <c r="I1961" s="32" t="s">
        <v>24</v>
      </c>
      <c r="J1961" s="32">
        <v>6199</v>
      </c>
      <c r="K1961" s="32">
        <f>6278+4484+1346+4484+2332+2332+2332+2332+2332+2332+6995+6995+2332+6995</f>
        <v>53901</v>
      </c>
      <c r="L1961" s="32">
        <v>0</v>
      </c>
      <c r="M1961" s="32">
        <v>0</v>
      </c>
      <c r="N1961" s="32">
        <v>3148</v>
      </c>
      <c r="O1961" s="32">
        <v>0</v>
      </c>
      <c r="P1961" s="32">
        <v>0</v>
      </c>
      <c r="Q1961" s="46">
        <f t="shared" si="60"/>
        <v>63248</v>
      </c>
      <c r="R1961" s="69">
        <f t="shared" si="61"/>
        <v>53760.800000000003</v>
      </c>
      <c r="S1961" s="30"/>
      <c r="T1961" s="30"/>
    </row>
    <row r="1962" spans="1:20" ht="45" customHeight="1" x14ac:dyDescent="0.3">
      <c r="A1962" s="31">
        <v>1950</v>
      </c>
      <c r="B1962" s="32" t="s">
        <v>6397</v>
      </c>
      <c r="C1962" s="32" t="s">
        <v>6420</v>
      </c>
      <c r="D1962" s="32" t="s">
        <v>6421</v>
      </c>
      <c r="E1962" s="32">
        <v>2013</v>
      </c>
      <c r="F1962" s="32" t="s">
        <v>19</v>
      </c>
      <c r="G1962" s="32" t="s">
        <v>6560</v>
      </c>
      <c r="H1962" s="32" t="s">
        <v>6626</v>
      </c>
      <c r="I1962" s="32" t="s">
        <v>6667</v>
      </c>
      <c r="J1962" s="32">
        <v>3582</v>
      </c>
      <c r="K1962" s="32">
        <v>0</v>
      </c>
      <c r="L1962" s="32">
        <v>0</v>
      </c>
      <c r="M1962" s="32">
        <v>0</v>
      </c>
      <c r="N1962" s="32">
        <f>15443+19239</f>
        <v>34682</v>
      </c>
      <c r="O1962" s="32">
        <v>0</v>
      </c>
      <c r="P1962" s="32">
        <v>0</v>
      </c>
      <c r="Q1962" s="46">
        <f t="shared" si="60"/>
        <v>38264</v>
      </c>
      <c r="R1962" s="69">
        <f t="shared" si="61"/>
        <v>32524.400000000001</v>
      </c>
      <c r="S1962" s="30"/>
      <c r="T1962" s="30"/>
    </row>
    <row r="1963" spans="1:20" ht="45" customHeight="1" x14ac:dyDescent="0.3">
      <c r="A1963" s="31">
        <v>1951</v>
      </c>
      <c r="B1963" s="32" t="s">
        <v>6397</v>
      </c>
      <c r="C1963" s="32" t="s">
        <v>6422</v>
      </c>
      <c r="D1963" s="32" t="s">
        <v>6423</v>
      </c>
      <c r="E1963" s="32">
        <v>1990</v>
      </c>
      <c r="F1963" s="32" t="s">
        <v>19</v>
      </c>
      <c r="G1963" s="32" t="s">
        <v>6561</v>
      </c>
      <c r="H1963" s="32" t="s">
        <v>6561</v>
      </c>
      <c r="I1963" s="32" t="s">
        <v>1261</v>
      </c>
      <c r="J1963" s="32">
        <v>6199</v>
      </c>
      <c r="K1963" s="32">
        <v>0</v>
      </c>
      <c r="L1963" s="32">
        <v>0</v>
      </c>
      <c r="M1963" s="32">
        <v>0</v>
      </c>
      <c r="N1963" s="32">
        <v>0</v>
      </c>
      <c r="O1963" s="32">
        <v>0</v>
      </c>
      <c r="P1963" s="32">
        <v>0</v>
      </c>
      <c r="Q1963" s="46">
        <f t="shared" si="60"/>
        <v>6199</v>
      </c>
      <c r="R1963" s="69">
        <f t="shared" si="61"/>
        <v>5269.15</v>
      </c>
      <c r="S1963" s="30"/>
      <c r="T1963" s="30"/>
    </row>
    <row r="1964" spans="1:20" ht="45" customHeight="1" x14ac:dyDescent="0.3">
      <c r="A1964" s="36">
        <v>1952</v>
      </c>
      <c r="B1964" s="32" t="s">
        <v>6397</v>
      </c>
      <c r="C1964" s="32" t="s">
        <v>6424</v>
      </c>
      <c r="D1964" s="32" t="s">
        <v>6425</v>
      </c>
      <c r="E1964" s="32">
        <v>2001</v>
      </c>
      <c r="F1964" s="32" t="s">
        <v>19</v>
      </c>
      <c r="G1964" s="32" t="s">
        <v>6562</v>
      </c>
      <c r="H1964" s="32" t="s">
        <v>6627</v>
      </c>
      <c r="I1964" s="32" t="s">
        <v>2141</v>
      </c>
      <c r="J1964" s="32">
        <v>6199</v>
      </c>
      <c r="K1964" s="32">
        <v>0</v>
      </c>
      <c r="L1964" s="32">
        <v>18406</v>
      </c>
      <c r="M1964" s="32">
        <v>0</v>
      </c>
      <c r="N1964" s="32">
        <v>0</v>
      </c>
      <c r="O1964" s="32">
        <v>0</v>
      </c>
      <c r="P1964" s="32">
        <v>0</v>
      </c>
      <c r="Q1964" s="46">
        <f t="shared" si="60"/>
        <v>24605</v>
      </c>
      <c r="R1964" s="69">
        <f t="shared" si="61"/>
        <v>20914.25</v>
      </c>
      <c r="S1964" s="30"/>
      <c r="T1964" s="30"/>
    </row>
    <row r="1965" spans="1:20" ht="45" customHeight="1" x14ac:dyDescent="0.3">
      <c r="A1965" s="31">
        <v>1953</v>
      </c>
      <c r="B1965" s="32" t="s">
        <v>6397</v>
      </c>
      <c r="C1965" s="32" t="s">
        <v>6426</v>
      </c>
      <c r="D1965" s="32" t="s">
        <v>6427</v>
      </c>
      <c r="E1965" s="32">
        <v>1994</v>
      </c>
      <c r="F1965" s="32" t="s">
        <v>18</v>
      </c>
      <c r="G1965" s="32" t="s">
        <v>6563</v>
      </c>
      <c r="H1965" s="32" t="s">
        <v>6563</v>
      </c>
      <c r="I1965" s="32" t="s">
        <v>6668</v>
      </c>
      <c r="J1965" s="32">
        <v>6199</v>
      </c>
      <c r="K1965" s="32">
        <f>6278+4484+2332+2332+2332+2332+2332+6995+3000+3000+1166+2801+2332+2332+3228</f>
        <v>47276</v>
      </c>
      <c r="L1965" s="32">
        <v>0</v>
      </c>
      <c r="M1965" s="32">
        <v>0</v>
      </c>
      <c r="N1965" s="32">
        <v>1793</v>
      </c>
      <c r="O1965" s="32">
        <v>0</v>
      </c>
      <c r="P1965" s="32">
        <v>0</v>
      </c>
      <c r="Q1965" s="47">
        <f t="shared" si="60"/>
        <v>55268</v>
      </c>
      <c r="R1965" s="69">
        <f t="shared" si="61"/>
        <v>46977.8</v>
      </c>
      <c r="S1965" s="30"/>
      <c r="T1965" s="30"/>
    </row>
    <row r="1966" spans="1:20" ht="45" customHeight="1" x14ac:dyDescent="0.3">
      <c r="A1966" s="31">
        <v>1954</v>
      </c>
      <c r="B1966" s="32" t="s">
        <v>6397</v>
      </c>
      <c r="C1966" s="32" t="s">
        <v>6428</v>
      </c>
      <c r="D1966" s="32" t="s">
        <v>4719</v>
      </c>
      <c r="E1966" s="32">
        <v>2006</v>
      </c>
      <c r="F1966" s="32" t="s">
        <v>19</v>
      </c>
      <c r="G1966" s="32" t="s">
        <v>4812</v>
      </c>
      <c r="H1966" s="32" t="s">
        <v>4850</v>
      </c>
      <c r="I1966" s="32" t="s">
        <v>4875</v>
      </c>
      <c r="J1966" s="32">
        <v>3793</v>
      </c>
      <c r="K1966" s="32">
        <f>1166+2801</f>
        <v>3967</v>
      </c>
      <c r="L1966" s="32">
        <v>0</v>
      </c>
      <c r="M1966" s="32">
        <v>0</v>
      </c>
      <c r="N1966" s="32">
        <v>0</v>
      </c>
      <c r="O1966" s="32">
        <v>0</v>
      </c>
      <c r="P1966" s="32">
        <v>0</v>
      </c>
      <c r="Q1966" s="46">
        <f t="shared" si="60"/>
        <v>7760</v>
      </c>
      <c r="R1966" s="69">
        <f t="shared" si="61"/>
        <v>6596</v>
      </c>
      <c r="S1966" s="30"/>
      <c r="T1966" s="30"/>
    </row>
    <row r="1967" spans="1:20" ht="45" customHeight="1" x14ac:dyDescent="0.3">
      <c r="A1967" s="36">
        <v>1955</v>
      </c>
      <c r="B1967" s="32" t="s">
        <v>6397</v>
      </c>
      <c r="C1967" s="32" t="s">
        <v>6429</v>
      </c>
      <c r="D1967" s="32" t="s">
        <v>6430</v>
      </c>
      <c r="E1967" s="32">
        <v>1962</v>
      </c>
      <c r="F1967" s="32" t="s">
        <v>18</v>
      </c>
      <c r="G1967" s="32" t="s">
        <v>2824</v>
      </c>
      <c r="H1967" s="32" t="s">
        <v>2824</v>
      </c>
      <c r="I1967" s="32" t="s">
        <v>2455</v>
      </c>
      <c r="J1967" s="32">
        <v>6199</v>
      </c>
      <c r="K1967" s="32">
        <f>6995+2801+1166+6278+2332+2332+2332+2332</f>
        <v>26568</v>
      </c>
      <c r="L1967" s="32">
        <v>17620</v>
      </c>
      <c r="M1967" s="32">
        <v>0</v>
      </c>
      <c r="N1967" s="32">
        <v>1793</v>
      </c>
      <c r="O1967" s="32">
        <v>0</v>
      </c>
      <c r="P1967" s="32">
        <v>0</v>
      </c>
      <c r="Q1967" s="46">
        <f t="shared" si="60"/>
        <v>52180</v>
      </c>
      <c r="R1967" s="69">
        <f t="shared" si="61"/>
        <v>44353</v>
      </c>
      <c r="S1967" s="30"/>
      <c r="T1967" s="30"/>
    </row>
    <row r="1968" spans="1:20" ht="45" customHeight="1" x14ac:dyDescent="0.3">
      <c r="A1968" s="31">
        <v>1956</v>
      </c>
      <c r="B1968" s="32" t="s">
        <v>6397</v>
      </c>
      <c r="C1968" s="32" t="s">
        <v>6431</v>
      </c>
      <c r="D1968" s="32" t="s">
        <v>6432</v>
      </c>
      <c r="E1968" s="32">
        <v>1996</v>
      </c>
      <c r="F1968" s="32" t="s">
        <v>19</v>
      </c>
      <c r="G1968" s="32" t="s">
        <v>6564</v>
      </c>
      <c r="H1968" s="32" t="s">
        <v>6564</v>
      </c>
      <c r="I1968" s="32" t="s">
        <v>288</v>
      </c>
      <c r="J1968" s="32">
        <v>6199</v>
      </c>
      <c r="K1968" s="32">
        <v>0</v>
      </c>
      <c r="L1968" s="32">
        <v>18406</v>
      </c>
      <c r="M1968" s="32">
        <v>0</v>
      </c>
      <c r="N1968" s="32">
        <v>0</v>
      </c>
      <c r="O1968" s="32">
        <v>0</v>
      </c>
      <c r="P1968" s="32">
        <v>0</v>
      </c>
      <c r="Q1968" s="46">
        <f t="shared" si="60"/>
        <v>24605</v>
      </c>
      <c r="R1968" s="69">
        <f t="shared" si="61"/>
        <v>20914.25</v>
      </c>
      <c r="S1968" s="30"/>
      <c r="T1968" s="30"/>
    </row>
    <row r="1969" spans="1:20" ht="45" customHeight="1" x14ac:dyDescent="0.3">
      <c r="A1969" s="31">
        <v>1957</v>
      </c>
      <c r="B1969" s="32" t="s">
        <v>6397</v>
      </c>
      <c r="C1969" s="32" t="s">
        <v>6433</v>
      </c>
      <c r="D1969" s="32" t="s">
        <v>6434</v>
      </c>
      <c r="E1969" s="32">
        <v>2010</v>
      </c>
      <c r="F1969" s="32" t="s">
        <v>19</v>
      </c>
      <c r="G1969" s="32" t="s">
        <v>6565</v>
      </c>
      <c r="H1969" s="32" t="s">
        <v>6628</v>
      </c>
      <c r="I1969" s="32" t="s">
        <v>288</v>
      </c>
      <c r="J1969" s="32">
        <v>6199</v>
      </c>
      <c r="K1969" s="32">
        <v>0</v>
      </c>
      <c r="L1969" s="32">
        <v>0</v>
      </c>
      <c r="M1969" s="32">
        <v>0</v>
      </c>
      <c r="N1969" s="32">
        <v>0</v>
      </c>
      <c r="O1969" s="32">
        <v>0</v>
      </c>
      <c r="P1969" s="32">
        <v>0</v>
      </c>
      <c r="Q1969" s="46">
        <f t="shared" si="60"/>
        <v>6199</v>
      </c>
      <c r="R1969" s="69">
        <f t="shared" si="61"/>
        <v>5269.15</v>
      </c>
      <c r="S1969" s="30"/>
      <c r="T1969" s="30"/>
    </row>
    <row r="1970" spans="1:20" ht="45" customHeight="1" x14ac:dyDescent="0.3">
      <c r="A1970" s="36">
        <v>1958</v>
      </c>
      <c r="B1970" s="32" t="s">
        <v>6397</v>
      </c>
      <c r="C1970" s="32" t="s">
        <v>6435</v>
      </c>
      <c r="D1970" s="32" t="s">
        <v>6436</v>
      </c>
      <c r="E1970" s="32">
        <v>2020</v>
      </c>
      <c r="F1970" s="32" t="s">
        <v>19</v>
      </c>
      <c r="G1970" s="32" t="s">
        <v>6566</v>
      </c>
      <c r="H1970" s="32" t="s">
        <v>6629</v>
      </c>
      <c r="I1970" s="32" t="s">
        <v>4205</v>
      </c>
      <c r="J1970" s="32">
        <v>6199</v>
      </c>
      <c r="K1970" s="32">
        <v>0</v>
      </c>
      <c r="L1970" s="32">
        <v>0</v>
      </c>
      <c r="M1970" s="32">
        <v>0</v>
      </c>
      <c r="N1970" s="32">
        <v>0</v>
      </c>
      <c r="O1970" s="32">
        <v>0</v>
      </c>
      <c r="P1970" s="32">
        <v>0</v>
      </c>
      <c r="Q1970" s="47">
        <f t="shared" si="60"/>
        <v>6199</v>
      </c>
      <c r="R1970" s="69">
        <f t="shared" si="61"/>
        <v>5269.15</v>
      </c>
      <c r="S1970" s="30"/>
      <c r="T1970" s="30"/>
    </row>
    <row r="1971" spans="1:20" ht="45" customHeight="1" x14ac:dyDescent="0.3">
      <c r="A1971" s="31">
        <v>1959</v>
      </c>
      <c r="B1971" s="32" t="s">
        <v>6397</v>
      </c>
      <c r="C1971" s="32" t="s">
        <v>6437</v>
      </c>
      <c r="D1971" s="32" t="s">
        <v>6438</v>
      </c>
      <c r="E1971" s="32">
        <v>2019</v>
      </c>
      <c r="F1971" s="32" t="s">
        <v>18</v>
      </c>
      <c r="G1971" s="32" t="s">
        <v>6567</v>
      </c>
      <c r="H1971" s="32" t="s">
        <v>6630</v>
      </c>
      <c r="I1971" s="32" t="s">
        <v>5762</v>
      </c>
      <c r="J1971" s="32">
        <v>6199</v>
      </c>
      <c r="K1971" s="32">
        <f>6278+4484+2332</f>
        <v>13094</v>
      </c>
      <c r="L1971" s="32">
        <v>0</v>
      </c>
      <c r="M1971" s="32">
        <v>0</v>
      </c>
      <c r="N1971" s="32">
        <v>3148</v>
      </c>
      <c r="O1971" s="32">
        <v>0</v>
      </c>
      <c r="P1971" s="32">
        <v>0</v>
      </c>
      <c r="Q1971" s="46">
        <f t="shared" si="60"/>
        <v>22441</v>
      </c>
      <c r="R1971" s="69">
        <f t="shared" si="61"/>
        <v>19074.849999999999</v>
      </c>
      <c r="S1971" s="30"/>
      <c r="T1971" s="30"/>
    </row>
    <row r="1972" spans="1:20" ht="45" customHeight="1" x14ac:dyDescent="0.3">
      <c r="A1972" s="31">
        <v>1960</v>
      </c>
      <c r="B1972" s="32" t="s">
        <v>6397</v>
      </c>
      <c r="C1972" s="32" t="s">
        <v>6439</v>
      </c>
      <c r="D1972" s="32" t="s">
        <v>6440</v>
      </c>
      <c r="E1972" s="32">
        <v>2022</v>
      </c>
      <c r="F1972" s="32" t="s">
        <v>18</v>
      </c>
      <c r="G1972" s="32" t="s">
        <v>6568</v>
      </c>
      <c r="H1972" s="32" t="s">
        <v>6629</v>
      </c>
      <c r="I1972" s="32" t="s">
        <v>4205</v>
      </c>
      <c r="J1972" s="32">
        <v>6199</v>
      </c>
      <c r="K1972" s="32">
        <v>0</v>
      </c>
      <c r="L1972" s="32">
        <v>0</v>
      </c>
      <c r="M1972" s="32">
        <v>0</v>
      </c>
      <c r="N1972" s="32">
        <v>0</v>
      </c>
      <c r="O1972" s="32">
        <v>0</v>
      </c>
      <c r="P1972" s="32">
        <v>0</v>
      </c>
      <c r="Q1972" s="46">
        <f t="shared" si="60"/>
        <v>6199</v>
      </c>
      <c r="R1972" s="69">
        <f t="shared" si="61"/>
        <v>5269.15</v>
      </c>
      <c r="S1972" s="30"/>
      <c r="T1972" s="30"/>
    </row>
    <row r="1973" spans="1:20" s="41" customFormat="1" ht="45" customHeight="1" x14ac:dyDescent="0.3">
      <c r="A1973" s="36">
        <v>1961</v>
      </c>
      <c r="B1973" s="38" t="s">
        <v>6397</v>
      </c>
      <c r="C1973" s="38" t="s">
        <v>6441</v>
      </c>
      <c r="D1973" s="38" t="s">
        <v>6442</v>
      </c>
      <c r="E1973" s="38">
        <v>1990</v>
      </c>
      <c r="F1973" s="38" t="s">
        <v>19</v>
      </c>
      <c r="G1973" s="38" t="s">
        <v>6569</v>
      </c>
      <c r="H1973" s="38" t="s">
        <v>6569</v>
      </c>
      <c r="I1973" s="38" t="s">
        <v>6669</v>
      </c>
      <c r="J1973" s="38">
        <v>6199</v>
      </c>
      <c r="K1973" s="38">
        <f>2332+2332+2243+1166</f>
        <v>8073</v>
      </c>
      <c r="L1973" s="38">
        <v>0</v>
      </c>
      <c r="M1973" s="38">
        <v>0</v>
      </c>
      <c r="N1973" s="38">
        <v>0</v>
      </c>
      <c r="O1973" s="38">
        <v>0</v>
      </c>
      <c r="P1973" s="38">
        <v>0</v>
      </c>
      <c r="Q1973" s="46">
        <f t="shared" si="60"/>
        <v>14272</v>
      </c>
      <c r="R1973" s="69">
        <f t="shared" si="61"/>
        <v>12131.2</v>
      </c>
      <c r="S1973" s="40"/>
      <c r="T1973" s="40"/>
    </row>
    <row r="1974" spans="1:20" s="41" customFormat="1" ht="45" customHeight="1" x14ac:dyDescent="0.3">
      <c r="A1974" s="31">
        <v>1962</v>
      </c>
      <c r="B1974" s="38" t="s">
        <v>6397</v>
      </c>
      <c r="C1974" s="38" t="s">
        <v>6443</v>
      </c>
      <c r="D1974" s="38" t="s">
        <v>6444</v>
      </c>
      <c r="E1974" s="38">
        <v>2019</v>
      </c>
      <c r="F1974" s="38" t="s">
        <v>19</v>
      </c>
      <c r="G1974" s="38" t="s">
        <v>6570</v>
      </c>
      <c r="H1974" s="38" t="s">
        <v>6631</v>
      </c>
      <c r="I1974" s="38" t="s">
        <v>6669</v>
      </c>
      <c r="J1974" s="38">
        <v>6199</v>
      </c>
      <c r="K1974" s="38">
        <f>6278+4484+1346+4484+2332+2332+2332+2332+3000+3000+2332+2332+1166+2332</f>
        <v>40082</v>
      </c>
      <c r="L1974" s="38">
        <v>0</v>
      </c>
      <c r="M1974" s="38">
        <v>0</v>
      </c>
      <c r="N1974" s="38">
        <v>3148</v>
      </c>
      <c r="O1974" s="38">
        <v>0</v>
      </c>
      <c r="P1974" s="38">
        <v>0</v>
      </c>
      <c r="Q1974" s="48">
        <f t="shared" si="60"/>
        <v>49429</v>
      </c>
      <c r="R1974" s="69">
        <f t="shared" si="61"/>
        <v>42014.65</v>
      </c>
      <c r="S1974" s="40"/>
      <c r="T1974" s="40"/>
    </row>
    <row r="1975" spans="1:20" ht="45" customHeight="1" x14ac:dyDescent="0.3">
      <c r="A1975" s="31">
        <v>1963</v>
      </c>
      <c r="B1975" s="32" t="s">
        <v>6397</v>
      </c>
      <c r="C1975" s="32" t="s">
        <v>6445</v>
      </c>
      <c r="D1975" s="32" t="s">
        <v>6446</v>
      </c>
      <c r="E1975" s="32">
        <v>2023</v>
      </c>
      <c r="F1975" s="32" t="s">
        <v>18</v>
      </c>
      <c r="G1975" s="32" t="s">
        <v>6571</v>
      </c>
      <c r="H1975" s="32" t="s">
        <v>6569</v>
      </c>
      <c r="I1975" s="32" t="s">
        <v>6669</v>
      </c>
      <c r="J1975" s="32">
        <v>6199</v>
      </c>
      <c r="K1975" s="32">
        <v>1166</v>
      </c>
      <c r="L1975" s="32">
        <v>0</v>
      </c>
      <c r="M1975" s="32">
        <v>0</v>
      </c>
      <c r="N1975" s="32">
        <v>0</v>
      </c>
      <c r="O1975" s="32">
        <v>0</v>
      </c>
      <c r="P1975" s="32">
        <v>0</v>
      </c>
      <c r="Q1975" s="46">
        <f t="shared" si="60"/>
        <v>7365</v>
      </c>
      <c r="R1975" s="69">
        <f t="shared" si="61"/>
        <v>6260.25</v>
      </c>
      <c r="S1975" s="30"/>
      <c r="T1975" s="30"/>
    </row>
    <row r="1976" spans="1:20" ht="45" customHeight="1" x14ac:dyDescent="0.3">
      <c r="A1976" s="36">
        <v>1964</v>
      </c>
      <c r="B1976" s="32" t="s">
        <v>6397</v>
      </c>
      <c r="C1976" s="32" t="s">
        <v>6447</v>
      </c>
      <c r="D1976" s="32" t="s">
        <v>6448</v>
      </c>
      <c r="E1976" s="32">
        <v>2017</v>
      </c>
      <c r="F1976" s="32" t="s">
        <v>18</v>
      </c>
      <c r="G1976" s="32" t="s">
        <v>6572</v>
      </c>
      <c r="H1976" s="32" t="s">
        <v>6632</v>
      </c>
      <c r="I1976" s="32" t="s">
        <v>6670</v>
      </c>
      <c r="J1976" s="32">
        <v>6199</v>
      </c>
      <c r="K1976" s="32">
        <v>0</v>
      </c>
      <c r="L1976" s="32">
        <v>0</v>
      </c>
      <c r="M1976" s="32">
        <v>0</v>
      </c>
      <c r="N1976" s="32">
        <v>0</v>
      </c>
      <c r="O1976" s="32">
        <v>0</v>
      </c>
      <c r="P1976" s="32">
        <v>0</v>
      </c>
      <c r="Q1976" s="46">
        <f t="shared" si="60"/>
        <v>6199</v>
      </c>
      <c r="R1976" s="69">
        <f t="shared" si="61"/>
        <v>5269.15</v>
      </c>
      <c r="S1976" s="30"/>
      <c r="T1976" s="30"/>
    </row>
    <row r="1977" spans="1:20" ht="45" customHeight="1" x14ac:dyDescent="0.3">
      <c r="A1977" s="31">
        <v>1965</v>
      </c>
      <c r="B1977" s="32" t="s">
        <v>6397</v>
      </c>
      <c r="C1977" s="32" t="s">
        <v>6449</v>
      </c>
      <c r="D1977" s="32" t="s">
        <v>6450</v>
      </c>
      <c r="E1977" s="32">
        <v>2025</v>
      </c>
      <c r="F1977" s="32" t="s">
        <v>18</v>
      </c>
      <c r="G1977" s="32" t="s">
        <v>6573</v>
      </c>
      <c r="H1977" s="32" t="s">
        <v>6633</v>
      </c>
      <c r="I1977" s="32" t="s">
        <v>6671</v>
      </c>
      <c r="J1977" s="32">
        <v>6199</v>
      </c>
      <c r="K1977" s="32">
        <v>0</v>
      </c>
      <c r="L1977" s="32">
        <v>0</v>
      </c>
      <c r="M1977" s="32">
        <v>0</v>
      </c>
      <c r="N1977" s="32">
        <v>61829</v>
      </c>
      <c r="O1977" s="32">
        <v>0</v>
      </c>
      <c r="P1977" s="32">
        <v>0</v>
      </c>
      <c r="Q1977" s="46">
        <f t="shared" si="60"/>
        <v>68028</v>
      </c>
      <c r="R1977" s="69">
        <f t="shared" si="61"/>
        <v>57823.8</v>
      </c>
      <c r="S1977" s="30"/>
      <c r="T1977" s="30"/>
    </row>
    <row r="1978" spans="1:20" ht="45" customHeight="1" x14ac:dyDescent="0.3">
      <c r="A1978" s="31">
        <v>1966</v>
      </c>
      <c r="B1978" s="32" t="s">
        <v>6397</v>
      </c>
      <c r="C1978" s="32" t="s">
        <v>6451</v>
      </c>
      <c r="D1978" s="32" t="s">
        <v>6452</v>
      </c>
      <c r="E1978" s="32">
        <v>2011</v>
      </c>
      <c r="F1978" s="32" t="s">
        <v>18</v>
      </c>
      <c r="G1978" s="32" t="s">
        <v>6574</v>
      </c>
      <c r="H1978" s="32" t="s">
        <v>6634</v>
      </c>
      <c r="I1978" s="32" t="s">
        <v>6672</v>
      </c>
      <c r="J1978" s="32">
        <v>6199</v>
      </c>
      <c r="K1978" s="32">
        <f>6278+4484+1346+2332+2332+2332+2332+2332+1166+6995+6995+2332+6995</f>
        <v>48251</v>
      </c>
      <c r="L1978" s="32">
        <v>0</v>
      </c>
      <c r="M1978" s="32">
        <v>0</v>
      </c>
      <c r="N1978" s="32">
        <f>4053+3148</f>
        <v>7201</v>
      </c>
      <c r="O1978" s="32">
        <v>0</v>
      </c>
      <c r="P1978" s="32">
        <f>720+360+120+360+56+1200+396</f>
        <v>3212</v>
      </c>
      <c r="Q1978" s="47">
        <f t="shared" si="60"/>
        <v>64863</v>
      </c>
      <c r="R1978" s="69">
        <f t="shared" si="61"/>
        <v>55133.55</v>
      </c>
      <c r="S1978" s="30"/>
      <c r="T1978" s="30"/>
    </row>
    <row r="1979" spans="1:20" ht="45" customHeight="1" x14ac:dyDescent="0.3">
      <c r="A1979" s="36">
        <v>1967</v>
      </c>
      <c r="B1979" s="32" t="s">
        <v>6397</v>
      </c>
      <c r="C1979" s="32" t="s">
        <v>6453</v>
      </c>
      <c r="D1979" s="32" t="s">
        <v>6454</v>
      </c>
      <c r="E1979" s="32">
        <v>2020</v>
      </c>
      <c r="F1979" s="32" t="s">
        <v>19</v>
      </c>
      <c r="G1979" s="32" t="s">
        <v>6575</v>
      </c>
      <c r="H1979" s="32" t="s">
        <v>6635</v>
      </c>
      <c r="I1979" s="32" t="s">
        <v>2645</v>
      </c>
      <c r="J1979" s="32">
        <v>6199</v>
      </c>
      <c r="K1979" s="32">
        <v>0</v>
      </c>
      <c r="L1979" s="32">
        <v>13298</v>
      </c>
      <c r="M1979" s="32">
        <v>0</v>
      </c>
      <c r="N1979" s="32">
        <v>0</v>
      </c>
      <c r="O1979" s="32">
        <v>0</v>
      </c>
      <c r="P1979" s="32">
        <v>0</v>
      </c>
      <c r="Q1979" s="46">
        <f t="shared" si="60"/>
        <v>19497</v>
      </c>
      <c r="R1979" s="69">
        <f t="shared" si="61"/>
        <v>16572.45</v>
      </c>
      <c r="S1979" s="30"/>
      <c r="T1979" s="30"/>
    </row>
    <row r="1980" spans="1:20" ht="45" customHeight="1" x14ac:dyDescent="0.3">
      <c r="A1980" s="31">
        <v>1968</v>
      </c>
      <c r="B1980" s="32" t="s">
        <v>6397</v>
      </c>
      <c r="C1980" s="32" t="s">
        <v>6455</v>
      </c>
      <c r="D1980" s="32" t="s">
        <v>6456</v>
      </c>
      <c r="E1980" s="32">
        <v>2000</v>
      </c>
      <c r="F1980" s="32" t="s">
        <v>19</v>
      </c>
      <c r="G1980" s="32" t="s">
        <v>6576</v>
      </c>
      <c r="H1980" s="32" t="s">
        <v>6636</v>
      </c>
      <c r="I1980" s="32" t="s">
        <v>6673</v>
      </c>
      <c r="J1980" s="32">
        <v>6199</v>
      </c>
      <c r="K1980" s="32">
        <v>0</v>
      </c>
      <c r="L1980" s="32">
        <v>18406</v>
      </c>
      <c r="M1980" s="32">
        <v>0</v>
      </c>
      <c r="N1980" s="32">
        <v>0</v>
      </c>
      <c r="O1980" s="32">
        <v>0</v>
      </c>
      <c r="P1980" s="32">
        <v>0</v>
      </c>
      <c r="Q1980" s="46">
        <f t="shared" si="60"/>
        <v>24605</v>
      </c>
      <c r="R1980" s="69">
        <f t="shared" si="61"/>
        <v>20914.25</v>
      </c>
      <c r="S1980" s="30"/>
      <c r="T1980" s="30"/>
    </row>
    <row r="1981" spans="1:20" ht="45" customHeight="1" x14ac:dyDescent="0.3">
      <c r="A1981" s="31">
        <v>1969</v>
      </c>
      <c r="B1981" s="32" t="s">
        <v>6397</v>
      </c>
      <c r="C1981" s="32" t="s">
        <v>6457</v>
      </c>
      <c r="D1981" s="32" t="s">
        <v>6458</v>
      </c>
      <c r="E1981" s="32">
        <v>1995</v>
      </c>
      <c r="F1981" s="32" t="s">
        <v>19</v>
      </c>
      <c r="G1981" s="32" t="s">
        <v>6577</v>
      </c>
      <c r="H1981" s="32" t="s">
        <v>6577</v>
      </c>
      <c r="I1981" s="32" t="s">
        <v>1699</v>
      </c>
      <c r="J1981" s="32">
        <v>6199</v>
      </c>
      <c r="K1981" s="32">
        <v>0</v>
      </c>
      <c r="L1981" s="32">
        <v>18406</v>
      </c>
      <c r="M1981" s="32">
        <v>0</v>
      </c>
      <c r="N1981" s="32">
        <v>0</v>
      </c>
      <c r="O1981" s="32">
        <v>0</v>
      </c>
      <c r="P1981" s="32">
        <v>0</v>
      </c>
      <c r="Q1981" s="46">
        <f t="shared" si="60"/>
        <v>24605</v>
      </c>
      <c r="R1981" s="69">
        <f t="shared" si="61"/>
        <v>20914.25</v>
      </c>
      <c r="S1981" s="30"/>
      <c r="T1981" s="30"/>
    </row>
    <row r="1982" spans="1:20" ht="45" customHeight="1" x14ac:dyDescent="0.3">
      <c r="A1982" s="36">
        <v>1970</v>
      </c>
      <c r="B1982" s="32" t="s">
        <v>6397</v>
      </c>
      <c r="C1982" s="32" t="s">
        <v>6459</v>
      </c>
      <c r="D1982" s="32" t="s">
        <v>6460</v>
      </c>
      <c r="E1982" s="32">
        <v>1999</v>
      </c>
      <c r="F1982" s="32" t="s">
        <v>19</v>
      </c>
      <c r="G1982" s="32" t="s">
        <v>6578</v>
      </c>
      <c r="H1982" s="32" t="s">
        <v>6578</v>
      </c>
      <c r="I1982" s="32" t="s">
        <v>840</v>
      </c>
      <c r="J1982" s="32">
        <v>6199</v>
      </c>
      <c r="K1982" s="32">
        <v>0</v>
      </c>
      <c r="L1982" s="32">
        <v>18406</v>
      </c>
      <c r="M1982" s="32">
        <v>0</v>
      </c>
      <c r="N1982" s="32">
        <v>0</v>
      </c>
      <c r="O1982" s="32">
        <v>0</v>
      </c>
      <c r="P1982" s="32">
        <v>0</v>
      </c>
      <c r="Q1982" s="46">
        <f t="shared" si="60"/>
        <v>24605</v>
      </c>
      <c r="R1982" s="69">
        <f t="shared" si="61"/>
        <v>20914.25</v>
      </c>
      <c r="S1982" s="30"/>
      <c r="T1982" s="30"/>
    </row>
    <row r="1983" spans="1:20" ht="45" customHeight="1" x14ac:dyDescent="0.3">
      <c r="A1983" s="31">
        <v>1971</v>
      </c>
      <c r="B1983" s="32" t="s">
        <v>6397</v>
      </c>
      <c r="C1983" s="32" t="s">
        <v>6461</v>
      </c>
      <c r="D1983" s="32" t="s">
        <v>6462</v>
      </c>
      <c r="E1983" s="32">
        <v>1954</v>
      </c>
      <c r="F1983" s="32" t="s">
        <v>19</v>
      </c>
      <c r="G1983" s="32" t="s">
        <v>6579</v>
      </c>
      <c r="H1983" s="32" t="s">
        <v>6579</v>
      </c>
      <c r="I1983" s="32" t="s">
        <v>824</v>
      </c>
      <c r="J1983" s="32">
        <v>6199</v>
      </c>
      <c r="K1983" s="32">
        <v>2332</v>
      </c>
      <c r="L1983" s="32">
        <v>0</v>
      </c>
      <c r="M1983" s="32">
        <v>0</v>
      </c>
      <c r="N1983" s="32">
        <v>1793</v>
      </c>
      <c r="O1983" s="32">
        <v>0</v>
      </c>
      <c r="P1983" s="32">
        <v>0</v>
      </c>
      <c r="Q1983" s="46">
        <f t="shared" si="60"/>
        <v>10324</v>
      </c>
      <c r="R1983" s="69">
        <f t="shared" si="61"/>
        <v>8775.4</v>
      </c>
      <c r="S1983" s="30"/>
      <c r="T1983" s="30"/>
    </row>
    <row r="1984" spans="1:20" ht="45" customHeight="1" x14ac:dyDescent="0.3">
      <c r="A1984" s="31">
        <v>1972</v>
      </c>
      <c r="B1984" s="32" t="s">
        <v>6397</v>
      </c>
      <c r="C1984" s="32" t="s">
        <v>6463</v>
      </c>
      <c r="D1984" s="32" t="s">
        <v>6464</v>
      </c>
      <c r="E1984" s="32">
        <v>1986</v>
      </c>
      <c r="F1984" s="32" t="s">
        <v>19</v>
      </c>
      <c r="G1984" s="32" t="s">
        <v>6580</v>
      </c>
      <c r="H1984" s="32" t="s">
        <v>6580</v>
      </c>
      <c r="I1984" s="32" t="s">
        <v>5952</v>
      </c>
      <c r="J1984" s="32">
        <v>6199</v>
      </c>
      <c r="K1984" s="32">
        <f>1166+2332+2332+2243</f>
        <v>8073</v>
      </c>
      <c r="L1984" s="32">
        <v>0</v>
      </c>
      <c r="M1984" s="32">
        <v>0</v>
      </c>
      <c r="N1984" s="32">
        <v>0</v>
      </c>
      <c r="O1984" s="32">
        <v>0</v>
      </c>
      <c r="P1984" s="32">
        <v>0</v>
      </c>
      <c r="Q1984" s="46">
        <f t="shared" si="60"/>
        <v>14272</v>
      </c>
      <c r="R1984" s="69">
        <f t="shared" si="61"/>
        <v>12131.2</v>
      </c>
      <c r="S1984" s="30"/>
      <c r="T1984" s="30"/>
    </row>
    <row r="1985" spans="1:20" ht="45" customHeight="1" x14ac:dyDescent="0.3">
      <c r="A1985" s="36">
        <v>1973</v>
      </c>
      <c r="B1985" s="32" t="s">
        <v>6397</v>
      </c>
      <c r="C1985" s="32" t="s">
        <v>6465</v>
      </c>
      <c r="D1985" s="32" t="s">
        <v>6466</v>
      </c>
      <c r="E1985" s="32">
        <v>2022</v>
      </c>
      <c r="F1985" s="32" t="s">
        <v>18</v>
      </c>
      <c r="G1985" s="32" t="s">
        <v>6581</v>
      </c>
      <c r="H1985" s="32" t="s">
        <v>6637</v>
      </c>
      <c r="I1985" s="32" t="s">
        <v>5952</v>
      </c>
      <c r="J1985" s="32">
        <v>6199</v>
      </c>
      <c r="K1985" s="32">
        <f>6278+4484+1346+2332+2332+2332+2332+2332+6995+6995+2332+6995+2332+4484</f>
        <v>53901</v>
      </c>
      <c r="L1985" s="32">
        <v>0</v>
      </c>
      <c r="M1985" s="32">
        <v>0</v>
      </c>
      <c r="N1985" s="32">
        <v>3148</v>
      </c>
      <c r="O1985" s="32">
        <v>0</v>
      </c>
      <c r="P1985" s="32">
        <v>0</v>
      </c>
      <c r="Q1985" s="46">
        <f t="shared" si="60"/>
        <v>63248</v>
      </c>
      <c r="R1985" s="69">
        <f t="shared" si="61"/>
        <v>53760.800000000003</v>
      </c>
      <c r="S1985" s="30"/>
      <c r="T1985" s="30"/>
    </row>
    <row r="1986" spans="1:20" ht="45" customHeight="1" x14ac:dyDescent="0.3">
      <c r="A1986" s="31">
        <v>1974</v>
      </c>
      <c r="B1986" s="32" t="s">
        <v>6397</v>
      </c>
      <c r="C1986" s="32" t="s">
        <v>6467</v>
      </c>
      <c r="D1986" s="32" t="s">
        <v>6468</v>
      </c>
      <c r="E1986" s="32">
        <v>1997</v>
      </c>
      <c r="F1986" s="32" t="s">
        <v>19</v>
      </c>
      <c r="G1986" s="32" t="s">
        <v>6582</v>
      </c>
      <c r="H1986" s="32" t="s">
        <v>6582</v>
      </c>
      <c r="I1986" s="32" t="s">
        <v>1282</v>
      </c>
      <c r="J1986" s="32">
        <v>6199</v>
      </c>
      <c r="K1986" s="32">
        <v>0</v>
      </c>
      <c r="L1986" s="32">
        <v>18406</v>
      </c>
      <c r="M1986" s="32">
        <v>0</v>
      </c>
      <c r="N1986" s="32">
        <v>0</v>
      </c>
      <c r="O1986" s="32">
        <v>0</v>
      </c>
      <c r="P1986" s="32">
        <v>0</v>
      </c>
      <c r="Q1986" s="46">
        <f t="shared" si="60"/>
        <v>24605</v>
      </c>
      <c r="R1986" s="69">
        <f t="shared" si="61"/>
        <v>20914.25</v>
      </c>
      <c r="S1986" s="30"/>
      <c r="T1986" s="30"/>
    </row>
    <row r="1987" spans="1:20" ht="45" customHeight="1" x14ac:dyDescent="0.3">
      <c r="A1987" s="31">
        <v>1975</v>
      </c>
      <c r="B1987" s="32" t="s">
        <v>6397</v>
      </c>
      <c r="C1987" s="32" t="s">
        <v>6469</v>
      </c>
      <c r="D1987" s="32" t="s">
        <v>6470</v>
      </c>
      <c r="E1987" s="32">
        <v>1982</v>
      </c>
      <c r="F1987" s="32" t="s">
        <v>19</v>
      </c>
      <c r="G1987" s="32" t="s">
        <v>6583</v>
      </c>
      <c r="H1987" s="32" t="s">
        <v>6583</v>
      </c>
      <c r="I1987" s="32" t="s">
        <v>560</v>
      </c>
      <c r="J1987" s="32">
        <v>3582</v>
      </c>
      <c r="K1987" s="32">
        <v>0</v>
      </c>
      <c r="L1987" s="32">
        <v>0</v>
      </c>
      <c r="M1987" s="32">
        <v>0</v>
      </c>
      <c r="N1987" s="32">
        <f>15443+21194+13563</f>
        <v>50200</v>
      </c>
      <c r="O1987" s="32">
        <v>0</v>
      </c>
      <c r="P1987" s="32">
        <v>0</v>
      </c>
      <c r="Q1987" s="46">
        <f t="shared" si="60"/>
        <v>53782</v>
      </c>
      <c r="R1987" s="69">
        <f t="shared" si="61"/>
        <v>45714.7</v>
      </c>
      <c r="S1987" s="30"/>
      <c r="T1987" s="30"/>
    </row>
    <row r="1988" spans="1:20" ht="45" customHeight="1" x14ac:dyDescent="0.3">
      <c r="A1988" s="36">
        <v>1976</v>
      </c>
      <c r="B1988" s="32" t="s">
        <v>6397</v>
      </c>
      <c r="C1988" s="32" t="s">
        <v>6471</v>
      </c>
      <c r="D1988" s="32" t="s">
        <v>6472</v>
      </c>
      <c r="E1988" s="32">
        <v>2022</v>
      </c>
      <c r="F1988" s="32" t="s">
        <v>19</v>
      </c>
      <c r="G1988" s="32" t="s">
        <v>6584</v>
      </c>
      <c r="H1988" s="32" t="s">
        <v>6638</v>
      </c>
      <c r="I1988" s="32" t="s">
        <v>1070</v>
      </c>
      <c r="J1988" s="32">
        <v>6199</v>
      </c>
      <c r="K1988" s="32">
        <f>6278+4484+1346+2332+2332+2332+2332+2332+6995+6995+2332+6995+2332+4484</f>
        <v>53901</v>
      </c>
      <c r="L1988" s="32">
        <v>0</v>
      </c>
      <c r="M1988" s="32">
        <v>0</v>
      </c>
      <c r="N1988" s="32">
        <v>3148</v>
      </c>
      <c r="O1988" s="32">
        <v>0</v>
      </c>
      <c r="P1988" s="32">
        <v>0</v>
      </c>
      <c r="Q1988" s="46">
        <f t="shared" si="60"/>
        <v>63248</v>
      </c>
      <c r="R1988" s="69">
        <f t="shared" si="61"/>
        <v>53760.800000000003</v>
      </c>
      <c r="S1988" s="30"/>
      <c r="T1988" s="30"/>
    </row>
    <row r="1989" spans="1:20" ht="45" customHeight="1" x14ac:dyDescent="0.3">
      <c r="A1989" s="31">
        <v>1977</v>
      </c>
      <c r="B1989" s="32" t="s">
        <v>6397</v>
      </c>
      <c r="C1989" s="32" t="s">
        <v>6473</v>
      </c>
      <c r="D1989" s="32" t="s">
        <v>6474</v>
      </c>
      <c r="E1989" s="32">
        <v>2013</v>
      </c>
      <c r="F1989" s="32" t="s">
        <v>18</v>
      </c>
      <c r="G1989" s="32" t="s">
        <v>6585</v>
      </c>
      <c r="H1989" s="32" t="s">
        <v>6639</v>
      </c>
      <c r="I1989" s="32" t="s">
        <v>6674</v>
      </c>
      <c r="J1989" s="32">
        <v>6199</v>
      </c>
      <c r="K1989" s="32">
        <v>0</v>
      </c>
      <c r="L1989" s="32">
        <v>0</v>
      </c>
      <c r="M1989" s="32">
        <v>0</v>
      </c>
      <c r="N1989" s="32">
        <v>0</v>
      </c>
      <c r="O1989" s="32">
        <v>0</v>
      </c>
      <c r="P1989" s="32">
        <v>0</v>
      </c>
      <c r="Q1989" s="46">
        <f t="shared" si="60"/>
        <v>6199</v>
      </c>
      <c r="R1989" s="69">
        <f t="shared" si="61"/>
        <v>5269.15</v>
      </c>
      <c r="S1989" s="30"/>
      <c r="T1989" s="30"/>
    </row>
    <row r="1990" spans="1:20" ht="45" customHeight="1" x14ac:dyDescent="0.3">
      <c r="A1990" s="31">
        <v>1978</v>
      </c>
      <c r="B1990" s="32" t="s">
        <v>6397</v>
      </c>
      <c r="C1990" s="32" t="s">
        <v>6475</v>
      </c>
      <c r="D1990" s="32" t="s">
        <v>6476</v>
      </c>
      <c r="E1990" s="32">
        <v>1999</v>
      </c>
      <c r="F1990" s="32" t="s">
        <v>19</v>
      </c>
      <c r="G1990" s="32" t="s">
        <v>6586</v>
      </c>
      <c r="H1990" s="32" t="s">
        <v>6586</v>
      </c>
      <c r="I1990" s="32" t="s">
        <v>4208</v>
      </c>
      <c r="J1990" s="32">
        <v>6199</v>
      </c>
      <c r="K1990" s="32">
        <f>2332+2332+2243+3587</f>
        <v>10494</v>
      </c>
      <c r="L1990" s="32">
        <v>0</v>
      </c>
      <c r="M1990" s="32">
        <v>0</v>
      </c>
      <c r="N1990" s="32">
        <v>9871</v>
      </c>
      <c r="O1990" s="32">
        <v>0</v>
      </c>
      <c r="P1990" s="32">
        <v>0</v>
      </c>
      <c r="Q1990" s="46">
        <f t="shared" si="60"/>
        <v>26564</v>
      </c>
      <c r="R1990" s="69">
        <f t="shared" si="61"/>
        <v>22579.4</v>
      </c>
      <c r="S1990" s="30"/>
      <c r="T1990" s="30"/>
    </row>
    <row r="1991" spans="1:20" ht="45" customHeight="1" x14ac:dyDescent="0.3">
      <c r="A1991" s="36">
        <v>1979</v>
      </c>
      <c r="B1991" s="32" t="s">
        <v>6397</v>
      </c>
      <c r="C1991" s="32" t="s">
        <v>6477</v>
      </c>
      <c r="D1991" s="32" t="s">
        <v>6478</v>
      </c>
      <c r="E1991" s="32">
        <v>1989</v>
      </c>
      <c r="F1991" s="32" t="s">
        <v>18</v>
      </c>
      <c r="G1991" s="32" t="s">
        <v>6587</v>
      </c>
      <c r="H1991" s="32" t="s">
        <v>6587</v>
      </c>
      <c r="I1991" s="32" t="s">
        <v>6675</v>
      </c>
      <c r="J1991" s="32">
        <v>6199</v>
      </c>
      <c r="K1991" s="32">
        <f>6278+13452+2332+4484+4484+2332+6995+6995+2332+2332+2332+2332+2332</f>
        <v>59012</v>
      </c>
      <c r="L1991" s="32">
        <v>0</v>
      </c>
      <c r="M1991" s="32">
        <v>0</v>
      </c>
      <c r="N1991" s="32">
        <f>1793+1178+3179</f>
        <v>6150</v>
      </c>
      <c r="O1991" s="32">
        <v>0</v>
      </c>
      <c r="P1991" s="32">
        <v>1320</v>
      </c>
      <c r="Q1991" s="46">
        <f t="shared" si="60"/>
        <v>72681</v>
      </c>
      <c r="R1991" s="69">
        <f t="shared" si="61"/>
        <v>61778.85</v>
      </c>
      <c r="S1991" s="30"/>
      <c r="T1991" s="30"/>
    </row>
    <row r="1992" spans="1:20" ht="45" customHeight="1" x14ac:dyDescent="0.3">
      <c r="A1992" s="31">
        <v>1980</v>
      </c>
      <c r="B1992" s="32" t="s">
        <v>6397</v>
      </c>
      <c r="C1992" s="32" t="s">
        <v>6479</v>
      </c>
      <c r="D1992" s="32" t="s">
        <v>6480</v>
      </c>
      <c r="E1992" s="32">
        <v>2022</v>
      </c>
      <c r="F1992" s="32" t="s">
        <v>19</v>
      </c>
      <c r="G1992" s="32" t="s">
        <v>6588</v>
      </c>
      <c r="H1992" s="32" t="s">
        <v>6640</v>
      </c>
      <c r="I1992" s="32" t="s">
        <v>2622</v>
      </c>
      <c r="J1992" s="32">
        <v>6199</v>
      </c>
      <c r="K1992" s="32">
        <f>6278+4484+1346+4484+2332+2332+2332+2332+2332+6995+6995+2332+6995</f>
        <v>51569</v>
      </c>
      <c r="L1992" s="32">
        <v>0</v>
      </c>
      <c r="M1992" s="32">
        <v>0</v>
      </c>
      <c r="N1992" s="32">
        <v>3148</v>
      </c>
      <c r="O1992" s="32">
        <v>0</v>
      </c>
      <c r="P1992" s="32">
        <v>0</v>
      </c>
      <c r="Q1992" s="47">
        <f t="shared" si="60"/>
        <v>60916</v>
      </c>
      <c r="R1992" s="69">
        <f t="shared" si="61"/>
        <v>51778.6</v>
      </c>
      <c r="S1992" s="30"/>
      <c r="T1992" s="30"/>
    </row>
    <row r="1993" spans="1:20" ht="45" customHeight="1" x14ac:dyDescent="0.3">
      <c r="A1993" s="31">
        <v>1981</v>
      </c>
      <c r="B1993" s="32" t="s">
        <v>6397</v>
      </c>
      <c r="C1993" s="32" t="s">
        <v>6479</v>
      </c>
      <c r="D1993" s="32" t="s">
        <v>6480</v>
      </c>
      <c r="E1993" s="32">
        <v>2022</v>
      </c>
      <c r="F1993" s="32" t="s">
        <v>19</v>
      </c>
      <c r="G1993" s="32" t="s">
        <v>6588</v>
      </c>
      <c r="H1993" s="32" t="s">
        <v>6640</v>
      </c>
      <c r="I1993" s="32" t="s">
        <v>2622</v>
      </c>
      <c r="J1993" s="32">
        <v>0</v>
      </c>
      <c r="K1993" s="32">
        <v>0</v>
      </c>
      <c r="L1993" s="32">
        <v>0</v>
      </c>
      <c r="M1993" s="32">
        <v>17688</v>
      </c>
      <c r="N1993" s="32">
        <v>1681</v>
      </c>
      <c r="O1993" s="32">
        <v>0</v>
      </c>
      <c r="P1993" s="32">
        <f>360+56</f>
        <v>416</v>
      </c>
      <c r="Q1993" s="47">
        <f t="shared" si="60"/>
        <v>19785</v>
      </c>
      <c r="R1993" s="69">
        <f t="shared" si="61"/>
        <v>16817.25</v>
      </c>
      <c r="S1993" s="30"/>
      <c r="T1993" s="30"/>
    </row>
    <row r="1994" spans="1:20" ht="45" customHeight="1" x14ac:dyDescent="0.3">
      <c r="A1994" s="36">
        <v>1982</v>
      </c>
      <c r="B1994" s="32" t="s">
        <v>6397</v>
      </c>
      <c r="C1994" s="32" t="s">
        <v>6481</v>
      </c>
      <c r="D1994" s="32" t="s">
        <v>6482</v>
      </c>
      <c r="E1994" s="32">
        <v>1994</v>
      </c>
      <c r="F1994" s="32" t="s">
        <v>19</v>
      </c>
      <c r="G1994" s="32" t="s">
        <v>6589</v>
      </c>
      <c r="H1994" s="32" t="s">
        <v>6641</v>
      </c>
      <c r="I1994" s="32" t="s">
        <v>1282</v>
      </c>
      <c r="J1994" s="32">
        <v>6199</v>
      </c>
      <c r="K1994" s="32">
        <f>6278+4484+1346+2332+2332+2332+2332+2332+2332+3000</f>
        <v>29100</v>
      </c>
      <c r="L1994" s="32">
        <v>0</v>
      </c>
      <c r="M1994" s="32">
        <v>0</v>
      </c>
      <c r="N1994" s="32">
        <v>1793</v>
      </c>
      <c r="O1994" s="32">
        <v>0</v>
      </c>
      <c r="P1994" s="32">
        <v>0</v>
      </c>
      <c r="Q1994" s="46">
        <f t="shared" si="60"/>
        <v>37092</v>
      </c>
      <c r="R1994" s="69">
        <f t="shared" si="61"/>
        <v>31528.2</v>
      </c>
      <c r="S1994" s="30"/>
      <c r="T1994" s="30"/>
    </row>
    <row r="1995" spans="1:20" s="41" customFormat="1" ht="45" customHeight="1" x14ac:dyDescent="0.3">
      <c r="A1995" s="31">
        <v>1983</v>
      </c>
      <c r="B1995" s="38" t="s">
        <v>6397</v>
      </c>
      <c r="C1995" s="38" t="s">
        <v>6483</v>
      </c>
      <c r="D1995" s="38" t="s">
        <v>923</v>
      </c>
      <c r="E1995" s="38">
        <v>2019</v>
      </c>
      <c r="F1995" s="38" t="s">
        <v>19</v>
      </c>
      <c r="G1995" s="38" t="s">
        <v>993</v>
      </c>
      <c r="H1995" s="38" t="s">
        <v>1033</v>
      </c>
      <c r="I1995" s="38" t="s">
        <v>1065</v>
      </c>
      <c r="J1995" s="38">
        <v>6199</v>
      </c>
      <c r="K1995" s="38">
        <f>6278+4484</f>
        <v>10762</v>
      </c>
      <c r="L1995" s="38">
        <v>0</v>
      </c>
      <c r="M1995" s="38">
        <v>0</v>
      </c>
      <c r="N1995" s="38">
        <v>3148</v>
      </c>
      <c r="O1995" s="38">
        <v>0</v>
      </c>
      <c r="P1995" s="38">
        <v>0</v>
      </c>
      <c r="Q1995" s="46">
        <f t="shared" si="60"/>
        <v>20109</v>
      </c>
      <c r="R1995" s="69">
        <f t="shared" si="61"/>
        <v>17092.650000000001</v>
      </c>
      <c r="S1995" s="40"/>
      <c r="T1995" s="40"/>
    </row>
    <row r="1996" spans="1:20" ht="45" customHeight="1" x14ac:dyDescent="0.3">
      <c r="A1996" s="31">
        <v>1984</v>
      </c>
      <c r="B1996" s="32" t="s">
        <v>6397</v>
      </c>
      <c r="C1996" s="32" t="s">
        <v>6484</v>
      </c>
      <c r="D1996" s="32" t="s">
        <v>6485</v>
      </c>
      <c r="E1996" s="32">
        <v>1992</v>
      </c>
      <c r="F1996" s="32" t="s">
        <v>19</v>
      </c>
      <c r="G1996" s="32" t="s">
        <v>6590</v>
      </c>
      <c r="H1996" s="32" t="s">
        <v>6642</v>
      </c>
      <c r="I1996" s="32" t="s">
        <v>35</v>
      </c>
      <c r="J1996" s="32">
        <v>6199</v>
      </c>
      <c r="K1996" s="32">
        <f>2332+2332+2243</f>
        <v>6907</v>
      </c>
      <c r="L1996" s="32">
        <v>0</v>
      </c>
      <c r="M1996" s="32">
        <v>0</v>
      </c>
      <c r="N1996" s="32">
        <v>0</v>
      </c>
      <c r="O1996" s="32">
        <v>0</v>
      </c>
      <c r="P1996" s="32">
        <v>0</v>
      </c>
      <c r="Q1996" s="46">
        <f t="shared" si="60"/>
        <v>13106</v>
      </c>
      <c r="R1996" s="69">
        <f t="shared" si="61"/>
        <v>11140.1</v>
      </c>
      <c r="S1996" s="30"/>
      <c r="T1996" s="30"/>
    </row>
    <row r="1997" spans="1:20" ht="45" customHeight="1" x14ac:dyDescent="0.3">
      <c r="A1997" s="36">
        <v>1985</v>
      </c>
      <c r="B1997" s="32" t="s">
        <v>6397</v>
      </c>
      <c r="C1997" s="32" t="s">
        <v>6486</v>
      </c>
      <c r="D1997" s="32" t="s">
        <v>6487</v>
      </c>
      <c r="E1997" s="32">
        <v>2025</v>
      </c>
      <c r="F1997" s="32" t="s">
        <v>19</v>
      </c>
      <c r="G1997" s="32" t="s">
        <v>6591</v>
      </c>
      <c r="H1997" s="32" t="s">
        <v>6643</v>
      </c>
      <c r="I1997" s="32" t="s">
        <v>5123</v>
      </c>
      <c r="J1997" s="32">
        <v>6199</v>
      </c>
      <c r="K1997" s="32">
        <f>6278+4484</f>
        <v>10762</v>
      </c>
      <c r="L1997" s="32">
        <v>0</v>
      </c>
      <c r="M1997" s="32">
        <v>0</v>
      </c>
      <c r="N1997" s="32">
        <v>3148</v>
      </c>
      <c r="O1997" s="32">
        <v>0</v>
      </c>
      <c r="P1997" s="32">
        <v>0</v>
      </c>
      <c r="Q1997" s="46">
        <f t="shared" ref="Q1997:Q2060" si="62">SUM(J1997:P1997)</f>
        <v>20109</v>
      </c>
      <c r="R1997" s="69">
        <f t="shared" si="61"/>
        <v>17092.650000000001</v>
      </c>
      <c r="S1997" s="30"/>
      <c r="T1997" s="30"/>
    </row>
    <row r="1998" spans="1:20" ht="45" customHeight="1" x14ac:dyDescent="0.3">
      <c r="A1998" s="31">
        <v>1986</v>
      </c>
      <c r="B1998" s="32" t="s">
        <v>6397</v>
      </c>
      <c r="C1998" s="32" t="s">
        <v>6488</v>
      </c>
      <c r="D1998" s="32" t="s">
        <v>5833</v>
      </c>
      <c r="E1998" s="32">
        <v>1972</v>
      </c>
      <c r="F1998" s="32" t="s">
        <v>18</v>
      </c>
      <c r="G1998" s="32" t="s">
        <v>232</v>
      </c>
      <c r="H1998" s="32" t="s">
        <v>232</v>
      </c>
      <c r="I1998" s="32" t="s">
        <v>5954</v>
      </c>
      <c r="J1998" s="32">
        <v>6199</v>
      </c>
      <c r="K1998" s="32">
        <v>0</v>
      </c>
      <c r="L1998" s="32">
        <v>0</v>
      </c>
      <c r="M1998" s="32">
        <v>0</v>
      </c>
      <c r="N1998" s="32">
        <v>0</v>
      </c>
      <c r="O1998" s="32">
        <v>0</v>
      </c>
      <c r="P1998" s="32">
        <v>0</v>
      </c>
      <c r="Q1998" s="46">
        <f t="shared" si="62"/>
        <v>6199</v>
      </c>
      <c r="R1998" s="69">
        <f t="shared" ref="R1998:R2061" si="63">Q1998*85/100</f>
        <v>5269.15</v>
      </c>
      <c r="S1998" s="30"/>
      <c r="T1998" s="30"/>
    </row>
    <row r="1999" spans="1:20" ht="45" customHeight="1" x14ac:dyDescent="0.3">
      <c r="A1999" s="31">
        <v>1987</v>
      </c>
      <c r="B1999" s="32" t="s">
        <v>6397</v>
      </c>
      <c r="C1999" s="32" t="s">
        <v>6489</v>
      </c>
      <c r="D1999" s="32" t="s">
        <v>6490</v>
      </c>
      <c r="E1999" s="32">
        <v>2025</v>
      </c>
      <c r="F1999" s="32" t="s">
        <v>19</v>
      </c>
      <c r="G1999" s="32" t="s">
        <v>6592</v>
      </c>
      <c r="H1999" s="32" t="s">
        <v>6644</v>
      </c>
      <c r="I1999" s="32" t="s">
        <v>570</v>
      </c>
      <c r="J1999" s="32">
        <v>6199</v>
      </c>
      <c r="K1999" s="32">
        <v>0</v>
      </c>
      <c r="L1999" s="32">
        <v>0</v>
      </c>
      <c r="M1999" s="32">
        <v>0</v>
      </c>
      <c r="N1999" s="32">
        <v>0</v>
      </c>
      <c r="O1999" s="32">
        <v>0</v>
      </c>
      <c r="P1999" s="32">
        <v>0</v>
      </c>
      <c r="Q1999" s="46">
        <f t="shared" si="62"/>
        <v>6199</v>
      </c>
      <c r="R1999" s="69">
        <f t="shared" si="63"/>
        <v>5269.15</v>
      </c>
      <c r="S1999" s="30"/>
      <c r="T1999" s="30"/>
    </row>
    <row r="2000" spans="1:20" ht="45" customHeight="1" x14ac:dyDescent="0.3">
      <c r="A2000" s="36">
        <v>1988</v>
      </c>
      <c r="B2000" s="32" t="s">
        <v>6397</v>
      </c>
      <c r="C2000" s="32" t="s">
        <v>6491</v>
      </c>
      <c r="D2000" s="32" t="s">
        <v>6492</v>
      </c>
      <c r="E2000" s="32">
        <v>1965</v>
      </c>
      <c r="F2000" s="32" t="s">
        <v>18</v>
      </c>
      <c r="G2000" s="32" t="s">
        <v>6593</v>
      </c>
      <c r="H2000" s="32" t="s">
        <v>6593</v>
      </c>
      <c r="I2000" s="32" t="s">
        <v>1460</v>
      </c>
      <c r="J2000" s="32">
        <v>6199</v>
      </c>
      <c r="K2000" s="32">
        <v>0</v>
      </c>
      <c r="L2000" s="32">
        <v>0</v>
      </c>
      <c r="M2000" s="32">
        <v>0</v>
      </c>
      <c r="N2000" s="32">
        <v>0</v>
      </c>
      <c r="O2000" s="32">
        <v>0</v>
      </c>
      <c r="P2000" s="32">
        <v>0</v>
      </c>
      <c r="Q2000" s="46">
        <f t="shared" si="62"/>
        <v>6199</v>
      </c>
      <c r="R2000" s="69">
        <f t="shared" si="63"/>
        <v>5269.15</v>
      </c>
      <c r="S2000" s="30"/>
      <c r="T2000" s="30"/>
    </row>
    <row r="2001" spans="1:20" ht="45" customHeight="1" x14ac:dyDescent="0.3">
      <c r="A2001" s="31">
        <v>1989</v>
      </c>
      <c r="B2001" s="32" t="s">
        <v>6397</v>
      </c>
      <c r="C2001" s="32" t="s">
        <v>6493</v>
      </c>
      <c r="D2001" s="32" t="s">
        <v>6494</v>
      </c>
      <c r="E2001" s="32">
        <v>1995</v>
      </c>
      <c r="F2001" s="32" t="s">
        <v>19</v>
      </c>
      <c r="G2001" s="32" t="s">
        <v>6594</v>
      </c>
      <c r="H2001" s="32" t="s">
        <v>6645</v>
      </c>
      <c r="I2001" s="32" t="s">
        <v>6676</v>
      </c>
      <c r="J2001" s="32">
        <v>6199</v>
      </c>
      <c r="K2001" s="32">
        <v>0</v>
      </c>
      <c r="L2001" s="32">
        <v>18406</v>
      </c>
      <c r="M2001" s="32">
        <v>0</v>
      </c>
      <c r="N2001" s="32">
        <v>0</v>
      </c>
      <c r="O2001" s="32">
        <v>0</v>
      </c>
      <c r="P2001" s="32">
        <v>0</v>
      </c>
      <c r="Q2001" s="46">
        <f t="shared" si="62"/>
        <v>24605</v>
      </c>
      <c r="R2001" s="69">
        <f t="shared" si="63"/>
        <v>20914.25</v>
      </c>
      <c r="S2001" s="30"/>
      <c r="T2001" s="30"/>
    </row>
    <row r="2002" spans="1:20" ht="45" customHeight="1" x14ac:dyDescent="0.3">
      <c r="A2002" s="31">
        <v>1990</v>
      </c>
      <c r="B2002" s="32" t="s">
        <v>6397</v>
      </c>
      <c r="C2002" s="32" t="s">
        <v>6495</v>
      </c>
      <c r="D2002" s="32" t="s">
        <v>6496</v>
      </c>
      <c r="E2002" s="32">
        <v>2014</v>
      </c>
      <c r="F2002" s="32" t="s">
        <v>18</v>
      </c>
      <c r="G2002" s="32" t="s">
        <v>6595</v>
      </c>
      <c r="H2002" s="32" t="s">
        <v>6646</v>
      </c>
      <c r="I2002" s="32" t="s">
        <v>4211</v>
      </c>
      <c r="J2002" s="32">
        <v>6199</v>
      </c>
      <c r="K2002" s="32">
        <v>0</v>
      </c>
      <c r="L2002" s="32">
        <v>0</v>
      </c>
      <c r="M2002" s="32">
        <v>0</v>
      </c>
      <c r="N2002" s="32">
        <v>27916</v>
      </c>
      <c r="O2002" s="32">
        <v>0</v>
      </c>
      <c r="P2002" s="32">
        <v>0</v>
      </c>
      <c r="Q2002" s="46">
        <f t="shared" si="62"/>
        <v>34115</v>
      </c>
      <c r="R2002" s="69">
        <f t="shared" si="63"/>
        <v>28997.75</v>
      </c>
      <c r="S2002" s="30"/>
      <c r="T2002" s="30"/>
    </row>
    <row r="2003" spans="1:20" ht="45" customHeight="1" x14ac:dyDescent="0.3">
      <c r="A2003" s="36">
        <v>1991</v>
      </c>
      <c r="B2003" s="32" t="s">
        <v>6397</v>
      </c>
      <c r="C2003" s="32" t="s">
        <v>6497</v>
      </c>
      <c r="D2003" s="32" t="s">
        <v>4743</v>
      </c>
      <c r="E2003" s="32">
        <v>2008</v>
      </c>
      <c r="F2003" s="32" t="s">
        <v>18</v>
      </c>
      <c r="G2003" s="32" t="s">
        <v>6596</v>
      </c>
      <c r="H2003" s="32" t="s">
        <v>4855</v>
      </c>
      <c r="I2003" s="32" t="s">
        <v>1267</v>
      </c>
      <c r="J2003" s="32">
        <v>3793</v>
      </c>
      <c r="K2003" s="32">
        <v>0</v>
      </c>
      <c r="L2003" s="32">
        <v>0</v>
      </c>
      <c r="M2003" s="32">
        <v>0</v>
      </c>
      <c r="N2003" s="32">
        <f>27380+34016</f>
        <v>61396</v>
      </c>
      <c r="O2003" s="32">
        <v>0</v>
      </c>
      <c r="P2003" s="32">
        <v>0</v>
      </c>
      <c r="Q2003" s="46">
        <f t="shared" si="62"/>
        <v>65189</v>
      </c>
      <c r="R2003" s="69">
        <f t="shared" si="63"/>
        <v>55410.65</v>
      </c>
      <c r="S2003" s="30"/>
      <c r="T2003" s="30"/>
    </row>
    <row r="2004" spans="1:20" ht="45" customHeight="1" x14ac:dyDescent="0.3">
      <c r="A2004" s="31">
        <v>1992</v>
      </c>
      <c r="B2004" s="32" t="s">
        <v>6397</v>
      </c>
      <c r="C2004" s="32" t="s">
        <v>6498</v>
      </c>
      <c r="D2004" s="32" t="s">
        <v>6499</v>
      </c>
      <c r="E2004" s="32">
        <v>1986</v>
      </c>
      <c r="F2004" s="32" t="s">
        <v>19</v>
      </c>
      <c r="G2004" s="32" t="s">
        <v>6597</v>
      </c>
      <c r="H2004" s="32" t="s">
        <v>6647</v>
      </c>
      <c r="I2004" s="32" t="s">
        <v>34</v>
      </c>
      <c r="J2004" s="32">
        <v>6199</v>
      </c>
      <c r="K2004" s="32">
        <v>0</v>
      </c>
      <c r="L2004" s="32">
        <v>0</v>
      </c>
      <c r="M2004" s="32">
        <v>0</v>
      </c>
      <c r="N2004" s="32">
        <v>0</v>
      </c>
      <c r="O2004" s="32">
        <v>0</v>
      </c>
      <c r="P2004" s="32">
        <v>0</v>
      </c>
      <c r="Q2004" s="46">
        <f t="shared" si="62"/>
        <v>6199</v>
      </c>
      <c r="R2004" s="69">
        <f t="shared" si="63"/>
        <v>5269.15</v>
      </c>
      <c r="S2004" s="30"/>
      <c r="T2004" s="30"/>
    </row>
    <row r="2005" spans="1:20" ht="45" customHeight="1" x14ac:dyDescent="0.3">
      <c r="A2005" s="31">
        <v>1993</v>
      </c>
      <c r="B2005" s="32" t="s">
        <v>6397</v>
      </c>
      <c r="C2005" s="32" t="s">
        <v>6500</v>
      </c>
      <c r="D2005" s="32" t="s">
        <v>3388</v>
      </c>
      <c r="E2005" s="32">
        <v>1988</v>
      </c>
      <c r="F2005" s="32" t="s">
        <v>19</v>
      </c>
      <c r="G2005" s="32" t="s">
        <v>3448</v>
      </c>
      <c r="H2005" s="32" t="s">
        <v>3448</v>
      </c>
      <c r="I2005" s="32" t="s">
        <v>1263</v>
      </c>
      <c r="J2005" s="32">
        <v>3793</v>
      </c>
      <c r="K2005" s="32">
        <v>0</v>
      </c>
      <c r="L2005" s="32">
        <v>0</v>
      </c>
      <c r="M2005" s="32">
        <v>0</v>
      </c>
      <c r="N2005" s="32">
        <v>0</v>
      </c>
      <c r="O2005" s="32">
        <v>0</v>
      </c>
      <c r="P2005" s="32">
        <v>0</v>
      </c>
      <c r="Q2005" s="46">
        <f t="shared" si="62"/>
        <v>3793</v>
      </c>
      <c r="R2005" s="69">
        <f t="shared" si="63"/>
        <v>3224.05</v>
      </c>
      <c r="S2005" s="30"/>
      <c r="T2005" s="30"/>
    </row>
    <row r="2006" spans="1:20" ht="45" customHeight="1" x14ac:dyDescent="0.3">
      <c r="A2006" s="36">
        <v>1994</v>
      </c>
      <c r="B2006" s="32" t="s">
        <v>6397</v>
      </c>
      <c r="C2006" s="32" t="s">
        <v>6501</v>
      </c>
      <c r="D2006" s="32" t="s">
        <v>6502</v>
      </c>
      <c r="E2006" s="32">
        <v>2022</v>
      </c>
      <c r="F2006" s="32" t="s">
        <v>19</v>
      </c>
      <c r="G2006" s="32" t="s">
        <v>6598</v>
      </c>
      <c r="H2006" s="32" t="s">
        <v>6648</v>
      </c>
      <c r="I2006" s="32" t="s">
        <v>1263</v>
      </c>
      <c r="J2006" s="32">
        <v>6199</v>
      </c>
      <c r="K2006" s="32">
        <f>6278+4484+1346</f>
        <v>12108</v>
      </c>
      <c r="L2006" s="32">
        <v>0</v>
      </c>
      <c r="M2006" s="32">
        <v>0</v>
      </c>
      <c r="N2006" s="32">
        <v>3148</v>
      </c>
      <c r="O2006" s="32">
        <v>0</v>
      </c>
      <c r="P2006" s="32">
        <v>0</v>
      </c>
      <c r="Q2006" s="46">
        <f t="shared" si="62"/>
        <v>21455</v>
      </c>
      <c r="R2006" s="69">
        <f t="shared" si="63"/>
        <v>18236.75</v>
      </c>
      <c r="S2006" s="30"/>
      <c r="T2006" s="30"/>
    </row>
    <row r="2007" spans="1:20" ht="45" customHeight="1" x14ac:dyDescent="0.3">
      <c r="A2007" s="31">
        <v>1995</v>
      </c>
      <c r="B2007" s="32" t="s">
        <v>6397</v>
      </c>
      <c r="C2007" s="32" t="s">
        <v>6503</v>
      </c>
      <c r="D2007" s="32" t="s">
        <v>6504</v>
      </c>
      <c r="E2007" s="32">
        <v>1973</v>
      </c>
      <c r="F2007" s="32" t="s">
        <v>19</v>
      </c>
      <c r="G2007" s="32" t="s">
        <v>6599</v>
      </c>
      <c r="H2007" s="32" t="s">
        <v>6649</v>
      </c>
      <c r="I2007" s="32" t="s">
        <v>824</v>
      </c>
      <c r="J2007" s="32">
        <v>6199</v>
      </c>
      <c r="K2007" s="32">
        <v>0</v>
      </c>
      <c r="L2007" s="32">
        <v>0</v>
      </c>
      <c r="M2007" s="32">
        <v>0</v>
      </c>
      <c r="N2007" s="32">
        <v>0</v>
      </c>
      <c r="O2007" s="32">
        <v>0</v>
      </c>
      <c r="P2007" s="32">
        <v>0</v>
      </c>
      <c r="Q2007" s="46">
        <f t="shared" si="62"/>
        <v>6199</v>
      </c>
      <c r="R2007" s="69">
        <f t="shared" si="63"/>
        <v>5269.15</v>
      </c>
      <c r="S2007" s="30"/>
      <c r="T2007" s="30"/>
    </row>
    <row r="2008" spans="1:20" ht="45" customHeight="1" x14ac:dyDescent="0.3">
      <c r="A2008" s="31">
        <v>1996</v>
      </c>
      <c r="B2008" s="32" t="s">
        <v>6397</v>
      </c>
      <c r="C2008" s="32" t="s">
        <v>6505</v>
      </c>
      <c r="D2008" s="32" t="s">
        <v>6506</v>
      </c>
      <c r="E2008" s="32">
        <v>1998</v>
      </c>
      <c r="F2008" s="32" t="s">
        <v>19</v>
      </c>
      <c r="G2008" s="32" t="s">
        <v>6600</v>
      </c>
      <c r="H2008" s="32" t="s">
        <v>6600</v>
      </c>
      <c r="I2008" s="32" t="s">
        <v>6677</v>
      </c>
      <c r="J2008" s="32">
        <v>6199</v>
      </c>
      <c r="K2008" s="32">
        <f>6278+4484+1346+2332</f>
        <v>14440</v>
      </c>
      <c r="L2008" s="32">
        <v>0</v>
      </c>
      <c r="M2008" s="32">
        <v>0</v>
      </c>
      <c r="N2008" s="32">
        <v>1793</v>
      </c>
      <c r="O2008" s="32">
        <v>0</v>
      </c>
      <c r="P2008" s="32">
        <v>0</v>
      </c>
      <c r="Q2008" s="46">
        <f t="shared" si="62"/>
        <v>22432</v>
      </c>
      <c r="R2008" s="69">
        <f t="shared" si="63"/>
        <v>19067.2</v>
      </c>
      <c r="S2008" s="30"/>
      <c r="T2008" s="30"/>
    </row>
    <row r="2009" spans="1:20" ht="45" customHeight="1" x14ac:dyDescent="0.3">
      <c r="A2009" s="36">
        <v>1997</v>
      </c>
      <c r="B2009" s="32" t="s">
        <v>6397</v>
      </c>
      <c r="C2009" s="32" t="s">
        <v>6507</v>
      </c>
      <c r="D2009" s="32" t="s">
        <v>6508</v>
      </c>
      <c r="E2009" s="32">
        <v>2025</v>
      </c>
      <c r="F2009" s="32" t="s">
        <v>18</v>
      </c>
      <c r="G2009" s="32" t="s">
        <v>6601</v>
      </c>
      <c r="H2009" s="32" t="s">
        <v>6650</v>
      </c>
      <c r="I2009" s="32" t="s">
        <v>6678</v>
      </c>
      <c r="J2009" s="32">
        <v>6199</v>
      </c>
      <c r="K2009" s="32">
        <f>6278+4484+1346+4484+2332+2332+2332+2332+2332+2332+6995+6995+2332+6995</f>
        <v>53901</v>
      </c>
      <c r="L2009" s="32">
        <v>0</v>
      </c>
      <c r="M2009" s="32">
        <v>0</v>
      </c>
      <c r="N2009" s="32">
        <v>3148</v>
      </c>
      <c r="O2009" s="32">
        <v>0</v>
      </c>
      <c r="P2009" s="32">
        <v>0</v>
      </c>
      <c r="Q2009" s="46">
        <f t="shared" si="62"/>
        <v>63248</v>
      </c>
      <c r="R2009" s="69">
        <f t="shared" si="63"/>
        <v>53760.800000000003</v>
      </c>
      <c r="S2009" s="30"/>
      <c r="T2009" s="30"/>
    </row>
    <row r="2010" spans="1:20" ht="45" customHeight="1" x14ac:dyDescent="0.3">
      <c r="A2010" s="31">
        <v>1998</v>
      </c>
      <c r="B2010" s="32" t="s">
        <v>6397</v>
      </c>
      <c r="C2010" s="32" t="s">
        <v>6509</v>
      </c>
      <c r="D2010" s="32" t="s">
        <v>6510</v>
      </c>
      <c r="E2010" s="32">
        <v>2000</v>
      </c>
      <c r="F2010" s="32" t="s">
        <v>19</v>
      </c>
      <c r="G2010" s="32" t="s">
        <v>6602</v>
      </c>
      <c r="H2010" s="32" t="s">
        <v>6602</v>
      </c>
      <c r="I2010" s="32" t="s">
        <v>3935</v>
      </c>
      <c r="J2010" s="32">
        <v>6199</v>
      </c>
      <c r="K2010" s="32">
        <v>0</v>
      </c>
      <c r="L2010" s="32">
        <v>0</v>
      </c>
      <c r="M2010" s="32">
        <v>0</v>
      </c>
      <c r="N2010" s="32">
        <f>15443+20859</f>
        <v>36302</v>
      </c>
      <c r="O2010" s="32">
        <v>0</v>
      </c>
      <c r="P2010" s="32">
        <v>0</v>
      </c>
      <c r="Q2010" s="46">
        <f t="shared" si="62"/>
        <v>42501</v>
      </c>
      <c r="R2010" s="69">
        <f t="shared" si="63"/>
        <v>36125.85</v>
      </c>
      <c r="S2010" s="30"/>
      <c r="T2010" s="30"/>
    </row>
    <row r="2011" spans="1:20" ht="45" customHeight="1" x14ac:dyDescent="0.3">
      <c r="A2011" s="31">
        <v>1999</v>
      </c>
      <c r="B2011" s="32" t="s">
        <v>6397</v>
      </c>
      <c r="C2011" s="32" t="s">
        <v>6511</v>
      </c>
      <c r="D2011" s="32" t="s">
        <v>6512</v>
      </c>
      <c r="E2011" s="32">
        <v>1999</v>
      </c>
      <c r="F2011" s="32" t="s">
        <v>19</v>
      </c>
      <c r="G2011" s="32" t="s">
        <v>6603</v>
      </c>
      <c r="H2011" s="32" t="s">
        <v>6603</v>
      </c>
      <c r="I2011" s="32" t="s">
        <v>1055</v>
      </c>
      <c r="J2011" s="32">
        <v>6199</v>
      </c>
      <c r="K2011" s="32">
        <v>0</v>
      </c>
      <c r="L2011" s="32">
        <v>0</v>
      </c>
      <c r="M2011" s="32">
        <v>0</v>
      </c>
      <c r="N2011" s="32">
        <v>0</v>
      </c>
      <c r="O2011" s="32">
        <v>0</v>
      </c>
      <c r="P2011" s="32">
        <v>0</v>
      </c>
      <c r="Q2011" s="46">
        <f t="shared" si="62"/>
        <v>6199</v>
      </c>
      <c r="R2011" s="69">
        <f t="shared" si="63"/>
        <v>5269.15</v>
      </c>
      <c r="S2011" s="30"/>
      <c r="T2011" s="30"/>
    </row>
    <row r="2012" spans="1:20" ht="45" customHeight="1" x14ac:dyDescent="0.3">
      <c r="A2012" s="36">
        <v>2000</v>
      </c>
      <c r="B2012" s="32" t="s">
        <v>6397</v>
      </c>
      <c r="C2012" s="32" t="s">
        <v>6513</v>
      </c>
      <c r="D2012" s="32" t="s">
        <v>6514</v>
      </c>
      <c r="E2012" s="32">
        <v>2024</v>
      </c>
      <c r="F2012" s="32" t="s">
        <v>19</v>
      </c>
      <c r="G2012" s="32" t="s">
        <v>6604</v>
      </c>
      <c r="H2012" s="32" t="s">
        <v>6651</v>
      </c>
      <c r="I2012" s="32" t="s">
        <v>6679</v>
      </c>
      <c r="J2012" s="32">
        <v>6199</v>
      </c>
      <c r="K2012" s="32">
        <f>6278+4484+1346</f>
        <v>12108</v>
      </c>
      <c r="L2012" s="32">
        <v>0</v>
      </c>
      <c r="M2012" s="32">
        <v>0</v>
      </c>
      <c r="N2012" s="32">
        <v>3148</v>
      </c>
      <c r="O2012" s="32">
        <v>0</v>
      </c>
      <c r="P2012" s="32">
        <v>0</v>
      </c>
      <c r="Q2012" s="47">
        <f t="shared" si="62"/>
        <v>21455</v>
      </c>
      <c r="R2012" s="69">
        <f t="shared" si="63"/>
        <v>18236.75</v>
      </c>
      <c r="S2012" s="30"/>
      <c r="T2012" s="30"/>
    </row>
    <row r="2013" spans="1:20" ht="45" customHeight="1" x14ac:dyDescent="0.3">
      <c r="A2013" s="31">
        <v>2001</v>
      </c>
      <c r="B2013" s="32" t="s">
        <v>6397</v>
      </c>
      <c r="C2013" s="32" t="s">
        <v>6515</v>
      </c>
      <c r="D2013" s="32" t="s">
        <v>5453</v>
      </c>
      <c r="E2013" s="32">
        <v>1999</v>
      </c>
      <c r="F2013" s="32" t="s">
        <v>19</v>
      </c>
      <c r="G2013" s="32" t="s">
        <v>5612</v>
      </c>
      <c r="H2013" s="32" t="s">
        <v>5692</v>
      </c>
      <c r="I2013" s="32" t="s">
        <v>5736</v>
      </c>
      <c r="J2013" s="32">
        <v>3793</v>
      </c>
      <c r="K2013" s="32">
        <v>0</v>
      </c>
      <c r="L2013" s="32">
        <v>0</v>
      </c>
      <c r="M2013" s="32">
        <v>0</v>
      </c>
      <c r="N2013" s="32">
        <v>0</v>
      </c>
      <c r="O2013" s="32">
        <v>0</v>
      </c>
      <c r="P2013" s="32">
        <v>0</v>
      </c>
      <c r="Q2013" s="47">
        <f t="shared" si="62"/>
        <v>3793</v>
      </c>
      <c r="R2013" s="69">
        <f t="shared" si="63"/>
        <v>3224.05</v>
      </c>
      <c r="S2013" s="30"/>
      <c r="T2013" s="30"/>
    </row>
    <row r="2014" spans="1:20" ht="45" customHeight="1" x14ac:dyDescent="0.3">
      <c r="A2014" s="31">
        <v>2002</v>
      </c>
      <c r="B2014" s="32" t="s">
        <v>6397</v>
      </c>
      <c r="C2014" s="32" t="s">
        <v>6516</v>
      </c>
      <c r="D2014" s="32" t="s">
        <v>6517</v>
      </c>
      <c r="E2014" s="32">
        <v>2009</v>
      </c>
      <c r="F2014" s="32" t="s">
        <v>19</v>
      </c>
      <c r="G2014" s="32" t="s">
        <v>6605</v>
      </c>
      <c r="H2014" s="32" t="s">
        <v>6652</v>
      </c>
      <c r="I2014" s="32" t="s">
        <v>27</v>
      </c>
      <c r="J2014" s="32">
        <v>6199</v>
      </c>
      <c r="K2014" s="32">
        <v>0</v>
      </c>
      <c r="L2014" s="32">
        <v>0</v>
      </c>
      <c r="M2014" s="32">
        <v>0</v>
      </c>
      <c r="N2014" s="32">
        <v>0</v>
      </c>
      <c r="O2014" s="32">
        <v>0</v>
      </c>
      <c r="P2014" s="32">
        <v>0</v>
      </c>
      <c r="Q2014" s="47">
        <f t="shared" si="62"/>
        <v>6199</v>
      </c>
      <c r="R2014" s="69">
        <f t="shared" si="63"/>
        <v>5269.15</v>
      </c>
      <c r="S2014" s="30"/>
      <c r="T2014" s="30"/>
    </row>
    <row r="2015" spans="1:20" ht="45" customHeight="1" x14ac:dyDescent="0.3">
      <c r="A2015" s="36">
        <v>2003</v>
      </c>
      <c r="B2015" s="32" t="s">
        <v>6397</v>
      </c>
      <c r="C2015" s="32" t="s">
        <v>6518</v>
      </c>
      <c r="D2015" s="32" t="s">
        <v>6519</v>
      </c>
      <c r="E2015" s="32">
        <v>2009</v>
      </c>
      <c r="F2015" s="32" t="s">
        <v>18</v>
      </c>
      <c r="G2015" s="32" t="s">
        <v>6606</v>
      </c>
      <c r="H2015" s="32" t="s">
        <v>6653</v>
      </c>
      <c r="I2015" s="32" t="s">
        <v>1067</v>
      </c>
      <c r="J2015" s="32">
        <v>6199</v>
      </c>
      <c r="K2015" s="32">
        <v>0</v>
      </c>
      <c r="L2015" s="32">
        <v>0</v>
      </c>
      <c r="M2015" s="32">
        <v>0</v>
      </c>
      <c r="N2015" s="32">
        <v>0</v>
      </c>
      <c r="O2015" s="32">
        <v>0</v>
      </c>
      <c r="P2015" s="32">
        <v>0</v>
      </c>
      <c r="Q2015" s="47">
        <f t="shared" si="62"/>
        <v>6199</v>
      </c>
      <c r="R2015" s="69">
        <f t="shared" si="63"/>
        <v>5269.15</v>
      </c>
      <c r="S2015" s="30"/>
      <c r="T2015" s="30"/>
    </row>
    <row r="2016" spans="1:20" ht="45" customHeight="1" x14ac:dyDescent="0.3">
      <c r="A2016" s="31">
        <v>2004</v>
      </c>
      <c r="B2016" s="32" t="s">
        <v>6397</v>
      </c>
      <c r="C2016" s="32" t="s">
        <v>6520</v>
      </c>
      <c r="D2016" s="32" t="s">
        <v>6521</v>
      </c>
      <c r="E2016" s="32">
        <v>2025</v>
      </c>
      <c r="F2016" s="32" t="s">
        <v>18</v>
      </c>
      <c r="G2016" s="32" t="s">
        <v>6607</v>
      </c>
      <c r="H2016" s="32" t="s">
        <v>6654</v>
      </c>
      <c r="I2016" s="32" t="s">
        <v>1067</v>
      </c>
      <c r="J2016" s="32">
        <v>6199</v>
      </c>
      <c r="K2016" s="32">
        <v>0</v>
      </c>
      <c r="L2016" s="32">
        <v>0</v>
      </c>
      <c r="M2016" s="32">
        <v>0</v>
      </c>
      <c r="N2016" s="32">
        <v>0</v>
      </c>
      <c r="O2016" s="32">
        <v>0</v>
      </c>
      <c r="P2016" s="32">
        <v>0</v>
      </c>
      <c r="Q2016" s="47">
        <f t="shared" si="62"/>
        <v>6199</v>
      </c>
      <c r="R2016" s="69">
        <f t="shared" si="63"/>
        <v>5269.15</v>
      </c>
      <c r="S2016" s="30"/>
      <c r="T2016" s="30"/>
    </row>
    <row r="2017" spans="1:20" ht="45" customHeight="1" x14ac:dyDescent="0.3">
      <c r="A2017" s="31">
        <v>2005</v>
      </c>
      <c r="B2017" s="32" t="s">
        <v>6397</v>
      </c>
      <c r="C2017" s="32" t="s">
        <v>6522</v>
      </c>
      <c r="D2017" s="32" t="s">
        <v>6523</v>
      </c>
      <c r="E2017" s="32">
        <v>1984</v>
      </c>
      <c r="F2017" s="32" t="s">
        <v>19</v>
      </c>
      <c r="G2017" s="32" t="s">
        <v>6608</v>
      </c>
      <c r="H2017" s="32" t="s">
        <v>6655</v>
      </c>
      <c r="I2017" s="32" t="s">
        <v>6680</v>
      </c>
      <c r="J2017" s="32">
        <v>6199</v>
      </c>
      <c r="K2017" s="32">
        <f>2332+2332+1166</f>
        <v>5830</v>
      </c>
      <c r="L2017" s="32">
        <v>0</v>
      </c>
      <c r="M2017" s="32">
        <v>0</v>
      </c>
      <c r="N2017" s="32">
        <v>0</v>
      </c>
      <c r="O2017" s="32">
        <v>0</v>
      </c>
      <c r="P2017" s="32">
        <v>0</v>
      </c>
      <c r="Q2017" s="47">
        <f t="shared" si="62"/>
        <v>12029</v>
      </c>
      <c r="R2017" s="69">
        <f t="shared" si="63"/>
        <v>10224.65</v>
      </c>
      <c r="S2017" s="30"/>
      <c r="T2017" s="30"/>
    </row>
    <row r="2018" spans="1:20" ht="45" customHeight="1" x14ac:dyDescent="0.3">
      <c r="A2018" s="36">
        <v>2006</v>
      </c>
      <c r="B2018" s="32" t="s">
        <v>6397</v>
      </c>
      <c r="C2018" s="32" t="s">
        <v>6524</v>
      </c>
      <c r="D2018" s="32" t="s">
        <v>6525</v>
      </c>
      <c r="E2018" s="32">
        <v>2015</v>
      </c>
      <c r="F2018" s="32" t="s">
        <v>18</v>
      </c>
      <c r="G2018" s="32" t="s">
        <v>6609</v>
      </c>
      <c r="H2018" s="32" t="s">
        <v>6656</v>
      </c>
      <c r="I2018" s="32" t="s">
        <v>5751</v>
      </c>
      <c r="J2018" s="32">
        <v>6199</v>
      </c>
      <c r="K2018" s="32">
        <f>6278+4484+1346+4484+2332+3000+3000+2332+2332+2332+2332+2332+2332+1166+6995+6995+2332+6995+6995</f>
        <v>70394</v>
      </c>
      <c r="L2018" s="32">
        <v>0</v>
      </c>
      <c r="M2018" s="32">
        <v>0</v>
      </c>
      <c r="N2018" s="32">
        <v>3148</v>
      </c>
      <c r="O2018" s="32">
        <v>0</v>
      </c>
      <c r="P2018" s="32">
        <v>0</v>
      </c>
      <c r="Q2018" s="47">
        <f t="shared" si="62"/>
        <v>79741</v>
      </c>
      <c r="R2018" s="69">
        <f t="shared" si="63"/>
        <v>67779.850000000006</v>
      </c>
      <c r="S2018" s="30"/>
      <c r="T2018" s="30"/>
    </row>
    <row r="2019" spans="1:20" ht="45" customHeight="1" x14ac:dyDescent="0.3">
      <c r="A2019" s="31">
        <v>2007</v>
      </c>
      <c r="B2019" s="32" t="s">
        <v>6397</v>
      </c>
      <c r="C2019" s="32" t="s">
        <v>6526</v>
      </c>
      <c r="D2019" s="32" t="s">
        <v>6527</v>
      </c>
      <c r="E2019" s="32">
        <v>2023</v>
      </c>
      <c r="F2019" s="32" t="s">
        <v>19</v>
      </c>
      <c r="G2019" s="32" t="s">
        <v>6610</v>
      </c>
      <c r="H2019" s="32" t="s">
        <v>6657</v>
      </c>
      <c r="I2019" s="32" t="s">
        <v>6681</v>
      </c>
      <c r="J2019" s="32">
        <v>6199</v>
      </c>
      <c r="K2019" s="32">
        <v>0</v>
      </c>
      <c r="L2019" s="32">
        <v>0</v>
      </c>
      <c r="M2019" s="32">
        <v>0</v>
      </c>
      <c r="N2019" s="32">
        <v>0</v>
      </c>
      <c r="O2019" s="32">
        <v>0</v>
      </c>
      <c r="P2019" s="32">
        <v>0</v>
      </c>
      <c r="Q2019" s="47">
        <f t="shared" si="62"/>
        <v>6199</v>
      </c>
      <c r="R2019" s="69">
        <f t="shared" si="63"/>
        <v>5269.15</v>
      </c>
      <c r="S2019" s="30"/>
      <c r="T2019" s="30"/>
    </row>
    <row r="2020" spans="1:20" ht="45" customHeight="1" x14ac:dyDescent="0.3">
      <c r="A2020" s="31">
        <v>2008</v>
      </c>
      <c r="B2020" s="32" t="s">
        <v>6397</v>
      </c>
      <c r="C2020" s="32" t="s">
        <v>6528</v>
      </c>
      <c r="D2020" s="32" t="s">
        <v>6529</v>
      </c>
      <c r="E2020" s="32">
        <v>2022</v>
      </c>
      <c r="F2020" s="32" t="s">
        <v>18</v>
      </c>
      <c r="G2020" s="32" t="s">
        <v>6611</v>
      </c>
      <c r="H2020" s="32" t="s">
        <v>5114</v>
      </c>
      <c r="I2020" s="32" t="s">
        <v>6682</v>
      </c>
      <c r="J2020" s="32">
        <v>6199</v>
      </c>
      <c r="K2020" s="32">
        <v>0</v>
      </c>
      <c r="L2020" s="32">
        <v>0</v>
      </c>
      <c r="M2020" s="32">
        <v>0</v>
      </c>
      <c r="N2020" s="32">
        <v>0</v>
      </c>
      <c r="O2020" s="32">
        <v>0</v>
      </c>
      <c r="P2020" s="32">
        <v>0</v>
      </c>
      <c r="Q2020" s="47">
        <f t="shared" si="62"/>
        <v>6199</v>
      </c>
      <c r="R2020" s="69">
        <f t="shared" si="63"/>
        <v>5269.15</v>
      </c>
      <c r="S2020" s="30"/>
      <c r="T2020" s="30"/>
    </row>
    <row r="2021" spans="1:20" ht="45" customHeight="1" x14ac:dyDescent="0.3">
      <c r="A2021" s="36">
        <v>2009</v>
      </c>
      <c r="B2021" s="32" t="s">
        <v>6397</v>
      </c>
      <c r="C2021" s="32" t="s">
        <v>6530</v>
      </c>
      <c r="D2021" s="32" t="s">
        <v>6531</v>
      </c>
      <c r="E2021" s="32">
        <v>2023</v>
      </c>
      <c r="F2021" s="32" t="s">
        <v>18</v>
      </c>
      <c r="G2021" s="32" t="s">
        <v>6612</v>
      </c>
      <c r="H2021" s="32" t="s">
        <v>6658</v>
      </c>
      <c r="I2021" s="32" t="s">
        <v>6683</v>
      </c>
      <c r="J2021" s="32">
        <v>6199</v>
      </c>
      <c r="K2021" s="32">
        <f>6278+4484+1346</f>
        <v>12108</v>
      </c>
      <c r="L2021" s="32">
        <v>0</v>
      </c>
      <c r="M2021" s="32">
        <v>0</v>
      </c>
      <c r="N2021" s="32">
        <v>3148</v>
      </c>
      <c r="O2021" s="32">
        <v>0</v>
      </c>
      <c r="P2021" s="32">
        <v>0</v>
      </c>
      <c r="Q2021" s="47">
        <f t="shared" si="62"/>
        <v>21455</v>
      </c>
      <c r="R2021" s="69">
        <f t="shared" si="63"/>
        <v>18236.75</v>
      </c>
      <c r="S2021" s="30"/>
      <c r="T2021" s="30"/>
    </row>
    <row r="2022" spans="1:20" ht="45" customHeight="1" x14ac:dyDescent="0.3">
      <c r="A2022" s="31">
        <v>2010</v>
      </c>
      <c r="B2022" s="32" t="s">
        <v>6397</v>
      </c>
      <c r="C2022" s="32" t="s">
        <v>6532</v>
      </c>
      <c r="D2022" s="32" t="s">
        <v>6533</v>
      </c>
      <c r="E2022" s="32">
        <v>2024</v>
      </c>
      <c r="F2022" s="32" t="s">
        <v>19</v>
      </c>
      <c r="G2022" s="32" t="s">
        <v>6613</v>
      </c>
      <c r="H2022" s="32" t="s">
        <v>6143</v>
      </c>
      <c r="I2022" s="32" t="s">
        <v>4879</v>
      </c>
      <c r="J2022" s="32">
        <v>6199</v>
      </c>
      <c r="K2022" s="32">
        <v>0</v>
      </c>
      <c r="L2022" s="32">
        <v>0</v>
      </c>
      <c r="M2022" s="32">
        <v>0</v>
      </c>
      <c r="N2022" s="32">
        <v>0</v>
      </c>
      <c r="O2022" s="32">
        <v>0</v>
      </c>
      <c r="P2022" s="32">
        <v>0</v>
      </c>
      <c r="Q2022" s="46">
        <f t="shared" si="62"/>
        <v>6199</v>
      </c>
      <c r="R2022" s="69">
        <f t="shared" si="63"/>
        <v>5269.15</v>
      </c>
      <c r="S2022" s="30"/>
      <c r="T2022" s="30"/>
    </row>
    <row r="2023" spans="1:20" ht="45" customHeight="1" x14ac:dyDescent="0.3">
      <c r="A2023" s="31">
        <v>2011</v>
      </c>
      <c r="B2023" s="32" t="s">
        <v>6397</v>
      </c>
      <c r="C2023" s="32" t="s">
        <v>6534</v>
      </c>
      <c r="D2023" s="32" t="s">
        <v>1358</v>
      </c>
      <c r="E2023" s="32">
        <v>1992</v>
      </c>
      <c r="F2023" s="32" t="s">
        <v>19</v>
      </c>
      <c r="G2023" s="32" t="s">
        <v>1417</v>
      </c>
      <c r="H2023" s="32" t="s">
        <v>1452</v>
      </c>
      <c r="I2023" s="32" t="s">
        <v>282</v>
      </c>
      <c r="J2023" s="32">
        <v>6199</v>
      </c>
      <c r="K2023" s="32">
        <v>0</v>
      </c>
      <c r="L2023" s="32">
        <v>0</v>
      </c>
      <c r="M2023" s="32">
        <v>0</v>
      </c>
      <c r="N2023" s="32">
        <v>0</v>
      </c>
      <c r="O2023" s="32">
        <v>0</v>
      </c>
      <c r="P2023" s="32">
        <v>0</v>
      </c>
      <c r="Q2023" s="46">
        <f t="shared" si="62"/>
        <v>6199</v>
      </c>
      <c r="R2023" s="69">
        <f t="shared" si="63"/>
        <v>5269.15</v>
      </c>
      <c r="S2023" s="30"/>
      <c r="T2023" s="30"/>
    </row>
    <row r="2024" spans="1:20" ht="45" customHeight="1" x14ac:dyDescent="0.3">
      <c r="A2024" s="36">
        <v>2012</v>
      </c>
      <c r="B2024" s="32" t="s">
        <v>6397</v>
      </c>
      <c r="C2024" s="32" t="s">
        <v>6535</v>
      </c>
      <c r="D2024" s="32" t="s">
        <v>6536</v>
      </c>
      <c r="E2024" s="32">
        <v>1992</v>
      </c>
      <c r="F2024" s="32" t="s">
        <v>18</v>
      </c>
      <c r="G2024" s="32" t="s">
        <v>6614</v>
      </c>
      <c r="H2024" s="32" t="s">
        <v>6614</v>
      </c>
      <c r="I2024" s="32" t="s">
        <v>1277</v>
      </c>
      <c r="J2024" s="32">
        <v>6199</v>
      </c>
      <c r="K2024" s="32">
        <v>0</v>
      </c>
      <c r="L2024" s="32">
        <v>0</v>
      </c>
      <c r="M2024" s="32">
        <v>0</v>
      </c>
      <c r="N2024" s="32">
        <v>0</v>
      </c>
      <c r="O2024" s="32">
        <v>0</v>
      </c>
      <c r="P2024" s="32">
        <v>0</v>
      </c>
      <c r="Q2024" s="46">
        <f t="shared" si="62"/>
        <v>6199</v>
      </c>
      <c r="R2024" s="69">
        <f t="shared" si="63"/>
        <v>5269.15</v>
      </c>
      <c r="S2024" s="30"/>
      <c r="T2024" s="30"/>
    </row>
    <row r="2025" spans="1:20" ht="45" customHeight="1" x14ac:dyDescent="0.3">
      <c r="A2025" s="31">
        <v>2013</v>
      </c>
      <c r="B2025" s="32" t="s">
        <v>6397</v>
      </c>
      <c r="C2025" s="32" t="s">
        <v>6537</v>
      </c>
      <c r="D2025" s="32" t="s">
        <v>6538</v>
      </c>
      <c r="E2025" s="32">
        <v>1995</v>
      </c>
      <c r="F2025" s="32" t="s">
        <v>19</v>
      </c>
      <c r="G2025" s="32" t="s">
        <v>6615</v>
      </c>
      <c r="H2025" s="32" t="s">
        <v>3042</v>
      </c>
      <c r="I2025" s="32" t="s">
        <v>27</v>
      </c>
      <c r="J2025" s="32">
        <v>6199</v>
      </c>
      <c r="K2025" s="32">
        <v>0</v>
      </c>
      <c r="L2025" s="32">
        <v>0</v>
      </c>
      <c r="M2025" s="32">
        <v>0</v>
      </c>
      <c r="N2025" s="32">
        <v>0</v>
      </c>
      <c r="O2025" s="32">
        <v>0</v>
      </c>
      <c r="P2025" s="32">
        <v>0</v>
      </c>
      <c r="Q2025" s="46">
        <f t="shared" si="62"/>
        <v>6199</v>
      </c>
      <c r="R2025" s="69">
        <f t="shared" si="63"/>
        <v>5269.15</v>
      </c>
      <c r="S2025" s="30"/>
      <c r="T2025" s="30"/>
    </row>
    <row r="2026" spans="1:20" s="41" customFormat="1" ht="45" customHeight="1" x14ac:dyDescent="0.3">
      <c r="A2026" s="31">
        <v>2014</v>
      </c>
      <c r="B2026" s="38" t="s">
        <v>6397</v>
      </c>
      <c r="C2026" s="38" t="s">
        <v>6539</v>
      </c>
      <c r="D2026" s="38" t="s">
        <v>6540</v>
      </c>
      <c r="E2026" s="38">
        <v>2024</v>
      </c>
      <c r="F2026" s="38" t="s">
        <v>19</v>
      </c>
      <c r="G2026" s="38" t="s">
        <v>6616</v>
      </c>
      <c r="H2026" s="38" t="s">
        <v>6659</v>
      </c>
      <c r="I2026" s="38" t="s">
        <v>6684</v>
      </c>
      <c r="J2026" s="38">
        <v>6199</v>
      </c>
      <c r="K2026" s="38">
        <v>0</v>
      </c>
      <c r="L2026" s="38">
        <v>0</v>
      </c>
      <c r="M2026" s="38">
        <v>0</v>
      </c>
      <c r="N2026" s="38">
        <v>0</v>
      </c>
      <c r="O2026" s="38">
        <v>0</v>
      </c>
      <c r="P2026" s="38">
        <v>0</v>
      </c>
      <c r="Q2026" s="48">
        <f t="shared" si="62"/>
        <v>6199</v>
      </c>
      <c r="R2026" s="69">
        <f t="shared" si="63"/>
        <v>5269.15</v>
      </c>
      <c r="S2026" s="40"/>
      <c r="T2026" s="40"/>
    </row>
    <row r="2027" spans="1:20" ht="45" customHeight="1" x14ac:dyDescent="0.3">
      <c r="A2027" s="36">
        <v>2015</v>
      </c>
      <c r="B2027" s="32" t="s">
        <v>6397</v>
      </c>
      <c r="C2027" s="32" t="s">
        <v>6541</v>
      </c>
      <c r="D2027" s="32" t="s">
        <v>6542</v>
      </c>
      <c r="E2027" s="32">
        <v>1992</v>
      </c>
      <c r="F2027" s="32" t="s">
        <v>19</v>
      </c>
      <c r="G2027" s="32" t="s">
        <v>6617</v>
      </c>
      <c r="H2027" s="32" t="s">
        <v>6143</v>
      </c>
      <c r="I2027" s="32" t="s">
        <v>4879</v>
      </c>
      <c r="J2027" s="32">
        <v>6199</v>
      </c>
      <c r="K2027" s="32">
        <v>0</v>
      </c>
      <c r="L2027" s="32">
        <v>0</v>
      </c>
      <c r="M2027" s="32">
        <v>0</v>
      </c>
      <c r="N2027" s="32">
        <v>0</v>
      </c>
      <c r="O2027" s="32">
        <v>0</v>
      </c>
      <c r="P2027" s="32">
        <v>0</v>
      </c>
      <c r="Q2027" s="46">
        <f t="shared" si="62"/>
        <v>6199</v>
      </c>
      <c r="R2027" s="69">
        <f t="shared" si="63"/>
        <v>5269.15</v>
      </c>
      <c r="S2027" s="30"/>
      <c r="T2027" s="30"/>
    </row>
    <row r="2028" spans="1:20" ht="45" customHeight="1" x14ac:dyDescent="0.3">
      <c r="A2028" s="31">
        <v>2016</v>
      </c>
      <c r="B2028" s="32" t="s">
        <v>6397</v>
      </c>
      <c r="C2028" s="32" t="s">
        <v>6543</v>
      </c>
      <c r="D2028" s="32" t="s">
        <v>6544</v>
      </c>
      <c r="E2028" s="32">
        <v>2018</v>
      </c>
      <c r="F2028" s="32" t="s">
        <v>19</v>
      </c>
      <c r="G2028" s="32" t="s">
        <v>6618</v>
      </c>
      <c r="H2028" s="32" t="s">
        <v>2832</v>
      </c>
      <c r="I2028" s="32" t="s">
        <v>300</v>
      </c>
      <c r="J2028" s="32">
        <v>6199</v>
      </c>
      <c r="K2028" s="32">
        <v>0</v>
      </c>
      <c r="L2028" s="32">
        <v>0</v>
      </c>
      <c r="M2028" s="32">
        <v>0</v>
      </c>
      <c r="N2028" s="32">
        <v>0</v>
      </c>
      <c r="O2028" s="32">
        <v>0</v>
      </c>
      <c r="P2028" s="32">
        <v>0</v>
      </c>
      <c r="Q2028" s="46">
        <f t="shared" si="62"/>
        <v>6199</v>
      </c>
      <c r="R2028" s="69">
        <f t="shared" si="63"/>
        <v>5269.15</v>
      </c>
      <c r="S2028" s="30"/>
      <c r="T2028" s="30"/>
    </row>
    <row r="2029" spans="1:20" ht="45" customHeight="1" x14ac:dyDescent="0.3">
      <c r="A2029" s="31">
        <v>2017</v>
      </c>
      <c r="B2029" s="32" t="s">
        <v>6397</v>
      </c>
      <c r="C2029" s="32" t="s">
        <v>6545</v>
      </c>
      <c r="D2029" s="32" t="s">
        <v>6546</v>
      </c>
      <c r="E2029" s="32">
        <v>2022</v>
      </c>
      <c r="F2029" s="32" t="s">
        <v>19</v>
      </c>
      <c r="G2029" s="32" t="s">
        <v>6619</v>
      </c>
      <c r="H2029" s="32" t="s">
        <v>2832</v>
      </c>
      <c r="I2029" s="32" t="s">
        <v>300</v>
      </c>
      <c r="J2029" s="32">
        <v>6199</v>
      </c>
      <c r="K2029" s="32">
        <v>0</v>
      </c>
      <c r="L2029" s="32">
        <v>0</v>
      </c>
      <c r="M2029" s="32">
        <v>0</v>
      </c>
      <c r="N2029" s="32">
        <v>0</v>
      </c>
      <c r="O2029" s="32">
        <v>0</v>
      </c>
      <c r="P2029" s="32">
        <v>0</v>
      </c>
      <c r="Q2029" s="46">
        <f t="shared" si="62"/>
        <v>6199</v>
      </c>
      <c r="R2029" s="69">
        <f t="shared" si="63"/>
        <v>5269.15</v>
      </c>
      <c r="S2029" s="30"/>
      <c r="T2029" s="30"/>
    </row>
    <row r="2030" spans="1:20" ht="45" customHeight="1" x14ac:dyDescent="0.3">
      <c r="A2030" s="36">
        <v>2018</v>
      </c>
      <c r="B2030" s="32" t="s">
        <v>6397</v>
      </c>
      <c r="C2030" s="32" t="s">
        <v>6547</v>
      </c>
      <c r="D2030" s="32" t="s">
        <v>2730</v>
      </c>
      <c r="E2030" s="32">
        <v>2015</v>
      </c>
      <c r="F2030" s="32" t="s">
        <v>18</v>
      </c>
      <c r="G2030" s="32" t="s">
        <v>2792</v>
      </c>
      <c r="H2030" s="32" t="s">
        <v>2832</v>
      </c>
      <c r="I2030" s="32" t="s">
        <v>300</v>
      </c>
      <c r="J2030" s="32">
        <v>3793</v>
      </c>
      <c r="K2030" s="32">
        <v>0</v>
      </c>
      <c r="L2030" s="32">
        <v>0</v>
      </c>
      <c r="M2030" s="32">
        <v>0</v>
      </c>
      <c r="N2030" s="32">
        <v>0</v>
      </c>
      <c r="O2030" s="32">
        <v>0</v>
      </c>
      <c r="P2030" s="32">
        <v>0</v>
      </c>
      <c r="Q2030" s="46">
        <f t="shared" si="62"/>
        <v>3793</v>
      </c>
      <c r="R2030" s="69">
        <f t="shared" si="63"/>
        <v>3224.05</v>
      </c>
      <c r="S2030" s="30"/>
      <c r="T2030" s="30"/>
    </row>
    <row r="2031" spans="1:20" ht="45" customHeight="1" x14ac:dyDescent="0.3">
      <c r="A2031" s="31">
        <v>2019</v>
      </c>
      <c r="B2031" s="32" t="s">
        <v>6397</v>
      </c>
      <c r="C2031" s="32" t="s">
        <v>6548</v>
      </c>
      <c r="D2031" s="32" t="s">
        <v>6549</v>
      </c>
      <c r="E2031" s="32">
        <v>2021</v>
      </c>
      <c r="F2031" s="32" t="s">
        <v>19</v>
      </c>
      <c r="G2031" s="32" t="s">
        <v>6620</v>
      </c>
      <c r="H2031" s="32" t="s">
        <v>6660</v>
      </c>
      <c r="I2031" s="32" t="s">
        <v>1267</v>
      </c>
      <c r="J2031" s="32">
        <v>6199</v>
      </c>
      <c r="K2031" s="32">
        <v>0</v>
      </c>
      <c r="L2031" s="32">
        <v>0</v>
      </c>
      <c r="M2031" s="32">
        <v>0</v>
      </c>
      <c r="N2031" s="32">
        <v>0</v>
      </c>
      <c r="O2031" s="32">
        <v>0</v>
      </c>
      <c r="P2031" s="32">
        <v>0</v>
      </c>
      <c r="Q2031" s="47">
        <f t="shared" si="62"/>
        <v>6199</v>
      </c>
      <c r="R2031" s="69">
        <f t="shared" si="63"/>
        <v>5269.15</v>
      </c>
      <c r="S2031" s="30"/>
      <c r="T2031" s="30"/>
    </row>
    <row r="2032" spans="1:20" ht="45" customHeight="1" x14ac:dyDescent="0.3">
      <c r="A2032" s="31">
        <v>2020</v>
      </c>
      <c r="B2032" s="32" t="s">
        <v>6397</v>
      </c>
      <c r="C2032" s="32" t="s">
        <v>7312</v>
      </c>
      <c r="D2032" s="34" t="s">
        <v>5850</v>
      </c>
      <c r="E2032" s="32">
        <v>2024</v>
      </c>
      <c r="F2032" s="32" t="s">
        <v>19</v>
      </c>
      <c r="G2032" s="32" t="s">
        <v>5898</v>
      </c>
      <c r="H2032" s="32" t="s">
        <v>5937</v>
      </c>
      <c r="I2032" s="32" t="s">
        <v>3675</v>
      </c>
      <c r="J2032" s="32">
        <v>0</v>
      </c>
      <c r="K2032" s="32">
        <v>0</v>
      </c>
      <c r="L2032" s="32">
        <v>0</v>
      </c>
      <c r="M2032" s="32">
        <v>17688</v>
      </c>
      <c r="N2032" s="32">
        <v>0</v>
      </c>
      <c r="O2032" s="32">
        <v>0</v>
      </c>
      <c r="P2032" s="32">
        <f>360+56</f>
        <v>416</v>
      </c>
      <c r="Q2032" s="47">
        <f t="shared" si="62"/>
        <v>18104</v>
      </c>
      <c r="R2032" s="69">
        <f t="shared" si="63"/>
        <v>15388.4</v>
      </c>
      <c r="S2032" s="30"/>
      <c r="T2032" s="30"/>
    </row>
    <row r="2033" spans="1:20" ht="45" customHeight="1" x14ac:dyDescent="0.3">
      <c r="A2033" s="36">
        <v>2021</v>
      </c>
      <c r="B2033" s="32" t="s">
        <v>6397</v>
      </c>
      <c r="C2033" s="32" t="s">
        <v>7313</v>
      </c>
      <c r="D2033" s="34" t="s">
        <v>3171</v>
      </c>
      <c r="E2033" s="32">
        <v>1999</v>
      </c>
      <c r="F2033" s="32" t="s">
        <v>19</v>
      </c>
      <c r="G2033" s="32" t="s">
        <v>3252</v>
      </c>
      <c r="H2033" s="32" t="s">
        <v>3252</v>
      </c>
      <c r="I2033" s="32" t="s">
        <v>254</v>
      </c>
      <c r="J2033" s="32">
        <v>2900</v>
      </c>
      <c r="K2033" s="32">
        <v>0</v>
      </c>
      <c r="L2033" s="32">
        <v>0</v>
      </c>
      <c r="M2033" s="32">
        <v>0</v>
      </c>
      <c r="N2033" s="32">
        <v>2088</v>
      </c>
      <c r="O2033" s="32">
        <v>0</v>
      </c>
      <c r="P2033" s="32">
        <f>720+144+374</f>
        <v>1238</v>
      </c>
      <c r="Q2033" s="47">
        <f t="shared" si="62"/>
        <v>6226</v>
      </c>
      <c r="R2033" s="69">
        <f t="shared" si="63"/>
        <v>5292.1</v>
      </c>
      <c r="S2033" s="30"/>
      <c r="T2033" s="30"/>
    </row>
    <row r="2034" spans="1:20" ht="45" customHeight="1" x14ac:dyDescent="0.3">
      <c r="A2034" s="31">
        <v>2022</v>
      </c>
      <c r="B2034" s="32" t="s">
        <v>6397</v>
      </c>
      <c r="C2034" s="32" t="s">
        <v>7314</v>
      </c>
      <c r="D2034" s="34" t="s">
        <v>6946</v>
      </c>
      <c r="E2034" s="32">
        <v>2016</v>
      </c>
      <c r="F2034" s="32" t="s">
        <v>19</v>
      </c>
      <c r="G2034" s="32" t="s">
        <v>6947</v>
      </c>
      <c r="H2034" s="32" t="s">
        <v>6828</v>
      </c>
      <c r="I2034" s="32" t="s">
        <v>1702</v>
      </c>
      <c r="J2034" s="32">
        <v>2900</v>
      </c>
      <c r="K2034" s="32">
        <v>0</v>
      </c>
      <c r="L2034" s="32">
        <v>0</v>
      </c>
      <c r="M2034" s="32">
        <v>0</v>
      </c>
      <c r="N2034" s="32">
        <v>2088</v>
      </c>
      <c r="O2034" s="32">
        <v>0</v>
      </c>
      <c r="P2034" s="32">
        <f>720+112</f>
        <v>832</v>
      </c>
      <c r="Q2034" s="47">
        <f t="shared" si="62"/>
        <v>5820</v>
      </c>
      <c r="R2034" s="69">
        <f t="shared" si="63"/>
        <v>4947</v>
      </c>
      <c r="S2034" s="30"/>
      <c r="T2034" s="30"/>
    </row>
    <row r="2035" spans="1:20" ht="45" customHeight="1" x14ac:dyDescent="0.3">
      <c r="A2035" s="31">
        <v>2023</v>
      </c>
      <c r="B2035" s="32" t="s">
        <v>6397</v>
      </c>
      <c r="C2035" s="32" t="s">
        <v>7315</v>
      </c>
      <c r="D2035" s="34" t="s">
        <v>6942</v>
      </c>
      <c r="E2035" s="32">
        <v>2024</v>
      </c>
      <c r="F2035" s="32" t="s">
        <v>18</v>
      </c>
      <c r="G2035" s="32" t="s">
        <v>6944</v>
      </c>
      <c r="H2035" s="32" t="s">
        <v>3466</v>
      </c>
      <c r="I2035" s="32" t="s">
        <v>4208</v>
      </c>
      <c r="J2035" s="32">
        <v>2900</v>
      </c>
      <c r="K2035" s="32">
        <v>0</v>
      </c>
      <c r="L2035" s="32">
        <v>0</v>
      </c>
      <c r="M2035" s="32">
        <v>17688</v>
      </c>
      <c r="N2035" s="32">
        <v>2088</v>
      </c>
      <c r="O2035" s="32">
        <v>0</v>
      </c>
      <c r="P2035" s="32">
        <f>1080+168</f>
        <v>1248</v>
      </c>
      <c r="Q2035" s="47">
        <f t="shared" si="62"/>
        <v>23924</v>
      </c>
      <c r="R2035" s="69">
        <f t="shared" si="63"/>
        <v>20335.400000000001</v>
      </c>
      <c r="S2035" s="30"/>
      <c r="T2035" s="30"/>
    </row>
    <row r="2036" spans="1:20" ht="45" customHeight="1" x14ac:dyDescent="0.3">
      <c r="A2036" s="36">
        <v>2024</v>
      </c>
      <c r="B2036" s="32" t="s">
        <v>6397</v>
      </c>
      <c r="C2036" s="32" t="s">
        <v>7316</v>
      </c>
      <c r="D2036" s="34" t="s">
        <v>5420</v>
      </c>
      <c r="E2036" s="32">
        <v>2020</v>
      </c>
      <c r="F2036" s="32" t="s">
        <v>19</v>
      </c>
      <c r="G2036" s="32" t="s">
        <v>5596</v>
      </c>
      <c r="H2036" s="32" t="s">
        <v>5680</v>
      </c>
      <c r="I2036" s="32" t="s">
        <v>1702</v>
      </c>
      <c r="J2036" s="32">
        <v>2900</v>
      </c>
      <c r="K2036" s="32">
        <v>0</v>
      </c>
      <c r="L2036" s="32">
        <v>0</v>
      </c>
      <c r="M2036" s="32">
        <v>0</v>
      </c>
      <c r="N2036" s="32">
        <v>2088</v>
      </c>
      <c r="O2036" s="32">
        <v>0</v>
      </c>
      <c r="P2036" s="32">
        <f>720+112</f>
        <v>832</v>
      </c>
      <c r="Q2036" s="47">
        <f t="shared" si="62"/>
        <v>5820</v>
      </c>
      <c r="R2036" s="69">
        <f t="shared" si="63"/>
        <v>4947</v>
      </c>
      <c r="S2036" s="30"/>
      <c r="T2036" s="30"/>
    </row>
    <row r="2037" spans="1:20" ht="45" customHeight="1" x14ac:dyDescent="0.3">
      <c r="A2037" s="31">
        <v>2025</v>
      </c>
      <c r="B2037" s="32" t="s">
        <v>6397</v>
      </c>
      <c r="C2037" s="32" t="s">
        <v>7317</v>
      </c>
      <c r="D2037" s="34" t="s">
        <v>7286</v>
      </c>
      <c r="E2037" s="32">
        <v>1967</v>
      </c>
      <c r="F2037" s="32" t="s">
        <v>18</v>
      </c>
      <c r="G2037" s="32" t="s">
        <v>7287</v>
      </c>
      <c r="H2037" s="32" t="s">
        <v>7287</v>
      </c>
      <c r="I2037" s="32" t="s">
        <v>7288</v>
      </c>
      <c r="J2037" s="32">
        <v>2900</v>
      </c>
      <c r="K2037" s="32">
        <v>0</v>
      </c>
      <c r="L2037" s="32">
        <v>0</v>
      </c>
      <c r="M2037" s="32">
        <v>0</v>
      </c>
      <c r="N2037" s="32">
        <f>1681+1178</f>
        <v>2859</v>
      </c>
      <c r="O2037" s="32">
        <v>0</v>
      </c>
      <c r="P2037" s="32">
        <f>660+312+56+792+720+720</f>
        <v>3260</v>
      </c>
      <c r="Q2037" s="47">
        <f t="shared" si="62"/>
        <v>9019</v>
      </c>
      <c r="R2037" s="69">
        <f t="shared" si="63"/>
        <v>7666.15</v>
      </c>
      <c r="S2037" s="30"/>
      <c r="T2037" s="30"/>
    </row>
    <row r="2038" spans="1:20" ht="45" customHeight="1" x14ac:dyDescent="0.3">
      <c r="A2038" s="31">
        <v>2026</v>
      </c>
      <c r="B2038" s="32" t="s">
        <v>6397</v>
      </c>
      <c r="C2038" s="32" t="s">
        <v>7318</v>
      </c>
      <c r="D2038" s="34" t="s">
        <v>7174</v>
      </c>
      <c r="E2038" s="32">
        <v>2023</v>
      </c>
      <c r="F2038" s="32" t="s">
        <v>19</v>
      </c>
      <c r="G2038" s="32" t="s">
        <v>7175</v>
      </c>
      <c r="H2038" s="32" t="s">
        <v>5680</v>
      </c>
      <c r="I2038" s="32" t="s">
        <v>1702</v>
      </c>
      <c r="J2038" s="32">
        <v>2900</v>
      </c>
      <c r="K2038" s="32">
        <v>0</v>
      </c>
      <c r="L2038" s="32">
        <v>0</v>
      </c>
      <c r="M2038" s="32">
        <v>17688</v>
      </c>
      <c r="N2038" s="32">
        <v>2088</v>
      </c>
      <c r="O2038" s="32">
        <v>0</v>
      </c>
      <c r="P2038" s="32">
        <f>1080+168</f>
        <v>1248</v>
      </c>
      <c r="Q2038" s="47">
        <f t="shared" si="62"/>
        <v>23924</v>
      </c>
      <c r="R2038" s="69">
        <f t="shared" si="63"/>
        <v>20335.400000000001</v>
      </c>
      <c r="S2038" s="30"/>
      <c r="T2038" s="30"/>
    </row>
    <row r="2039" spans="1:20" ht="45" customHeight="1" x14ac:dyDescent="0.3">
      <c r="A2039" s="36">
        <v>2027</v>
      </c>
      <c r="B2039" s="32" t="s">
        <v>6397</v>
      </c>
      <c r="C2039" s="32" t="s">
        <v>7319</v>
      </c>
      <c r="D2039" s="34" t="s">
        <v>4911</v>
      </c>
      <c r="E2039" s="32">
        <v>2024</v>
      </c>
      <c r="F2039" s="32" t="s">
        <v>18</v>
      </c>
      <c r="G2039" s="32" t="s">
        <v>5029</v>
      </c>
      <c r="H2039" s="32" t="s">
        <v>1044</v>
      </c>
      <c r="I2039" s="32" t="s">
        <v>5128</v>
      </c>
      <c r="J2039" s="32">
        <v>2900</v>
      </c>
      <c r="K2039" s="32">
        <v>0</v>
      </c>
      <c r="L2039" s="32">
        <v>0</v>
      </c>
      <c r="M2039" s="32">
        <v>17688</v>
      </c>
      <c r="N2039" s="32">
        <v>2088</v>
      </c>
      <c r="O2039" s="32">
        <v>0</v>
      </c>
      <c r="P2039" s="32">
        <f>168+1080</f>
        <v>1248</v>
      </c>
      <c r="Q2039" s="47">
        <f t="shared" si="62"/>
        <v>23924</v>
      </c>
      <c r="R2039" s="69">
        <f t="shared" si="63"/>
        <v>20335.400000000001</v>
      </c>
      <c r="S2039" s="30"/>
      <c r="T2039" s="30"/>
    </row>
    <row r="2040" spans="1:20" ht="45" customHeight="1" x14ac:dyDescent="0.3">
      <c r="A2040" s="31">
        <v>2028</v>
      </c>
      <c r="B2040" s="32" t="s">
        <v>6685</v>
      </c>
      <c r="C2040" s="32" t="s">
        <v>6686</v>
      </c>
      <c r="D2040" s="32" t="s">
        <v>6687</v>
      </c>
      <c r="E2040" s="32">
        <v>2018</v>
      </c>
      <c r="F2040" s="32" t="s">
        <v>19</v>
      </c>
      <c r="G2040" s="32" t="s">
        <v>6826</v>
      </c>
      <c r="H2040" s="32" t="s">
        <v>6885</v>
      </c>
      <c r="I2040" s="32" t="s">
        <v>300</v>
      </c>
      <c r="J2040" s="32">
        <v>3582</v>
      </c>
      <c r="K2040" s="32">
        <v>0</v>
      </c>
      <c r="L2040" s="32">
        <v>0</v>
      </c>
      <c r="M2040" s="32">
        <v>0</v>
      </c>
      <c r="N2040" s="32">
        <v>35836</v>
      </c>
      <c r="O2040" s="32">
        <v>0</v>
      </c>
      <c r="P2040" s="32">
        <v>0</v>
      </c>
      <c r="Q2040" s="46">
        <f t="shared" si="62"/>
        <v>39418</v>
      </c>
      <c r="R2040" s="69">
        <f t="shared" si="63"/>
        <v>33505.300000000003</v>
      </c>
      <c r="S2040" s="30"/>
      <c r="T2040" s="30"/>
    </row>
    <row r="2041" spans="1:20" ht="45" customHeight="1" x14ac:dyDescent="0.3">
      <c r="A2041" s="31">
        <v>2029</v>
      </c>
      <c r="B2041" s="32" t="s">
        <v>6685</v>
      </c>
      <c r="C2041" s="32" t="s">
        <v>6688</v>
      </c>
      <c r="D2041" s="32" t="s">
        <v>6689</v>
      </c>
      <c r="E2041" s="32">
        <v>2023</v>
      </c>
      <c r="F2041" s="32" t="s">
        <v>19</v>
      </c>
      <c r="G2041" s="32" t="s">
        <v>6827</v>
      </c>
      <c r="H2041" s="32" t="s">
        <v>6886</v>
      </c>
      <c r="I2041" s="32" t="s">
        <v>6917</v>
      </c>
      <c r="J2041" s="32">
        <v>6199</v>
      </c>
      <c r="K2041" s="32">
        <f>6278+4484+2332+1346+2332+2332+2332+2332+2332+4484+6995+6995+2332+6995</f>
        <v>53901</v>
      </c>
      <c r="L2041" s="32">
        <v>0</v>
      </c>
      <c r="M2041" s="32">
        <v>0</v>
      </c>
      <c r="N2041" s="32">
        <v>3148</v>
      </c>
      <c r="O2041" s="32">
        <v>0</v>
      </c>
      <c r="P2041" s="32">
        <v>0</v>
      </c>
      <c r="Q2041" s="46">
        <f t="shared" si="62"/>
        <v>63248</v>
      </c>
      <c r="R2041" s="69">
        <f t="shared" si="63"/>
        <v>53760.800000000003</v>
      </c>
      <c r="S2041" s="30"/>
      <c r="T2041" s="30"/>
    </row>
    <row r="2042" spans="1:20" ht="45" customHeight="1" x14ac:dyDescent="0.3">
      <c r="A2042" s="36">
        <v>2030</v>
      </c>
      <c r="B2042" s="32" t="s">
        <v>6685</v>
      </c>
      <c r="C2042" s="32" t="s">
        <v>6690</v>
      </c>
      <c r="D2042" s="32" t="s">
        <v>62</v>
      </c>
      <c r="E2042" s="32">
        <v>1988</v>
      </c>
      <c r="F2042" s="32" t="s">
        <v>18</v>
      </c>
      <c r="G2042" s="32" t="s">
        <v>160</v>
      </c>
      <c r="H2042" s="32" t="s">
        <v>160</v>
      </c>
      <c r="I2042" s="32" t="s">
        <v>259</v>
      </c>
      <c r="J2042" s="32">
        <v>3582</v>
      </c>
      <c r="K2042" s="32">
        <v>0</v>
      </c>
      <c r="L2042" s="32">
        <v>0</v>
      </c>
      <c r="M2042" s="32">
        <v>0</v>
      </c>
      <c r="N2042" s="32">
        <f>34016+27380+19239</f>
        <v>80635</v>
      </c>
      <c r="O2042" s="32">
        <v>0</v>
      </c>
      <c r="P2042" s="32">
        <v>0</v>
      </c>
      <c r="Q2042" s="46">
        <f t="shared" si="62"/>
        <v>84217</v>
      </c>
      <c r="R2042" s="69">
        <f t="shared" si="63"/>
        <v>71584.45</v>
      </c>
      <c r="S2042" s="30"/>
      <c r="T2042" s="30"/>
    </row>
    <row r="2043" spans="1:20" ht="45" customHeight="1" x14ac:dyDescent="0.3">
      <c r="A2043" s="31">
        <v>2031</v>
      </c>
      <c r="B2043" s="32" t="s">
        <v>6685</v>
      </c>
      <c r="C2043" s="32" t="s">
        <v>6691</v>
      </c>
      <c r="D2043" s="32" t="s">
        <v>6692</v>
      </c>
      <c r="E2043" s="32">
        <v>1986</v>
      </c>
      <c r="F2043" s="32" t="s">
        <v>18</v>
      </c>
      <c r="G2043" s="32" t="s">
        <v>6828</v>
      </c>
      <c r="H2043" s="32" t="s">
        <v>6828</v>
      </c>
      <c r="I2043" s="32" t="s">
        <v>1702</v>
      </c>
      <c r="J2043" s="32">
        <v>6199</v>
      </c>
      <c r="K2043" s="32">
        <f>1166+2801</f>
        <v>3967</v>
      </c>
      <c r="L2043" s="32">
        <v>0</v>
      </c>
      <c r="M2043" s="32">
        <v>0</v>
      </c>
      <c r="N2043" s="32">
        <v>0</v>
      </c>
      <c r="O2043" s="32">
        <v>0</v>
      </c>
      <c r="P2043" s="32">
        <v>0</v>
      </c>
      <c r="Q2043" s="46">
        <f t="shared" si="62"/>
        <v>10166</v>
      </c>
      <c r="R2043" s="69">
        <f t="shared" si="63"/>
        <v>8641.1</v>
      </c>
      <c r="S2043" s="30"/>
      <c r="T2043" s="30"/>
    </row>
    <row r="2044" spans="1:20" s="41" customFormat="1" ht="45" customHeight="1" x14ac:dyDescent="0.3">
      <c r="A2044" s="31">
        <v>2032</v>
      </c>
      <c r="B2044" s="38" t="s">
        <v>6685</v>
      </c>
      <c r="C2044" s="38" t="s">
        <v>6693</v>
      </c>
      <c r="D2044" s="38" t="s">
        <v>6694</v>
      </c>
      <c r="E2044" s="38">
        <v>2020</v>
      </c>
      <c r="F2044" s="38" t="s">
        <v>18</v>
      </c>
      <c r="G2044" s="38" t="s">
        <v>6829</v>
      </c>
      <c r="H2044" s="38" t="s">
        <v>6887</v>
      </c>
      <c r="I2044" s="38" t="s">
        <v>1896</v>
      </c>
      <c r="J2044" s="38">
        <v>6199</v>
      </c>
      <c r="K2044" s="38">
        <v>0</v>
      </c>
      <c r="L2044" s="38">
        <v>0</v>
      </c>
      <c r="M2044" s="38">
        <v>0</v>
      </c>
      <c r="N2044" s="38">
        <v>0</v>
      </c>
      <c r="O2044" s="38">
        <v>0</v>
      </c>
      <c r="P2044" s="38">
        <v>0</v>
      </c>
      <c r="Q2044" s="46">
        <f t="shared" si="62"/>
        <v>6199</v>
      </c>
      <c r="R2044" s="69">
        <f t="shared" si="63"/>
        <v>5269.15</v>
      </c>
      <c r="S2044" s="40"/>
      <c r="T2044" s="40"/>
    </row>
    <row r="2045" spans="1:20" ht="45" customHeight="1" x14ac:dyDescent="0.3">
      <c r="A2045" s="36">
        <v>2033</v>
      </c>
      <c r="B2045" s="32" t="s">
        <v>6685</v>
      </c>
      <c r="C2045" s="32" t="s">
        <v>6695</v>
      </c>
      <c r="D2045" s="32" t="s">
        <v>6696</v>
      </c>
      <c r="E2045" s="32">
        <v>2021</v>
      </c>
      <c r="F2045" s="32" t="s">
        <v>18</v>
      </c>
      <c r="G2045" s="32" t="s">
        <v>6830</v>
      </c>
      <c r="H2045" s="32" t="s">
        <v>6885</v>
      </c>
      <c r="I2045" s="32" t="s">
        <v>300</v>
      </c>
      <c r="J2045" s="32">
        <v>3582</v>
      </c>
      <c r="K2045" s="32">
        <v>0</v>
      </c>
      <c r="L2045" s="32">
        <v>0</v>
      </c>
      <c r="M2045" s="32">
        <v>0</v>
      </c>
      <c r="N2045" s="32">
        <v>0</v>
      </c>
      <c r="O2045" s="32">
        <v>0</v>
      </c>
      <c r="P2045" s="32">
        <v>0</v>
      </c>
      <c r="Q2045" s="46">
        <f t="shared" si="62"/>
        <v>3582</v>
      </c>
      <c r="R2045" s="69">
        <f t="shared" si="63"/>
        <v>3044.7</v>
      </c>
      <c r="S2045" s="30"/>
      <c r="T2045" s="30"/>
    </row>
    <row r="2046" spans="1:20" ht="45" customHeight="1" x14ac:dyDescent="0.3">
      <c r="A2046" s="31">
        <v>2034</v>
      </c>
      <c r="B2046" s="32" t="s">
        <v>6685</v>
      </c>
      <c r="C2046" s="32" t="s">
        <v>6697</v>
      </c>
      <c r="D2046" s="34" t="s">
        <v>6698</v>
      </c>
      <c r="E2046" s="32">
        <v>2025</v>
      </c>
      <c r="F2046" s="32" t="s">
        <v>18</v>
      </c>
      <c r="G2046" s="32" t="s">
        <v>6831</v>
      </c>
      <c r="H2046" s="32" t="s">
        <v>6888</v>
      </c>
      <c r="I2046" s="32" t="s">
        <v>6918</v>
      </c>
      <c r="J2046" s="32">
        <v>6199</v>
      </c>
      <c r="K2046" s="32">
        <v>0</v>
      </c>
      <c r="L2046" s="32">
        <v>0</v>
      </c>
      <c r="M2046" s="32">
        <v>0</v>
      </c>
      <c r="N2046" s="32">
        <v>0</v>
      </c>
      <c r="O2046" s="32">
        <v>0</v>
      </c>
      <c r="P2046" s="32">
        <v>0</v>
      </c>
      <c r="Q2046" s="46">
        <f t="shared" si="62"/>
        <v>6199</v>
      </c>
      <c r="R2046" s="69">
        <f t="shared" si="63"/>
        <v>5269.15</v>
      </c>
      <c r="S2046" s="30"/>
      <c r="T2046" s="30"/>
    </row>
    <row r="2047" spans="1:20" ht="45" customHeight="1" x14ac:dyDescent="0.3">
      <c r="A2047" s="31">
        <v>2035</v>
      </c>
      <c r="B2047" s="32" t="s">
        <v>6685</v>
      </c>
      <c r="C2047" s="32" t="s">
        <v>6699</v>
      </c>
      <c r="D2047" s="32" t="s">
        <v>4891</v>
      </c>
      <c r="E2047" s="32">
        <v>1981</v>
      </c>
      <c r="F2047" s="32" t="s">
        <v>19</v>
      </c>
      <c r="G2047" s="32" t="s">
        <v>5020</v>
      </c>
      <c r="H2047" s="32" t="s">
        <v>5020</v>
      </c>
      <c r="I2047" s="32" t="s">
        <v>5123</v>
      </c>
      <c r="J2047" s="32">
        <v>6199</v>
      </c>
      <c r="K2047" s="32">
        <f>6278+4484+2332+1346+2332+2332+2332+2332+6995+6995+2332+6995+6995+3228+6995+2332+3000</f>
        <v>69635</v>
      </c>
      <c r="L2047" s="32">
        <v>0</v>
      </c>
      <c r="M2047" s="32">
        <v>0</v>
      </c>
      <c r="N2047" s="32">
        <v>1793</v>
      </c>
      <c r="O2047" s="32">
        <v>0</v>
      </c>
      <c r="P2047" s="32">
        <v>0</v>
      </c>
      <c r="Q2047" s="46">
        <f t="shared" si="62"/>
        <v>77627</v>
      </c>
      <c r="R2047" s="69">
        <f t="shared" si="63"/>
        <v>65982.95</v>
      </c>
      <c r="S2047" s="30"/>
      <c r="T2047" s="30"/>
    </row>
    <row r="2048" spans="1:20" ht="45" customHeight="1" x14ac:dyDescent="0.3">
      <c r="A2048" s="36">
        <v>2036</v>
      </c>
      <c r="B2048" s="32" t="s">
        <v>6685</v>
      </c>
      <c r="C2048" s="32" t="s">
        <v>6700</v>
      </c>
      <c r="D2048" s="32" t="s">
        <v>4937</v>
      </c>
      <c r="E2048" s="32">
        <v>1982</v>
      </c>
      <c r="F2048" s="32" t="s">
        <v>18</v>
      </c>
      <c r="G2048" s="32" t="s">
        <v>5041</v>
      </c>
      <c r="H2048" s="32" t="s">
        <v>5041</v>
      </c>
      <c r="I2048" s="32" t="s">
        <v>853</v>
      </c>
      <c r="J2048" s="32">
        <v>3793</v>
      </c>
      <c r="K2048" s="32">
        <v>0</v>
      </c>
      <c r="L2048" s="32">
        <v>0</v>
      </c>
      <c r="M2048" s="32">
        <v>0</v>
      </c>
      <c r="N2048" s="32">
        <f>34016+27380</f>
        <v>61396</v>
      </c>
      <c r="O2048" s="32">
        <v>0</v>
      </c>
      <c r="P2048" s="32">
        <v>0</v>
      </c>
      <c r="Q2048" s="46">
        <f t="shared" si="62"/>
        <v>65189</v>
      </c>
      <c r="R2048" s="69">
        <f t="shared" si="63"/>
        <v>55410.65</v>
      </c>
      <c r="S2048" s="30"/>
      <c r="T2048" s="30"/>
    </row>
    <row r="2049" spans="1:20" s="41" customFormat="1" ht="45" customHeight="1" x14ac:dyDescent="0.3">
      <c r="A2049" s="31">
        <v>2037</v>
      </c>
      <c r="B2049" s="38" t="s">
        <v>6685</v>
      </c>
      <c r="C2049" s="38" t="s">
        <v>6701</v>
      </c>
      <c r="D2049" s="38" t="s">
        <v>6702</v>
      </c>
      <c r="E2049" s="38">
        <v>2025</v>
      </c>
      <c r="F2049" s="38" t="s">
        <v>19</v>
      </c>
      <c r="G2049" s="38" t="s">
        <v>6832</v>
      </c>
      <c r="H2049" s="38" t="s">
        <v>6889</v>
      </c>
      <c r="I2049" s="38" t="s">
        <v>6919</v>
      </c>
      <c r="J2049" s="38">
        <v>6199</v>
      </c>
      <c r="K2049" s="38">
        <f>6278+4484+1346+2332+2332+2332+2332+2332+6995+6995+6995+2332+4484+2332</f>
        <v>53901</v>
      </c>
      <c r="L2049" s="38">
        <v>0</v>
      </c>
      <c r="M2049" s="38">
        <v>0</v>
      </c>
      <c r="N2049" s="38">
        <v>3148</v>
      </c>
      <c r="O2049" s="38">
        <v>0</v>
      </c>
      <c r="P2049" s="38">
        <v>0</v>
      </c>
      <c r="Q2049" s="48">
        <f t="shared" si="62"/>
        <v>63248</v>
      </c>
      <c r="R2049" s="69">
        <f t="shared" si="63"/>
        <v>53760.800000000003</v>
      </c>
      <c r="S2049" s="40"/>
      <c r="T2049" s="40"/>
    </row>
    <row r="2050" spans="1:20" ht="45" customHeight="1" x14ac:dyDescent="0.3">
      <c r="A2050" s="31">
        <v>2038</v>
      </c>
      <c r="B2050" s="32" t="s">
        <v>6685</v>
      </c>
      <c r="C2050" s="32" t="s">
        <v>6703</v>
      </c>
      <c r="D2050" s="32" t="s">
        <v>6704</v>
      </c>
      <c r="E2050" s="32">
        <v>2023</v>
      </c>
      <c r="F2050" s="32" t="s">
        <v>19</v>
      </c>
      <c r="G2050" s="32" t="s">
        <v>6833</v>
      </c>
      <c r="H2050" s="32" t="s">
        <v>6890</v>
      </c>
      <c r="I2050" s="32" t="s">
        <v>2457</v>
      </c>
      <c r="J2050" s="32">
        <v>6199</v>
      </c>
      <c r="K2050" s="32">
        <f>6278+4484+2332+1346+2332+2332+2332+2332+6995+6995+2332+6995+4484+2332</f>
        <v>53901</v>
      </c>
      <c r="L2050" s="32">
        <v>0</v>
      </c>
      <c r="M2050" s="32">
        <v>0</v>
      </c>
      <c r="N2050" s="32">
        <v>3148</v>
      </c>
      <c r="O2050" s="32">
        <v>0</v>
      </c>
      <c r="P2050" s="32">
        <v>0</v>
      </c>
      <c r="Q2050" s="46">
        <f t="shared" si="62"/>
        <v>63248</v>
      </c>
      <c r="R2050" s="69">
        <f t="shared" si="63"/>
        <v>53760.800000000003</v>
      </c>
      <c r="S2050" s="30"/>
      <c r="T2050" s="30"/>
    </row>
    <row r="2051" spans="1:20" s="41" customFormat="1" ht="45" customHeight="1" x14ac:dyDescent="0.3">
      <c r="A2051" s="36">
        <v>2039</v>
      </c>
      <c r="B2051" s="38" t="s">
        <v>6685</v>
      </c>
      <c r="C2051" s="38" t="s">
        <v>6705</v>
      </c>
      <c r="D2051" s="38" t="s">
        <v>6706</v>
      </c>
      <c r="E2051" s="38">
        <v>1997</v>
      </c>
      <c r="F2051" s="38" t="s">
        <v>19</v>
      </c>
      <c r="G2051" s="38" t="s">
        <v>6834</v>
      </c>
      <c r="H2051" s="38" t="s">
        <v>6834</v>
      </c>
      <c r="I2051" s="38" t="s">
        <v>2457</v>
      </c>
      <c r="J2051" s="38">
        <v>6199</v>
      </c>
      <c r="K2051" s="38">
        <v>0</v>
      </c>
      <c r="L2051" s="38">
        <v>0</v>
      </c>
      <c r="M2051" s="38">
        <v>0</v>
      </c>
      <c r="N2051" s="38">
        <f>15443+303362</f>
        <v>318805</v>
      </c>
      <c r="O2051" s="38">
        <v>0</v>
      </c>
      <c r="P2051" s="38">
        <v>0</v>
      </c>
      <c r="Q2051" s="48">
        <f t="shared" si="62"/>
        <v>325004</v>
      </c>
      <c r="R2051" s="69">
        <f t="shared" si="63"/>
        <v>276253.40000000002</v>
      </c>
      <c r="S2051" s="40"/>
      <c r="T2051" s="40"/>
    </row>
    <row r="2052" spans="1:20" ht="45" customHeight="1" x14ac:dyDescent="0.3">
      <c r="A2052" s="31">
        <v>2040</v>
      </c>
      <c r="B2052" s="32" t="s">
        <v>6685</v>
      </c>
      <c r="C2052" s="32" t="s">
        <v>6707</v>
      </c>
      <c r="D2052" s="32" t="s">
        <v>3774</v>
      </c>
      <c r="E2052" s="32">
        <v>2005</v>
      </c>
      <c r="F2052" s="32" t="s">
        <v>18</v>
      </c>
      <c r="G2052" s="32" t="s">
        <v>3860</v>
      </c>
      <c r="H2052" s="32" t="s">
        <v>3907</v>
      </c>
      <c r="I2052" s="32" t="s">
        <v>569</v>
      </c>
      <c r="J2052" s="32">
        <v>0</v>
      </c>
      <c r="K2052" s="32">
        <v>0</v>
      </c>
      <c r="L2052" s="32">
        <v>0</v>
      </c>
      <c r="M2052" s="32">
        <v>0</v>
      </c>
      <c r="N2052" s="32">
        <f>34016+27380+19239</f>
        <v>80635</v>
      </c>
      <c r="O2052" s="32">
        <v>0</v>
      </c>
      <c r="P2052" s="32">
        <v>0</v>
      </c>
      <c r="Q2052" s="46">
        <f t="shared" si="62"/>
        <v>80635</v>
      </c>
      <c r="R2052" s="69">
        <f t="shared" si="63"/>
        <v>68539.75</v>
      </c>
      <c r="S2052" s="30"/>
      <c r="T2052" s="30"/>
    </row>
    <row r="2053" spans="1:20" ht="45" customHeight="1" x14ac:dyDescent="0.3">
      <c r="A2053" s="31">
        <v>2041</v>
      </c>
      <c r="B2053" s="32" t="s">
        <v>6685</v>
      </c>
      <c r="C2053" s="32" t="s">
        <v>6708</v>
      </c>
      <c r="D2053" s="32" t="s">
        <v>6709</v>
      </c>
      <c r="E2053" s="32">
        <v>2023</v>
      </c>
      <c r="F2053" s="32" t="s">
        <v>18</v>
      </c>
      <c r="G2053" s="32" t="s">
        <v>6835</v>
      </c>
      <c r="H2053" s="32" t="s">
        <v>6891</v>
      </c>
      <c r="I2053" s="32" t="s">
        <v>552</v>
      </c>
      <c r="J2053" s="32">
        <v>6199</v>
      </c>
      <c r="K2053" s="32">
        <f>6278+4484+1346+4484+2332+2332+1166+2332+2332+2332+2332+6995+6995+2332+6995</f>
        <v>55067</v>
      </c>
      <c r="L2053" s="32">
        <v>0</v>
      </c>
      <c r="M2053" s="32">
        <v>0</v>
      </c>
      <c r="N2053" s="32">
        <v>3148</v>
      </c>
      <c r="O2053" s="32">
        <v>0</v>
      </c>
      <c r="P2053" s="32">
        <v>0</v>
      </c>
      <c r="Q2053" s="46">
        <f t="shared" si="62"/>
        <v>64414</v>
      </c>
      <c r="R2053" s="69">
        <f t="shared" si="63"/>
        <v>54751.9</v>
      </c>
      <c r="S2053" s="30"/>
      <c r="T2053" s="30"/>
    </row>
    <row r="2054" spans="1:20" ht="45" customHeight="1" x14ac:dyDescent="0.3">
      <c r="A2054" s="36">
        <v>2042</v>
      </c>
      <c r="B2054" s="32" t="s">
        <v>6685</v>
      </c>
      <c r="C2054" s="32" t="s">
        <v>6710</v>
      </c>
      <c r="D2054" s="32" t="s">
        <v>6711</v>
      </c>
      <c r="E2054" s="32">
        <v>2002</v>
      </c>
      <c r="F2054" s="32" t="s">
        <v>19</v>
      </c>
      <c r="G2054" s="32" t="s">
        <v>6836</v>
      </c>
      <c r="H2054" s="32" t="s">
        <v>6836</v>
      </c>
      <c r="I2054" s="32" t="s">
        <v>6920</v>
      </c>
      <c r="J2054" s="32">
        <v>6199</v>
      </c>
      <c r="K2054" s="32">
        <f>2332+2243</f>
        <v>4575</v>
      </c>
      <c r="L2054" s="32">
        <v>18406</v>
      </c>
      <c r="M2054" s="32">
        <v>0</v>
      </c>
      <c r="N2054" s="32">
        <v>0</v>
      </c>
      <c r="O2054" s="32">
        <v>0</v>
      </c>
      <c r="P2054" s="32">
        <v>2400</v>
      </c>
      <c r="Q2054" s="46">
        <f t="shared" si="62"/>
        <v>31580</v>
      </c>
      <c r="R2054" s="69">
        <f t="shared" si="63"/>
        <v>26843</v>
      </c>
      <c r="S2054" s="30"/>
      <c r="T2054" s="30"/>
    </row>
    <row r="2055" spans="1:20" ht="45" customHeight="1" x14ac:dyDescent="0.3">
      <c r="A2055" s="31">
        <v>2043</v>
      </c>
      <c r="B2055" s="32" t="s">
        <v>6685</v>
      </c>
      <c r="C2055" s="32" t="s">
        <v>6712</v>
      </c>
      <c r="D2055" s="32" t="s">
        <v>6713</v>
      </c>
      <c r="E2055" s="32">
        <v>1995</v>
      </c>
      <c r="F2055" s="32" t="s">
        <v>19</v>
      </c>
      <c r="G2055" s="32" t="s">
        <v>6837</v>
      </c>
      <c r="H2055" s="32" t="s">
        <v>503</v>
      </c>
      <c r="I2055" s="32" t="s">
        <v>25</v>
      </c>
      <c r="J2055" s="32">
        <v>6199</v>
      </c>
      <c r="K2055" s="32">
        <f>6278+4484+1346+2332+2332+6995+2332+2332+2332+2332+3000+3000</f>
        <v>39095</v>
      </c>
      <c r="L2055" s="32">
        <v>0</v>
      </c>
      <c r="M2055" s="32">
        <v>0</v>
      </c>
      <c r="N2055" s="32">
        <v>1793</v>
      </c>
      <c r="O2055" s="32">
        <v>0</v>
      </c>
      <c r="P2055" s="32">
        <v>0</v>
      </c>
      <c r="Q2055" s="46">
        <f t="shared" si="62"/>
        <v>47087</v>
      </c>
      <c r="R2055" s="69">
        <f t="shared" si="63"/>
        <v>40023.949999999997</v>
      </c>
      <c r="S2055" s="30"/>
      <c r="T2055" s="30"/>
    </row>
    <row r="2056" spans="1:20" ht="45" customHeight="1" x14ac:dyDescent="0.3">
      <c r="A2056" s="31">
        <v>2044</v>
      </c>
      <c r="B2056" s="32" t="s">
        <v>6685</v>
      </c>
      <c r="C2056" s="32" t="s">
        <v>6714</v>
      </c>
      <c r="D2056" s="32" t="s">
        <v>1918</v>
      </c>
      <c r="E2056" s="32">
        <v>2017</v>
      </c>
      <c r="F2056" s="32" t="s">
        <v>19</v>
      </c>
      <c r="G2056" s="32" t="s">
        <v>2030</v>
      </c>
      <c r="H2056" s="32" t="s">
        <v>2086</v>
      </c>
      <c r="I2056" s="32" t="s">
        <v>540</v>
      </c>
      <c r="J2056" s="32">
        <v>3582</v>
      </c>
      <c r="K2056" s="32">
        <v>0</v>
      </c>
      <c r="L2056" s="32">
        <v>0</v>
      </c>
      <c r="M2056" s="32">
        <v>0</v>
      </c>
      <c r="N2056" s="32">
        <f>42388+27126</f>
        <v>69514</v>
      </c>
      <c r="O2056" s="32">
        <v>0</v>
      </c>
      <c r="P2056" s="32">
        <v>0</v>
      </c>
      <c r="Q2056" s="46">
        <f t="shared" si="62"/>
        <v>73096</v>
      </c>
      <c r="R2056" s="69">
        <f t="shared" si="63"/>
        <v>62131.6</v>
      </c>
      <c r="S2056" s="30"/>
      <c r="T2056" s="30"/>
    </row>
    <row r="2057" spans="1:20" ht="45" customHeight="1" x14ac:dyDescent="0.3">
      <c r="A2057" s="36">
        <v>2045</v>
      </c>
      <c r="B2057" s="32" t="s">
        <v>6685</v>
      </c>
      <c r="C2057" s="32" t="s">
        <v>6715</v>
      </c>
      <c r="D2057" s="32" t="s">
        <v>1916</v>
      </c>
      <c r="E2057" s="32">
        <v>2017</v>
      </c>
      <c r="F2057" s="32" t="s">
        <v>18</v>
      </c>
      <c r="G2057" s="32" t="s">
        <v>6838</v>
      </c>
      <c r="H2057" s="32" t="s">
        <v>2085</v>
      </c>
      <c r="I2057" s="32" t="s">
        <v>540</v>
      </c>
      <c r="J2057" s="32">
        <v>3582</v>
      </c>
      <c r="K2057" s="32">
        <v>0</v>
      </c>
      <c r="L2057" s="32">
        <v>0</v>
      </c>
      <c r="M2057" s="32">
        <v>0</v>
      </c>
      <c r="N2057" s="32">
        <f>52172+27126</f>
        <v>79298</v>
      </c>
      <c r="O2057" s="32">
        <v>0</v>
      </c>
      <c r="P2057" s="32">
        <v>0</v>
      </c>
      <c r="Q2057" s="46">
        <f t="shared" si="62"/>
        <v>82880</v>
      </c>
      <c r="R2057" s="69">
        <f t="shared" si="63"/>
        <v>70448</v>
      </c>
      <c r="S2057" s="30"/>
      <c r="T2057" s="30"/>
    </row>
    <row r="2058" spans="1:20" s="41" customFormat="1" ht="45" customHeight="1" x14ac:dyDescent="0.3">
      <c r="A2058" s="31">
        <v>2046</v>
      </c>
      <c r="B2058" s="38" t="s">
        <v>6685</v>
      </c>
      <c r="C2058" s="38" t="s">
        <v>6716</v>
      </c>
      <c r="D2058" s="38" t="s">
        <v>6717</v>
      </c>
      <c r="E2058" s="38">
        <v>2019</v>
      </c>
      <c r="F2058" s="38" t="s">
        <v>18</v>
      </c>
      <c r="G2058" s="38" t="s">
        <v>6839</v>
      </c>
      <c r="H2058" s="38" t="s">
        <v>6892</v>
      </c>
      <c r="I2058" s="38" t="s">
        <v>2864</v>
      </c>
      <c r="J2058" s="38">
        <v>6199</v>
      </c>
      <c r="K2058" s="38">
        <v>0</v>
      </c>
      <c r="L2058" s="38">
        <v>0</v>
      </c>
      <c r="M2058" s="38">
        <v>0</v>
      </c>
      <c r="N2058" s="38">
        <f>30886+35836</f>
        <v>66722</v>
      </c>
      <c r="O2058" s="38">
        <v>0</v>
      </c>
      <c r="P2058" s="38">
        <v>0</v>
      </c>
      <c r="Q2058" s="46">
        <f t="shared" si="62"/>
        <v>72921</v>
      </c>
      <c r="R2058" s="69">
        <f t="shared" si="63"/>
        <v>61982.85</v>
      </c>
      <c r="S2058" s="40"/>
      <c r="T2058" s="40"/>
    </row>
    <row r="2059" spans="1:20" ht="45" customHeight="1" x14ac:dyDescent="0.3">
      <c r="A2059" s="31">
        <v>2047</v>
      </c>
      <c r="B2059" s="32" t="s">
        <v>6685</v>
      </c>
      <c r="C2059" s="32" t="s">
        <v>6718</v>
      </c>
      <c r="D2059" s="32" t="s">
        <v>6719</v>
      </c>
      <c r="E2059" s="32">
        <v>1999</v>
      </c>
      <c r="F2059" s="32" t="s">
        <v>19</v>
      </c>
      <c r="G2059" s="32" t="s">
        <v>6840</v>
      </c>
      <c r="H2059" s="32" t="s">
        <v>6840</v>
      </c>
      <c r="I2059" s="32" t="s">
        <v>275</v>
      </c>
      <c r="J2059" s="32">
        <v>6199</v>
      </c>
      <c r="K2059" s="32">
        <f>6278+4484+3252</f>
        <v>14014</v>
      </c>
      <c r="L2059" s="32">
        <v>18406</v>
      </c>
      <c r="M2059" s="32">
        <v>0</v>
      </c>
      <c r="N2059" s="32">
        <v>1793</v>
      </c>
      <c r="O2059" s="32">
        <v>0</v>
      </c>
      <c r="P2059" s="32">
        <v>0</v>
      </c>
      <c r="Q2059" s="46">
        <f t="shared" si="62"/>
        <v>40412</v>
      </c>
      <c r="R2059" s="69">
        <f t="shared" si="63"/>
        <v>34350.199999999997</v>
      </c>
      <c r="S2059" s="30"/>
      <c r="T2059" s="30"/>
    </row>
    <row r="2060" spans="1:20" ht="45" customHeight="1" x14ac:dyDescent="0.3">
      <c r="A2060" s="36">
        <v>2048</v>
      </c>
      <c r="B2060" s="32" t="s">
        <v>6685</v>
      </c>
      <c r="C2060" s="32" t="s">
        <v>6720</v>
      </c>
      <c r="D2060" s="32" t="s">
        <v>6721</v>
      </c>
      <c r="E2060" s="32">
        <v>2020</v>
      </c>
      <c r="F2060" s="32" t="s">
        <v>18</v>
      </c>
      <c r="G2060" s="32" t="s">
        <v>6841</v>
      </c>
      <c r="H2060" s="32" t="s">
        <v>6893</v>
      </c>
      <c r="I2060" s="32" t="s">
        <v>6921</v>
      </c>
      <c r="J2060" s="32">
        <v>6199</v>
      </c>
      <c r="K2060" s="32">
        <f>1166+2801+6278+4484+2332+1346+2332+2332+2332+2332+6995+6995+2332+6995+2332+4484</f>
        <v>57868</v>
      </c>
      <c r="L2060" s="32">
        <v>0</v>
      </c>
      <c r="M2060" s="32">
        <v>0</v>
      </c>
      <c r="N2060" s="32">
        <v>3148</v>
      </c>
      <c r="O2060" s="32">
        <v>0</v>
      </c>
      <c r="P2060" s="32">
        <v>0</v>
      </c>
      <c r="Q2060" s="46">
        <f t="shared" si="62"/>
        <v>67215</v>
      </c>
      <c r="R2060" s="69">
        <f t="shared" si="63"/>
        <v>57132.75</v>
      </c>
      <c r="S2060" s="30"/>
      <c r="T2060" s="30"/>
    </row>
    <row r="2061" spans="1:20" ht="45" customHeight="1" x14ac:dyDescent="0.3">
      <c r="A2061" s="31">
        <v>2049</v>
      </c>
      <c r="B2061" s="32" t="s">
        <v>6685</v>
      </c>
      <c r="C2061" s="32" t="s">
        <v>6722</v>
      </c>
      <c r="D2061" s="32" t="s">
        <v>871</v>
      </c>
      <c r="E2061" s="32">
        <v>1990</v>
      </c>
      <c r="F2061" s="32" t="s">
        <v>19</v>
      </c>
      <c r="G2061" s="32" t="s">
        <v>969</v>
      </c>
      <c r="H2061" s="32" t="s">
        <v>1017</v>
      </c>
      <c r="I2061" s="32" t="s">
        <v>1048</v>
      </c>
      <c r="J2061" s="32">
        <v>6199</v>
      </c>
      <c r="K2061" s="32">
        <f>6278+4484+2332</f>
        <v>13094</v>
      </c>
      <c r="L2061" s="32">
        <v>17279</v>
      </c>
      <c r="M2061" s="32">
        <v>0</v>
      </c>
      <c r="N2061" s="32">
        <v>1793</v>
      </c>
      <c r="O2061" s="32">
        <v>0</v>
      </c>
      <c r="P2061" s="32">
        <v>0</v>
      </c>
      <c r="Q2061" s="46">
        <f t="shared" ref="Q2061:Q2124" si="64">SUM(J2061:P2061)</f>
        <v>38365</v>
      </c>
      <c r="R2061" s="69">
        <f t="shared" si="63"/>
        <v>32610.25</v>
      </c>
      <c r="S2061" s="30"/>
      <c r="T2061" s="30"/>
    </row>
    <row r="2062" spans="1:20" ht="45" customHeight="1" x14ac:dyDescent="0.3">
      <c r="A2062" s="31">
        <v>2050</v>
      </c>
      <c r="B2062" s="32" t="s">
        <v>6685</v>
      </c>
      <c r="C2062" s="32" t="s">
        <v>6723</v>
      </c>
      <c r="D2062" s="32" t="s">
        <v>6724</v>
      </c>
      <c r="E2062" s="32">
        <v>1995</v>
      </c>
      <c r="F2062" s="32" t="s">
        <v>19</v>
      </c>
      <c r="G2062" s="32" t="s">
        <v>6842</v>
      </c>
      <c r="H2062" s="32" t="s">
        <v>6894</v>
      </c>
      <c r="I2062" s="32" t="s">
        <v>3935</v>
      </c>
      <c r="J2062" s="32">
        <v>6199</v>
      </c>
      <c r="K2062" s="32">
        <v>0</v>
      </c>
      <c r="L2062" s="32">
        <v>0</v>
      </c>
      <c r="M2062" s="32">
        <v>0</v>
      </c>
      <c r="N2062" s="32">
        <v>0</v>
      </c>
      <c r="O2062" s="32">
        <v>0</v>
      </c>
      <c r="P2062" s="32">
        <v>0</v>
      </c>
      <c r="Q2062" s="46">
        <f t="shared" si="64"/>
        <v>6199</v>
      </c>
      <c r="R2062" s="69">
        <f t="shared" ref="R2062:R2125" si="65">Q2062*85/100</f>
        <v>5269.15</v>
      </c>
      <c r="S2062" s="30"/>
      <c r="T2062" s="30"/>
    </row>
    <row r="2063" spans="1:20" ht="45" customHeight="1" x14ac:dyDescent="0.3">
      <c r="A2063" s="36">
        <v>2051</v>
      </c>
      <c r="B2063" s="32" t="s">
        <v>6685</v>
      </c>
      <c r="C2063" s="32" t="s">
        <v>6725</v>
      </c>
      <c r="D2063" s="32" t="s">
        <v>6726</v>
      </c>
      <c r="E2063" s="32">
        <v>1999</v>
      </c>
      <c r="F2063" s="32" t="s">
        <v>19</v>
      </c>
      <c r="G2063" s="32" t="s">
        <v>6843</v>
      </c>
      <c r="H2063" s="32" t="s">
        <v>6843</v>
      </c>
      <c r="I2063" s="32" t="s">
        <v>272</v>
      </c>
      <c r="J2063" s="32">
        <v>6199</v>
      </c>
      <c r="K2063" s="32">
        <f>2243+2332</f>
        <v>4575</v>
      </c>
      <c r="L2063" s="32">
        <v>17279</v>
      </c>
      <c r="M2063" s="32">
        <v>0</v>
      </c>
      <c r="N2063" s="32">
        <v>0</v>
      </c>
      <c r="O2063" s="32">
        <v>0</v>
      </c>
      <c r="P2063" s="32">
        <v>0</v>
      </c>
      <c r="Q2063" s="46">
        <f t="shared" si="64"/>
        <v>28053</v>
      </c>
      <c r="R2063" s="69">
        <f t="shared" si="65"/>
        <v>23845.05</v>
      </c>
      <c r="S2063" s="30"/>
      <c r="T2063" s="30"/>
    </row>
    <row r="2064" spans="1:20" ht="45" customHeight="1" x14ac:dyDescent="0.3">
      <c r="A2064" s="31">
        <v>2052</v>
      </c>
      <c r="B2064" s="32" t="s">
        <v>6685</v>
      </c>
      <c r="C2064" s="32" t="s">
        <v>6727</v>
      </c>
      <c r="D2064" s="32" t="s">
        <v>6728</v>
      </c>
      <c r="E2064" s="32">
        <v>1998</v>
      </c>
      <c r="F2064" s="32" t="s">
        <v>19</v>
      </c>
      <c r="G2064" s="32" t="s">
        <v>6844</v>
      </c>
      <c r="H2064" s="32" t="s">
        <v>6844</v>
      </c>
      <c r="I2064" s="32" t="s">
        <v>1280</v>
      </c>
      <c r="J2064" s="32">
        <v>6199</v>
      </c>
      <c r="K2064" s="32">
        <f>6278+4484+2332+2332+3228+3000+6995+2243</f>
        <v>30892</v>
      </c>
      <c r="L2064" s="32">
        <v>18406</v>
      </c>
      <c r="M2064" s="32">
        <v>0</v>
      </c>
      <c r="N2064" s="32">
        <v>1793</v>
      </c>
      <c r="O2064" s="32">
        <v>0</v>
      </c>
      <c r="P2064" s="32">
        <v>0</v>
      </c>
      <c r="Q2064" s="46">
        <f t="shared" si="64"/>
        <v>57290</v>
      </c>
      <c r="R2064" s="69">
        <f t="shared" si="65"/>
        <v>48696.5</v>
      </c>
      <c r="S2064" s="30"/>
      <c r="T2064" s="30"/>
    </row>
    <row r="2065" spans="1:20" ht="45" customHeight="1" x14ac:dyDescent="0.3">
      <c r="A2065" s="31">
        <v>2053</v>
      </c>
      <c r="B2065" s="32" t="s">
        <v>6685</v>
      </c>
      <c r="C2065" s="32" t="s">
        <v>6729</v>
      </c>
      <c r="D2065" s="32" t="s">
        <v>4891</v>
      </c>
      <c r="E2065" s="32">
        <v>1981</v>
      </c>
      <c r="F2065" s="32" t="s">
        <v>19</v>
      </c>
      <c r="G2065" s="32" t="s">
        <v>5053</v>
      </c>
      <c r="H2065" s="32" t="s">
        <v>5053</v>
      </c>
      <c r="I2065" s="32" t="s">
        <v>2850</v>
      </c>
      <c r="J2065" s="32">
        <v>3793</v>
      </c>
      <c r="K2065" s="32">
        <v>0</v>
      </c>
      <c r="L2065" s="32">
        <v>0</v>
      </c>
      <c r="M2065" s="32">
        <v>0</v>
      </c>
      <c r="N2065" s="32">
        <f>34016+27380</f>
        <v>61396</v>
      </c>
      <c r="O2065" s="32">
        <v>0</v>
      </c>
      <c r="P2065" s="32">
        <v>0</v>
      </c>
      <c r="Q2065" s="46">
        <f t="shared" si="64"/>
        <v>65189</v>
      </c>
      <c r="R2065" s="69">
        <f t="shared" si="65"/>
        <v>55410.65</v>
      </c>
      <c r="S2065" s="30"/>
      <c r="T2065" s="30"/>
    </row>
    <row r="2066" spans="1:20" ht="45" customHeight="1" x14ac:dyDescent="0.3">
      <c r="A2066" s="36">
        <v>2054</v>
      </c>
      <c r="B2066" s="32" t="s">
        <v>6685</v>
      </c>
      <c r="C2066" s="32" t="s">
        <v>6730</v>
      </c>
      <c r="D2066" s="32" t="s">
        <v>396</v>
      </c>
      <c r="E2066" s="32">
        <v>1998</v>
      </c>
      <c r="F2066" s="32" t="s">
        <v>19</v>
      </c>
      <c r="G2066" s="32" t="s">
        <v>477</v>
      </c>
      <c r="H2066" s="32" t="s">
        <v>477</v>
      </c>
      <c r="I2066" s="32" t="s">
        <v>32</v>
      </c>
      <c r="J2066" s="32">
        <v>6199</v>
      </c>
      <c r="K2066" s="32">
        <f>6278+1346</f>
        <v>7624</v>
      </c>
      <c r="L2066" s="32">
        <v>18406</v>
      </c>
      <c r="M2066" s="32">
        <v>0</v>
      </c>
      <c r="N2066" s="32">
        <v>1793</v>
      </c>
      <c r="O2066" s="32">
        <v>0</v>
      </c>
      <c r="P2066" s="32">
        <v>0</v>
      </c>
      <c r="Q2066" s="46">
        <f t="shared" si="64"/>
        <v>34022</v>
      </c>
      <c r="R2066" s="69">
        <f t="shared" si="65"/>
        <v>28918.7</v>
      </c>
      <c r="S2066" s="30"/>
      <c r="T2066" s="30"/>
    </row>
    <row r="2067" spans="1:20" ht="45" customHeight="1" x14ac:dyDescent="0.3">
      <c r="A2067" s="31">
        <v>2055</v>
      </c>
      <c r="B2067" s="32" t="s">
        <v>6685</v>
      </c>
      <c r="C2067" s="32" t="s">
        <v>6731</v>
      </c>
      <c r="D2067" s="32" t="s">
        <v>6732</v>
      </c>
      <c r="E2067" s="32">
        <v>1992</v>
      </c>
      <c r="F2067" s="32" t="s">
        <v>19</v>
      </c>
      <c r="G2067" s="32" t="s">
        <v>6845</v>
      </c>
      <c r="H2067" s="32" t="s">
        <v>530</v>
      </c>
      <c r="I2067" s="32" t="s">
        <v>578</v>
      </c>
      <c r="J2067" s="32">
        <v>6199</v>
      </c>
      <c r="K2067" s="32">
        <v>0</v>
      </c>
      <c r="L2067" s="32">
        <v>0</v>
      </c>
      <c r="M2067" s="32">
        <v>0</v>
      </c>
      <c r="N2067" s="32">
        <v>0</v>
      </c>
      <c r="O2067" s="32">
        <v>0</v>
      </c>
      <c r="P2067" s="32">
        <v>0</v>
      </c>
      <c r="Q2067" s="46">
        <f t="shared" si="64"/>
        <v>6199</v>
      </c>
      <c r="R2067" s="69">
        <f t="shared" si="65"/>
        <v>5269.15</v>
      </c>
      <c r="S2067" s="30"/>
      <c r="T2067" s="30"/>
    </row>
    <row r="2068" spans="1:20" ht="45" customHeight="1" x14ac:dyDescent="0.3">
      <c r="A2068" s="31">
        <v>2056</v>
      </c>
      <c r="B2068" s="32" t="s">
        <v>6685</v>
      </c>
      <c r="C2068" s="32" t="s">
        <v>6733</v>
      </c>
      <c r="D2068" s="32" t="s">
        <v>2870</v>
      </c>
      <c r="E2068" s="32">
        <v>2010</v>
      </c>
      <c r="F2068" s="32" t="s">
        <v>18</v>
      </c>
      <c r="G2068" s="32" t="s">
        <v>2991</v>
      </c>
      <c r="H2068" s="32" t="s">
        <v>3047</v>
      </c>
      <c r="I2068" s="32" t="s">
        <v>1257</v>
      </c>
      <c r="J2068" s="32">
        <v>6199</v>
      </c>
      <c r="K2068" s="32">
        <v>0</v>
      </c>
      <c r="L2068" s="32">
        <v>0</v>
      </c>
      <c r="M2068" s="32">
        <v>0</v>
      </c>
      <c r="N2068" s="32">
        <v>0</v>
      </c>
      <c r="O2068" s="32">
        <v>0</v>
      </c>
      <c r="P2068" s="32">
        <v>0</v>
      </c>
      <c r="Q2068" s="46">
        <f t="shared" si="64"/>
        <v>6199</v>
      </c>
      <c r="R2068" s="69">
        <f t="shared" si="65"/>
        <v>5269.15</v>
      </c>
      <c r="S2068" s="30"/>
      <c r="T2068" s="30"/>
    </row>
    <row r="2069" spans="1:20" ht="45" customHeight="1" x14ac:dyDescent="0.3">
      <c r="A2069" s="36">
        <v>2057</v>
      </c>
      <c r="B2069" s="32" t="s">
        <v>6685</v>
      </c>
      <c r="C2069" s="32" t="s">
        <v>6734</v>
      </c>
      <c r="D2069" s="32" t="s">
        <v>2868</v>
      </c>
      <c r="E2069" s="32">
        <v>1960</v>
      </c>
      <c r="F2069" s="32" t="s">
        <v>18</v>
      </c>
      <c r="G2069" s="32" t="s">
        <v>2990</v>
      </c>
      <c r="H2069" s="32" t="s">
        <v>1403</v>
      </c>
      <c r="I2069" s="32" t="s">
        <v>1257</v>
      </c>
      <c r="J2069" s="32">
        <v>6199</v>
      </c>
      <c r="K2069" s="32">
        <v>0</v>
      </c>
      <c r="L2069" s="32">
        <v>0</v>
      </c>
      <c r="M2069" s="32">
        <v>0</v>
      </c>
      <c r="N2069" s="32">
        <v>0</v>
      </c>
      <c r="O2069" s="32">
        <v>0</v>
      </c>
      <c r="P2069" s="32">
        <v>0</v>
      </c>
      <c r="Q2069" s="46">
        <f t="shared" si="64"/>
        <v>6199</v>
      </c>
      <c r="R2069" s="69">
        <f t="shared" si="65"/>
        <v>5269.15</v>
      </c>
      <c r="S2069" s="30"/>
      <c r="T2069" s="30"/>
    </row>
    <row r="2070" spans="1:20" ht="45" customHeight="1" x14ac:dyDescent="0.3">
      <c r="A2070" s="31">
        <v>2058</v>
      </c>
      <c r="B2070" s="32" t="s">
        <v>6685</v>
      </c>
      <c r="C2070" s="32" t="s">
        <v>6735</v>
      </c>
      <c r="D2070" s="32" t="s">
        <v>6736</v>
      </c>
      <c r="E2070" s="32">
        <v>1985</v>
      </c>
      <c r="F2070" s="32" t="s">
        <v>19</v>
      </c>
      <c r="G2070" s="32" t="s">
        <v>6846</v>
      </c>
      <c r="H2070" s="32" t="s">
        <v>6846</v>
      </c>
      <c r="I2070" s="32" t="s">
        <v>540</v>
      </c>
      <c r="J2070" s="32">
        <v>6199</v>
      </c>
      <c r="K2070" s="32">
        <v>2332</v>
      </c>
      <c r="L2070" s="32">
        <v>18406</v>
      </c>
      <c r="M2070" s="32">
        <v>0</v>
      </c>
      <c r="N2070" s="32">
        <v>0</v>
      </c>
      <c r="O2070" s="32">
        <v>0</v>
      </c>
      <c r="P2070" s="32">
        <v>0</v>
      </c>
      <c r="Q2070" s="46">
        <f t="shared" si="64"/>
        <v>26937</v>
      </c>
      <c r="R2070" s="69">
        <f t="shared" si="65"/>
        <v>22896.45</v>
      </c>
      <c r="S2070" s="30"/>
      <c r="T2070" s="30"/>
    </row>
    <row r="2071" spans="1:20" ht="45" customHeight="1" x14ac:dyDescent="0.3">
      <c r="A2071" s="31">
        <v>2059</v>
      </c>
      <c r="B2071" s="32" t="s">
        <v>6685</v>
      </c>
      <c r="C2071" s="32" t="s">
        <v>6737</v>
      </c>
      <c r="D2071" s="32" t="s">
        <v>5217</v>
      </c>
      <c r="E2071" s="32">
        <v>2025</v>
      </c>
      <c r="F2071" s="32" t="s">
        <v>18</v>
      </c>
      <c r="G2071" s="32" t="s">
        <v>5320</v>
      </c>
      <c r="H2071" s="32" t="s">
        <v>5370</v>
      </c>
      <c r="I2071" s="32" t="s">
        <v>5399</v>
      </c>
      <c r="J2071" s="32">
        <v>3793</v>
      </c>
      <c r="K2071" s="32">
        <f>6278+4484+1346</f>
        <v>12108</v>
      </c>
      <c r="L2071" s="32">
        <v>0</v>
      </c>
      <c r="M2071" s="32">
        <v>0</v>
      </c>
      <c r="N2071" s="32">
        <v>3148</v>
      </c>
      <c r="O2071" s="32">
        <v>0</v>
      </c>
      <c r="P2071" s="32">
        <v>0</v>
      </c>
      <c r="Q2071" s="46">
        <f t="shared" si="64"/>
        <v>19049</v>
      </c>
      <c r="R2071" s="69">
        <f t="shared" si="65"/>
        <v>16191.65</v>
      </c>
      <c r="S2071" s="30"/>
      <c r="T2071" s="30"/>
    </row>
    <row r="2072" spans="1:20" ht="45" customHeight="1" x14ac:dyDescent="0.3">
      <c r="A2072" s="36">
        <v>2060</v>
      </c>
      <c r="B2072" s="32" t="s">
        <v>6685</v>
      </c>
      <c r="C2072" s="32" t="s">
        <v>6738</v>
      </c>
      <c r="D2072" s="32" t="s">
        <v>6739</v>
      </c>
      <c r="E2072" s="32">
        <v>2024</v>
      </c>
      <c r="F2072" s="32" t="s">
        <v>18</v>
      </c>
      <c r="G2072" s="32" t="s">
        <v>6847</v>
      </c>
      <c r="H2072" s="32" t="s">
        <v>6895</v>
      </c>
      <c r="I2072" s="32" t="s">
        <v>826</v>
      </c>
      <c r="J2072" s="32">
        <v>6199</v>
      </c>
      <c r="K2072" s="32">
        <v>0</v>
      </c>
      <c r="L2072" s="32">
        <v>0</v>
      </c>
      <c r="M2072" s="32">
        <v>0</v>
      </c>
      <c r="N2072" s="32">
        <v>0</v>
      </c>
      <c r="O2072" s="32">
        <v>0</v>
      </c>
      <c r="P2072" s="32">
        <v>0</v>
      </c>
      <c r="Q2072" s="46">
        <f t="shared" si="64"/>
        <v>6199</v>
      </c>
      <c r="R2072" s="69">
        <f t="shared" si="65"/>
        <v>5269.15</v>
      </c>
      <c r="S2072" s="30"/>
      <c r="T2072" s="30"/>
    </row>
    <row r="2073" spans="1:20" ht="45" customHeight="1" x14ac:dyDescent="0.3">
      <c r="A2073" s="31">
        <v>2061</v>
      </c>
      <c r="B2073" s="32" t="s">
        <v>6685</v>
      </c>
      <c r="C2073" s="32" t="s">
        <v>6740</v>
      </c>
      <c r="D2073" s="32" t="s">
        <v>6741</v>
      </c>
      <c r="E2073" s="32">
        <v>1995</v>
      </c>
      <c r="F2073" s="32" t="s">
        <v>19</v>
      </c>
      <c r="G2073" s="32" t="s">
        <v>6848</v>
      </c>
      <c r="H2073" s="32" t="s">
        <v>6848</v>
      </c>
      <c r="I2073" s="32" t="s">
        <v>6922</v>
      </c>
      <c r="J2073" s="32">
        <v>6199</v>
      </c>
      <c r="K2073" s="32">
        <v>0</v>
      </c>
      <c r="L2073" s="32">
        <v>0</v>
      </c>
      <c r="M2073" s="32">
        <v>0</v>
      </c>
      <c r="N2073" s="32">
        <v>0</v>
      </c>
      <c r="O2073" s="32">
        <v>0</v>
      </c>
      <c r="P2073" s="32">
        <v>0</v>
      </c>
      <c r="Q2073" s="46">
        <f t="shared" si="64"/>
        <v>6199</v>
      </c>
      <c r="R2073" s="69">
        <f t="shared" si="65"/>
        <v>5269.15</v>
      </c>
      <c r="S2073" s="30"/>
      <c r="T2073" s="30"/>
    </row>
    <row r="2074" spans="1:20" ht="45" customHeight="1" x14ac:dyDescent="0.3">
      <c r="A2074" s="31">
        <v>2062</v>
      </c>
      <c r="B2074" s="32" t="s">
        <v>6685</v>
      </c>
      <c r="C2074" s="32" t="s">
        <v>6742</v>
      </c>
      <c r="D2074" s="32" t="s">
        <v>6743</v>
      </c>
      <c r="E2074" s="32">
        <v>1994</v>
      </c>
      <c r="F2074" s="32" t="s">
        <v>19</v>
      </c>
      <c r="G2074" s="32" t="s">
        <v>6849</v>
      </c>
      <c r="H2074" s="32" t="s">
        <v>6849</v>
      </c>
      <c r="I2074" s="32" t="s">
        <v>293</v>
      </c>
      <c r="J2074" s="32">
        <v>6199</v>
      </c>
      <c r="K2074" s="32">
        <v>0</v>
      </c>
      <c r="L2074" s="32">
        <v>0</v>
      </c>
      <c r="M2074" s="32">
        <v>0</v>
      </c>
      <c r="N2074" s="32">
        <v>0</v>
      </c>
      <c r="O2074" s="32">
        <v>0</v>
      </c>
      <c r="P2074" s="32">
        <v>0</v>
      </c>
      <c r="Q2074" s="46">
        <f t="shared" si="64"/>
        <v>6199</v>
      </c>
      <c r="R2074" s="69">
        <f t="shared" si="65"/>
        <v>5269.15</v>
      </c>
      <c r="S2074" s="30"/>
      <c r="T2074" s="30"/>
    </row>
    <row r="2075" spans="1:20" ht="45" customHeight="1" x14ac:dyDescent="0.3">
      <c r="A2075" s="36">
        <v>2063</v>
      </c>
      <c r="B2075" s="32" t="s">
        <v>6685</v>
      </c>
      <c r="C2075" s="32" t="s">
        <v>6744</v>
      </c>
      <c r="D2075" s="32" t="s">
        <v>6745</v>
      </c>
      <c r="E2075" s="32">
        <v>2014</v>
      </c>
      <c r="F2075" s="32" t="s">
        <v>19</v>
      </c>
      <c r="G2075" s="32" t="s">
        <v>6850</v>
      </c>
      <c r="H2075" s="32" t="s">
        <v>6896</v>
      </c>
      <c r="I2075" s="32" t="s">
        <v>300</v>
      </c>
      <c r="J2075" s="32">
        <v>6199</v>
      </c>
      <c r="K2075" s="32">
        <f>6278+4484+1346</f>
        <v>12108</v>
      </c>
      <c r="L2075" s="32">
        <v>0</v>
      </c>
      <c r="M2075" s="32">
        <v>0</v>
      </c>
      <c r="N2075" s="32">
        <v>3148</v>
      </c>
      <c r="O2075" s="32">
        <v>0</v>
      </c>
      <c r="P2075" s="32">
        <v>0</v>
      </c>
      <c r="Q2075" s="46">
        <f t="shared" si="64"/>
        <v>21455</v>
      </c>
      <c r="R2075" s="69">
        <f t="shared" si="65"/>
        <v>18236.75</v>
      </c>
      <c r="S2075" s="30"/>
      <c r="T2075" s="30"/>
    </row>
    <row r="2076" spans="1:20" ht="45" customHeight="1" x14ac:dyDescent="0.3">
      <c r="A2076" s="31">
        <v>2064</v>
      </c>
      <c r="B2076" s="32" t="s">
        <v>6685</v>
      </c>
      <c r="C2076" s="32" t="s">
        <v>6746</v>
      </c>
      <c r="D2076" s="32" t="s">
        <v>6747</v>
      </c>
      <c r="E2076" s="32">
        <v>1978</v>
      </c>
      <c r="F2076" s="32" t="s">
        <v>18</v>
      </c>
      <c r="G2076" s="32" t="s">
        <v>6851</v>
      </c>
      <c r="H2076" s="32" t="s">
        <v>6851</v>
      </c>
      <c r="I2076" s="32" t="s">
        <v>1279</v>
      </c>
      <c r="J2076" s="32">
        <v>6199</v>
      </c>
      <c r="K2076" s="32">
        <f>6278+4484+1346+2332+2332+2332+2332+2332+2332+4484+6995+3000+6995+6995+6995+6995+2332</f>
        <v>70891</v>
      </c>
      <c r="L2076" s="32">
        <v>0</v>
      </c>
      <c r="M2076" s="32">
        <v>0</v>
      </c>
      <c r="N2076" s="32">
        <v>1793</v>
      </c>
      <c r="O2076" s="32">
        <v>0</v>
      </c>
      <c r="P2076" s="32">
        <v>0</v>
      </c>
      <c r="Q2076" s="46">
        <f t="shared" si="64"/>
        <v>78883</v>
      </c>
      <c r="R2076" s="69">
        <f t="shared" si="65"/>
        <v>67050.55</v>
      </c>
      <c r="S2076" s="30"/>
      <c r="T2076" s="30"/>
    </row>
    <row r="2077" spans="1:20" ht="45" customHeight="1" x14ac:dyDescent="0.3">
      <c r="A2077" s="31">
        <v>2065</v>
      </c>
      <c r="B2077" s="32" t="s">
        <v>6685</v>
      </c>
      <c r="C2077" s="32" t="s">
        <v>6748</v>
      </c>
      <c r="D2077" s="32" t="s">
        <v>6749</v>
      </c>
      <c r="E2077" s="32">
        <v>2024</v>
      </c>
      <c r="F2077" s="32" t="s">
        <v>18</v>
      </c>
      <c r="G2077" s="32" t="s">
        <v>6852</v>
      </c>
      <c r="H2077" s="32" t="s">
        <v>6897</v>
      </c>
      <c r="I2077" s="32" t="s">
        <v>6923</v>
      </c>
      <c r="J2077" s="32">
        <v>6199</v>
      </c>
      <c r="K2077" s="32">
        <v>0</v>
      </c>
      <c r="L2077" s="32">
        <v>0</v>
      </c>
      <c r="M2077" s="32">
        <v>0</v>
      </c>
      <c r="N2077" s="32">
        <v>0</v>
      </c>
      <c r="O2077" s="32">
        <v>0</v>
      </c>
      <c r="P2077" s="32">
        <v>0</v>
      </c>
      <c r="Q2077" s="46">
        <f t="shared" si="64"/>
        <v>6199</v>
      </c>
      <c r="R2077" s="69">
        <f t="shared" si="65"/>
        <v>5269.15</v>
      </c>
      <c r="S2077" s="30"/>
      <c r="T2077" s="30"/>
    </row>
    <row r="2078" spans="1:20" ht="45" customHeight="1" x14ac:dyDescent="0.3">
      <c r="A2078" s="36">
        <v>2066</v>
      </c>
      <c r="B2078" s="32" t="s">
        <v>6685</v>
      </c>
      <c r="C2078" s="32" t="s">
        <v>6750</v>
      </c>
      <c r="D2078" s="32" t="s">
        <v>6751</v>
      </c>
      <c r="E2078" s="32">
        <v>2012</v>
      </c>
      <c r="F2078" s="32" t="s">
        <v>18</v>
      </c>
      <c r="G2078" s="32" t="s">
        <v>6853</v>
      </c>
      <c r="H2078" s="32" t="s">
        <v>6898</v>
      </c>
      <c r="I2078" s="32" t="s">
        <v>6924</v>
      </c>
      <c r="J2078" s="32">
        <v>6199</v>
      </c>
      <c r="K2078" s="32">
        <f>6278+4484+1346+2332+2332+2332+2332+2332+6995+6995+2332+6995+4484+2332</f>
        <v>53901</v>
      </c>
      <c r="L2078" s="32">
        <v>0</v>
      </c>
      <c r="M2078" s="32">
        <v>0</v>
      </c>
      <c r="N2078" s="32">
        <f>3148+4053+1178+2088</f>
        <v>10467</v>
      </c>
      <c r="O2078" s="32">
        <v>0</v>
      </c>
      <c r="P2078" s="32">
        <f>60+1080+720+660</f>
        <v>2520</v>
      </c>
      <c r="Q2078" s="46">
        <f t="shared" si="64"/>
        <v>73087</v>
      </c>
      <c r="R2078" s="69">
        <f t="shared" si="65"/>
        <v>62123.95</v>
      </c>
      <c r="S2078" s="30"/>
      <c r="T2078" s="30"/>
    </row>
    <row r="2079" spans="1:20" ht="45" customHeight="1" x14ac:dyDescent="0.3">
      <c r="A2079" s="31">
        <v>2067</v>
      </c>
      <c r="B2079" s="32" t="s">
        <v>6685</v>
      </c>
      <c r="C2079" s="32" t="s">
        <v>6752</v>
      </c>
      <c r="D2079" s="32" t="s">
        <v>6753</v>
      </c>
      <c r="E2079" s="32">
        <v>2023</v>
      </c>
      <c r="F2079" s="32" t="s">
        <v>19</v>
      </c>
      <c r="G2079" s="32" t="s">
        <v>6854</v>
      </c>
      <c r="H2079" s="32" t="s">
        <v>6899</v>
      </c>
      <c r="I2079" s="32" t="s">
        <v>6925</v>
      </c>
      <c r="J2079" s="32">
        <v>6199</v>
      </c>
      <c r="K2079" s="32">
        <v>0</v>
      </c>
      <c r="L2079" s="32">
        <v>0</v>
      </c>
      <c r="M2079" s="32">
        <v>0</v>
      </c>
      <c r="N2079" s="32">
        <v>0</v>
      </c>
      <c r="O2079" s="32">
        <v>0</v>
      </c>
      <c r="P2079" s="32">
        <v>0</v>
      </c>
      <c r="Q2079" s="46">
        <f t="shared" si="64"/>
        <v>6199</v>
      </c>
      <c r="R2079" s="69">
        <f t="shared" si="65"/>
        <v>5269.15</v>
      </c>
      <c r="S2079" s="30"/>
      <c r="T2079" s="30"/>
    </row>
    <row r="2080" spans="1:20" ht="45" customHeight="1" x14ac:dyDescent="0.3">
      <c r="A2080" s="31">
        <v>2068</v>
      </c>
      <c r="B2080" s="32" t="s">
        <v>6685</v>
      </c>
      <c r="C2080" s="32" t="s">
        <v>6754</v>
      </c>
      <c r="D2080" s="32" t="s">
        <v>6755</v>
      </c>
      <c r="E2080" s="32">
        <v>2022</v>
      </c>
      <c r="F2080" s="32" t="s">
        <v>18</v>
      </c>
      <c r="G2080" s="32" t="s">
        <v>6855</v>
      </c>
      <c r="H2080" s="32" t="s">
        <v>6900</v>
      </c>
      <c r="I2080" s="32" t="s">
        <v>6926</v>
      </c>
      <c r="J2080" s="32">
        <v>6199</v>
      </c>
      <c r="K2080" s="32">
        <f>6278+4484+1346+4484+2332+2332+2332+2332+2332+6995+6995+2332+6995+2332</f>
        <v>53901</v>
      </c>
      <c r="L2080" s="32">
        <v>0</v>
      </c>
      <c r="M2080" s="32">
        <v>0</v>
      </c>
      <c r="N2080" s="32">
        <f>3148+4053+2088+1178+2222</f>
        <v>12689</v>
      </c>
      <c r="O2080" s="32">
        <v>0</v>
      </c>
      <c r="P2080" s="32">
        <f>540+720+1080+1200</f>
        <v>3540</v>
      </c>
      <c r="Q2080" s="46">
        <f t="shared" si="64"/>
        <v>76329</v>
      </c>
      <c r="R2080" s="69">
        <f t="shared" si="65"/>
        <v>64879.65</v>
      </c>
      <c r="S2080" s="30"/>
      <c r="T2080" s="30"/>
    </row>
    <row r="2081" spans="1:20" ht="45" customHeight="1" x14ac:dyDescent="0.3">
      <c r="A2081" s="36">
        <v>2069</v>
      </c>
      <c r="B2081" s="32" t="s">
        <v>6685</v>
      </c>
      <c r="C2081" s="32" t="s">
        <v>6756</v>
      </c>
      <c r="D2081" s="32" t="s">
        <v>6757</v>
      </c>
      <c r="E2081" s="32">
        <v>1990</v>
      </c>
      <c r="F2081" s="32" t="s">
        <v>19</v>
      </c>
      <c r="G2081" s="32" t="s">
        <v>6856</v>
      </c>
      <c r="H2081" s="32" t="s">
        <v>6856</v>
      </c>
      <c r="I2081" s="32" t="s">
        <v>293</v>
      </c>
      <c r="J2081" s="32">
        <v>6199</v>
      </c>
      <c r="K2081" s="32">
        <f>2243+2332</f>
        <v>4575</v>
      </c>
      <c r="L2081" s="32">
        <v>17279</v>
      </c>
      <c r="M2081" s="32">
        <v>0</v>
      </c>
      <c r="N2081" s="32">
        <v>0</v>
      </c>
      <c r="O2081" s="32">
        <v>0</v>
      </c>
      <c r="P2081" s="32">
        <v>0</v>
      </c>
      <c r="Q2081" s="46">
        <f t="shared" si="64"/>
        <v>28053</v>
      </c>
      <c r="R2081" s="69">
        <f t="shared" si="65"/>
        <v>23845.05</v>
      </c>
      <c r="S2081" s="30"/>
      <c r="T2081" s="30"/>
    </row>
    <row r="2082" spans="1:20" ht="45" customHeight="1" x14ac:dyDescent="0.3">
      <c r="A2082" s="31">
        <v>2070</v>
      </c>
      <c r="B2082" s="32" t="s">
        <v>6685</v>
      </c>
      <c r="C2082" s="32" t="s">
        <v>6758</v>
      </c>
      <c r="D2082" s="32" t="s">
        <v>6759</v>
      </c>
      <c r="E2082" s="32">
        <v>2021</v>
      </c>
      <c r="F2082" s="32" t="s">
        <v>18</v>
      </c>
      <c r="G2082" s="32" t="s">
        <v>6857</v>
      </c>
      <c r="H2082" s="32" t="s">
        <v>6901</v>
      </c>
      <c r="I2082" s="32" t="s">
        <v>6927</v>
      </c>
      <c r="J2082" s="32">
        <v>6199</v>
      </c>
      <c r="K2082" s="32">
        <v>0</v>
      </c>
      <c r="L2082" s="32">
        <v>0</v>
      </c>
      <c r="M2082" s="32">
        <v>0</v>
      </c>
      <c r="N2082" s="32">
        <v>0</v>
      </c>
      <c r="O2082" s="32">
        <v>0</v>
      </c>
      <c r="P2082" s="32">
        <v>0</v>
      </c>
      <c r="Q2082" s="46">
        <f t="shared" si="64"/>
        <v>6199</v>
      </c>
      <c r="R2082" s="69">
        <f t="shared" si="65"/>
        <v>5269.15</v>
      </c>
      <c r="S2082" s="30"/>
      <c r="T2082" s="30"/>
    </row>
    <row r="2083" spans="1:20" ht="45" customHeight="1" x14ac:dyDescent="0.3">
      <c r="A2083" s="31">
        <v>2071</v>
      </c>
      <c r="B2083" s="32" t="s">
        <v>6685</v>
      </c>
      <c r="C2083" s="32" t="s">
        <v>6760</v>
      </c>
      <c r="D2083" s="32" t="s">
        <v>6761</v>
      </c>
      <c r="E2083" s="32">
        <v>1979</v>
      </c>
      <c r="F2083" s="32" t="s">
        <v>18</v>
      </c>
      <c r="G2083" s="32" t="s">
        <v>6858</v>
      </c>
      <c r="H2083" s="32" t="s">
        <v>6858</v>
      </c>
      <c r="I2083" s="32" t="s">
        <v>1050</v>
      </c>
      <c r="J2083" s="32">
        <v>6199</v>
      </c>
      <c r="K2083" s="32">
        <v>0</v>
      </c>
      <c r="L2083" s="32">
        <v>0</v>
      </c>
      <c r="M2083" s="32">
        <v>0</v>
      </c>
      <c r="N2083" s="32">
        <v>15443</v>
      </c>
      <c r="O2083" s="32">
        <v>0</v>
      </c>
      <c r="P2083" s="32">
        <v>0</v>
      </c>
      <c r="Q2083" s="46">
        <f t="shared" si="64"/>
        <v>21642</v>
      </c>
      <c r="R2083" s="69">
        <f t="shared" si="65"/>
        <v>18395.7</v>
      </c>
      <c r="S2083" s="30"/>
      <c r="T2083" s="30"/>
    </row>
    <row r="2084" spans="1:20" ht="45" customHeight="1" x14ac:dyDescent="0.3">
      <c r="A2084" s="36">
        <v>2072</v>
      </c>
      <c r="B2084" s="32" t="s">
        <v>6685</v>
      </c>
      <c r="C2084" s="32" t="s">
        <v>6762</v>
      </c>
      <c r="D2084" s="34">
        <v>10096752</v>
      </c>
      <c r="E2084" s="32">
        <v>1968</v>
      </c>
      <c r="F2084" s="32" t="s">
        <v>19</v>
      </c>
      <c r="G2084" s="32" t="s">
        <v>4781</v>
      </c>
      <c r="H2084" s="32" t="s">
        <v>4781</v>
      </c>
      <c r="I2084" s="32" t="s">
        <v>268</v>
      </c>
      <c r="J2084" s="32">
        <v>3582</v>
      </c>
      <c r="K2084" s="32">
        <v>0</v>
      </c>
      <c r="L2084" s="32">
        <v>0</v>
      </c>
      <c r="M2084" s="32">
        <v>0</v>
      </c>
      <c r="N2084" s="32">
        <v>0</v>
      </c>
      <c r="O2084" s="32">
        <v>0</v>
      </c>
      <c r="P2084" s="32">
        <v>0</v>
      </c>
      <c r="Q2084" s="46">
        <f t="shared" si="64"/>
        <v>3582</v>
      </c>
      <c r="R2084" s="69">
        <f t="shared" si="65"/>
        <v>3044.7</v>
      </c>
      <c r="S2084" s="30"/>
      <c r="T2084" s="30"/>
    </row>
    <row r="2085" spans="1:20" s="41" customFormat="1" ht="45" customHeight="1" x14ac:dyDescent="0.3">
      <c r="A2085" s="31">
        <v>2073</v>
      </c>
      <c r="B2085" s="38" t="s">
        <v>6685</v>
      </c>
      <c r="C2085" s="38" t="s">
        <v>6763</v>
      </c>
      <c r="D2085" s="38" t="s">
        <v>6764</v>
      </c>
      <c r="E2085" s="38">
        <v>1987</v>
      </c>
      <c r="F2085" s="38" t="s">
        <v>19</v>
      </c>
      <c r="G2085" s="38" t="s">
        <v>6859</v>
      </c>
      <c r="H2085" s="38" t="s">
        <v>6859</v>
      </c>
      <c r="I2085" s="38" t="s">
        <v>1702</v>
      </c>
      <c r="J2085" s="38">
        <v>6199</v>
      </c>
      <c r="K2085" s="38">
        <v>0</v>
      </c>
      <c r="L2085" s="38">
        <v>18406</v>
      </c>
      <c r="M2085" s="38">
        <v>0</v>
      </c>
      <c r="N2085" s="38">
        <v>0</v>
      </c>
      <c r="O2085" s="38">
        <v>0</v>
      </c>
      <c r="P2085" s="38">
        <v>0</v>
      </c>
      <c r="Q2085" s="48">
        <f t="shared" si="64"/>
        <v>24605</v>
      </c>
      <c r="R2085" s="69">
        <f t="shared" si="65"/>
        <v>20914.25</v>
      </c>
      <c r="S2085" s="40"/>
      <c r="T2085" s="40"/>
    </row>
    <row r="2086" spans="1:20" ht="45" customHeight="1" x14ac:dyDescent="0.3">
      <c r="A2086" s="31">
        <v>2074</v>
      </c>
      <c r="B2086" s="32" t="s">
        <v>6685</v>
      </c>
      <c r="C2086" s="32" t="s">
        <v>6765</v>
      </c>
      <c r="D2086" s="32" t="s">
        <v>6766</v>
      </c>
      <c r="E2086" s="32">
        <v>2016</v>
      </c>
      <c r="F2086" s="32" t="s">
        <v>18</v>
      </c>
      <c r="G2086" s="32" t="s">
        <v>6860</v>
      </c>
      <c r="H2086" s="32" t="s">
        <v>2098</v>
      </c>
      <c r="I2086" s="32" t="s">
        <v>6928</v>
      </c>
      <c r="J2086" s="32">
        <v>6199</v>
      </c>
      <c r="K2086" s="32">
        <v>0</v>
      </c>
      <c r="L2086" s="32">
        <v>0</v>
      </c>
      <c r="M2086" s="32">
        <v>0</v>
      </c>
      <c r="N2086" s="32">
        <v>0</v>
      </c>
      <c r="O2086" s="32">
        <v>0</v>
      </c>
      <c r="P2086" s="32">
        <v>0</v>
      </c>
      <c r="Q2086" s="46">
        <f t="shared" si="64"/>
        <v>6199</v>
      </c>
      <c r="R2086" s="69">
        <f t="shared" si="65"/>
        <v>5269.15</v>
      </c>
      <c r="S2086" s="30"/>
      <c r="T2086" s="30"/>
    </row>
    <row r="2087" spans="1:20" ht="45" customHeight="1" x14ac:dyDescent="0.3">
      <c r="A2087" s="36">
        <v>2075</v>
      </c>
      <c r="B2087" s="32" t="s">
        <v>6685</v>
      </c>
      <c r="C2087" s="32" t="s">
        <v>6767</v>
      </c>
      <c r="D2087" s="34">
        <v>10096752</v>
      </c>
      <c r="E2087" s="32">
        <v>1968</v>
      </c>
      <c r="F2087" s="32" t="s">
        <v>19</v>
      </c>
      <c r="G2087" s="32" t="s">
        <v>4781</v>
      </c>
      <c r="H2087" s="32" t="s">
        <v>4781</v>
      </c>
      <c r="I2087" s="32" t="s">
        <v>268</v>
      </c>
      <c r="J2087" s="32">
        <v>3793</v>
      </c>
      <c r="K2087" s="32">
        <v>0</v>
      </c>
      <c r="L2087" s="32">
        <v>0</v>
      </c>
      <c r="M2087" s="32">
        <v>0</v>
      </c>
      <c r="N2087" s="32">
        <v>0</v>
      </c>
      <c r="O2087" s="32">
        <v>0</v>
      </c>
      <c r="P2087" s="32">
        <v>0</v>
      </c>
      <c r="Q2087" s="46">
        <f t="shared" si="64"/>
        <v>3793</v>
      </c>
      <c r="R2087" s="69">
        <f t="shared" si="65"/>
        <v>3224.05</v>
      </c>
      <c r="S2087" s="30"/>
      <c r="T2087" s="30"/>
    </row>
    <row r="2088" spans="1:20" s="41" customFormat="1" ht="45" customHeight="1" x14ac:dyDescent="0.3">
      <c r="A2088" s="31">
        <v>2076</v>
      </c>
      <c r="B2088" s="38" t="s">
        <v>6685</v>
      </c>
      <c r="C2088" s="38" t="s">
        <v>6768</v>
      </c>
      <c r="D2088" s="38" t="s">
        <v>6769</v>
      </c>
      <c r="E2088" s="38">
        <v>1989</v>
      </c>
      <c r="F2088" s="38" t="s">
        <v>19</v>
      </c>
      <c r="G2088" s="38" t="s">
        <v>6861</v>
      </c>
      <c r="H2088" s="38" t="s">
        <v>6902</v>
      </c>
      <c r="I2088" s="38" t="s">
        <v>6929</v>
      </c>
      <c r="J2088" s="38">
        <v>6199</v>
      </c>
      <c r="K2088" s="38">
        <v>0</v>
      </c>
      <c r="L2088" s="38">
        <v>18406</v>
      </c>
      <c r="M2088" s="38">
        <v>0</v>
      </c>
      <c r="N2088" s="38">
        <v>0</v>
      </c>
      <c r="O2088" s="38">
        <v>0</v>
      </c>
      <c r="P2088" s="38">
        <v>0</v>
      </c>
      <c r="Q2088" s="46">
        <f t="shared" si="64"/>
        <v>24605</v>
      </c>
      <c r="R2088" s="69">
        <f t="shared" si="65"/>
        <v>20914.25</v>
      </c>
      <c r="S2088" s="40"/>
      <c r="T2088" s="40"/>
    </row>
    <row r="2089" spans="1:20" ht="45" customHeight="1" x14ac:dyDescent="0.3">
      <c r="A2089" s="31">
        <v>2077</v>
      </c>
      <c r="B2089" s="32" t="s">
        <v>6685</v>
      </c>
      <c r="C2089" s="32" t="s">
        <v>6770</v>
      </c>
      <c r="D2089" s="32" t="s">
        <v>6771</v>
      </c>
      <c r="E2089" s="32">
        <v>2013</v>
      </c>
      <c r="F2089" s="32" t="s">
        <v>18</v>
      </c>
      <c r="G2089" s="32" t="s">
        <v>6862</v>
      </c>
      <c r="H2089" s="32" t="s">
        <v>6903</v>
      </c>
      <c r="I2089" s="32" t="s">
        <v>1050</v>
      </c>
      <c r="J2089" s="32">
        <v>6199</v>
      </c>
      <c r="K2089" s="32">
        <f>6278+4484+1346+4484+2332+2332+1166+3000+3000+2332+2332+2332+2332+6995+6995+2332+6995</f>
        <v>61067</v>
      </c>
      <c r="L2089" s="32">
        <v>0</v>
      </c>
      <c r="M2089" s="32">
        <v>0</v>
      </c>
      <c r="N2089" s="32">
        <v>3148</v>
      </c>
      <c r="O2089" s="32">
        <v>0</v>
      </c>
      <c r="P2089" s="32">
        <v>0</v>
      </c>
      <c r="Q2089" s="46">
        <f t="shared" si="64"/>
        <v>70414</v>
      </c>
      <c r="R2089" s="69">
        <f t="shared" si="65"/>
        <v>59851.9</v>
      </c>
      <c r="S2089" s="30"/>
      <c r="T2089" s="30"/>
    </row>
    <row r="2090" spans="1:20" ht="45" customHeight="1" x14ac:dyDescent="0.3">
      <c r="A2090" s="36">
        <v>2078</v>
      </c>
      <c r="B2090" s="32" t="s">
        <v>6685</v>
      </c>
      <c r="C2090" s="32" t="s">
        <v>6772</v>
      </c>
      <c r="D2090" s="32" t="s">
        <v>6773</v>
      </c>
      <c r="E2090" s="32">
        <v>1981</v>
      </c>
      <c r="F2090" s="32" t="s">
        <v>19</v>
      </c>
      <c r="G2090" s="32" t="s">
        <v>6863</v>
      </c>
      <c r="H2090" s="32" t="s">
        <v>6863</v>
      </c>
      <c r="I2090" s="32" t="s">
        <v>6930</v>
      </c>
      <c r="J2090" s="32">
        <v>6199</v>
      </c>
      <c r="K2090" s="32">
        <v>0</v>
      </c>
      <c r="L2090" s="32">
        <v>0</v>
      </c>
      <c r="M2090" s="32">
        <v>0</v>
      </c>
      <c r="N2090" s="32">
        <v>0</v>
      </c>
      <c r="O2090" s="32">
        <v>0</v>
      </c>
      <c r="P2090" s="32">
        <v>0</v>
      </c>
      <c r="Q2090" s="46">
        <f t="shared" si="64"/>
        <v>6199</v>
      </c>
      <c r="R2090" s="69">
        <f t="shared" si="65"/>
        <v>5269.15</v>
      </c>
      <c r="S2090" s="30"/>
      <c r="T2090" s="30"/>
    </row>
    <row r="2091" spans="1:20" ht="45" customHeight="1" x14ac:dyDescent="0.3">
      <c r="A2091" s="31">
        <v>2079</v>
      </c>
      <c r="B2091" s="32" t="s">
        <v>6685</v>
      </c>
      <c r="C2091" s="32" t="s">
        <v>6774</v>
      </c>
      <c r="D2091" s="32" t="s">
        <v>6775</v>
      </c>
      <c r="E2091" s="32">
        <v>1987</v>
      </c>
      <c r="F2091" s="32" t="s">
        <v>18</v>
      </c>
      <c r="G2091" s="32" t="s">
        <v>6864</v>
      </c>
      <c r="H2091" s="32" t="s">
        <v>6864</v>
      </c>
      <c r="I2091" s="32" t="s">
        <v>6931</v>
      </c>
      <c r="J2091" s="32">
        <v>6199</v>
      </c>
      <c r="K2091" s="32">
        <v>0</v>
      </c>
      <c r="L2091" s="32">
        <v>0</v>
      </c>
      <c r="M2091" s="32">
        <v>0</v>
      </c>
      <c r="N2091" s="32">
        <v>0</v>
      </c>
      <c r="O2091" s="32">
        <v>0</v>
      </c>
      <c r="P2091" s="32">
        <v>0</v>
      </c>
      <c r="Q2091" s="46">
        <f t="shared" si="64"/>
        <v>6199</v>
      </c>
      <c r="R2091" s="69">
        <f t="shared" si="65"/>
        <v>5269.15</v>
      </c>
      <c r="S2091" s="30"/>
      <c r="T2091" s="30"/>
    </row>
    <row r="2092" spans="1:20" ht="45" customHeight="1" x14ac:dyDescent="0.3">
      <c r="A2092" s="31">
        <v>2080</v>
      </c>
      <c r="B2092" s="32" t="s">
        <v>6685</v>
      </c>
      <c r="C2092" s="32" t="s">
        <v>6776</v>
      </c>
      <c r="D2092" s="32" t="s">
        <v>6777</v>
      </c>
      <c r="E2092" s="32">
        <v>1970</v>
      </c>
      <c r="F2092" s="32" t="s">
        <v>19</v>
      </c>
      <c r="G2092" s="32" t="s">
        <v>6865</v>
      </c>
      <c r="H2092" s="32" t="s">
        <v>6904</v>
      </c>
      <c r="I2092" s="32" t="s">
        <v>6932</v>
      </c>
      <c r="J2092" s="32">
        <v>6199</v>
      </c>
      <c r="K2092" s="32">
        <v>0</v>
      </c>
      <c r="L2092" s="32">
        <v>0</v>
      </c>
      <c r="M2092" s="32">
        <v>0</v>
      </c>
      <c r="N2092" s="32">
        <v>0</v>
      </c>
      <c r="O2092" s="32">
        <v>0</v>
      </c>
      <c r="P2092" s="32">
        <v>0</v>
      </c>
      <c r="Q2092" s="46">
        <f t="shared" si="64"/>
        <v>6199</v>
      </c>
      <c r="R2092" s="69">
        <f t="shared" si="65"/>
        <v>5269.15</v>
      </c>
      <c r="S2092" s="30"/>
      <c r="T2092" s="30"/>
    </row>
    <row r="2093" spans="1:20" ht="45" customHeight="1" x14ac:dyDescent="0.3">
      <c r="A2093" s="36">
        <v>2081</v>
      </c>
      <c r="B2093" s="32" t="s">
        <v>6685</v>
      </c>
      <c r="C2093" s="32" t="s">
        <v>6778</v>
      </c>
      <c r="D2093" s="32" t="s">
        <v>6779</v>
      </c>
      <c r="E2093" s="32">
        <v>2000</v>
      </c>
      <c r="F2093" s="32" t="s">
        <v>19</v>
      </c>
      <c r="G2093" s="32" t="s">
        <v>6866</v>
      </c>
      <c r="H2093" s="32" t="s">
        <v>6866</v>
      </c>
      <c r="I2093" s="32" t="s">
        <v>1261</v>
      </c>
      <c r="J2093" s="32">
        <v>6199</v>
      </c>
      <c r="K2093" s="32">
        <f>3252+6278+4484</f>
        <v>14014</v>
      </c>
      <c r="L2093" s="32">
        <v>17279</v>
      </c>
      <c r="M2093" s="32">
        <v>0</v>
      </c>
      <c r="N2093" s="32">
        <v>1793</v>
      </c>
      <c r="O2093" s="32">
        <v>0</v>
      </c>
      <c r="P2093" s="32">
        <v>0</v>
      </c>
      <c r="Q2093" s="46">
        <f t="shared" si="64"/>
        <v>39285</v>
      </c>
      <c r="R2093" s="69">
        <f t="shared" si="65"/>
        <v>33392.25</v>
      </c>
      <c r="S2093" s="30"/>
      <c r="T2093" s="30"/>
    </row>
    <row r="2094" spans="1:20" s="41" customFormat="1" ht="45" customHeight="1" x14ac:dyDescent="0.3">
      <c r="A2094" s="31">
        <v>2082</v>
      </c>
      <c r="B2094" s="38" t="s">
        <v>6685</v>
      </c>
      <c r="C2094" s="38" t="s">
        <v>6780</v>
      </c>
      <c r="D2094" s="38" t="s">
        <v>4313</v>
      </c>
      <c r="E2094" s="38">
        <v>1994</v>
      </c>
      <c r="F2094" s="38" t="s">
        <v>19</v>
      </c>
      <c r="G2094" s="38" t="s">
        <v>4370</v>
      </c>
      <c r="H2094" s="38" t="s">
        <v>4391</v>
      </c>
      <c r="I2094" s="38" t="s">
        <v>300</v>
      </c>
      <c r="J2094" s="38">
        <v>3793</v>
      </c>
      <c r="K2094" s="38">
        <v>0</v>
      </c>
      <c r="L2094" s="38">
        <v>0</v>
      </c>
      <c r="M2094" s="38">
        <v>0</v>
      </c>
      <c r="N2094" s="38">
        <v>0</v>
      </c>
      <c r="O2094" s="38">
        <v>0</v>
      </c>
      <c r="P2094" s="38">
        <v>0</v>
      </c>
      <c r="Q2094" s="48">
        <f t="shared" si="64"/>
        <v>3793</v>
      </c>
      <c r="R2094" s="69">
        <f t="shared" si="65"/>
        <v>3224.05</v>
      </c>
      <c r="S2094" s="40"/>
      <c r="T2094" s="40"/>
    </row>
    <row r="2095" spans="1:20" ht="45" customHeight="1" x14ac:dyDescent="0.3">
      <c r="A2095" s="31">
        <v>2083</v>
      </c>
      <c r="B2095" s="32" t="s">
        <v>6685</v>
      </c>
      <c r="C2095" s="32" t="s">
        <v>6781</v>
      </c>
      <c r="D2095" s="32" t="s">
        <v>1137</v>
      </c>
      <c r="E2095" s="32">
        <v>2021</v>
      </c>
      <c r="F2095" s="32" t="s">
        <v>18</v>
      </c>
      <c r="G2095" s="32" t="s">
        <v>1195</v>
      </c>
      <c r="H2095" s="32" t="s">
        <v>1237</v>
      </c>
      <c r="I2095" s="32" t="s">
        <v>1271</v>
      </c>
      <c r="J2095" s="32">
        <v>6199</v>
      </c>
      <c r="K2095" s="32">
        <f>6278+4484+1346</f>
        <v>12108</v>
      </c>
      <c r="L2095" s="32">
        <v>0</v>
      </c>
      <c r="M2095" s="32">
        <v>0</v>
      </c>
      <c r="N2095" s="32">
        <v>3148</v>
      </c>
      <c r="O2095" s="32">
        <v>0</v>
      </c>
      <c r="P2095" s="32">
        <v>0</v>
      </c>
      <c r="Q2095" s="46">
        <f t="shared" si="64"/>
        <v>21455</v>
      </c>
      <c r="R2095" s="69">
        <f t="shared" si="65"/>
        <v>18236.75</v>
      </c>
      <c r="S2095" s="30"/>
      <c r="T2095" s="30"/>
    </row>
    <row r="2096" spans="1:20" ht="45" customHeight="1" x14ac:dyDescent="0.3">
      <c r="A2096" s="36">
        <v>2084</v>
      </c>
      <c r="B2096" s="32" t="s">
        <v>6685</v>
      </c>
      <c r="C2096" s="32" t="s">
        <v>6782</v>
      </c>
      <c r="D2096" s="32" t="s">
        <v>6783</v>
      </c>
      <c r="E2096" s="32">
        <v>1985</v>
      </c>
      <c r="F2096" s="32" t="s">
        <v>19</v>
      </c>
      <c r="G2096" s="32" t="s">
        <v>6867</v>
      </c>
      <c r="H2096" s="32" t="s">
        <v>6905</v>
      </c>
      <c r="I2096" s="32" t="s">
        <v>6933</v>
      </c>
      <c r="J2096" s="32">
        <v>6199</v>
      </c>
      <c r="K2096" s="32">
        <v>0</v>
      </c>
      <c r="L2096" s="32">
        <v>18406</v>
      </c>
      <c r="M2096" s="32">
        <v>0</v>
      </c>
      <c r="N2096" s="32">
        <v>0</v>
      </c>
      <c r="O2096" s="32">
        <v>0</v>
      </c>
      <c r="P2096" s="32">
        <v>0</v>
      </c>
      <c r="Q2096" s="46">
        <f t="shared" si="64"/>
        <v>24605</v>
      </c>
      <c r="R2096" s="69">
        <f t="shared" si="65"/>
        <v>20914.25</v>
      </c>
      <c r="S2096" s="30"/>
      <c r="T2096" s="30"/>
    </row>
    <row r="2097" spans="1:20" ht="45" customHeight="1" x14ac:dyDescent="0.3">
      <c r="A2097" s="31">
        <v>2085</v>
      </c>
      <c r="B2097" s="32" t="s">
        <v>6685</v>
      </c>
      <c r="C2097" s="32" t="s">
        <v>6784</v>
      </c>
      <c r="D2097" s="32" t="s">
        <v>6785</v>
      </c>
      <c r="E2097" s="32">
        <v>2024</v>
      </c>
      <c r="F2097" s="32" t="s">
        <v>19</v>
      </c>
      <c r="G2097" s="32" t="s">
        <v>6868</v>
      </c>
      <c r="H2097" s="32" t="s">
        <v>6906</v>
      </c>
      <c r="I2097" s="32" t="s">
        <v>6934</v>
      </c>
      <c r="J2097" s="32">
        <v>6199</v>
      </c>
      <c r="K2097" s="32">
        <v>0</v>
      </c>
      <c r="L2097" s="32">
        <v>0</v>
      </c>
      <c r="M2097" s="32">
        <v>0</v>
      </c>
      <c r="N2097" s="32">
        <v>0</v>
      </c>
      <c r="O2097" s="32">
        <v>0</v>
      </c>
      <c r="P2097" s="32">
        <v>0</v>
      </c>
      <c r="Q2097" s="46">
        <f t="shared" si="64"/>
        <v>6199</v>
      </c>
      <c r="R2097" s="69">
        <f t="shared" si="65"/>
        <v>5269.15</v>
      </c>
      <c r="S2097" s="30"/>
      <c r="T2097" s="30"/>
    </row>
    <row r="2098" spans="1:20" ht="45" customHeight="1" x14ac:dyDescent="0.3">
      <c r="A2098" s="31">
        <v>2086</v>
      </c>
      <c r="B2098" s="32" t="s">
        <v>6685</v>
      </c>
      <c r="C2098" s="32" t="s">
        <v>6786</v>
      </c>
      <c r="D2098" s="32" t="s">
        <v>6787</v>
      </c>
      <c r="E2098" s="32">
        <v>2022</v>
      </c>
      <c r="F2098" s="32" t="s">
        <v>19</v>
      </c>
      <c r="G2098" s="32" t="s">
        <v>6869</v>
      </c>
      <c r="H2098" s="32" t="s">
        <v>6907</v>
      </c>
      <c r="I2098" s="32" t="s">
        <v>6935</v>
      </c>
      <c r="J2098" s="32">
        <v>6199</v>
      </c>
      <c r="K2098" s="32">
        <f>6278+4484+2332+1346+2332+2332+2332+2332+6995+6995+2332+6995+2332+4484</f>
        <v>53901</v>
      </c>
      <c r="L2098" s="32">
        <v>0</v>
      </c>
      <c r="M2098" s="32">
        <v>0</v>
      </c>
      <c r="N2098" s="32">
        <v>3148</v>
      </c>
      <c r="O2098" s="32">
        <v>0</v>
      </c>
      <c r="P2098" s="32">
        <v>0</v>
      </c>
      <c r="Q2098" s="46">
        <f t="shared" si="64"/>
        <v>63248</v>
      </c>
      <c r="R2098" s="69">
        <f t="shared" si="65"/>
        <v>53760.800000000003</v>
      </c>
      <c r="S2098" s="30"/>
      <c r="T2098" s="30"/>
    </row>
    <row r="2099" spans="1:20" ht="45" customHeight="1" x14ac:dyDescent="0.3">
      <c r="A2099" s="36">
        <v>2087</v>
      </c>
      <c r="B2099" s="32" t="s">
        <v>6685</v>
      </c>
      <c r="C2099" s="32" t="s">
        <v>6788</v>
      </c>
      <c r="D2099" s="32" t="s">
        <v>6789</v>
      </c>
      <c r="E2099" s="32">
        <v>2022</v>
      </c>
      <c r="F2099" s="32" t="s">
        <v>18</v>
      </c>
      <c r="G2099" s="32" t="s">
        <v>6870</v>
      </c>
      <c r="H2099" s="32" t="s">
        <v>6908</v>
      </c>
      <c r="I2099" s="32" t="s">
        <v>6936</v>
      </c>
      <c r="J2099" s="32">
        <v>6199</v>
      </c>
      <c r="K2099" s="32">
        <f>6278+4484+1346+4484+2332+2332+2332+2332+2332+2332+6995+6995+2332+6995</f>
        <v>53901</v>
      </c>
      <c r="L2099" s="32">
        <v>0</v>
      </c>
      <c r="M2099" s="32">
        <v>0</v>
      </c>
      <c r="N2099" s="32">
        <v>3148</v>
      </c>
      <c r="O2099" s="32">
        <v>0</v>
      </c>
      <c r="P2099" s="32">
        <v>63</v>
      </c>
      <c r="Q2099" s="46">
        <f t="shared" si="64"/>
        <v>63311</v>
      </c>
      <c r="R2099" s="69">
        <f t="shared" si="65"/>
        <v>53814.35</v>
      </c>
      <c r="S2099" s="30"/>
      <c r="T2099" s="30"/>
    </row>
    <row r="2100" spans="1:20" ht="45" customHeight="1" x14ac:dyDescent="0.3">
      <c r="A2100" s="31">
        <v>2088</v>
      </c>
      <c r="B2100" s="32" t="s">
        <v>6685</v>
      </c>
      <c r="C2100" s="32" t="s">
        <v>6790</v>
      </c>
      <c r="D2100" s="32" t="s">
        <v>6791</v>
      </c>
      <c r="E2100" s="32">
        <v>1992</v>
      </c>
      <c r="F2100" s="32" t="s">
        <v>19</v>
      </c>
      <c r="G2100" s="32" t="s">
        <v>6871</v>
      </c>
      <c r="H2100" s="32" t="s">
        <v>6871</v>
      </c>
      <c r="I2100" s="32" t="s">
        <v>6937</v>
      </c>
      <c r="J2100" s="32">
        <v>6199</v>
      </c>
      <c r="K2100" s="32">
        <v>0</v>
      </c>
      <c r="L2100" s="32">
        <v>0</v>
      </c>
      <c r="M2100" s="32">
        <v>0</v>
      </c>
      <c r="N2100" s="32">
        <v>9871</v>
      </c>
      <c r="O2100" s="32">
        <v>0</v>
      </c>
      <c r="P2100" s="32">
        <v>0</v>
      </c>
      <c r="Q2100" s="46">
        <f t="shared" si="64"/>
        <v>16070</v>
      </c>
      <c r="R2100" s="69">
        <f t="shared" si="65"/>
        <v>13659.5</v>
      </c>
      <c r="S2100" s="30"/>
      <c r="T2100" s="30"/>
    </row>
    <row r="2101" spans="1:20" ht="45" customHeight="1" x14ac:dyDescent="0.3">
      <c r="A2101" s="31">
        <v>2089</v>
      </c>
      <c r="B2101" s="32" t="s">
        <v>6685</v>
      </c>
      <c r="C2101" s="32" t="s">
        <v>6792</v>
      </c>
      <c r="D2101" s="32" t="s">
        <v>6793</v>
      </c>
      <c r="E2101" s="32">
        <v>2013</v>
      </c>
      <c r="F2101" s="32" t="s">
        <v>18</v>
      </c>
      <c r="G2101" s="32" t="s">
        <v>6872</v>
      </c>
      <c r="H2101" s="32" t="s">
        <v>6909</v>
      </c>
      <c r="I2101" s="32" t="s">
        <v>1483</v>
      </c>
      <c r="J2101" s="32">
        <v>6199</v>
      </c>
      <c r="K2101" s="32">
        <v>0</v>
      </c>
      <c r="L2101" s="32">
        <v>0</v>
      </c>
      <c r="M2101" s="32">
        <v>0</v>
      </c>
      <c r="N2101" s="32">
        <f>15443+303362</f>
        <v>318805</v>
      </c>
      <c r="O2101" s="32">
        <v>0</v>
      </c>
      <c r="P2101" s="32">
        <v>0</v>
      </c>
      <c r="Q2101" s="46">
        <f t="shared" si="64"/>
        <v>325004</v>
      </c>
      <c r="R2101" s="69">
        <f t="shared" si="65"/>
        <v>276253.40000000002</v>
      </c>
      <c r="S2101" s="30"/>
      <c r="T2101" s="30"/>
    </row>
    <row r="2102" spans="1:20" ht="45" customHeight="1" x14ac:dyDescent="0.3">
      <c r="A2102" s="36">
        <v>2090</v>
      </c>
      <c r="B2102" s="32" t="s">
        <v>6685</v>
      </c>
      <c r="C2102" s="32" t="s">
        <v>6794</v>
      </c>
      <c r="D2102" s="32" t="s">
        <v>6795</v>
      </c>
      <c r="E2102" s="32">
        <v>2022</v>
      </c>
      <c r="F2102" s="32" t="s">
        <v>18</v>
      </c>
      <c r="G2102" s="32" t="s">
        <v>6873</v>
      </c>
      <c r="H2102" s="32" t="s">
        <v>6910</v>
      </c>
      <c r="I2102" s="32" t="s">
        <v>2466</v>
      </c>
      <c r="J2102" s="32">
        <v>6199</v>
      </c>
      <c r="K2102" s="32">
        <f>6278+4484+1346</f>
        <v>12108</v>
      </c>
      <c r="L2102" s="32">
        <v>0</v>
      </c>
      <c r="M2102" s="32">
        <v>0</v>
      </c>
      <c r="N2102" s="32">
        <v>3148</v>
      </c>
      <c r="O2102" s="32">
        <v>0</v>
      </c>
      <c r="P2102" s="32">
        <v>63</v>
      </c>
      <c r="Q2102" s="46">
        <f t="shared" si="64"/>
        <v>21518</v>
      </c>
      <c r="R2102" s="69">
        <f t="shared" si="65"/>
        <v>18290.3</v>
      </c>
      <c r="S2102" s="30"/>
      <c r="T2102" s="30"/>
    </row>
    <row r="2103" spans="1:20" ht="45" customHeight="1" x14ac:dyDescent="0.3">
      <c r="A2103" s="31">
        <v>2091</v>
      </c>
      <c r="B2103" s="32" t="s">
        <v>6685</v>
      </c>
      <c r="C2103" s="32" t="s">
        <v>6796</v>
      </c>
      <c r="D2103" s="32" t="s">
        <v>6797</v>
      </c>
      <c r="E2103" s="32">
        <v>1982</v>
      </c>
      <c r="F2103" s="32" t="s">
        <v>18</v>
      </c>
      <c r="G2103" s="32" t="s">
        <v>3491</v>
      </c>
      <c r="H2103" s="32" t="s">
        <v>3491</v>
      </c>
      <c r="I2103" s="32" t="s">
        <v>1046</v>
      </c>
      <c r="J2103" s="32">
        <v>6199</v>
      </c>
      <c r="K2103" s="32">
        <f>3228+6995+6278+4484+2332+3000+3000+2332+2332+2332+2332+2332+1346+6995</f>
        <v>49318</v>
      </c>
      <c r="L2103" s="32">
        <v>0</v>
      </c>
      <c r="M2103" s="32">
        <v>0</v>
      </c>
      <c r="N2103" s="32">
        <v>1793</v>
      </c>
      <c r="O2103" s="32">
        <v>0</v>
      </c>
      <c r="P2103" s="32">
        <v>0</v>
      </c>
      <c r="Q2103" s="46">
        <f t="shared" si="64"/>
        <v>57310</v>
      </c>
      <c r="R2103" s="69">
        <f t="shared" si="65"/>
        <v>48713.5</v>
      </c>
      <c r="S2103" s="30"/>
      <c r="T2103" s="30"/>
    </row>
    <row r="2104" spans="1:20" ht="45" customHeight="1" x14ac:dyDescent="0.3">
      <c r="A2104" s="31">
        <v>2092</v>
      </c>
      <c r="B2104" s="32" t="s">
        <v>6685</v>
      </c>
      <c r="C2104" s="32" t="s">
        <v>6798</v>
      </c>
      <c r="D2104" s="32" t="s">
        <v>6799</v>
      </c>
      <c r="E2104" s="32">
        <v>1986</v>
      </c>
      <c r="F2104" s="32" t="s">
        <v>19</v>
      </c>
      <c r="G2104" s="32" t="s">
        <v>6874</v>
      </c>
      <c r="H2104" s="32" t="s">
        <v>6874</v>
      </c>
      <c r="I2104" s="32" t="s">
        <v>6938</v>
      </c>
      <c r="J2104" s="32">
        <v>6199</v>
      </c>
      <c r="K2104" s="32">
        <v>0</v>
      </c>
      <c r="L2104" s="32">
        <v>0</v>
      </c>
      <c r="M2104" s="32">
        <v>0</v>
      </c>
      <c r="N2104" s="32">
        <v>0</v>
      </c>
      <c r="O2104" s="32">
        <v>0</v>
      </c>
      <c r="P2104" s="32">
        <v>0</v>
      </c>
      <c r="Q2104" s="46">
        <f t="shared" si="64"/>
        <v>6199</v>
      </c>
      <c r="R2104" s="69">
        <f t="shared" si="65"/>
        <v>5269.15</v>
      </c>
      <c r="S2104" s="30"/>
      <c r="T2104" s="30"/>
    </row>
    <row r="2105" spans="1:20" ht="45" customHeight="1" x14ac:dyDescent="0.3">
      <c r="A2105" s="36">
        <v>2093</v>
      </c>
      <c r="B2105" s="32" t="s">
        <v>6685</v>
      </c>
      <c r="C2105" s="32" t="s">
        <v>6800</v>
      </c>
      <c r="D2105" s="32" t="s">
        <v>6801</v>
      </c>
      <c r="E2105" s="32">
        <v>1985</v>
      </c>
      <c r="F2105" s="32" t="s">
        <v>18</v>
      </c>
      <c r="G2105" s="32" t="s">
        <v>6875</v>
      </c>
      <c r="H2105" s="32" t="s">
        <v>6875</v>
      </c>
      <c r="I2105" s="32" t="s">
        <v>251</v>
      </c>
      <c r="J2105" s="32">
        <v>6199</v>
      </c>
      <c r="K2105" s="32">
        <f>3228+6995+2332</f>
        <v>12555</v>
      </c>
      <c r="L2105" s="32">
        <v>0</v>
      </c>
      <c r="M2105" s="32">
        <v>0</v>
      </c>
      <c r="N2105" s="32">
        <v>1793</v>
      </c>
      <c r="O2105" s="32">
        <v>0</v>
      </c>
      <c r="P2105" s="32">
        <v>0</v>
      </c>
      <c r="Q2105" s="46">
        <f t="shared" si="64"/>
        <v>20547</v>
      </c>
      <c r="R2105" s="69">
        <f t="shared" si="65"/>
        <v>17464.95</v>
      </c>
      <c r="S2105" s="30"/>
      <c r="T2105" s="30"/>
    </row>
    <row r="2106" spans="1:20" ht="45" customHeight="1" x14ac:dyDescent="0.3">
      <c r="A2106" s="31">
        <v>2094</v>
      </c>
      <c r="B2106" s="32" t="s">
        <v>6685</v>
      </c>
      <c r="C2106" s="32" t="s">
        <v>6802</v>
      </c>
      <c r="D2106" s="32" t="s">
        <v>6803</v>
      </c>
      <c r="E2106" s="32">
        <v>1984</v>
      </c>
      <c r="F2106" s="32" t="s">
        <v>18</v>
      </c>
      <c r="G2106" s="32" t="s">
        <v>6876</v>
      </c>
      <c r="H2106" s="32" t="s">
        <v>6876</v>
      </c>
      <c r="I2106" s="32" t="s">
        <v>32</v>
      </c>
      <c r="J2106" s="32">
        <v>6199</v>
      </c>
      <c r="K2106" s="32">
        <v>0</v>
      </c>
      <c r="L2106" s="32">
        <v>0</v>
      </c>
      <c r="M2106" s="32">
        <v>0</v>
      </c>
      <c r="N2106" s="32">
        <v>0</v>
      </c>
      <c r="O2106" s="32">
        <v>0</v>
      </c>
      <c r="P2106" s="32">
        <v>0</v>
      </c>
      <c r="Q2106" s="46">
        <f t="shared" si="64"/>
        <v>6199</v>
      </c>
      <c r="R2106" s="69">
        <f t="shared" si="65"/>
        <v>5269.15</v>
      </c>
      <c r="S2106" s="30"/>
      <c r="T2106" s="30"/>
    </row>
    <row r="2107" spans="1:20" ht="45" customHeight="1" x14ac:dyDescent="0.3">
      <c r="A2107" s="31">
        <v>2095</v>
      </c>
      <c r="B2107" s="32" t="s">
        <v>6685</v>
      </c>
      <c r="C2107" s="32" t="s">
        <v>6804</v>
      </c>
      <c r="D2107" s="32" t="s">
        <v>6805</v>
      </c>
      <c r="E2107" s="32">
        <v>2023</v>
      </c>
      <c r="F2107" s="32" t="s">
        <v>18</v>
      </c>
      <c r="G2107" s="32" t="s">
        <v>6877</v>
      </c>
      <c r="H2107" s="32" t="s">
        <v>6876</v>
      </c>
      <c r="I2107" s="32" t="s">
        <v>32</v>
      </c>
      <c r="J2107" s="32">
        <v>6199</v>
      </c>
      <c r="K2107" s="32">
        <v>0</v>
      </c>
      <c r="L2107" s="32">
        <v>0</v>
      </c>
      <c r="M2107" s="32">
        <v>0</v>
      </c>
      <c r="N2107" s="32">
        <v>0</v>
      </c>
      <c r="O2107" s="32">
        <v>0</v>
      </c>
      <c r="P2107" s="32">
        <v>0</v>
      </c>
      <c r="Q2107" s="46">
        <f t="shared" si="64"/>
        <v>6199</v>
      </c>
      <c r="R2107" s="69">
        <f t="shared" si="65"/>
        <v>5269.15</v>
      </c>
      <c r="S2107" s="30"/>
      <c r="T2107" s="30"/>
    </row>
    <row r="2108" spans="1:20" ht="45" customHeight="1" x14ac:dyDescent="0.3">
      <c r="A2108" s="36">
        <v>2096</v>
      </c>
      <c r="B2108" s="32" t="s">
        <v>6685</v>
      </c>
      <c r="C2108" s="32" t="s">
        <v>6806</v>
      </c>
      <c r="D2108" s="32" t="s">
        <v>2734</v>
      </c>
      <c r="E2108" s="32">
        <v>2014</v>
      </c>
      <c r="F2108" s="32" t="s">
        <v>18</v>
      </c>
      <c r="G2108" s="32" t="s">
        <v>2794</v>
      </c>
      <c r="H2108" s="32" t="s">
        <v>2834</v>
      </c>
      <c r="I2108" s="32" t="s">
        <v>2860</v>
      </c>
      <c r="J2108" s="32">
        <v>6199</v>
      </c>
      <c r="K2108" s="32">
        <v>0</v>
      </c>
      <c r="L2108" s="32">
        <v>0</v>
      </c>
      <c r="M2108" s="32">
        <v>0</v>
      </c>
      <c r="N2108" s="32">
        <v>0</v>
      </c>
      <c r="O2108" s="32">
        <v>0</v>
      </c>
      <c r="P2108" s="32">
        <v>0</v>
      </c>
      <c r="Q2108" s="46">
        <f t="shared" si="64"/>
        <v>6199</v>
      </c>
      <c r="R2108" s="69">
        <f t="shared" si="65"/>
        <v>5269.15</v>
      </c>
      <c r="S2108" s="30"/>
      <c r="T2108" s="30"/>
    </row>
    <row r="2109" spans="1:20" ht="45" customHeight="1" x14ac:dyDescent="0.3">
      <c r="A2109" s="31">
        <v>2097</v>
      </c>
      <c r="B2109" s="32" t="s">
        <v>6685</v>
      </c>
      <c r="C2109" s="32" t="s">
        <v>6807</v>
      </c>
      <c r="D2109" s="32" t="s">
        <v>3185</v>
      </c>
      <c r="E2109" s="32">
        <v>1983</v>
      </c>
      <c r="F2109" s="32" t="s">
        <v>18</v>
      </c>
      <c r="G2109" s="32" t="s">
        <v>3258</v>
      </c>
      <c r="H2109" s="32" t="s">
        <v>3258</v>
      </c>
      <c r="I2109" s="32" t="s">
        <v>565</v>
      </c>
      <c r="J2109" s="32">
        <v>6199</v>
      </c>
      <c r="K2109" s="32">
        <f>6278+4484+2332+2332+2332+2332+3000+3000+3228+2332+2332+2332+6995</f>
        <v>43309</v>
      </c>
      <c r="L2109" s="32">
        <v>0</v>
      </c>
      <c r="M2109" s="32">
        <v>0</v>
      </c>
      <c r="N2109" s="32">
        <v>1793</v>
      </c>
      <c r="O2109" s="32">
        <v>0</v>
      </c>
      <c r="P2109" s="32">
        <v>0</v>
      </c>
      <c r="Q2109" s="46">
        <f t="shared" si="64"/>
        <v>51301</v>
      </c>
      <c r="R2109" s="69">
        <f t="shared" si="65"/>
        <v>43605.85</v>
      </c>
      <c r="S2109" s="30"/>
      <c r="T2109" s="30"/>
    </row>
    <row r="2110" spans="1:20" ht="45" customHeight="1" x14ac:dyDescent="0.3">
      <c r="A2110" s="31">
        <v>2098</v>
      </c>
      <c r="B2110" s="32" t="s">
        <v>6685</v>
      </c>
      <c r="C2110" s="32" t="s">
        <v>6808</v>
      </c>
      <c r="D2110" s="32" t="s">
        <v>6809</v>
      </c>
      <c r="E2110" s="32">
        <v>2023</v>
      </c>
      <c r="F2110" s="32" t="s">
        <v>19</v>
      </c>
      <c r="G2110" s="32" t="s">
        <v>6878</v>
      </c>
      <c r="H2110" s="32" t="s">
        <v>6911</v>
      </c>
      <c r="I2110" s="32" t="s">
        <v>5956</v>
      </c>
      <c r="J2110" s="32">
        <v>6199</v>
      </c>
      <c r="K2110" s="32">
        <v>0</v>
      </c>
      <c r="L2110" s="32">
        <v>0</v>
      </c>
      <c r="M2110" s="32">
        <v>0</v>
      </c>
      <c r="N2110" s="32">
        <v>0</v>
      </c>
      <c r="O2110" s="32">
        <v>0</v>
      </c>
      <c r="P2110" s="32">
        <v>0</v>
      </c>
      <c r="Q2110" s="46">
        <f t="shared" si="64"/>
        <v>6199</v>
      </c>
      <c r="R2110" s="69">
        <f t="shared" si="65"/>
        <v>5269.15</v>
      </c>
      <c r="S2110" s="30"/>
      <c r="T2110" s="30"/>
    </row>
    <row r="2111" spans="1:20" ht="45" customHeight="1" x14ac:dyDescent="0.3">
      <c r="A2111" s="36">
        <v>2099</v>
      </c>
      <c r="B2111" s="32" t="s">
        <v>6685</v>
      </c>
      <c r="C2111" s="32" t="s">
        <v>6810</v>
      </c>
      <c r="D2111" s="32" t="s">
        <v>6811</v>
      </c>
      <c r="E2111" s="32">
        <v>2022</v>
      </c>
      <c r="F2111" s="32" t="s">
        <v>18</v>
      </c>
      <c r="G2111" s="32" t="s">
        <v>6879</v>
      </c>
      <c r="H2111" s="32" t="s">
        <v>6912</v>
      </c>
      <c r="I2111" s="32" t="s">
        <v>1280</v>
      </c>
      <c r="J2111" s="32">
        <v>6199</v>
      </c>
      <c r="K2111" s="32">
        <f>6278+4484+2332+1346+2332+2332+2332+2332+6995+6995+2332+6995+4484+2332</f>
        <v>53901</v>
      </c>
      <c r="L2111" s="32">
        <v>0</v>
      </c>
      <c r="M2111" s="32">
        <v>0</v>
      </c>
      <c r="N2111" s="32">
        <v>3148</v>
      </c>
      <c r="O2111" s="32">
        <v>0</v>
      </c>
      <c r="P2111" s="32">
        <v>0</v>
      </c>
      <c r="Q2111" s="46">
        <f t="shared" si="64"/>
        <v>63248</v>
      </c>
      <c r="R2111" s="69">
        <f t="shared" si="65"/>
        <v>53760.800000000003</v>
      </c>
      <c r="S2111" s="30"/>
      <c r="T2111" s="30"/>
    </row>
    <row r="2112" spans="1:20" ht="45" customHeight="1" x14ac:dyDescent="0.3">
      <c r="A2112" s="31">
        <v>2100</v>
      </c>
      <c r="B2112" s="32" t="s">
        <v>6685</v>
      </c>
      <c r="C2112" s="32" t="s">
        <v>6810</v>
      </c>
      <c r="D2112" s="32" t="s">
        <v>6811</v>
      </c>
      <c r="E2112" s="32">
        <v>2022</v>
      </c>
      <c r="F2112" s="32" t="s">
        <v>18</v>
      </c>
      <c r="G2112" s="32" t="s">
        <v>6879</v>
      </c>
      <c r="H2112" s="32" t="s">
        <v>6912</v>
      </c>
      <c r="I2112" s="32" t="s">
        <v>1280</v>
      </c>
      <c r="J2112" s="32">
        <v>0</v>
      </c>
      <c r="K2112" s="32">
        <v>0</v>
      </c>
      <c r="L2112" s="32">
        <v>0</v>
      </c>
      <c r="M2112" s="32">
        <v>0</v>
      </c>
      <c r="N2112" s="32">
        <f>1178+2088+4053</f>
        <v>7319</v>
      </c>
      <c r="O2112" s="32">
        <v>0</v>
      </c>
      <c r="P2112" s="32">
        <f>360+56+720+1080+1200</f>
        <v>3416</v>
      </c>
      <c r="Q2112" s="46">
        <f t="shared" si="64"/>
        <v>10735</v>
      </c>
      <c r="R2112" s="69">
        <f t="shared" si="65"/>
        <v>9124.75</v>
      </c>
      <c r="S2112" s="30"/>
      <c r="T2112" s="30"/>
    </row>
    <row r="2113" spans="1:20" ht="45" customHeight="1" x14ac:dyDescent="0.3">
      <c r="A2113" s="31">
        <v>2101</v>
      </c>
      <c r="B2113" s="32" t="s">
        <v>6685</v>
      </c>
      <c r="C2113" s="32" t="s">
        <v>6810</v>
      </c>
      <c r="D2113" s="32" t="s">
        <v>6811</v>
      </c>
      <c r="E2113" s="32">
        <v>2022</v>
      </c>
      <c r="F2113" s="32" t="s">
        <v>18</v>
      </c>
      <c r="G2113" s="32" t="s">
        <v>6879</v>
      </c>
      <c r="H2113" s="32" t="s">
        <v>6912</v>
      </c>
      <c r="I2113" s="32" t="s">
        <v>1280</v>
      </c>
      <c r="J2113" s="32"/>
      <c r="K2113" s="32">
        <v>0</v>
      </c>
      <c r="L2113" s="32">
        <v>0</v>
      </c>
      <c r="M2113" s="32">
        <v>17688</v>
      </c>
      <c r="N2113" s="32">
        <v>0</v>
      </c>
      <c r="O2113" s="32">
        <v>0</v>
      </c>
      <c r="P2113" s="32">
        <v>0</v>
      </c>
      <c r="Q2113" s="46">
        <f t="shared" si="64"/>
        <v>17688</v>
      </c>
      <c r="R2113" s="69">
        <f t="shared" si="65"/>
        <v>15034.8</v>
      </c>
      <c r="S2113" s="30"/>
      <c r="T2113" s="30"/>
    </row>
    <row r="2114" spans="1:20" ht="45" customHeight="1" x14ac:dyDescent="0.3">
      <c r="A2114" s="36">
        <v>2102</v>
      </c>
      <c r="B2114" s="32" t="s">
        <v>6685</v>
      </c>
      <c r="C2114" s="32" t="s">
        <v>6812</v>
      </c>
      <c r="D2114" s="32" t="s">
        <v>4645</v>
      </c>
      <c r="E2114" s="32">
        <v>2023</v>
      </c>
      <c r="F2114" s="32" t="s">
        <v>19</v>
      </c>
      <c r="G2114" s="32" t="s">
        <v>4777</v>
      </c>
      <c r="H2114" s="32" t="s">
        <v>4833</v>
      </c>
      <c r="I2114" s="32" t="s">
        <v>4863</v>
      </c>
      <c r="J2114" s="32">
        <v>3793</v>
      </c>
      <c r="K2114" s="32">
        <v>0</v>
      </c>
      <c r="L2114" s="32">
        <v>0</v>
      </c>
      <c r="M2114" s="32">
        <v>0</v>
      </c>
      <c r="N2114" s="32">
        <v>0</v>
      </c>
      <c r="O2114" s="32">
        <v>0</v>
      </c>
      <c r="P2114" s="32">
        <v>0</v>
      </c>
      <c r="Q2114" s="46">
        <f t="shared" si="64"/>
        <v>3793</v>
      </c>
      <c r="R2114" s="69">
        <f t="shared" si="65"/>
        <v>3224.05</v>
      </c>
      <c r="S2114" s="30"/>
      <c r="T2114" s="30"/>
    </row>
    <row r="2115" spans="1:20" ht="45" customHeight="1" x14ac:dyDescent="0.3">
      <c r="A2115" s="31">
        <v>2103</v>
      </c>
      <c r="B2115" s="32" t="s">
        <v>6685</v>
      </c>
      <c r="C2115" s="32" t="s">
        <v>6813</v>
      </c>
      <c r="D2115" s="32" t="s">
        <v>6814</v>
      </c>
      <c r="E2115" s="32">
        <v>2021</v>
      </c>
      <c r="F2115" s="32" t="s">
        <v>19</v>
      </c>
      <c r="G2115" s="32" t="s">
        <v>6880</v>
      </c>
      <c r="H2115" s="32" t="s">
        <v>6913</v>
      </c>
      <c r="I2115" s="32" t="s">
        <v>1280</v>
      </c>
      <c r="J2115" s="32">
        <v>6199</v>
      </c>
      <c r="K2115" s="32">
        <v>0</v>
      </c>
      <c r="L2115" s="32">
        <v>0</v>
      </c>
      <c r="M2115" s="32">
        <v>0</v>
      </c>
      <c r="N2115" s="32">
        <v>0</v>
      </c>
      <c r="O2115" s="32">
        <v>0</v>
      </c>
      <c r="P2115" s="32">
        <v>0</v>
      </c>
      <c r="Q2115" s="46">
        <f t="shared" si="64"/>
        <v>6199</v>
      </c>
      <c r="R2115" s="69">
        <f t="shared" si="65"/>
        <v>5269.15</v>
      </c>
      <c r="S2115" s="30"/>
      <c r="T2115" s="30"/>
    </row>
    <row r="2116" spans="1:20" ht="45" customHeight="1" x14ac:dyDescent="0.3">
      <c r="A2116" s="31">
        <v>2104</v>
      </c>
      <c r="B2116" s="32" t="s">
        <v>6685</v>
      </c>
      <c r="C2116" s="32" t="s">
        <v>6815</v>
      </c>
      <c r="D2116" s="32" t="s">
        <v>6816</v>
      </c>
      <c r="E2116" s="32">
        <v>2024</v>
      </c>
      <c r="F2116" s="32" t="s">
        <v>18</v>
      </c>
      <c r="G2116" s="32" t="s">
        <v>6881</v>
      </c>
      <c r="H2116" s="32" t="s">
        <v>6914</v>
      </c>
      <c r="I2116" s="32" t="s">
        <v>2466</v>
      </c>
      <c r="J2116" s="32">
        <v>6199</v>
      </c>
      <c r="K2116" s="32">
        <f>6278+4484+2332+1346+2332+2332+2332+2332+6995+6995+6995+2332+2332+4484</f>
        <v>53901</v>
      </c>
      <c r="L2116" s="32">
        <v>0</v>
      </c>
      <c r="M2116" s="32">
        <v>0</v>
      </c>
      <c r="N2116" s="32">
        <v>3148</v>
      </c>
      <c r="O2116" s="32">
        <v>0</v>
      </c>
      <c r="P2116" s="32">
        <v>0</v>
      </c>
      <c r="Q2116" s="46">
        <f t="shared" si="64"/>
        <v>63248</v>
      </c>
      <c r="R2116" s="69">
        <f t="shared" si="65"/>
        <v>53760.800000000003</v>
      </c>
      <c r="S2116" s="30"/>
      <c r="T2116" s="30"/>
    </row>
    <row r="2117" spans="1:20" ht="45" customHeight="1" x14ac:dyDescent="0.3">
      <c r="A2117" s="36">
        <v>2105</v>
      </c>
      <c r="B2117" s="32" t="s">
        <v>6685</v>
      </c>
      <c r="C2117" s="32" t="s">
        <v>6815</v>
      </c>
      <c r="D2117" s="32" t="s">
        <v>6816</v>
      </c>
      <c r="E2117" s="32">
        <v>2024</v>
      </c>
      <c r="F2117" s="32" t="s">
        <v>18</v>
      </c>
      <c r="G2117" s="32" t="s">
        <v>6881</v>
      </c>
      <c r="H2117" s="32" t="s">
        <v>6914</v>
      </c>
      <c r="I2117" s="32" t="s">
        <v>2466</v>
      </c>
      <c r="J2117" s="32">
        <v>0</v>
      </c>
      <c r="K2117" s="32">
        <v>0</v>
      </c>
      <c r="L2117" s="32">
        <v>0</v>
      </c>
      <c r="M2117" s="32">
        <v>0</v>
      </c>
      <c r="N2117" s="32">
        <f>1178+2088+4053</f>
        <v>7319</v>
      </c>
      <c r="O2117" s="32">
        <v>0</v>
      </c>
      <c r="P2117" s="32">
        <f>720+1080+360+56</f>
        <v>2216</v>
      </c>
      <c r="Q2117" s="46">
        <f t="shared" si="64"/>
        <v>9535</v>
      </c>
      <c r="R2117" s="69">
        <f t="shared" si="65"/>
        <v>8104.75</v>
      </c>
      <c r="S2117" s="30"/>
      <c r="T2117" s="30"/>
    </row>
    <row r="2118" spans="1:20" ht="45" customHeight="1" x14ac:dyDescent="0.3">
      <c r="A2118" s="31">
        <v>2106</v>
      </c>
      <c r="B2118" s="32" t="s">
        <v>6685</v>
      </c>
      <c r="C2118" s="32" t="s">
        <v>6815</v>
      </c>
      <c r="D2118" s="32" t="s">
        <v>6816</v>
      </c>
      <c r="E2118" s="32">
        <v>2024</v>
      </c>
      <c r="F2118" s="32" t="s">
        <v>18</v>
      </c>
      <c r="G2118" s="32" t="s">
        <v>6881</v>
      </c>
      <c r="H2118" s="32" t="s">
        <v>6914</v>
      </c>
      <c r="I2118" s="32" t="s">
        <v>2466</v>
      </c>
      <c r="J2118" s="32">
        <v>0</v>
      </c>
      <c r="K2118" s="32">
        <v>0</v>
      </c>
      <c r="L2118" s="32">
        <v>0</v>
      </c>
      <c r="M2118" s="32">
        <v>17688</v>
      </c>
      <c r="N2118" s="32">
        <v>0</v>
      </c>
      <c r="O2118" s="32">
        <v>0</v>
      </c>
      <c r="P2118" s="32">
        <v>0</v>
      </c>
      <c r="Q2118" s="46">
        <f t="shared" si="64"/>
        <v>17688</v>
      </c>
      <c r="R2118" s="69">
        <f t="shared" si="65"/>
        <v>15034.8</v>
      </c>
      <c r="S2118" s="30"/>
      <c r="T2118" s="30"/>
    </row>
    <row r="2119" spans="1:20" ht="45" customHeight="1" x14ac:dyDescent="0.3">
      <c r="A2119" s="31">
        <v>2107</v>
      </c>
      <c r="B2119" s="32" t="s">
        <v>6685</v>
      </c>
      <c r="C2119" s="32" t="s">
        <v>6817</v>
      </c>
      <c r="D2119" s="32" t="s">
        <v>6818</v>
      </c>
      <c r="E2119" s="32">
        <v>1997</v>
      </c>
      <c r="F2119" s="32" t="s">
        <v>18</v>
      </c>
      <c r="G2119" s="32" t="s">
        <v>6882</v>
      </c>
      <c r="H2119" s="32" t="s">
        <v>6882</v>
      </c>
      <c r="I2119" s="32" t="s">
        <v>6939</v>
      </c>
      <c r="J2119" s="32">
        <v>6199</v>
      </c>
      <c r="K2119" s="32">
        <f>2332+2332+2243</f>
        <v>6907</v>
      </c>
      <c r="L2119" s="32">
        <v>0</v>
      </c>
      <c r="M2119" s="32">
        <v>0</v>
      </c>
      <c r="N2119" s="32">
        <v>0</v>
      </c>
      <c r="O2119" s="32">
        <v>0</v>
      </c>
      <c r="P2119" s="32">
        <v>0</v>
      </c>
      <c r="Q2119" s="46">
        <f t="shared" si="64"/>
        <v>13106</v>
      </c>
      <c r="R2119" s="69">
        <f t="shared" si="65"/>
        <v>11140.1</v>
      </c>
      <c r="S2119" s="30"/>
      <c r="T2119" s="30"/>
    </row>
    <row r="2120" spans="1:20" ht="45" customHeight="1" x14ac:dyDescent="0.3">
      <c r="A2120" s="36">
        <v>2108</v>
      </c>
      <c r="B2120" s="32" t="s">
        <v>6685</v>
      </c>
      <c r="C2120" s="32" t="s">
        <v>6819</v>
      </c>
      <c r="D2120" s="32" t="s">
        <v>4527</v>
      </c>
      <c r="E2120" s="32">
        <v>2025</v>
      </c>
      <c r="F2120" s="32" t="s">
        <v>18</v>
      </c>
      <c r="G2120" s="32" t="s">
        <v>4578</v>
      </c>
      <c r="H2120" s="32" t="s">
        <v>4609</v>
      </c>
      <c r="I2120" s="32" t="s">
        <v>576</v>
      </c>
      <c r="J2120" s="32">
        <v>3793</v>
      </c>
      <c r="K2120" s="32">
        <v>0</v>
      </c>
      <c r="L2120" s="32">
        <v>0</v>
      </c>
      <c r="M2120" s="32">
        <v>0</v>
      </c>
      <c r="N2120" s="32">
        <v>0</v>
      </c>
      <c r="O2120" s="32">
        <v>0</v>
      </c>
      <c r="P2120" s="32">
        <v>0</v>
      </c>
      <c r="Q2120" s="46">
        <f t="shared" si="64"/>
        <v>3793</v>
      </c>
      <c r="R2120" s="69">
        <f t="shared" si="65"/>
        <v>3224.05</v>
      </c>
      <c r="S2120" s="30"/>
      <c r="T2120" s="30"/>
    </row>
    <row r="2121" spans="1:20" ht="45" customHeight="1" x14ac:dyDescent="0.3">
      <c r="A2121" s="31">
        <v>2109</v>
      </c>
      <c r="B2121" s="32" t="s">
        <v>6685</v>
      </c>
      <c r="C2121" s="32" t="s">
        <v>6820</v>
      </c>
      <c r="D2121" s="32" t="s">
        <v>6821</v>
      </c>
      <c r="E2121" s="32">
        <v>2025</v>
      </c>
      <c r="F2121" s="32" t="s">
        <v>19</v>
      </c>
      <c r="G2121" s="32" t="s">
        <v>6883</v>
      </c>
      <c r="H2121" s="32" t="s">
        <v>6915</v>
      </c>
      <c r="I2121" s="32" t="s">
        <v>6940</v>
      </c>
      <c r="J2121" s="32">
        <v>6199</v>
      </c>
      <c r="K2121" s="32">
        <v>0</v>
      </c>
      <c r="L2121" s="32">
        <v>0</v>
      </c>
      <c r="M2121" s="32">
        <v>0</v>
      </c>
      <c r="N2121" s="32">
        <v>0</v>
      </c>
      <c r="O2121" s="32">
        <v>0</v>
      </c>
      <c r="P2121" s="32">
        <v>0</v>
      </c>
      <c r="Q2121" s="46">
        <f t="shared" si="64"/>
        <v>6199</v>
      </c>
      <c r="R2121" s="69">
        <f t="shared" si="65"/>
        <v>5269.15</v>
      </c>
      <c r="S2121" s="30"/>
      <c r="T2121" s="30"/>
    </row>
    <row r="2122" spans="1:20" ht="45" customHeight="1" x14ac:dyDescent="0.3">
      <c r="A2122" s="31">
        <v>2110</v>
      </c>
      <c r="B2122" s="32" t="s">
        <v>6685</v>
      </c>
      <c r="C2122" s="32" t="s">
        <v>6822</v>
      </c>
      <c r="D2122" s="32" t="s">
        <v>6823</v>
      </c>
      <c r="E2122" s="32">
        <v>1990</v>
      </c>
      <c r="F2122" s="32" t="s">
        <v>18</v>
      </c>
      <c r="G2122" s="32" t="s">
        <v>798</v>
      </c>
      <c r="H2122" s="32" t="s">
        <v>798</v>
      </c>
      <c r="I2122" s="32" t="s">
        <v>835</v>
      </c>
      <c r="J2122" s="32">
        <v>6199</v>
      </c>
      <c r="K2122" s="32">
        <v>0</v>
      </c>
      <c r="L2122" s="32">
        <v>0</v>
      </c>
      <c r="M2122" s="32">
        <v>0</v>
      </c>
      <c r="N2122" s="32">
        <v>0</v>
      </c>
      <c r="O2122" s="32">
        <v>0</v>
      </c>
      <c r="P2122" s="32">
        <v>0</v>
      </c>
      <c r="Q2122" s="46">
        <f t="shared" si="64"/>
        <v>6199</v>
      </c>
      <c r="R2122" s="69">
        <f t="shared" si="65"/>
        <v>5269.15</v>
      </c>
      <c r="S2122" s="30"/>
      <c r="T2122" s="30"/>
    </row>
    <row r="2123" spans="1:20" ht="45" customHeight="1" x14ac:dyDescent="0.3">
      <c r="A2123" s="36">
        <v>2111</v>
      </c>
      <c r="B2123" s="32" t="s">
        <v>6685</v>
      </c>
      <c r="C2123" s="32" t="s">
        <v>6824</v>
      </c>
      <c r="D2123" s="32" t="s">
        <v>6825</v>
      </c>
      <c r="E2123" s="32">
        <v>2018</v>
      </c>
      <c r="F2123" s="32" t="s">
        <v>18</v>
      </c>
      <c r="G2123" s="32" t="s">
        <v>6884</v>
      </c>
      <c r="H2123" s="32" t="s">
        <v>6916</v>
      </c>
      <c r="I2123" s="32" t="s">
        <v>6941</v>
      </c>
      <c r="J2123" s="32">
        <v>6199</v>
      </c>
      <c r="K2123" s="32">
        <v>0</v>
      </c>
      <c r="L2123" s="32">
        <v>0</v>
      </c>
      <c r="M2123" s="32">
        <v>0</v>
      </c>
      <c r="N2123" s="32">
        <v>0</v>
      </c>
      <c r="O2123" s="32">
        <v>0</v>
      </c>
      <c r="P2123" s="32">
        <v>0</v>
      </c>
      <c r="Q2123" s="46">
        <f t="shared" si="64"/>
        <v>6199</v>
      </c>
      <c r="R2123" s="69">
        <f t="shared" si="65"/>
        <v>5269.15</v>
      </c>
      <c r="S2123" s="30"/>
      <c r="T2123" s="30"/>
    </row>
    <row r="2124" spans="1:20" ht="45" customHeight="1" x14ac:dyDescent="0.3">
      <c r="A2124" s="31">
        <v>2112</v>
      </c>
      <c r="B2124" s="32" t="s">
        <v>6685</v>
      </c>
      <c r="C2124" s="32" t="s">
        <v>7320</v>
      </c>
      <c r="D2124" s="34" t="s">
        <v>2000</v>
      </c>
      <c r="E2124" s="32">
        <v>1994</v>
      </c>
      <c r="F2124" s="32" t="s">
        <v>19</v>
      </c>
      <c r="G2124" s="32" t="s">
        <v>2070</v>
      </c>
      <c r="H2124" s="32" t="s">
        <v>5915</v>
      </c>
      <c r="I2124" s="32" t="s">
        <v>2136</v>
      </c>
      <c r="J2124" s="32">
        <v>6199</v>
      </c>
      <c r="K2124" s="32">
        <f>6278+4484+2332+1346+2332+2332+1346+2332+2332+2332+2332+6995+6995+2332</f>
        <v>46100</v>
      </c>
      <c r="L2124" s="32">
        <v>0</v>
      </c>
      <c r="M2124" s="32">
        <v>0</v>
      </c>
      <c r="N2124" s="32">
        <f>1793+1178+3179</f>
        <v>6150</v>
      </c>
      <c r="O2124" s="32">
        <v>0</v>
      </c>
      <c r="P2124" s="32">
        <f>1440+1320+374+1200</f>
        <v>4334</v>
      </c>
      <c r="Q2124" s="46">
        <f t="shared" si="64"/>
        <v>62783</v>
      </c>
      <c r="R2124" s="69">
        <f t="shared" si="65"/>
        <v>53365.55</v>
      </c>
      <c r="S2124" s="30"/>
      <c r="T2124" s="30"/>
    </row>
    <row r="2125" spans="1:20" ht="45" customHeight="1" x14ac:dyDescent="0.3">
      <c r="A2125" s="31">
        <v>2113</v>
      </c>
      <c r="B2125" s="32" t="s">
        <v>6685</v>
      </c>
      <c r="C2125" s="32" t="s">
        <v>7320</v>
      </c>
      <c r="D2125" s="34" t="s">
        <v>2000</v>
      </c>
      <c r="E2125" s="32">
        <v>1994</v>
      </c>
      <c r="F2125" s="32" t="s">
        <v>19</v>
      </c>
      <c r="G2125" s="32" t="s">
        <v>2070</v>
      </c>
      <c r="H2125" s="32" t="s">
        <v>5915</v>
      </c>
      <c r="I2125" s="32" t="s">
        <v>2136</v>
      </c>
      <c r="J2125" s="32">
        <v>0</v>
      </c>
      <c r="K2125" s="32">
        <v>0</v>
      </c>
      <c r="L2125" s="32">
        <v>0</v>
      </c>
      <c r="M2125" s="32">
        <v>17688</v>
      </c>
      <c r="N2125" s="32">
        <v>1681</v>
      </c>
      <c r="O2125" s="32">
        <v>0</v>
      </c>
      <c r="P2125" s="32">
        <f>312+56</f>
        <v>368</v>
      </c>
      <c r="Q2125" s="46">
        <f t="shared" ref="Q2125:Q2188" si="66">SUM(J2125:P2125)</f>
        <v>19737</v>
      </c>
      <c r="R2125" s="69">
        <f t="shared" si="65"/>
        <v>16776.45</v>
      </c>
      <c r="S2125" s="30"/>
      <c r="T2125" s="30"/>
    </row>
    <row r="2126" spans="1:20" ht="45" customHeight="1" x14ac:dyDescent="0.3">
      <c r="A2126" s="36">
        <v>2114</v>
      </c>
      <c r="B2126" s="32" t="s">
        <v>6685</v>
      </c>
      <c r="C2126" s="32" t="s">
        <v>7321</v>
      </c>
      <c r="D2126" s="34" t="s">
        <v>6480</v>
      </c>
      <c r="E2126" s="32">
        <v>2022</v>
      </c>
      <c r="F2126" s="32" t="s">
        <v>19</v>
      </c>
      <c r="G2126" s="32" t="s">
        <v>6588</v>
      </c>
      <c r="H2126" s="32" t="s">
        <v>6640</v>
      </c>
      <c r="I2126" s="32" t="s">
        <v>2622</v>
      </c>
      <c r="J2126" s="32">
        <v>2900</v>
      </c>
      <c r="K2126" s="32">
        <v>0</v>
      </c>
      <c r="L2126" s="32">
        <v>0</v>
      </c>
      <c r="M2126" s="32">
        <v>17688</v>
      </c>
      <c r="N2126" s="32">
        <v>2088</v>
      </c>
      <c r="O2126" s="32">
        <v>0</v>
      </c>
      <c r="P2126" s="32">
        <f>1080+168+60</f>
        <v>1308</v>
      </c>
      <c r="Q2126" s="46">
        <f t="shared" si="66"/>
        <v>23984</v>
      </c>
      <c r="R2126" s="69">
        <f t="shared" ref="R2126:R2189" si="67">Q2126*85/100</f>
        <v>20386.400000000001</v>
      </c>
      <c r="S2126" s="30"/>
      <c r="T2126" s="30"/>
    </row>
    <row r="2127" spans="1:20" ht="45" customHeight="1" x14ac:dyDescent="0.3">
      <c r="A2127" s="31">
        <v>2115</v>
      </c>
      <c r="B2127" s="32" t="s">
        <v>6685</v>
      </c>
      <c r="C2127" s="32" t="s">
        <v>7322</v>
      </c>
      <c r="D2127" s="34" t="s">
        <v>6942</v>
      </c>
      <c r="E2127" s="32">
        <v>2024</v>
      </c>
      <c r="F2127" s="32" t="s">
        <v>18</v>
      </c>
      <c r="G2127" s="32" t="s">
        <v>6944</v>
      </c>
      <c r="H2127" s="32" t="s">
        <v>3466</v>
      </c>
      <c r="I2127" s="32" t="s">
        <v>4208</v>
      </c>
      <c r="J2127" s="32">
        <v>2900</v>
      </c>
      <c r="K2127" s="32">
        <v>0</v>
      </c>
      <c r="L2127" s="32">
        <v>0</v>
      </c>
      <c r="M2127" s="32">
        <v>0</v>
      </c>
      <c r="N2127" s="32">
        <v>1681</v>
      </c>
      <c r="O2127" s="32">
        <v>0</v>
      </c>
      <c r="P2127" s="32">
        <f>360+56</f>
        <v>416</v>
      </c>
      <c r="Q2127" s="46">
        <f t="shared" si="66"/>
        <v>4997</v>
      </c>
      <c r="R2127" s="69">
        <f t="shared" si="67"/>
        <v>4247.45</v>
      </c>
      <c r="S2127" s="30"/>
      <c r="T2127" s="30"/>
    </row>
    <row r="2128" spans="1:20" ht="45" customHeight="1" x14ac:dyDescent="0.3">
      <c r="A2128" s="31">
        <v>2116</v>
      </c>
      <c r="B2128" s="32" t="s">
        <v>6685</v>
      </c>
      <c r="C2128" s="32" t="s">
        <v>7323</v>
      </c>
      <c r="D2128" s="34" t="s">
        <v>5850</v>
      </c>
      <c r="E2128" s="32">
        <v>2024</v>
      </c>
      <c r="F2128" s="32" t="s">
        <v>19</v>
      </c>
      <c r="G2128" s="32" t="s">
        <v>5898</v>
      </c>
      <c r="H2128" s="32" t="s">
        <v>5937</v>
      </c>
      <c r="I2128" s="32" t="s">
        <v>3675</v>
      </c>
      <c r="J2128" s="32">
        <v>2900</v>
      </c>
      <c r="K2128" s="32">
        <v>0</v>
      </c>
      <c r="L2128" s="32">
        <v>0</v>
      </c>
      <c r="M2128" s="32">
        <v>17688</v>
      </c>
      <c r="N2128" s="32">
        <v>2088</v>
      </c>
      <c r="O2128" s="32">
        <v>0</v>
      </c>
      <c r="P2128" s="32">
        <f>1080+168</f>
        <v>1248</v>
      </c>
      <c r="Q2128" s="46">
        <f t="shared" si="66"/>
        <v>23924</v>
      </c>
      <c r="R2128" s="69">
        <f t="shared" si="67"/>
        <v>20335.400000000001</v>
      </c>
      <c r="S2128" s="30"/>
      <c r="T2128" s="30"/>
    </row>
    <row r="2129" spans="1:20" ht="45" customHeight="1" x14ac:dyDescent="0.3">
      <c r="A2129" s="36">
        <v>2117</v>
      </c>
      <c r="B2129" s="32" t="s">
        <v>6685</v>
      </c>
      <c r="C2129" s="32" t="s">
        <v>7324</v>
      </c>
      <c r="D2129" s="34" t="s">
        <v>4911</v>
      </c>
      <c r="E2129" s="32">
        <v>2024</v>
      </c>
      <c r="F2129" s="32" t="s">
        <v>18</v>
      </c>
      <c r="G2129" s="32" t="s">
        <v>5029</v>
      </c>
      <c r="H2129" s="32" t="s">
        <v>1044</v>
      </c>
      <c r="I2129" s="32" t="s">
        <v>5128</v>
      </c>
      <c r="J2129" s="32">
        <v>2900</v>
      </c>
      <c r="K2129" s="32">
        <v>0</v>
      </c>
      <c r="L2129" s="32">
        <v>0</v>
      </c>
      <c r="M2129" s="32">
        <v>17688</v>
      </c>
      <c r="N2129" s="32">
        <v>2088</v>
      </c>
      <c r="O2129" s="32">
        <v>0</v>
      </c>
      <c r="P2129" s="32">
        <f>1440+224</f>
        <v>1664</v>
      </c>
      <c r="Q2129" s="46">
        <f t="shared" si="66"/>
        <v>24340</v>
      </c>
      <c r="R2129" s="69">
        <f t="shared" si="67"/>
        <v>20689</v>
      </c>
      <c r="S2129" s="30"/>
      <c r="T2129" s="30"/>
    </row>
    <row r="2130" spans="1:20" ht="45" customHeight="1" x14ac:dyDescent="0.3">
      <c r="A2130" s="31">
        <v>2118</v>
      </c>
      <c r="B2130" s="32" t="s">
        <v>6685</v>
      </c>
      <c r="C2130" s="32" t="s">
        <v>7325</v>
      </c>
      <c r="D2130" s="34" t="s">
        <v>7174</v>
      </c>
      <c r="E2130" s="32">
        <v>2023</v>
      </c>
      <c r="F2130" s="32" t="s">
        <v>19</v>
      </c>
      <c r="G2130" s="32" t="s">
        <v>7175</v>
      </c>
      <c r="H2130" s="32" t="s">
        <v>6828</v>
      </c>
      <c r="I2130" s="32" t="s">
        <v>1702</v>
      </c>
      <c r="J2130" s="32">
        <v>2900</v>
      </c>
      <c r="K2130" s="32">
        <v>0</v>
      </c>
      <c r="L2130" s="32">
        <v>0</v>
      </c>
      <c r="M2130" s="32">
        <v>0</v>
      </c>
      <c r="N2130" s="32">
        <v>1681</v>
      </c>
      <c r="O2130" s="32">
        <v>0</v>
      </c>
      <c r="P2130" s="32">
        <f>720+112</f>
        <v>832</v>
      </c>
      <c r="Q2130" s="46">
        <f t="shared" si="66"/>
        <v>5413</v>
      </c>
      <c r="R2130" s="69">
        <f t="shared" si="67"/>
        <v>4601.05</v>
      </c>
      <c r="S2130" s="30"/>
      <c r="T2130" s="30"/>
    </row>
    <row r="2131" spans="1:20" ht="45" customHeight="1" x14ac:dyDescent="0.3">
      <c r="A2131" s="31">
        <v>2119</v>
      </c>
      <c r="B2131" s="32" t="s">
        <v>6948</v>
      </c>
      <c r="C2131" s="32" t="s">
        <v>6949</v>
      </c>
      <c r="D2131" s="32" t="s">
        <v>6950</v>
      </c>
      <c r="E2131" s="32">
        <v>2022</v>
      </c>
      <c r="F2131" s="32" t="s">
        <v>18</v>
      </c>
      <c r="G2131" s="32" t="s">
        <v>7066</v>
      </c>
      <c r="H2131" s="32" t="s">
        <v>7117</v>
      </c>
      <c r="I2131" s="32" t="s">
        <v>1699</v>
      </c>
      <c r="J2131" s="32">
        <v>6199</v>
      </c>
      <c r="K2131" s="32">
        <f>6278+4484+2332+1346+2332+2332+2332+2332+6995+6995+2332+6995+2332+4484</f>
        <v>53901</v>
      </c>
      <c r="L2131" s="32">
        <v>0</v>
      </c>
      <c r="M2131" s="32">
        <v>0</v>
      </c>
      <c r="N2131" s="32">
        <v>3148</v>
      </c>
      <c r="O2131" s="32">
        <v>0</v>
      </c>
      <c r="P2131" s="32">
        <v>0</v>
      </c>
      <c r="Q2131" s="46">
        <f t="shared" si="66"/>
        <v>63248</v>
      </c>
      <c r="R2131" s="69">
        <f t="shared" si="67"/>
        <v>53760.800000000003</v>
      </c>
      <c r="S2131" s="30"/>
      <c r="T2131" s="30"/>
    </row>
    <row r="2132" spans="1:20" ht="45" customHeight="1" x14ac:dyDescent="0.3">
      <c r="A2132" s="36">
        <v>2120</v>
      </c>
      <c r="B2132" s="32" t="s">
        <v>6948</v>
      </c>
      <c r="C2132" s="32" t="s">
        <v>6951</v>
      </c>
      <c r="D2132" s="32" t="s">
        <v>6952</v>
      </c>
      <c r="E2132" s="32">
        <v>1975</v>
      </c>
      <c r="F2132" s="32" t="s">
        <v>18</v>
      </c>
      <c r="G2132" s="32" t="s">
        <v>7067</v>
      </c>
      <c r="H2132" s="32" t="s">
        <v>7067</v>
      </c>
      <c r="I2132" s="32" t="s">
        <v>3683</v>
      </c>
      <c r="J2132" s="32">
        <v>6199</v>
      </c>
      <c r="K2132" s="32">
        <v>0</v>
      </c>
      <c r="L2132" s="32">
        <v>0</v>
      </c>
      <c r="M2132" s="32">
        <v>0</v>
      </c>
      <c r="N2132" s="32">
        <v>0</v>
      </c>
      <c r="O2132" s="32">
        <v>0</v>
      </c>
      <c r="P2132" s="32">
        <v>0</v>
      </c>
      <c r="Q2132" s="46">
        <f t="shared" si="66"/>
        <v>6199</v>
      </c>
      <c r="R2132" s="69">
        <f t="shared" si="67"/>
        <v>5269.15</v>
      </c>
      <c r="S2132" s="30"/>
      <c r="T2132" s="30"/>
    </row>
    <row r="2133" spans="1:20" ht="45" customHeight="1" x14ac:dyDescent="0.3">
      <c r="A2133" s="31">
        <v>2121</v>
      </c>
      <c r="B2133" s="32" t="s">
        <v>6948</v>
      </c>
      <c r="C2133" s="32" t="s">
        <v>6953</v>
      </c>
      <c r="D2133" s="32" t="s">
        <v>6954</v>
      </c>
      <c r="E2133" s="32">
        <v>2020</v>
      </c>
      <c r="F2133" s="32" t="s">
        <v>18</v>
      </c>
      <c r="G2133" s="32" t="s">
        <v>7068</v>
      </c>
      <c r="H2133" s="32" t="s">
        <v>7118</v>
      </c>
      <c r="I2133" s="32" t="s">
        <v>3936</v>
      </c>
      <c r="J2133" s="32">
        <v>6199</v>
      </c>
      <c r="K2133" s="32">
        <f>6278+4484+1346+2332+2332+2332+2332+2332+6995+6995+2332+6995+2332+4484+2801+1166</f>
        <v>57868</v>
      </c>
      <c r="L2133" s="32">
        <v>0</v>
      </c>
      <c r="M2133" s="32">
        <v>0</v>
      </c>
      <c r="N2133" s="32">
        <v>3148</v>
      </c>
      <c r="O2133" s="32">
        <v>0</v>
      </c>
      <c r="P2133" s="32">
        <v>0</v>
      </c>
      <c r="Q2133" s="46">
        <f t="shared" si="66"/>
        <v>67215</v>
      </c>
      <c r="R2133" s="69">
        <f t="shared" si="67"/>
        <v>57132.75</v>
      </c>
      <c r="S2133" s="30"/>
      <c r="T2133" s="30"/>
    </row>
    <row r="2134" spans="1:20" ht="45" customHeight="1" x14ac:dyDescent="0.3">
      <c r="A2134" s="31">
        <v>2122</v>
      </c>
      <c r="B2134" s="32" t="s">
        <v>6948</v>
      </c>
      <c r="C2134" s="32" t="s">
        <v>6955</v>
      </c>
      <c r="D2134" s="32" t="s">
        <v>3185</v>
      </c>
      <c r="E2134" s="32">
        <v>1983</v>
      </c>
      <c r="F2134" s="32" t="s">
        <v>18</v>
      </c>
      <c r="G2134" s="32" t="s">
        <v>3258</v>
      </c>
      <c r="H2134" s="32" t="s">
        <v>3258</v>
      </c>
      <c r="I2134" s="32" t="s">
        <v>565</v>
      </c>
      <c r="J2134" s="32">
        <v>0</v>
      </c>
      <c r="K2134" s="32">
        <v>1346</v>
      </c>
      <c r="L2134" s="32">
        <v>0</v>
      </c>
      <c r="M2134" s="32">
        <v>0</v>
      </c>
      <c r="N2134" s="32">
        <f>1793+3179+1178+1681</f>
        <v>7831</v>
      </c>
      <c r="O2134" s="32">
        <v>0</v>
      </c>
      <c r="P2134" s="32">
        <f>312+56+1200+660+720+120+360</f>
        <v>3428</v>
      </c>
      <c r="Q2134" s="46">
        <f t="shared" si="66"/>
        <v>12605</v>
      </c>
      <c r="R2134" s="69">
        <f t="shared" si="67"/>
        <v>10714.25</v>
      </c>
      <c r="S2134" s="30"/>
      <c r="T2134" s="30"/>
    </row>
    <row r="2135" spans="1:20" ht="45" customHeight="1" x14ac:dyDescent="0.3">
      <c r="A2135" s="36">
        <v>2123</v>
      </c>
      <c r="B2135" s="32" t="s">
        <v>6948</v>
      </c>
      <c r="C2135" s="32" t="s">
        <v>6956</v>
      </c>
      <c r="D2135" s="32" t="s">
        <v>4464</v>
      </c>
      <c r="E2135" s="32">
        <v>1989</v>
      </c>
      <c r="F2135" s="32" t="s">
        <v>18</v>
      </c>
      <c r="G2135" s="32" t="s">
        <v>4548</v>
      </c>
      <c r="H2135" s="32" t="s">
        <v>4590</v>
      </c>
      <c r="I2135" s="32" t="s">
        <v>3102</v>
      </c>
      <c r="J2135" s="32">
        <v>3793</v>
      </c>
      <c r="K2135" s="32">
        <v>0</v>
      </c>
      <c r="L2135" s="32">
        <v>0</v>
      </c>
      <c r="M2135" s="32">
        <v>0</v>
      </c>
      <c r="N2135" s="32">
        <v>0</v>
      </c>
      <c r="O2135" s="32">
        <v>0</v>
      </c>
      <c r="P2135" s="32">
        <v>0</v>
      </c>
      <c r="Q2135" s="46">
        <f t="shared" si="66"/>
        <v>3793</v>
      </c>
      <c r="R2135" s="69">
        <f t="shared" si="67"/>
        <v>3224.05</v>
      </c>
      <c r="S2135" s="30"/>
      <c r="T2135" s="30"/>
    </row>
    <row r="2136" spans="1:20" ht="45" customHeight="1" x14ac:dyDescent="0.3">
      <c r="A2136" s="31">
        <v>2124</v>
      </c>
      <c r="B2136" s="32" t="s">
        <v>6948</v>
      </c>
      <c r="C2136" s="32" t="s">
        <v>6957</v>
      </c>
      <c r="D2136" s="32" t="s">
        <v>6958</v>
      </c>
      <c r="E2136" s="32">
        <v>2025</v>
      </c>
      <c r="F2136" s="32" t="s">
        <v>19</v>
      </c>
      <c r="G2136" s="32" t="s">
        <v>6619</v>
      </c>
      <c r="H2136" s="32" t="s">
        <v>7119</v>
      </c>
      <c r="I2136" s="32" t="s">
        <v>7150</v>
      </c>
      <c r="J2136" s="32">
        <v>6199</v>
      </c>
      <c r="K2136" s="32">
        <v>0</v>
      </c>
      <c r="L2136" s="32">
        <v>0</v>
      </c>
      <c r="M2136" s="32">
        <v>0</v>
      </c>
      <c r="N2136" s="32">
        <v>0</v>
      </c>
      <c r="O2136" s="32">
        <v>0</v>
      </c>
      <c r="P2136" s="32">
        <v>0</v>
      </c>
      <c r="Q2136" s="46">
        <f t="shared" si="66"/>
        <v>6199</v>
      </c>
      <c r="R2136" s="69">
        <f t="shared" si="67"/>
        <v>5269.15</v>
      </c>
      <c r="S2136" s="30"/>
      <c r="T2136" s="30"/>
    </row>
    <row r="2137" spans="1:20" ht="45" customHeight="1" x14ac:dyDescent="0.3">
      <c r="A2137" s="31">
        <v>2125</v>
      </c>
      <c r="B2137" s="32" t="s">
        <v>6948</v>
      </c>
      <c r="C2137" s="32" t="s">
        <v>6959</v>
      </c>
      <c r="D2137" s="32" t="s">
        <v>6960</v>
      </c>
      <c r="E2137" s="32">
        <v>1986</v>
      </c>
      <c r="F2137" s="32" t="s">
        <v>18</v>
      </c>
      <c r="G2137" s="32" t="s">
        <v>7069</v>
      </c>
      <c r="H2137" s="32" t="s">
        <v>7120</v>
      </c>
      <c r="I2137" s="32" t="s">
        <v>7151</v>
      </c>
      <c r="J2137" s="32">
        <v>6199</v>
      </c>
      <c r="K2137" s="32">
        <v>0</v>
      </c>
      <c r="L2137" s="32">
        <v>0</v>
      </c>
      <c r="M2137" s="32">
        <v>0</v>
      </c>
      <c r="N2137" s="32">
        <f>15443+34016+27380</f>
        <v>76839</v>
      </c>
      <c r="O2137" s="32">
        <v>0</v>
      </c>
      <c r="P2137" s="32">
        <v>0</v>
      </c>
      <c r="Q2137" s="46">
        <f t="shared" si="66"/>
        <v>83038</v>
      </c>
      <c r="R2137" s="69">
        <f t="shared" si="67"/>
        <v>70582.3</v>
      </c>
      <c r="S2137" s="30"/>
      <c r="T2137" s="30"/>
    </row>
    <row r="2138" spans="1:20" ht="45" customHeight="1" x14ac:dyDescent="0.3">
      <c r="A2138" s="36">
        <v>2126</v>
      </c>
      <c r="B2138" s="32" t="s">
        <v>6948</v>
      </c>
      <c r="C2138" s="32" t="s">
        <v>6961</v>
      </c>
      <c r="D2138" s="32" t="s">
        <v>6962</v>
      </c>
      <c r="E2138" s="32">
        <v>2014</v>
      </c>
      <c r="F2138" s="32" t="s">
        <v>18</v>
      </c>
      <c r="G2138" s="32" t="s">
        <v>7070</v>
      </c>
      <c r="H2138" s="32" t="s">
        <v>6640</v>
      </c>
      <c r="I2138" s="32" t="s">
        <v>7152</v>
      </c>
      <c r="J2138" s="32">
        <v>6199</v>
      </c>
      <c r="K2138" s="32">
        <v>0</v>
      </c>
      <c r="L2138" s="32">
        <v>0</v>
      </c>
      <c r="M2138" s="32">
        <v>0</v>
      </c>
      <c r="N2138" s="32">
        <v>0</v>
      </c>
      <c r="O2138" s="32">
        <v>0</v>
      </c>
      <c r="P2138" s="32">
        <v>0</v>
      </c>
      <c r="Q2138" s="46">
        <f t="shared" si="66"/>
        <v>6199</v>
      </c>
      <c r="R2138" s="69">
        <f t="shared" si="67"/>
        <v>5269.15</v>
      </c>
      <c r="S2138" s="30"/>
      <c r="T2138" s="30"/>
    </row>
    <row r="2139" spans="1:20" ht="45" customHeight="1" x14ac:dyDescent="0.3">
      <c r="A2139" s="31">
        <v>2127</v>
      </c>
      <c r="B2139" s="32" t="s">
        <v>6948</v>
      </c>
      <c r="C2139" s="32" t="s">
        <v>6963</v>
      </c>
      <c r="D2139" s="32" t="s">
        <v>6964</v>
      </c>
      <c r="E2139" s="32">
        <v>2022</v>
      </c>
      <c r="F2139" s="32" t="s">
        <v>18</v>
      </c>
      <c r="G2139" s="32" t="s">
        <v>7071</v>
      </c>
      <c r="H2139" s="32" t="s">
        <v>7121</v>
      </c>
      <c r="I2139" s="32" t="s">
        <v>289</v>
      </c>
      <c r="J2139" s="32">
        <v>6199</v>
      </c>
      <c r="K2139" s="32">
        <f>6278+4484+2332+1346+2332+2332+2332+2332+6995+6995+2332+6995+4484+2332</f>
        <v>53901</v>
      </c>
      <c r="L2139" s="32">
        <v>0</v>
      </c>
      <c r="M2139" s="32">
        <v>0</v>
      </c>
      <c r="N2139" s="32">
        <v>3148</v>
      </c>
      <c r="O2139" s="32">
        <v>0</v>
      </c>
      <c r="P2139" s="32">
        <v>0</v>
      </c>
      <c r="Q2139" s="46">
        <f t="shared" si="66"/>
        <v>63248</v>
      </c>
      <c r="R2139" s="69">
        <f t="shared" si="67"/>
        <v>53760.800000000003</v>
      </c>
      <c r="S2139" s="30"/>
      <c r="T2139" s="30"/>
    </row>
    <row r="2140" spans="1:20" ht="45" customHeight="1" x14ac:dyDescent="0.3">
      <c r="A2140" s="31">
        <v>2128</v>
      </c>
      <c r="B2140" s="32" t="s">
        <v>6948</v>
      </c>
      <c r="C2140" s="32" t="s">
        <v>6965</v>
      </c>
      <c r="D2140" s="32" t="s">
        <v>3967</v>
      </c>
      <c r="E2140" s="32">
        <v>2021</v>
      </c>
      <c r="F2140" s="32" t="s">
        <v>18</v>
      </c>
      <c r="G2140" s="32" t="s">
        <v>4098</v>
      </c>
      <c r="H2140" s="32" t="s">
        <v>4163</v>
      </c>
      <c r="I2140" s="32" t="s">
        <v>1698</v>
      </c>
      <c r="J2140" s="32">
        <v>3793</v>
      </c>
      <c r="K2140" s="32">
        <v>0</v>
      </c>
      <c r="L2140" s="32">
        <v>0</v>
      </c>
      <c r="M2140" s="32">
        <v>0</v>
      </c>
      <c r="N2140" s="32">
        <v>0</v>
      </c>
      <c r="O2140" s="32">
        <v>0</v>
      </c>
      <c r="P2140" s="32">
        <v>0</v>
      </c>
      <c r="Q2140" s="46">
        <f t="shared" si="66"/>
        <v>3793</v>
      </c>
      <c r="R2140" s="69">
        <f t="shared" si="67"/>
        <v>3224.05</v>
      </c>
      <c r="S2140" s="30"/>
      <c r="T2140" s="30"/>
    </row>
    <row r="2141" spans="1:20" ht="45" customHeight="1" x14ac:dyDescent="0.3">
      <c r="A2141" s="36">
        <v>2129</v>
      </c>
      <c r="B2141" s="32" t="s">
        <v>6948</v>
      </c>
      <c r="C2141" s="32" t="s">
        <v>6966</v>
      </c>
      <c r="D2141" s="32" t="s">
        <v>6967</v>
      </c>
      <c r="E2141" s="32">
        <v>2001</v>
      </c>
      <c r="F2141" s="32" t="s">
        <v>19</v>
      </c>
      <c r="G2141" s="32" t="s">
        <v>7072</v>
      </c>
      <c r="H2141" s="32" t="s">
        <v>7072</v>
      </c>
      <c r="I2141" s="32" t="s">
        <v>6668</v>
      </c>
      <c r="J2141" s="32">
        <v>6199</v>
      </c>
      <c r="K2141" s="32">
        <f>2332+2332+3587+2243</f>
        <v>10494</v>
      </c>
      <c r="L2141" s="32">
        <v>20807</v>
      </c>
      <c r="M2141" s="32">
        <v>0</v>
      </c>
      <c r="N2141" s="32">
        <v>0</v>
      </c>
      <c r="O2141" s="32">
        <v>0</v>
      </c>
      <c r="P2141" s="32">
        <v>0</v>
      </c>
      <c r="Q2141" s="46">
        <f t="shared" si="66"/>
        <v>37500</v>
      </c>
      <c r="R2141" s="69">
        <f t="shared" si="67"/>
        <v>31875</v>
      </c>
      <c r="S2141" s="30"/>
      <c r="T2141" s="30"/>
    </row>
    <row r="2142" spans="1:20" ht="45" customHeight="1" x14ac:dyDescent="0.3">
      <c r="A2142" s="31">
        <v>2130</v>
      </c>
      <c r="B2142" s="32" t="s">
        <v>6948</v>
      </c>
      <c r="C2142" s="32" t="s">
        <v>6968</v>
      </c>
      <c r="D2142" s="32" t="s">
        <v>6969</v>
      </c>
      <c r="E2142" s="32">
        <v>1989</v>
      </c>
      <c r="F2142" s="32" t="s">
        <v>19</v>
      </c>
      <c r="G2142" s="32" t="s">
        <v>7073</v>
      </c>
      <c r="H2142" s="32" t="s">
        <v>7122</v>
      </c>
      <c r="I2142" s="32" t="s">
        <v>7153</v>
      </c>
      <c r="J2142" s="32">
        <v>6199</v>
      </c>
      <c r="K2142" s="32">
        <f>2332+2332+2243+1346</f>
        <v>8253</v>
      </c>
      <c r="L2142" s="32">
        <v>0</v>
      </c>
      <c r="M2142" s="32">
        <v>0</v>
      </c>
      <c r="N2142" s="32">
        <v>0</v>
      </c>
      <c r="O2142" s="32">
        <v>0</v>
      </c>
      <c r="P2142" s="32">
        <v>0</v>
      </c>
      <c r="Q2142" s="46">
        <f t="shared" si="66"/>
        <v>14452</v>
      </c>
      <c r="R2142" s="69">
        <f t="shared" si="67"/>
        <v>12284.2</v>
      </c>
      <c r="S2142" s="30"/>
      <c r="T2142" s="30"/>
    </row>
    <row r="2143" spans="1:20" ht="45" customHeight="1" x14ac:dyDescent="0.3">
      <c r="A2143" s="31">
        <v>2131</v>
      </c>
      <c r="B2143" s="32" t="s">
        <v>6948</v>
      </c>
      <c r="C2143" s="32" t="s">
        <v>6970</v>
      </c>
      <c r="D2143" s="32" t="s">
        <v>6971</v>
      </c>
      <c r="E2143" s="32">
        <v>2006</v>
      </c>
      <c r="F2143" s="32" t="s">
        <v>19</v>
      </c>
      <c r="G2143" s="32" t="s">
        <v>7074</v>
      </c>
      <c r="H2143" s="32" t="s">
        <v>7123</v>
      </c>
      <c r="I2143" s="32" t="s">
        <v>7154</v>
      </c>
      <c r="J2143" s="32">
        <v>6199</v>
      </c>
      <c r="K2143" s="32">
        <f>6278+4484+1346+2332+2332+2243</f>
        <v>19015</v>
      </c>
      <c r="L2143" s="32">
        <v>0</v>
      </c>
      <c r="M2143" s="32">
        <v>0</v>
      </c>
      <c r="N2143" s="32">
        <v>1793</v>
      </c>
      <c r="O2143" s="32">
        <v>0</v>
      </c>
      <c r="P2143" s="32">
        <v>0</v>
      </c>
      <c r="Q2143" s="46">
        <f t="shared" si="66"/>
        <v>27007</v>
      </c>
      <c r="R2143" s="69">
        <f t="shared" si="67"/>
        <v>22955.95</v>
      </c>
      <c r="S2143" s="30"/>
      <c r="T2143" s="30"/>
    </row>
    <row r="2144" spans="1:20" ht="45" customHeight="1" x14ac:dyDescent="0.3">
      <c r="A2144" s="36">
        <v>2132</v>
      </c>
      <c r="B2144" s="32" t="s">
        <v>6948</v>
      </c>
      <c r="C2144" s="32" t="s">
        <v>6972</v>
      </c>
      <c r="D2144" s="32" t="s">
        <v>6973</v>
      </c>
      <c r="E2144" s="32">
        <v>2022</v>
      </c>
      <c r="F2144" s="32" t="s">
        <v>19</v>
      </c>
      <c r="G2144" s="32" t="s">
        <v>7075</v>
      </c>
      <c r="H2144" s="32" t="s">
        <v>7124</v>
      </c>
      <c r="I2144" s="32" t="s">
        <v>282</v>
      </c>
      <c r="J2144" s="32">
        <v>6199</v>
      </c>
      <c r="K2144" s="32">
        <v>0</v>
      </c>
      <c r="L2144" s="32">
        <v>0</v>
      </c>
      <c r="M2144" s="32">
        <v>0</v>
      </c>
      <c r="N2144" s="32">
        <v>0</v>
      </c>
      <c r="O2144" s="32">
        <v>0</v>
      </c>
      <c r="P2144" s="32">
        <v>0</v>
      </c>
      <c r="Q2144" s="46">
        <f t="shared" si="66"/>
        <v>6199</v>
      </c>
      <c r="R2144" s="69">
        <f t="shared" si="67"/>
        <v>5269.15</v>
      </c>
      <c r="S2144" s="30"/>
      <c r="T2144" s="30"/>
    </row>
    <row r="2145" spans="1:20" ht="45" customHeight="1" x14ac:dyDescent="0.3">
      <c r="A2145" s="31">
        <v>2133</v>
      </c>
      <c r="B2145" s="32" t="s">
        <v>6948</v>
      </c>
      <c r="C2145" s="32" t="s">
        <v>6974</v>
      </c>
      <c r="D2145" s="32" t="s">
        <v>6975</v>
      </c>
      <c r="E2145" s="32">
        <v>1983</v>
      </c>
      <c r="F2145" s="32" t="s">
        <v>18</v>
      </c>
      <c r="G2145" s="32" t="s">
        <v>7076</v>
      </c>
      <c r="H2145" s="32" t="s">
        <v>7125</v>
      </c>
      <c r="I2145" s="32" t="s">
        <v>282</v>
      </c>
      <c r="J2145" s="32">
        <v>6199</v>
      </c>
      <c r="K2145" s="32">
        <v>0</v>
      </c>
      <c r="L2145" s="32">
        <v>0</v>
      </c>
      <c r="M2145" s="32">
        <v>0</v>
      </c>
      <c r="N2145" s="32">
        <v>0</v>
      </c>
      <c r="O2145" s="32">
        <v>0</v>
      </c>
      <c r="P2145" s="32">
        <v>0</v>
      </c>
      <c r="Q2145" s="46">
        <f t="shared" si="66"/>
        <v>6199</v>
      </c>
      <c r="R2145" s="69">
        <f t="shared" si="67"/>
        <v>5269.15</v>
      </c>
      <c r="S2145" s="30"/>
      <c r="T2145" s="30"/>
    </row>
    <row r="2146" spans="1:20" ht="45" customHeight="1" x14ac:dyDescent="0.3">
      <c r="A2146" s="31">
        <v>2134</v>
      </c>
      <c r="B2146" s="32" t="s">
        <v>6948</v>
      </c>
      <c r="C2146" s="32" t="s">
        <v>6976</v>
      </c>
      <c r="D2146" s="32" t="s">
        <v>6977</v>
      </c>
      <c r="E2146" s="32">
        <v>2024</v>
      </c>
      <c r="F2146" s="32" t="s">
        <v>18</v>
      </c>
      <c r="G2146" s="32" t="s">
        <v>7077</v>
      </c>
      <c r="H2146" s="32" t="s">
        <v>7126</v>
      </c>
      <c r="I2146" s="32" t="s">
        <v>6934</v>
      </c>
      <c r="J2146" s="32">
        <v>6199</v>
      </c>
      <c r="K2146" s="32">
        <f>6278+4484</f>
        <v>10762</v>
      </c>
      <c r="L2146" s="32">
        <v>0</v>
      </c>
      <c r="M2146" s="32">
        <v>0</v>
      </c>
      <c r="N2146" s="32">
        <v>3148</v>
      </c>
      <c r="O2146" s="32">
        <v>0</v>
      </c>
      <c r="P2146" s="32">
        <v>0</v>
      </c>
      <c r="Q2146" s="46">
        <f t="shared" si="66"/>
        <v>20109</v>
      </c>
      <c r="R2146" s="69">
        <f t="shared" si="67"/>
        <v>17092.650000000001</v>
      </c>
      <c r="S2146" s="30"/>
      <c r="T2146" s="30"/>
    </row>
    <row r="2147" spans="1:20" ht="45" customHeight="1" x14ac:dyDescent="0.3">
      <c r="A2147" s="36">
        <v>2135</v>
      </c>
      <c r="B2147" s="32" t="s">
        <v>6948</v>
      </c>
      <c r="C2147" s="32" t="s">
        <v>6978</v>
      </c>
      <c r="D2147" s="32" t="s">
        <v>6979</v>
      </c>
      <c r="E2147" s="32">
        <v>1996</v>
      </c>
      <c r="F2147" s="32" t="s">
        <v>19</v>
      </c>
      <c r="G2147" s="32" t="s">
        <v>7078</v>
      </c>
      <c r="H2147" s="32" t="s">
        <v>7078</v>
      </c>
      <c r="I2147" s="32" t="s">
        <v>283</v>
      </c>
      <c r="J2147" s="32">
        <v>6199</v>
      </c>
      <c r="K2147" s="32">
        <v>0</v>
      </c>
      <c r="L2147" s="32">
        <v>0</v>
      </c>
      <c r="M2147" s="32">
        <v>0</v>
      </c>
      <c r="N2147" s="32">
        <v>0</v>
      </c>
      <c r="O2147" s="32">
        <v>0</v>
      </c>
      <c r="P2147" s="32">
        <v>0</v>
      </c>
      <c r="Q2147" s="46">
        <f t="shared" si="66"/>
        <v>6199</v>
      </c>
      <c r="R2147" s="69">
        <f t="shared" si="67"/>
        <v>5269.15</v>
      </c>
      <c r="S2147" s="30"/>
      <c r="T2147" s="30"/>
    </row>
    <row r="2148" spans="1:20" ht="45" customHeight="1" x14ac:dyDescent="0.3">
      <c r="A2148" s="31">
        <v>2136</v>
      </c>
      <c r="B2148" s="32" t="s">
        <v>6948</v>
      </c>
      <c r="C2148" s="32" t="s">
        <v>6980</v>
      </c>
      <c r="D2148" s="32" t="s">
        <v>6981</v>
      </c>
      <c r="E2148" s="32">
        <v>2024</v>
      </c>
      <c r="F2148" s="32" t="s">
        <v>18</v>
      </c>
      <c r="G2148" s="32" t="s">
        <v>7079</v>
      </c>
      <c r="H2148" s="32" t="s">
        <v>7078</v>
      </c>
      <c r="I2148" s="32" t="s">
        <v>283</v>
      </c>
      <c r="J2148" s="32">
        <v>6199</v>
      </c>
      <c r="K2148" s="32">
        <v>0</v>
      </c>
      <c r="L2148" s="32">
        <v>0</v>
      </c>
      <c r="M2148" s="32">
        <v>0</v>
      </c>
      <c r="N2148" s="32">
        <v>0</v>
      </c>
      <c r="O2148" s="32">
        <v>0</v>
      </c>
      <c r="P2148" s="32">
        <v>0</v>
      </c>
      <c r="Q2148" s="46">
        <f t="shared" si="66"/>
        <v>6199</v>
      </c>
      <c r="R2148" s="69">
        <f t="shared" si="67"/>
        <v>5269.15</v>
      </c>
      <c r="S2148" s="30"/>
      <c r="T2148" s="30"/>
    </row>
    <row r="2149" spans="1:20" ht="45" customHeight="1" x14ac:dyDescent="0.3">
      <c r="A2149" s="31">
        <v>2137</v>
      </c>
      <c r="B2149" s="32" t="s">
        <v>6948</v>
      </c>
      <c r="C2149" s="32" t="s">
        <v>6982</v>
      </c>
      <c r="D2149" s="32" t="s">
        <v>6983</v>
      </c>
      <c r="E2149" s="32">
        <v>2022</v>
      </c>
      <c r="F2149" s="32" t="s">
        <v>19</v>
      </c>
      <c r="G2149" s="32" t="s">
        <v>7080</v>
      </c>
      <c r="H2149" s="32" t="s">
        <v>7078</v>
      </c>
      <c r="I2149" s="32" t="s">
        <v>283</v>
      </c>
      <c r="J2149" s="32">
        <v>6199</v>
      </c>
      <c r="K2149" s="32">
        <v>0</v>
      </c>
      <c r="L2149" s="32">
        <v>0</v>
      </c>
      <c r="M2149" s="32">
        <v>0</v>
      </c>
      <c r="N2149" s="32">
        <v>0</v>
      </c>
      <c r="O2149" s="32">
        <v>0</v>
      </c>
      <c r="P2149" s="32">
        <v>0</v>
      </c>
      <c r="Q2149" s="46">
        <f t="shared" si="66"/>
        <v>6199</v>
      </c>
      <c r="R2149" s="69">
        <f t="shared" si="67"/>
        <v>5269.15</v>
      </c>
      <c r="S2149" s="30"/>
      <c r="T2149" s="30"/>
    </row>
    <row r="2150" spans="1:20" ht="45" customHeight="1" x14ac:dyDescent="0.3">
      <c r="A2150" s="36">
        <v>2138</v>
      </c>
      <c r="B2150" s="32" t="s">
        <v>6948</v>
      </c>
      <c r="C2150" s="32" t="s">
        <v>6984</v>
      </c>
      <c r="D2150" s="32" t="s">
        <v>6985</v>
      </c>
      <c r="E2150" s="32">
        <v>1994</v>
      </c>
      <c r="F2150" s="32" t="s">
        <v>19</v>
      </c>
      <c r="G2150" s="32" t="s">
        <v>7081</v>
      </c>
      <c r="H2150" s="32" t="s">
        <v>7127</v>
      </c>
      <c r="I2150" s="32" t="s">
        <v>7155</v>
      </c>
      <c r="J2150" s="32">
        <v>6199</v>
      </c>
      <c r="K2150" s="32">
        <v>0</v>
      </c>
      <c r="L2150" s="32">
        <v>0</v>
      </c>
      <c r="M2150" s="32">
        <v>0</v>
      </c>
      <c r="N2150" s="32">
        <v>0</v>
      </c>
      <c r="O2150" s="32">
        <v>0</v>
      </c>
      <c r="P2150" s="32">
        <v>0</v>
      </c>
      <c r="Q2150" s="46">
        <f t="shared" si="66"/>
        <v>6199</v>
      </c>
      <c r="R2150" s="69">
        <f t="shared" si="67"/>
        <v>5269.15</v>
      </c>
      <c r="S2150" s="30"/>
      <c r="T2150" s="30"/>
    </row>
    <row r="2151" spans="1:20" ht="45" customHeight="1" x14ac:dyDescent="0.3">
      <c r="A2151" s="31">
        <v>2139</v>
      </c>
      <c r="B2151" s="32" t="s">
        <v>6948</v>
      </c>
      <c r="C2151" s="32" t="s">
        <v>6986</v>
      </c>
      <c r="D2151" s="32" t="s">
        <v>6987</v>
      </c>
      <c r="E2151" s="32">
        <v>1995</v>
      </c>
      <c r="F2151" s="32" t="s">
        <v>19</v>
      </c>
      <c r="G2151" s="32" t="s">
        <v>7082</v>
      </c>
      <c r="H2151" s="32" t="s">
        <v>7082</v>
      </c>
      <c r="I2151" s="32" t="s">
        <v>2131</v>
      </c>
      <c r="J2151" s="32">
        <v>6199</v>
      </c>
      <c r="K2151" s="32">
        <f>2332+2332+2243+3587</f>
        <v>10494</v>
      </c>
      <c r="L2151" s="32">
        <v>0</v>
      </c>
      <c r="M2151" s="32">
        <v>0</v>
      </c>
      <c r="N2151" s="32">
        <v>0</v>
      </c>
      <c r="O2151" s="32">
        <v>0</v>
      </c>
      <c r="P2151" s="32">
        <v>0</v>
      </c>
      <c r="Q2151" s="46">
        <f t="shared" si="66"/>
        <v>16693</v>
      </c>
      <c r="R2151" s="69">
        <f t="shared" si="67"/>
        <v>14189.05</v>
      </c>
      <c r="S2151" s="30"/>
      <c r="T2151" s="30"/>
    </row>
    <row r="2152" spans="1:20" ht="45" customHeight="1" x14ac:dyDescent="0.3">
      <c r="A2152" s="31">
        <v>2140</v>
      </c>
      <c r="B2152" s="32" t="s">
        <v>6948</v>
      </c>
      <c r="C2152" s="32" t="s">
        <v>6988</v>
      </c>
      <c r="D2152" s="32" t="s">
        <v>6989</v>
      </c>
      <c r="E2152" s="32">
        <v>2002</v>
      </c>
      <c r="F2152" s="32" t="s">
        <v>19</v>
      </c>
      <c r="G2152" s="32" t="s">
        <v>7083</v>
      </c>
      <c r="H2152" s="32" t="s">
        <v>7128</v>
      </c>
      <c r="I2152" s="32" t="s">
        <v>1257</v>
      </c>
      <c r="J2152" s="32">
        <v>6199</v>
      </c>
      <c r="K2152" s="32">
        <v>0</v>
      </c>
      <c r="L2152" s="32">
        <v>9422</v>
      </c>
      <c r="M2152" s="32">
        <v>0</v>
      </c>
      <c r="N2152" s="32">
        <v>0</v>
      </c>
      <c r="O2152" s="32">
        <v>0</v>
      </c>
      <c r="P2152" s="32">
        <v>0</v>
      </c>
      <c r="Q2152" s="46">
        <f t="shared" si="66"/>
        <v>15621</v>
      </c>
      <c r="R2152" s="69">
        <f t="shared" si="67"/>
        <v>13277.85</v>
      </c>
      <c r="S2152" s="30"/>
      <c r="T2152" s="30"/>
    </row>
    <row r="2153" spans="1:20" ht="45" customHeight="1" x14ac:dyDescent="0.3">
      <c r="A2153" s="36">
        <v>2141</v>
      </c>
      <c r="B2153" s="32" t="s">
        <v>6948</v>
      </c>
      <c r="C2153" s="32" t="s">
        <v>6990</v>
      </c>
      <c r="D2153" s="32" t="s">
        <v>412</v>
      </c>
      <c r="E2153" s="32">
        <v>2025</v>
      </c>
      <c r="F2153" s="32" t="s">
        <v>19</v>
      </c>
      <c r="G2153" s="32" t="s">
        <v>7084</v>
      </c>
      <c r="H2153" s="32" t="s">
        <v>485</v>
      </c>
      <c r="I2153" s="32" t="s">
        <v>572</v>
      </c>
      <c r="J2153" s="32">
        <v>6199</v>
      </c>
      <c r="K2153" s="32">
        <v>0</v>
      </c>
      <c r="L2153" s="32">
        <v>0</v>
      </c>
      <c r="M2153" s="32">
        <v>0</v>
      </c>
      <c r="N2153" s="32">
        <v>0</v>
      </c>
      <c r="O2153" s="32">
        <v>0</v>
      </c>
      <c r="P2153" s="32">
        <v>0</v>
      </c>
      <c r="Q2153" s="46">
        <f t="shared" si="66"/>
        <v>6199</v>
      </c>
      <c r="R2153" s="69">
        <f t="shared" si="67"/>
        <v>5269.15</v>
      </c>
      <c r="S2153" s="30"/>
      <c r="T2153" s="30"/>
    </row>
    <row r="2154" spans="1:20" s="41" customFormat="1" ht="45" customHeight="1" x14ac:dyDescent="0.3">
      <c r="A2154" s="31">
        <v>2142</v>
      </c>
      <c r="B2154" s="38" t="s">
        <v>6948</v>
      </c>
      <c r="C2154" s="38" t="s">
        <v>6991</v>
      </c>
      <c r="D2154" s="38" t="s">
        <v>6992</v>
      </c>
      <c r="E2154" s="38">
        <v>2023</v>
      </c>
      <c r="F2154" s="38" t="s">
        <v>19</v>
      </c>
      <c r="G2154" s="38" t="s">
        <v>7085</v>
      </c>
      <c r="H2154" s="38" t="s">
        <v>7129</v>
      </c>
      <c r="I2154" s="38" t="s">
        <v>1279</v>
      </c>
      <c r="J2154" s="38">
        <v>6199</v>
      </c>
      <c r="K2154" s="38">
        <v>0</v>
      </c>
      <c r="L2154" s="38">
        <v>0</v>
      </c>
      <c r="M2154" s="38">
        <v>0</v>
      </c>
      <c r="N2154" s="38">
        <f>15443+17918</f>
        <v>33361</v>
      </c>
      <c r="O2154" s="38">
        <v>0</v>
      </c>
      <c r="P2154" s="38">
        <v>0</v>
      </c>
      <c r="Q2154" s="48">
        <f t="shared" si="66"/>
        <v>39560</v>
      </c>
      <c r="R2154" s="69">
        <f t="shared" si="67"/>
        <v>33626</v>
      </c>
      <c r="S2154" s="40"/>
      <c r="T2154" s="40"/>
    </row>
    <row r="2155" spans="1:20" ht="45" customHeight="1" x14ac:dyDescent="0.3">
      <c r="A2155" s="31">
        <v>2143</v>
      </c>
      <c r="B2155" s="32" t="s">
        <v>6948</v>
      </c>
      <c r="C2155" s="32" t="s">
        <v>6993</v>
      </c>
      <c r="D2155" s="32" t="s">
        <v>6994</v>
      </c>
      <c r="E2155" s="32">
        <v>1972</v>
      </c>
      <c r="F2155" s="32" t="s">
        <v>19</v>
      </c>
      <c r="G2155" s="32" t="s">
        <v>7086</v>
      </c>
      <c r="H2155" s="32" t="s">
        <v>7086</v>
      </c>
      <c r="I2155" s="32" t="s">
        <v>7156</v>
      </c>
      <c r="J2155" s="32">
        <v>6199</v>
      </c>
      <c r="K2155" s="32">
        <f>2332+2332+2243+6278+4484+3000+3000+6995+2332+2332+2332+2332+3228+2332</f>
        <v>45552</v>
      </c>
      <c r="L2155" s="32">
        <v>0</v>
      </c>
      <c r="M2155" s="32">
        <v>0</v>
      </c>
      <c r="N2155" s="32">
        <v>1793</v>
      </c>
      <c r="O2155" s="32">
        <v>0</v>
      </c>
      <c r="P2155" s="32">
        <v>0</v>
      </c>
      <c r="Q2155" s="46">
        <f t="shared" si="66"/>
        <v>53544</v>
      </c>
      <c r="R2155" s="69">
        <f t="shared" si="67"/>
        <v>45512.4</v>
      </c>
      <c r="S2155" s="30"/>
      <c r="T2155" s="30"/>
    </row>
    <row r="2156" spans="1:20" ht="45" customHeight="1" x14ac:dyDescent="0.3">
      <c r="A2156" s="36">
        <v>2144</v>
      </c>
      <c r="B2156" s="32" t="s">
        <v>6948</v>
      </c>
      <c r="C2156" s="32" t="s">
        <v>6995</v>
      </c>
      <c r="D2156" s="32" t="s">
        <v>6996</v>
      </c>
      <c r="E2156" s="32">
        <v>2021</v>
      </c>
      <c r="F2156" s="32" t="s">
        <v>19</v>
      </c>
      <c r="G2156" s="32" t="s">
        <v>7087</v>
      </c>
      <c r="H2156" s="32" t="s">
        <v>7130</v>
      </c>
      <c r="I2156" s="32" t="s">
        <v>7157</v>
      </c>
      <c r="J2156" s="32">
        <v>6199</v>
      </c>
      <c r="K2156" s="32">
        <f>6278+4484+2332+1346+2332+2332+2332+2332+6995+6995+2332+6995+2332+4484</f>
        <v>53901</v>
      </c>
      <c r="L2156" s="32">
        <v>0</v>
      </c>
      <c r="M2156" s="32">
        <v>0</v>
      </c>
      <c r="N2156" s="32">
        <v>3148</v>
      </c>
      <c r="O2156" s="32">
        <v>0</v>
      </c>
      <c r="P2156" s="32">
        <v>0</v>
      </c>
      <c r="Q2156" s="46">
        <f t="shared" si="66"/>
        <v>63248</v>
      </c>
      <c r="R2156" s="69">
        <f t="shared" si="67"/>
        <v>53760.800000000003</v>
      </c>
      <c r="S2156" s="30"/>
      <c r="T2156" s="30"/>
    </row>
    <row r="2157" spans="1:20" ht="45" customHeight="1" x14ac:dyDescent="0.3">
      <c r="A2157" s="31">
        <v>2145</v>
      </c>
      <c r="B2157" s="32" t="s">
        <v>6948</v>
      </c>
      <c r="C2157" s="32" t="s">
        <v>6997</v>
      </c>
      <c r="D2157" s="32" t="s">
        <v>6998</v>
      </c>
      <c r="E2157" s="32">
        <v>1975</v>
      </c>
      <c r="F2157" s="32" t="s">
        <v>18</v>
      </c>
      <c r="G2157" s="32" t="s">
        <v>7088</v>
      </c>
      <c r="H2157" s="32" t="s">
        <v>7131</v>
      </c>
      <c r="I2157" s="32" t="s">
        <v>272</v>
      </c>
      <c r="J2157" s="32">
        <v>6199</v>
      </c>
      <c r="K2157" s="32">
        <f>6278+4484+1346+4484+2332+2332+2332+2332+2332+6995+3000+3000+3228+1166+6995+6995+2332+6995+2332+2332</f>
        <v>73622</v>
      </c>
      <c r="L2157" s="32">
        <v>0</v>
      </c>
      <c r="M2157" s="32">
        <v>0</v>
      </c>
      <c r="N2157" s="32">
        <v>1793</v>
      </c>
      <c r="O2157" s="32">
        <v>0</v>
      </c>
      <c r="P2157" s="32">
        <v>0</v>
      </c>
      <c r="Q2157" s="46">
        <f t="shared" si="66"/>
        <v>81614</v>
      </c>
      <c r="R2157" s="69">
        <f t="shared" si="67"/>
        <v>69371.899999999994</v>
      </c>
      <c r="S2157" s="30"/>
      <c r="T2157" s="30"/>
    </row>
    <row r="2158" spans="1:20" ht="45" customHeight="1" x14ac:dyDescent="0.3">
      <c r="A2158" s="31">
        <v>2146</v>
      </c>
      <c r="B2158" s="32" t="s">
        <v>6948</v>
      </c>
      <c r="C2158" s="32" t="s">
        <v>6999</v>
      </c>
      <c r="D2158" s="32" t="s">
        <v>7000</v>
      </c>
      <c r="E2158" s="32">
        <v>2024</v>
      </c>
      <c r="F2158" s="32" t="s">
        <v>19</v>
      </c>
      <c r="G2158" s="32" t="s">
        <v>7089</v>
      </c>
      <c r="H2158" s="32" t="s">
        <v>7132</v>
      </c>
      <c r="I2158" s="32" t="s">
        <v>7158</v>
      </c>
      <c r="J2158" s="32">
        <v>6199</v>
      </c>
      <c r="K2158" s="32">
        <v>0</v>
      </c>
      <c r="L2158" s="32">
        <v>0</v>
      </c>
      <c r="M2158" s="32">
        <v>0</v>
      </c>
      <c r="N2158" s="32">
        <v>0</v>
      </c>
      <c r="O2158" s="32">
        <v>0</v>
      </c>
      <c r="P2158" s="32">
        <v>0</v>
      </c>
      <c r="Q2158" s="46">
        <f t="shared" si="66"/>
        <v>6199</v>
      </c>
      <c r="R2158" s="69">
        <f t="shared" si="67"/>
        <v>5269.15</v>
      </c>
      <c r="S2158" s="30"/>
      <c r="T2158" s="30"/>
    </row>
    <row r="2159" spans="1:20" ht="45" customHeight="1" x14ac:dyDescent="0.3">
      <c r="A2159" s="36">
        <v>2147</v>
      </c>
      <c r="B2159" s="32" t="s">
        <v>6948</v>
      </c>
      <c r="C2159" s="32" t="s">
        <v>7001</v>
      </c>
      <c r="D2159" s="32" t="s">
        <v>7002</v>
      </c>
      <c r="E2159" s="32">
        <v>2022</v>
      </c>
      <c r="F2159" s="32" t="s">
        <v>19</v>
      </c>
      <c r="G2159" s="32" t="s">
        <v>7090</v>
      </c>
      <c r="H2159" s="32" t="s">
        <v>7133</v>
      </c>
      <c r="I2159" s="32" t="s">
        <v>1709</v>
      </c>
      <c r="J2159" s="32">
        <v>6199</v>
      </c>
      <c r="K2159" s="32">
        <f>6278+4484+2332+1346+2332+2332+2332+2332+6995+6995+2332+6995+2332+4484</f>
        <v>53901</v>
      </c>
      <c r="L2159" s="32">
        <v>0</v>
      </c>
      <c r="M2159" s="32">
        <v>0</v>
      </c>
      <c r="N2159" s="32">
        <v>3148</v>
      </c>
      <c r="O2159" s="32">
        <v>0</v>
      </c>
      <c r="P2159" s="32">
        <v>0</v>
      </c>
      <c r="Q2159" s="46">
        <f t="shared" si="66"/>
        <v>63248</v>
      </c>
      <c r="R2159" s="69">
        <f t="shared" si="67"/>
        <v>53760.800000000003</v>
      </c>
      <c r="S2159" s="30"/>
      <c r="T2159" s="30"/>
    </row>
    <row r="2160" spans="1:20" ht="45" customHeight="1" x14ac:dyDescent="0.3">
      <c r="A2160" s="31">
        <v>2148</v>
      </c>
      <c r="B2160" s="32" t="s">
        <v>6948</v>
      </c>
      <c r="C2160" s="32" t="s">
        <v>7003</v>
      </c>
      <c r="D2160" s="32" t="s">
        <v>7004</v>
      </c>
      <c r="E2160" s="32">
        <v>2003</v>
      </c>
      <c r="F2160" s="32" t="s">
        <v>19</v>
      </c>
      <c r="G2160" s="32" t="s">
        <v>7091</v>
      </c>
      <c r="H2160" s="32" t="s">
        <v>7134</v>
      </c>
      <c r="I2160" s="32" t="s">
        <v>7159</v>
      </c>
      <c r="J2160" s="32">
        <v>6199</v>
      </c>
      <c r="K2160" s="32">
        <v>0</v>
      </c>
      <c r="L2160" s="32">
        <v>0</v>
      </c>
      <c r="M2160" s="32">
        <v>0</v>
      </c>
      <c r="N2160" s="32">
        <v>0</v>
      </c>
      <c r="O2160" s="32">
        <v>0</v>
      </c>
      <c r="P2160" s="32">
        <v>0</v>
      </c>
      <c r="Q2160" s="46">
        <f t="shared" si="66"/>
        <v>6199</v>
      </c>
      <c r="R2160" s="69">
        <f t="shared" si="67"/>
        <v>5269.15</v>
      </c>
      <c r="S2160" s="30"/>
      <c r="T2160" s="30"/>
    </row>
    <row r="2161" spans="1:20" ht="45" customHeight="1" x14ac:dyDescent="0.3">
      <c r="A2161" s="31">
        <v>2149</v>
      </c>
      <c r="B2161" s="32" t="s">
        <v>6948</v>
      </c>
      <c r="C2161" s="32" t="s">
        <v>7005</v>
      </c>
      <c r="D2161" s="32" t="s">
        <v>7006</v>
      </c>
      <c r="E2161" s="32">
        <v>1997</v>
      </c>
      <c r="F2161" s="32" t="s">
        <v>19</v>
      </c>
      <c r="G2161" s="32" t="s">
        <v>7092</v>
      </c>
      <c r="H2161" s="32" t="s">
        <v>7092</v>
      </c>
      <c r="I2161" s="32" t="s">
        <v>7160</v>
      </c>
      <c r="J2161" s="32">
        <v>6199</v>
      </c>
      <c r="K2161" s="32">
        <f>1166+3500+6278+4484+2332+1346+2332+2332+2332+2332+2332+6995+4484+3000+3000+6995</f>
        <v>55240</v>
      </c>
      <c r="L2161" s="32">
        <v>0</v>
      </c>
      <c r="M2161" s="32">
        <v>0</v>
      </c>
      <c r="N2161" s="32">
        <v>1793</v>
      </c>
      <c r="O2161" s="32">
        <v>0</v>
      </c>
      <c r="P2161" s="32">
        <v>0</v>
      </c>
      <c r="Q2161" s="46">
        <f t="shared" si="66"/>
        <v>63232</v>
      </c>
      <c r="R2161" s="69">
        <f t="shared" si="67"/>
        <v>53747.199999999997</v>
      </c>
      <c r="S2161" s="30"/>
      <c r="T2161" s="30"/>
    </row>
    <row r="2162" spans="1:20" ht="45" customHeight="1" x14ac:dyDescent="0.3">
      <c r="A2162" s="36">
        <v>2150</v>
      </c>
      <c r="B2162" s="32" t="s">
        <v>6948</v>
      </c>
      <c r="C2162" s="32" t="s">
        <v>7007</v>
      </c>
      <c r="D2162" s="32" t="s">
        <v>6450</v>
      </c>
      <c r="E2162" s="32">
        <v>2025</v>
      </c>
      <c r="F2162" s="32" t="s">
        <v>18</v>
      </c>
      <c r="G2162" s="32" t="s">
        <v>6573</v>
      </c>
      <c r="H2162" s="32" t="s">
        <v>6633</v>
      </c>
      <c r="I2162" s="32" t="s">
        <v>6671</v>
      </c>
      <c r="J2162" s="32">
        <v>0</v>
      </c>
      <c r="K2162" s="32">
        <v>0</v>
      </c>
      <c r="L2162" s="32">
        <v>0</v>
      </c>
      <c r="M2162" s="32">
        <v>0</v>
      </c>
      <c r="N2162" s="32">
        <v>5321</v>
      </c>
      <c r="O2162" s="32">
        <v>0</v>
      </c>
      <c r="P2162" s="32">
        <v>0</v>
      </c>
      <c r="Q2162" s="46">
        <f t="shared" si="66"/>
        <v>5321</v>
      </c>
      <c r="R2162" s="69">
        <f t="shared" si="67"/>
        <v>4522.8500000000004</v>
      </c>
      <c r="S2162" s="30"/>
      <c r="T2162" s="30"/>
    </row>
    <row r="2163" spans="1:20" s="41" customFormat="1" ht="45" customHeight="1" x14ac:dyDescent="0.3">
      <c r="A2163" s="31">
        <v>2151</v>
      </c>
      <c r="B2163" s="38" t="s">
        <v>6948</v>
      </c>
      <c r="C2163" s="38" t="s">
        <v>7008</v>
      </c>
      <c r="D2163" s="38" t="s">
        <v>7009</v>
      </c>
      <c r="E2163" s="38">
        <v>2025</v>
      </c>
      <c r="F2163" s="38" t="s">
        <v>18</v>
      </c>
      <c r="G2163" s="38" t="s">
        <v>7093</v>
      </c>
      <c r="H2163" s="38" t="s">
        <v>7135</v>
      </c>
      <c r="I2163" s="38" t="s">
        <v>3695</v>
      </c>
      <c r="J2163" s="38">
        <v>6199</v>
      </c>
      <c r="K2163" s="38">
        <f>6278+4484+2332</f>
        <v>13094</v>
      </c>
      <c r="L2163" s="38">
        <v>0</v>
      </c>
      <c r="M2163" s="38">
        <v>0</v>
      </c>
      <c r="N2163" s="38">
        <v>3148</v>
      </c>
      <c r="O2163" s="38">
        <v>0</v>
      </c>
      <c r="P2163" s="38">
        <v>0</v>
      </c>
      <c r="Q2163" s="48">
        <f t="shared" si="66"/>
        <v>22441</v>
      </c>
      <c r="R2163" s="69">
        <f t="shared" si="67"/>
        <v>19074.849999999999</v>
      </c>
      <c r="S2163" s="40"/>
      <c r="T2163" s="40"/>
    </row>
    <row r="2164" spans="1:20" ht="45" customHeight="1" x14ac:dyDescent="0.3">
      <c r="A2164" s="31">
        <v>2152</v>
      </c>
      <c r="B2164" s="32" t="s">
        <v>6948</v>
      </c>
      <c r="C2164" s="32" t="s">
        <v>7010</v>
      </c>
      <c r="D2164" s="32" t="s">
        <v>7011</v>
      </c>
      <c r="E2164" s="32">
        <v>2021</v>
      </c>
      <c r="F2164" s="32" t="s">
        <v>19</v>
      </c>
      <c r="G2164" s="32" t="s">
        <v>7094</v>
      </c>
      <c r="H2164" s="32" t="s">
        <v>7136</v>
      </c>
      <c r="I2164" s="32" t="s">
        <v>7161</v>
      </c>
      <c r="J2164" s="32">
        <v>6199</v>
      </c>
      <c r="K2164" s="32">
        <f>6278+4484+1346+4484+2332+2332+2332+2332+2332+2332+6995+6995+2332+6995</f>
        <v>53901</v>
      </c>
      <c r="L2164" s="32">
        <v>0</v>
      </c>
      <c r="M2164" s="32">
        <v>0</v>
      </c>
      <c r="N2164" s="32">
        <v>3148</v>
      </c>
      <c r="O2164" s="32">
        <v>0</v>
      </c>
      <c r="P2164" s="32">
        <v>0</v>
      </c>
      <c r="Q2164" s="46">
        <f t="shared" si="66"/>
        <v>63248</v>
      </c>
      <c r="R2164" s="69">
        <f t="shared" si="67"/>
        <v>53760.800000000003</v>
      </c>
      <c r="S2164" s="30"/>
      <c r="T2164" s="30"/>
    </row>
    <row r="2165" spans="1:20" ht="45" customHeight="1" x14ac:dyDescent="0.3">
      <c r="A2165" s="36">
        <v>2153</v>
      </c>
      <c r="B2165" s="32" t="s">
        <v>6948</v>
      </c>
      <c r="C2165" s="32" t="s">
        <v>7012</v>
      </c>
      <c r="D2165" s="32" t="s">
        <v>7013</v>
      </c>
      <c r="E2165" s="32">
        <v>2021</v>
      </c>
      <c r="F2165" s="32" t="s">
        <v>18</v>
      </c>
      <c r="G2165" s="32" t="s">
        <v>7095</v>
      </c>
      <c r="H2165" s="32" t="s">
        <v>7137</v>
      </c>
      <c r="I2165" s="32" t="s">
        <v>7162</v>
      </c>
      <c r="J2165" s="32">
        <v>6199</v>
      </c>
      <c r="K2165" s="32">
        <v>0</v>
      </c>
      <c r="L2165" s="32">
        <v>0</v>
      </c>
      <c r="M2165" s="32">
        <v>0</v>
      </c>
      <c r="N2165" s="32">
        <v>0</v>
      </c>
      <c r="O2165" s="32">
        <v>0</v>
      </c>
      <c r="P2165" s="32">
        <v>0</v>
      </c>
      <c r="Q2165" s="46">
        <f t="shared" si="66"/>
        <v>6199</v>
      </c>
      <c r="R2165" s="69">
        <f t="shared" si="67"/>
        <v>5269.15</v>
      </c>
      <c r="S2165" s="30"/>
      <c r="T2165" s="30"/>
    </row>
    <row r="2166" spans="1:20" ht="45" customHeight="1" x14ac:dyDescent="0.3">
      <c r="A2166" s="31">
        <v>2154</v>
      </c>
      <c r="B2166" s="32" t="s">
        <v>6948</v>
      </c>
      <c r="C2166" s="32" t="s">
        <v>7014</v>
      </c>
      <c r="D2166" s="32" t="s">
        <v>7015</v>
      </c>
      <c r="E2166" s="32">
        <v>2024</v>
      </c>
      <c r="F2166" s="32" t="s">
        <v>19</v>
      </c>
      <c r="G2166" s="32" t="s">
        <v>7096</v>
      </c>
      <c r="H2166" s="32" t="s">
        <v>7138</v>
      </c>
      <c r="I2166" s="32" t="s">
        <v>2621</v>
      </c>
      <c r="J2166" s="32">
        <v>6199</v>
      </c>
      <c r="K2166" s="32">
        <f>6278+4484+1346+2332+2332+2332+2332+2332+6995+6995+2332+6995+2332+4484</f>
        <v>53901</v>
      </c>
      <c r="L2166" s="32">
        <v>0</v>
      </c>
      <c r="M2166" s="32">
        <v>0</v>
      </c>
      <c r="N2166" s="32">
        <v>3148</v>
      </c>
      <c r="O2166" s="32">
        <v>0</v>
      </c>
      <c r="P2166" s="32">
        <v>0</v>
      </c>
      <c r="Q2166" s="46">
        <f t="shared" si="66"/>
        <v>63248</v>
      </c>
      <c r="R2166" s="69">
        <f t="shared" si="67"/>
        <v>53760.800000000003</v>
      </c>
      <c r="S2166" s="30"/>
      <c r="T2166" s="30"/>
    </row>
    <row r="2167" spans="1:20" ht="45" customHeight="1" x14ac:dyDescent="0.3">
      <c r="A2167" s="31">
        <v>2155</v>
      </c>
      <c r="B2167" s="32" t="s">
        <v>6948</v>
      </c>
      <c r="C2167" s="32" t="s">
        <v>7016</v>
      </c>
      <c r="D2167" s="32" t="s">
        <v>7017</v>
      </c>
      <c r="E2167" s="32">
        <v>1980</v>
      </c>
      <c r="F2167" s="32" t="s">
        <v>18</v>
      </c>
      <c r="G2167" s="32" t="s">
        <v>7097</v>
      </c>
      <c r="H2167" s="32" t="s">
        <v>7097</v>
      </c>
      <c r="I2167" s="32" t="s">
        <v>24</v>
      </c>
      <c r="J2167" s="32">
        <v>6199</v>
      </c>
      <c r="K2167" s="32">
        <f>4484+1166+2801+1346+2332+2332</f>
        <v>14461</v>
      </c>
      <c r="L2167" s="32">
        <v>0</v>
      </c>
      <c r="M2167" s="32">
        <v>0</v>
      </c>
      <c r="N2167" s="32">
        <v>1793</v>
      </c>
      <c r="O2167" s="32">
        <v>0</v>
      </c>
      <c r="P2167" s="32">
        <v>0</v>
      </c>
      <c r="Q2167" s="46">
        <f t="shared" si="66"/>
        <v>22453</v>
      </c>
      <c r="R2167" s="69">
        <f t="shared" si="67"/>
        <v>19085.05</v>
      </c>
      <c r="S2167" s="30"/>
      <c r="T2167" s="30"/>
    </row>
    <row r="2168" spans="1:20" s="41" customFormat="1" ht="45" customHeight="1" x14ac:dyDescent="0.3">
      <c r="A2168" s="36">
        <v>2156</v>
      </c>
      <c r="B2168" s="38" t="s">
        <v>6948</v>
      </c>
      <c r="C2168" s="38" t="s">
        <v>7018</v>
      </c>
      <c r="D2168" s="38" t="s">
        <v>7019</v>
      </c>
      <c r="E2168" s="38">
        <v>2025</v>
      </c>
      <c r="F2168" s="38" t="s">
        <v>19</v>
      </c>
      <c r="G2168" s="38" t="s">
        <v>7098</v>
      </c>
      <c r="H2168" s="38" t="s">
        <v>7139</v>
      </c>
      <c r="I2168" s="38" t="s">
        <v>7163</v>
      </c>
      <c r="J2168" s="38">
        <v>6199</v>
      </c>
      <c r="K2168" s="38">
        <v>0</v>
      </c>
      <c r="L2168" s="38">
        <v>13298</v>
      </c>
      <c r="M2168" s="38">
        <v>0</v>
      </c>
      <c r="N2168" s="38">
        <v>0</v>
      </c>
      <c r="O2168" s="38">
        <v>0</v>
      </c>
      <c r="P2168" s="38">
        <v>0</v>
      </c>
      <c r="Q2168" s="48">
        <f t="shared" si="66"/>
        <v>19497</v>
      </c>
      <c r="R2168" s="69">
        <f t="shared" si="67"/>
        <v>16572.45</v>
      </c>
      <c r="S2168" s="40"/>
      <c r="T2168" s="40"/>
    </row>
    <row r="2169" spans="1:20" ht="45" customHeight="1" x14ac:dyDescent="0.3">
      <c r="A2169" s="31">
        <v>2157</v>
      </c>
      <c r="B2169" s="32" t="s">
        <v>6948</v>
      </c>
      <c r="C2169" s="32" t="s">
        <v>7020</v>
      </c>
      <c r="D2169" s="32" t="s">
        <v>7021</v>
      </c>
      <c r="E2169" s="32">
        <v>2021</v>
      </c>
      <c r="F2169" s="32" t="s">
        <v>19</v>
      </c>
      <c r="G2169" s="32" t="s">
        <v>7099</v>
      </c>
      <c r="H2169" s="32" t="s">
        <v>3597</v>
      </c>
      <c r="I2169" s="32" t="s">
        <v>1075</v>
      </c>
      <c r="J2169" s="32">
        <v>6199</v>
      </c>
      <c r="K2169" s="32">
        <f>6278+4484+1346+4484+2332+2332+2332+2332+2332+2332+6995+6995+2332+6995+1166</f>
        <v>55067</v>
      </c>
      <c r="L2169" s="32">
        <v>0</v>
      </c>
      <c r="M2169" s="32">
        <v>0</v>
      </c>
      <c r="N2169" s="32">
        <v>3148</v>
      </c>
      <c r="O2169" s="32">
        <v>0</v>
      </c>
      <c r="P2169" s="32">
        <v>0</v>
      </c>
      <c r="Q2169" s="46">
        <f t="shared" si="66"/>
        <v>64414</v>
      </c>
      <c r="R2169" s="69">
        <f t="shared" si="67"/>
        <v>54751.9</v>
      </c>
      <c r="S2169" s="30"/>
      <c r="T2169" s="30"/>
    </row>
    <row r="2170" spans="1:20" s="41" customFormat="1" ht="45" customHeight="1" x14ac:dyDescent="0.3">
      <c r="A2170" s="31">
        <v>2158</v>
      </c>
      <c r="B2170" s="38" t="s">
        <v>6948</v>
      </c>
      <c r="C2170" s="38" t="s">
        <v>7022</v>
      </c>
      <c r="D2170" s="38" t="s">
        <v>7023</v>
      </c>
      <c r="E2170" s="38">
        <v>2016</v>
      </c>
      <c r="F2170" s="38" t="s">
        <v>18</v>
      </c>
      <c r="G2170" s="38" t="s">
        <v>7100</v>
      </c>
      <c r="H2170" s="38" t="s">
        <v>7140</v>
      </c>
      <c r="I2170" s="38" t="s">
        <v>7164</v>
      </c>
      <c r="J2170" s="38">
        <v>6199</v>
      </c>
      <c r="K2170" s="38">
        <f>6278+4484+2332+1346+2332+2332+2332+2332+6995+6995+2332+6995+2332+4484+1166+2801</f>
        <v>57868</v>
      </c>
      <c r="L2170" s="38">
        <v>0</v>
      </c>
      <c r="M2170" s="38">
        <v>0</v>
      </c>
      <c r="N2170" s="38">
        <f>3148+4053+2088+1178</f>
        <v>10467</v>
      </c>
      <c r="O2170" s="38">
        <v>0</v>
      </c>
      <c r="P2170" s="38">
        <f>1320+1440+1080+120+374+360+56</f>
        <v>4750</v>
      </c>
      <c r="Q2170" s="48">
        <f t="shared" si="66"/>
        <v>79284</v>
      </c>
      <c r="R2170" s="69">
        <f t="shared" si="67"/>
        <v>67391.399999999994</v>
      </c>
      <c r="S2170" s="40"/>
      <c r="T2170" s="40"/>
    </row>
    <row r="2171" spans="1:20" s="41" customFormat="1" ht="45" customHeight="1" x14ac:dyDescent="0.3">
      <c r="A2171" s="36">
        <v>2159</v>
      </c>
      <c r="B2171" s="38" t="s">
        <v>6948</v>
      </c>
      <c r="C2171" s="38" t="s">
        <v>7022</v>
      </c>
      <c r="D2171" s="38" t="s">
        <v>7023</v>
      </c>
      <c r="E2171" s="38">
        <v>2016</v>
      </c>
      <c r="F2171" s="38" t="s">
        <v>18</v>
      </c>
      <c r="G2171" s="38" t="s">
        <v>7100</v>
      </c>
      <c r="H2171" s="38" t="s">
        <v>7140</v>
      </c>
      <c r="I2171" s="38" t="s">
        <v>7164</v>
      </c>
      <c r="J2171" s="38">
        <v>0</v>
      </c>
      <c r="K2171" s="38">
        <v>0</v>
      </c>
      <c r="L2171" s="38">
        <v>0</v>
      </c>
      <c r="M2171" s="38">
        <v>17688</v>
      </c>
      <c r="N2171" s="38">
        <v>0</v>
      </c>
      <c r="O2171" s="38">
        <v>0</v>
      </c>
      <c r="P2171" s="38">
        <f>360+56</f>
        <v>416</v>
      </c>
      <c r="Q2171" s="48">
        <f t="shared" si="66"/>
        <v>18104</v>
      </c>
      <c r="R2171" s="69">
        <f t="shared" si="67"/>
        <v>15388.4</v>
      </c>
      <c r="S2171" s="40"/>
      <c r="T2171" s="40"/>
    </row>
    <row r="2172" spans="1:20" ht="45" customHeight="1" x14ac:dyDescent="0.3">
      <c r="A2172" s="31">
        <v>2160</v>
      </c>
      <c r="B2172" s="32" t="s">
        <v>6948</v>
      </c>
      <c r="C2172" s="32" t="s">
        <v>7024</v>
      </c>
      <c r="D2172" s="32" t="s">
        <v>418</v>
      </c>
      <c r="E2172" s="32">
        <v>1979</v>
      </c>
      <c r="F2172" s="32" t="s">
        <v>19</v>
      </c>
      <c r="G2172" s="32" t="s">
        <v>488</v>
      </c>
      <c r="H2172" s="32" t="s">
        <v>488</v>
      </c>
      <c r="I2172" s="32" t="s">
        <v>574</v>
      </c>
      <c r="J2172" s="32">
        <v>6199</v>
      </c>
      <c r="K2172" s="32">
        <v>0</v>
      </c>
      <c r="L2172" s="32">
        <v>0</v>
      </c>
      <c r="M2172" s="32">
        <v>0</v>
      </c>
      <c r="N2172" s="32">
        <v>0</v>
      </c>
      <c r="O2172" s="32">
        <v>0</v>
      </c>
      <c r="P2172" s="32">
        <v>0</v>
      </c>
      <c r="Q2172" s="46">
        <f t="shared" si="66"/>
        <v>6199</v>
      </c>
      <c r="R2172" s="69">
        <f t="shared" si="67"/>
        <v>5269.15</v>
      </c>
      <c r="S2172" s="30"/>
      <c r="T2172" s="30"/>
    </row>
    <row r="2173" spans="1:20" ht="45" customHeight="1" x14ac:dyDescent="0.3">
      <c r="A2173" s="31">
        <v>2161</v>
      </c>
      <c r="B2173" s="32" t="s">
        <v>6948</v>
      </c>
      <c r="C2173" s="32" t="s">
        <v>7025</v>
      </c>
      <c r="D2173" s="32" t="s">
        <v>7026</v>
      </c>
      <c r="E2173" s="32">
        <v>2019</v>
      </c>
      <c r="F2173" s="32" t="s">
        <v>18</v>
      </c>
      <c r="G2173" s="32" t="s">
        <v>7101</v>
      </c>
      <c r="H2173" s="32" t="s">
        <v>7141</v>
      </c>
      <c r="I2173" s="32" t="s">
        <v>6677</v>
      </c>
      <c r="J2173" s="32">
        <v>6199</v>
      </c>
      <c r="K2173" s="32">
        <f>6278+4484+1346</f>
        <v>12108</v>
      </c>
      <c r="L2173" s="32">
        <v>0</v>
      </c>
      <c r="M2173" s="32">
        <v>0</v>
      </c>
      <c r="N2173" s="32">
        <v>3148</v>
      </c>
      <c r="O2173" s="32">
        <v>0</v>
      </c>
      <c r="P2173" s="32">
        <v>0</v>
      </c>
      <c r="Q2173" s="46">
        <f t="shared" si="66"/>
        <v>21455</v>
      </c>
      <c r="R2173" s="69">
        <f t="shared" si="67"/>
        <v>18236.75</v>
      </c>
      <c r="S2173" s="30"/>
      <c r="T2173" s="30"/>
    </row>
    <row r="2174" spans="1:20" ht="45" customHeight="1" x14ac:dyDescent="0.3">
      <c r="A2174" s="36">
        <v>2162</v>
      </c>
      <c r="B2174" s="32" t="s">
        <v>6948</v>
      </c>
      <c r="C2174" s="32" t="s">
        <v>7027</v>
      </c>
      <c r="D2174" s="32" t="s">
        <v>7028</v>
      </c>
      <c r="E2174" s="32">
        <v>2024</v>
      </c>
      <c r="F2174" s="32" t="s">
        <v>18</v>
      </c>
      <c r="G2174" s="32" t="s">
        <v>7102</v>
      </c>
      <c r="H2174" s="32" t="s">
        <v>1224</v>
      </c>
      <c r="I2174" s="32" t="s">
        <v>1256</v>
      </c>
      <c r="J2174" s="32">
        <v>6199</v>
      </c>
      <c r="K2174" s="32">
        <v>0</v>
      </c>
      <c r="L2174" s="32">
        <v>0</v>
      </c>
      <c r="M2174" s="32">
        <v>0</v>
      </c>
      <c r="N2174" s="32">
        <v>0</v>
      </c>
      <c r="O2174" s="32">
        <v>0</v>
      </c>
      <c r="P2174" s="32">
        <v>0</v>
      </c>
      <c r="Q2174" s="46">
        <f t="shared" si="66"/>
        <v>6199</v>
      </c>
      <c r="R2174" s="69">
        <f t="shared" si="67"/>
        <v>5269.15</v>
      </c>
      <c r="S2174" s="30"/>
      <c r="T2174" s="30"/>
    </row>
    <row r="2175" spans="1:20" ht="45" customHeight="1" x14ac:dyDescent="0.3">
      <c r="A2175" s="31">
        <v>2163</v>
      </c>
      <c r="B2175" s="32" t="s">
        <v>6948</v>
      </c>
      <c r="C2175" s="32" t="s">
        <v>7029</v>
      </c>
      <c r="D2175" s="32" t="s">
        <v>7030</v>
      </c>
      <c r="E2175" s="32">
        <v>2018</v>
      </c>
      <c r="F2175" s="32" t="s">
        <v>18</v>
      </c>
      <c r="G2175" s="32" t="s">
        <v>7103</v>
      </c>
      <c r="H2175" s="32" t="s">
        <v>3489</v>
      </c>
      <c r="I2175" s="32" t="s">
        <v>7165</v>
      </c>
      <c r="J2175" s="32">
        <v>6199</v>
      </c>
      <c r="K2175" s="32">
        <f>6278+4484+1346+2332+2332+2332+2332+6995+6995+2332+6995+2332+4484+2332</f>
        <v>53901</v>
      </c>
      <c r="L2175" s="32">
        <v>0</v>
      </c>
      <c r="M2175" s="32">
        <v>0</v>
      </c>
      <c r="N2175" s="32">
        <v>3148</v>
      </c>
      <c r="O2175" s="32">
        <v>0</v>
      </c>
      <c r="P2175" s="32">
        <v>0</v>
      </c>
      <c r="Q2175" s="46">
        <f t="shared" si="66"/>
        <v>63248</v>
      </c>
      <c r="R2175" s="69">
        <f t="shared" si="67"/>
        <v>53760.800000000003</v>
      </c>
      <c r="S2175" s="30"/>
      <c r="T2175" s="30"/>
    </row>
    <row r="2176" spans="1:20" ht="45" customHeight="1" x14ac:dyDescent="0.3">
      <c r="A2176" s="31">
        <v>2164</v>
      </c>
      <c r="B2176" s="32" t="s">
        <v>6948</v>
      </c>
      <c r="C2176" s="32" t="s">
        <v>7031</v>
      </c>
      <c r="D2176" s="32" t="s">
        <v>7032</v>
      </c>
      <c r="E2176" s="32">
        <v>2020</v>
      </c>
      <c r="F2176" s="32" t="s">
        <v>18</v>
      </c>
      <c r="G2176" s="32" t="s">
        <v>7104</v>
      </c>
      <c r="H2176" s="32" t="s">
        <v>3489</v>
      </c>
      <c r="I2176" s="32" t="s">
        <v>3506</v>
      </c>
      <c r="J2176" s="32">
        <v>6199</v>
      </c>
      <c r="K2176" s="32">
        <f>6278+4484+2332+1346+2332+2332+2332+2332+6995+6995+2332+6995+2332+4484</f>
        <v>53901</v>
      </c>
      <c r="L2176" s="32">
        <v>0</v>
      </c>
      <c r="M2176" s="32">
        <v>0</v>
      </c>
      <c r="N2176" s="32">
        <v>3148</v>
      </c>
      <c r="O2176" s="32">
        <v>0</v>
      </c>
      <c r="P2176" s="32">
        <v>0</v>
      </c>
      <c r="Q2176" s="46">
        <f t="shared" si="66"/>
        <v>63248</v>
      </c>
      <c r="R2176" s="69">
        <f t="shared" si="67"/>
        <v>53760.800000000003</v>
      </c>
      <c r="S2176" s="30"/>
      <c r="T2176" s="30"/>
    </row>
    <row r="2177" spans="1:20" ht="45" customHeight="1" x14ac:dyDescent="0.3">
      <c r="A2177" s="36">
        <v>2165</v>
      </c>
      <c r="B2177" s="32" t="s">
        <v>6948</v>
      </c>
      <c r="C2177" s="32" t="s">
        <v>7033</v>
      </c>
      <c r="D2177" s="32" t="s">
        <v>7034</v>
      </c>
      <c r="E2177" s="32">
        <v>2015</v>
      </c>
      <c r="F2177" s="32" t="s">
        <v>19</v>
      </c>
      <c r="G2177" s="32" t="s">
        <v>7105</v>
      </c>
      <c r="H2177" s="32" t="s">
        <v>7142</v>
      </c>
      <c r="I2177" s="32" t="s">
        <v>7166</v>
      </c>
      <c r="J2177" s="32">
        <v>6199</v>
      </c>
      <c r="K2177" s="32">
        <f>6278+4484+1346+4484+2332+3000+3000+2332+2332+2332+2332+2332+2332+2332+1166+6995+6995+2332+6995</f>
        <v>65731</v>
      </c>
      <c r="L2177" s="32">
        <v>0</v>
      </c>
      <c r="M2177" s="32">
        <v>0</v>
      </c>
      <c r="N2177" s="32">
        <v>3148</v>
      </c>
      <c r="O2177" s="32">
        <v>0</v>
      </c>
      <c r="P2177" s="32">
        <v>0</v>
      </c>
      <c r="Q2177" s="46">
        <f t="shared" si="66"/>
        <v>75078</v>
      </c>
      <c r="R2177" s="69">
        <f t="shared" si="67"/>
        <v>63816.3</v>
      </c>
      <c r="S2177" s="30"/>
      <c r="T2177" s="30"/>
    </row>
    <row r="2178" spans="1:20" ht="45" customHeight="1" x14ac:dyDescent="0.3">
      <c r="A2178" s="31">
        <v>2166</v>
      </c>
      <c r="B2178" s="32" t="s">
        <v>6948</v>
      </c>
      <c r="C2178" s="32" t="s">
        <v>7035</v>
      </c>
      <c r="D2178" s="32" t="s">
        <v>7036</v>
      </c>
      <c r="E2178" s="32">
        <v>2018</v>
      </c>
      <c r="F2178" s="32" t="s">
        <v>18</v>
      </c>
      <c r="G2178" s="32" t="s">
        <v>7106</v>
      </c>
      <c r="H2178" s="32" t="s">
        <v>1812</v>
      </c>
      <c r="I2178" s="32" t="s">
        <v>7167</v>
      </c>
      <c r="J2178" s="32">
        <v>6199</v>
      </c>
      <c r="K2178" s="32">
        <f>1166+2801</f>
        <v>3967</v>
      </c>
      <c r="L2178" s="32">
        <v>0</v>
      </c>
      <c r="M2178" s="32">
        <v>0</v>
      </c>
      <c r="N2178" s="32">
        <v>0</v>
      </c>
      <c r="O2178" s="32">
        <v>0</v>
      </c>
      <c r="P2178" s="32">
        <v>0</v>
      </c>
      <c r="Q2178" s="46">
        <f t="shared" si="66"/>
        <v>10166</v>
      </c>
      <c r="R2178" s="69">
        <f t="shared" si="67"/>
        <v>8641.1</v>
      </c>
      <c r="S2178" s="30"/>
      <c r="T2178" s="30"/>
    </row>
    <row r="2179" spans="1:20" ht="45" customHeight="1" x14ac:dyDescent="0.3">
      <c r="A2179" s="31">
        <v>2167</v>
      </c>
      <c r="B2179" s="32" t="s">
        <v>6948</v>
      </c>
      <c r="C2179" s="32" t="s">
        <v>7037</v>
      </c>
      <c r="D2179" s="32" t="s">
        <v>2270</v>
      </c>
      <c r="E2179" s="32">
        <v>1988</v>
      </c>
      <c r="F2179" s="32" t="s">
        <v>19</v>
      </c>
      <c r="G2179" s="32" t="s">
        <v>2373</v>
      </c>
      <c r="H2179" s="32" t="s">
        <v>2373</v>
      </c>
      <c r="I2179" s="32" t="s">
        <v>299</v>
      </c>
      <c r="J2179" s="32">
        <v>6199</v>
      </c>
      <c r="K2179" s="32">
        <v>0</v>
      </c>
      <c r="L2179" s="32">
        <v>0</v>
      </c>
      <c r="M2179" s="32">
        <v>0</v>
      </c>
      <c r="N2179" s="32">
        <v>0</v>
      </c>
      <c r="O2179" s="32">
        <v>0</v>
      </c>
      <c r="P2179" s="32">
        <v>0</v>
      </c>
      <c r="Q2179" s="46">
        <f t="shared" si="66"/>
        <v>6199</v>
      </c>
      <c r="R2179" s="69">
        <f t="shared" si="67"/>
        <v>5269.15</v>
      </c>
      <c r="S2179" s="30"/>
      <c r="T2179" s="30"/>
    </row>
    <row r="2180" spans="1:20" ht="45" customHeight="1" x14ac:dyDescent="0.3">
      <c r="A2180" s="36">
        <v>2168</v>
      </c>
      <c r="B2180" s="32" t="s">
        <v>6948</v>
      </c>
      <c r="C2180" s="32" t="s">
        <v>7038</v>
      </c>
      <c r="D2180" s="32" t="s">
        <v>3358</v>
      </c>
      <c r="E2180" s="32">
        <v>2020</v>
      </c>
      <c r="F2180" s="32" t="s">
        <v>18</v>
      </c>
      <c r="G2180" s="32" t="s">
        <v>3434</v>
      </c>
      <c r="H2180" s="32" t="s">
        <v>3472</v>
      </c>
      <c r="I2180" s="32" t="s">
        <v>1483</v>
      </c>
      <c r="J2180" s="32">
        <v>3793</v>
      </c>
      <c r="K2180" s="32">
        <v>0</v>
      </c>
      <c r="L2180" s="32">
        <v>0</v>
      </c>
      <c r="M2180" s="32">
        <v>0</v>
      </c>
      <c r="N2180" s="32">
        <f>15443+121574+27126</f>
        <v>164143</v>
      </c>
      <c r="O2180" s="32">
        <v>0</v>
      </c>
      <c r="P2180" s="32">
        <v>0</v>
      </c>
      <c r="Q2180" s="46">
        <f t="shared" si="66"/>
        <v>167936</v>
      </c>
      <c r="R2180" s="69">
        <f t="shared" si="67"/>
        <v>142745.60000000001</v>
      </c>
      <c r="S2180" s="30"/>
      <c r="T2180" s="30"/>
    </row>
    <row r="2181" spans="1:20" ht="45" customHeight="1" x14ac:dyDescent="0.3">
      <c r="A2181" s="31">
        <v>2169</v>
      </c>
      <c r="B2181" s="32" t="s">
        <v>6948</v>
      </c>
      <c r="C2181" s="32" t="s">
        <v>7039</v>
      </c>
      <c r="D2181" s="32" t="s">
        <v>7040</v>
      </c>
      <c r="E2181" s="32">
        <v>1997</v>
      </c>
      <c r="F2181" s="32" t="s">
        <v>18</v>
      </c>
      <c r="G2181" s="32" t="s">
        <v>7107</v>
      </c>
      <c r="H2181" s="32" t="s">
        <v>7107</v>
      </c>
      <c r="I2181" s="32" t="s">
        <v>7168</v>
      </c>
      <c r="J2181" s="32">
        <v>6199</v>
      </c>
      <c r="K2181" s="32">
        <v>0</v>
      </c>
      <c r="L2181" s="32">
        <v>0</v>
      </c>
      <c r="M2181" s="32">
        <v>0</v>
      </c>
      <c r="N2181" s="32">
        <v>0</v>
      </c>
      <c r="O2181" s="32">
        <v>0</v>
      </c>
      <c r="P2181" s="32">
        <v>0</v>
      </c>
      <c r="Q2181" s="47">
        <f t="shared" si="66"/>
        <v>6199</v>
      </c>
      <c r="R2181" s="69">
        <f t="shared" si="67"/>
        <v>5269.15</v>
      </c>
      <c r="S2181" s="30"/>
      <c r="T2181" s="30"/>
    </row>
    <row r="2182" spans="1:20" ht="45" customHeight="1" x14ac:dyDescent="0.3">
      <c r="A2182" s="31">
        <v>2170</v>
      </c>
      <c r="B2182" s="32" t="s">
        <v>6948</v>
      </c>
      <c r="C2182" s="32" t="s">
        <v>7041</v>
      </c>
      <c r="D2182" s="32" t="s">
        <v>7042</v>
      </c>
      <c r="E2182" s="32">
        <v>1987</v>
      </c>
      <c r="F2182" s="32" t="s">
        <v>19</v>
      </c>
      <c r="G2182" s="32" t="s">
        <v>812</v>
      </c>
      <c r="H2182" s="32" t="s">
        <v>812</v>
      </c>
      <c r="I2182" s="32" t="s">
        <v>3506</v>
      </c>
      <c r="J2182" s="32">
        <v>6199</v>
      </c>
      <c r="K2182" s="32">
        <v>0</v>
      </c>
      <c r="L2182" s="32">
        <v>20807</v>
      </c>
      <c r="M2182" s="32">
        <v>0</v>
      </c>
      <c r="N2182" s="32">
        <v>0</v>
      </c>
      <c r="O2182" s="32">
        <v>0</v>
      </c>
      <c r="P2182" s="32">
        <v>0</v>
      </c>
      <c r="Q2182" s="46">
        <f t="shared" si="66"/>
        <v>27006</v>
      </c>
      <c r="R2182" s="69">
        <f t="shared" si="67"/>
        <v>22955.1</v>
      </c>
      <c r="S2182" s="30"/>
      <c r="T2182" s="30"/>
    </row>
    <row r="2183" spans="1:20" ht="45" customHeight="1" x14ac:dyDescent="0.3">
      <c r="A2183" s="36">
        <v>2171</v>
      </c>
      <c r="B2183" s="32" t="s">
        <v>6948</v>
      </c>
      <c r="C2183" s="32" t="s">
        <v>7043</v>
      </c>
      <c r="D2183" s="32" t="s">
        <v>7044</v>
      </c>
      <c r="E2183" s="32">
        <v>2024</v>
      </c>
      <c r="F2183" s="32" t="s">
        <v>19</v>
      </c>
      <c r="G2183" s="32" t="s">
        <v>7108</v>
      </c>
      <c r="H2183" s="32" t="s">
        <v>7143</v>
      </c>
      <c r="I2183" s="32" t="s">
        <v>1262</v>
      </c>
      <c r="J2183" s="32">
        <v>6199</v>
      </c>
      <c r="K2183" s="32">
        <f>6278+4484+1346+2332</f>
        <v>14440</v>
      </c>
      <c r="L2183" s="32">
        <v>0</v>
      </c>
      <c r="M2183" s="32">
        <v>0</v>
      </c>
      <c r="N2183" s="32">
        <v>3148</v>
      </c>
      <c r="O2183" s="32">
        <v>0</v>
      </c>
      <c r="P2183" s="32">
        <v>0</v>
      </c>
      <c r="Q2183" s="46">
        <f t="shared" si="66"/>
        <v>23787</v>
      </c>
      <c r="R2183" s="69">
        <f t="shared" si="67"/>
        <v>20218.95</v>
      </c>
      <c r="S2183" s="30"/>
      <c r="T2183" s="30"/>
    </row>
    <row r="2184" spans="1:20" s="41" customFormat="1" ht="45" customHeight="1" x14ac:dyDescent="0.3">
      <c r="A2184" s="31">
        <v>2172</v>
      </c>
      <c r="B2184" s="38" t="s">
        <v>6948</v>
      </c>
      <c r="C2184" s="38" t="s">
        <v>7045</v>
      </c>
      <c r="D2184" s="38" t="s">
        <v>7046</v>
      </c>
      <c r="E2184" s="38">
        <v>2023</v>
      </c>
      <c r="F2184" s="38" t="s">
        <v>18</v>
      </c>
      <c r="G2184" s="38" t="s">
        <v>7109</v>
      </c>
      <c r="H2184" s="40" t="s">
        <v>7330</v>
      </c>
      <c r="I2184" s="38" t="s">
        <v>3935</v>
      </c>
      <c r="J2184" s="38">
        <v>6199</v>
      </c>
      <c r="K2184" s="38">
        <v>0</v>
      </c>
      <c r="L2184" s="38">
        <v>0</v>
      </c>
      <c r="M2184" s="38">
        <v>0</v>
      </c>
      <c r="N2184" s="38">
        <v>0</v>
      </c>
      <c r="O2184" s="38">
        <v>0</v>
      </c>
      <c r="P2184" s="38">
        <v>0</v>
      </c>
      <c r="Q2184" s="48">
        <f t="shared" si="66"/>
        <v>6199</v>
      </c>
      <c r="R2184" s="69">
        <f t="shared" si="67"/>
        <v>5269.15</v>
      </c>
      <c r="S2184" s="40"/>
      <c r="T2184" s="40"/>
    </row>
    <row r="2185" spans="1:20" ht="45" customHeight="1" x14ac:dyDescent="0.3">
      <c r="A2185" s="31">
        <v>2173</v>
      </c>
      <c r="B2185" s="32" t="s">
        <v>6948</v>
      </c>
      <c r="C2185" s="32" t="s">
        <v>7047</v>
      </c>
      <c r="D2185" s="32" t="s">
        <v>1097</v>
      </c>
      <c r="E2185" s="32">
        <v>1994</v>
      </c>
      <c r="F2185" s="32" t="s">
        <v>18</v>
      </c>
      <c r="G2185" s="32" t="s">
        <v>1175</v>
      </c>
      <c r="H2185" s="32" t="s">
        <v>1175</v>
      </c>
      <c r="I2185" s="32" t="s">
        <v>1258</v>
      </c>
      <c r="J2185" s="32">
        <v>6199</v>
      </c>
      <c r="K2185" s="32">
        <v>0</v>
      </c>
      <c r="L2185" s="32">
        <v>0</v>
      </c>
      <c r="M2185" s="32">
        <v>0</v>
      </c>
      <c r="N2185" s="32">
        <v>0</v>
      </c>
      <c r="O2185" s="32">
        <v>0</v>
      </c>
      <c r="P2185" s="32">
        <v>0</v>
      </c>
      <c r="Q2185" s="46">
        <f t="shared" si="66"/>
        <v>6199</v>
      </c>
      <c r="R2185" s="69">
        <f t="shared" si="67"/>
        <v>5269.15</v>
      </c>
      <c r="S2185" s="30"/>
      <c r="T2185" s="30"/>
    </row>
    <row r="2186" spans="1:20" ht="45" customHeight="1" x14ac:dyDescent="0.3">
      <c r="A2186" s="36">
        <v>2174</v>
      </c>
      <c r="B2186" s="32" t="s">
        <v>6948</v>
      </c>
      <c r="C2186" s="32" t="s">
        <v>7048</v>
      </c>
      <c r="D2186" s="32" t="s">
        <v>2940</v>
      </c>
      <c r="E2186" s="32">
        <v>2022</v>
      </c>
      <c r="F2186" s="32" t="s">
        <v>18</v>
      </c>
      <c r="G2186" s="32" t="s">
        <v>3024</v>
      </c>
      <c r="H2186" s="32" t="s">
        <v>3067</v>
      </c>
      <c r="I2186" s="32" t="s">
        <v>3097</v>
      </c>
      <c r="J2186" s="32">
        <v>6199</v>
      </c>
      <c r="K2186" s="32">
        <f>6278+1346</f>
        <v>7624</v>
      </c>
      <c r="L2186" s="32">
        <v>0</v>
      </c>
      <c r="M2186" s="32">
        <v>0</v>
      </c>
      <c r="N2186" s="32">
        <f>3148+2088</f>
        <v>5236</v>
      </c>
      <c r="O2186" s="32">
        <v>0</v>
      </c>
      <c r="P2186" s="32">
        <v>60</v>
      </c>
      <c r="Q2186" s="46">
        <f t="shared" si="66"/>
        <v>19119</v>
      </c>
      <c r="R2186" s="69">
        <f t="shared" si="67"/>
        <v>16251.15</v>
      </c>
      <c r="S2186" s="30"/>
      <c r="T2186" s="30"/>
    </row>
    <row r="2187" spans="1:20" ht="45" customHeight="1" x14ac:dyDescent="0.3">
      <c r="A2187" s="31">
        <v>2175</v>
      </c>
      <c r="B2187" s="32" t="s">
        <v>6948</v>
      </c>
      <c r="C2187" s="32" t="s">
        <v>7049</v>
      </c>
      <c r="D2187" s="32" t="s">
        <v>7050</v>
      </c>
      <c r="E2187" s="32">
        <v>1996</v>
      </c>
      <c r="F2187" s="32" t="s">
        <v>18</v>
      </c>
      <c r="G2187" s="32" t="s">
        <v>7110</v>
      </c>
      <c r="H2187" s="32" t="s">
        <v>7144</v>
      </c>
      <c r="I2187" s="32" t="s">
        <v>2476</v>
      </c>
      <c r="J2187" s="32">
        <v>6199</v>
      </c>
      <c r="K2187" s="32">
        <f>2332+2332</f>
        <v>4664</v>
      </c>
      <c r="L2187" s="32">
        <v>0</v>
      </c>
      <c r="M2187" s="32">
        <v>0</v>
      </c>
      <c r="N2187" s="32">
        <v>0</v>
      </c>
      <c r="O2187" s="32">
        <v>0</v>
      </c>
      <c r="P2187" s="32">
        <v>0</v>
      </c>
      <c r="Q2187" s="46">
        <f t="shared" si="66"/>
        <v>10863</v>
      </c>
      <c r="R2187" s="69">
        <f t="shared" si="67"/>
        <v>9233.5499999999993</v>
      </c>
      <c r="S2187" s="30"/>
      <c r="T2187" s="30"/>
    </row>
    <row r="2188" spans="1:20" ht="45" customHeight="1" x14ac:dyDescent="0.3">
      <c r="A2188" s="31">
        <v>2176</v>
      </c>
      <c r="B2188" s="32" t="s">
        <v>6948</v>
      </c>
      <c r="C2188" s="32" t="s">
        <v>7051</v>
      </c>
      <c r="D2188" s="32" t="s">
        <v>7052</v>
      </c>
      <c r="E2188" s="32">
        <v>1982</v>
      </c>
      <c r="F2188" s="32" t="s">
        <v>18</v>
      </c>
      <c r="G2188" s="32" t="s">
        <v>7111</v>
      </c>
      <c r="H2188" s="32" t="s">
        <v>7145</v>
      </c>
      <c r="I2188" s="32" t="s">
        <v>7169</v>
      </c>
      <c r="J2188" s="32">
        <v>6199</v>
      </c>
      <c r="K2188" s="32">
        <v>0</v>
      </c>
      <c r="L2188" s="32">
        <v>0</v>
      </c>
      <c r="M2188" s="32">
        <v>0</v>
      </c>
      <c r="N2188" s="32">
        <v>0</v>
      </c>
      <c r="O2188" s="32">
        <v>0</v>
      </c>
      <c r="P2188" s="32">
        <v>0</v>
      </c>
      <c r="Q2188" s="46">
        <f t="shared" si="66"/>
        <v>6199</v>
      </c>
      <c r="R2188" s="69">
        <f t="shared" si="67"/>
        <v>5269.15</v>
      </c>
      <c r="S2188" s="30"/>
      <c r="T2188" s="30"/>
    </row>
    <row r="2189" spans="1:20" ht="45" customHeight="1" x14ac:dyDescent="0.3">
      <c r="A2189" s="36">
        <v>2177</v>
      </c>
      <c r="B2189" s="32" t="s">
        <v>6948</v>
      </c>
      <c r="C2189" s="32" t="s">
        <v>7053</v>
      </c>
      <c r="D2189" s="32" t="s">
        <v>2957</v>
      </c>
      <c r="E2189" s="32">
        <v>1995</v>
      </c>
      <c r="F2189" s="32" t="s">
        <v>19</v>
      </c>
      <c r="G2189" s="32" t="s">
        <v>3032</v>
      </c>
      <c r="H2189" s="32" t="s">
        <v>3032</v>
      </c>
      <c r="I2189" s="32" t="s">
        <v>300</v>
      </c>
      <c r="J2189" s="32">
        <v>6199</v>
      </c>
      <c r="K2189" s="32">
        <v>0</v>
      </c>
      <c r="L2189" s="32">
        <v>9422</v>
      </c>
      <c r="M2189" s="32">
        <v>0</v>
      </c>
      <c r="N2189" s="32">
        <v>0</v>
      </c>
      <c r="O2189" s="32">
        <v>0</v>
      </c>
      <c r="P2189" s="32">
        <v>0</v>
      </c>
      <c r="Q2189" s="46">
        <f t="shared" ref="Q2189:Q2204" si="68">SUM(J2189:P2189)</f>
        <v>15621</v>
      </c>
      <c r="R2189" s="69">
        <f t="shared" si="67"/>
        <v>13277.85</v>
      </c>
      <c r="S2189" s="30"/>
      <c r="T2189" s="30"/>
    </row>
    <row r="2190" spans="1:20" ht="45" customHeight="1" x14ac:dyDescent="0.3">
      <c r="A2190" s="31">
        <v>2178</v>
      </c>
      <c r="B2190" s="32" t="s">
        <v>6948</v>
      </c>
      <c r="C2190" s="32" t="s">
        <v>7054</v>
      </c>
      <c r="D2190" s="32" t="s">
        <v>4483</v>
      </c>
      <c r="E2190" s="32">
        <v>1995</v>
      </c>
      <c r="F2190" s="32" t="s">
        <v>19</v>
      </c>
      <c r="G2190" s="32" t="s">
        <v>4557</v>
      </c>
      <c r="H2190" s="32" t="s">
        <v>4598</v>
      </c>
      <c r="I2190" s="32" t="s">
        <v>1460</v>
      </c>
      <c r="J2190" s="32">
        <v>3793</v>
      </c>
      <c r="K2190" s="32">
        <v>0</v>
      </c>
      <c r="L2190" s="32">
        <v>0</v>
      </c>
      <c r="M2190" s="32">
        <v>0</v>
      </c>
      <c r="N2190" s="32">
        <v>0</v>
      </c>
      <c r="O2190" s="32">
        <v>0</v>
      </c>
      <c r="P2190" s="32">
        <v>0</v>
      </c>
      <c r="Q2190" s="46">
        <f t="shared" si="68"/>
        <v>3793</v>
      </c>
      <c r="R2190" s="69">
        <f t="shared" ref="R2190:R2206" si="69">Q2190*85/100</f>
        <v>3224.05</v>
      </c>
      <c r="S2190" s="30"/>
      <c r="T2190" s="30"/>
    </row>
    <row r="2191" spans="1:20" ht="45" customHeight="1" x14ac:dyDescent="0.3">
      <c r="A2191" s="31">
        <v>2179</v>
      </c>
      <c r="B2191" s="32" t="s">
        <v>6948</v>
      </c>
      <c r="C2191" s="32" t="s">
        <v>7055</v>
      </c>
      <c r="D2191" s="32" t="s">
        <v>1729</v>
      </c>
      <c r="E2191" s="32">
        <v>2022</v>
      </c>
      <c r="F2191" s="32" t="s">
        <v>19</v>
      </c>
      <c r="G2191" s="32" t="s">
        <v>1811</v>
      </c>
      <c r="H2191" s="32" t="s">
        <v>1856</v>
      </c>
      <c r="I2191" s="32" t="s">
        <v>539</v>
      </c>
      <c r="J2191" s="32">
        <v>6199</v>
      </c>
      <c r="K2191" s="32">
        <v>0</v>
      </c>
      <c r="L2191" s="32">
        <v>0</v>
      </c>
      <c r="M2191" s="32">
        <v>0</v>
      </c>
      <c r="N2191" s="32">
        <v>0</v>
      </c>
      <c r="O2191" s="32">
        <v>0</v>
      </c>
      <c r="P2191" s="32">
        <v>0</v>
      </c>
      <c r="Q2191" s="46">
        <f t="shared" si="68"/>
        <v>6199</v>
      </c>
      <c r="R2191" s="69">
        <f t="shared" si="69"/>
        <v>5269.15</v>
      </c>
      <c r="S2191" s="30"/>
      <c r="T2191" s="30"/>
    </row>
    <row r="2192" spans="1:20" ht="45" customHeight="1" x14ac:dyDescent="0.3">
      <c r="A2192" s="36">
        <v>2180</v>
      </c>
      <c r="B2192" s="32" t="s">
        <v>6948</v>
      </c>
      <c r="C2192" s="32" t="s">
        <v>7056</v>
      </c>
      <c r="D2192" s="32" t="s">
        <v>7057</v>
      </c>
      <c r="E2192" s="32">
        <v>2021</v>
      </c>
      <c r="F2192" s="32" t="s">
        <v>18</v>
      </c>
      <c r="G2192" s="32" t="s">
        <v>7112</v>
      </c>
      <c r="H2192" s="32" t="s">
        <v>7146</v>
      </c>
      <c r="I2192" s="32" t="s">
        <v>35</v>
      </c>
      <c r="J2192" s="32">
        <v>6199</v>
      </c>
      <c r="K2192" s="32">
        <v>0</v>
      </c>
      <c r="L2192" s="32">
        <v>0</v>
      </c>
      <c r="M2192" s="32">
        <v>0</v>
      </c>
      <c r="N2192" s="32">
        <v>0</v>
      </c>
      <c r="O2192" s="32">
        <v>0</v>
      </c>
      <c r="P2192" s="32">
        <v>0</v>
      </c>
      <c r="Q2192" s="46">
        <f t="shared" si="68"/>
        <v>6199</v>
      </c>
      <c r="R2192" s="69">
        <f t="shared" si="69"/>
        <v>5269.15</v>
      </c>
      <c r="S2192" s="30"/>
      <c r="T2192" s="30"/>
    </row>
    <row r="2193" spans="1:20" ht="45" customHeight="1" x14ac:dyDescent="0.3">
      <c r="A2193" s="31">
        <v>2181</v>
      </c>
      <c r="B2193" s="32" t="s">
        <v>6948</v>
      </c>
      <c r="C2193" s="32" t="s">
        <v>7058</v>
      </c>
      <c r="D2193" s="32" t="s">
        <v>7059</v>
      </c>
      <c r="E2193" s="32">
        <v>1995</v>
      </c>
      <c r="F2193" s="32" t="s">
        <v>19</v>
      </c>
      <c r="G2193" s="32" t="s">
        <v>7113</v>
      </c>
      <c r="H2193" s="32" t="s">
        <v>7113</v>
      </c>
      <c r="I2193" s="32" t="s">
        <v>856</v>
      </c>
      <c r="J2193" s="32">
        <v>6199</v>
      </c>
      <c r="K2193" s="32">
        <v>0</v>
      </c>
      <c r="L2193" s="32">
        <v>0</v>
      </c>
      <c r="M2193" s="32">
        <v>0</v>
      </c>
      <c r="N2193" s="32">
        <v>1681</v>
      </c>
      <c r="O2193" s="32">
        <v>0</v>
      </c>
      <c r="P2193" s="32">
        <v>60</v>
      </c>
      <c r="Q2193" s="46">
        <f t="shared" si="68"/>
        <v>7940</v>
      </c>
      <c r="R2193" s="69">
        <f t="shared" si="69"/>
        <v>6749</v>
      </c>
      <c r="S2193" s="30"/>
      <c r="T2193" s="30"/>
    </row>
    <row r="2194" spans="1:20" ht="45" customHeight="1" x14ac:dyDescent="0.3">
      <c r="A2194" s="31">
        <v>2182</v>
      </c>
      <c r="B2194" s="32" t="s">
        <v>6948</v>
      </c>
      <c r="C2194" s="32" t="s">
        <v>7060</v>
      </c>
      <c r="D2194" s="32" t="s">
        <v>7061</v>
      </c>
      <c r="E2194" s="32">
        <v>2016</v>
      </c>
      <c r="F2194" s="32" t="s">
        <v>19</v>
      </c>
      <c r="G2194" s="32" t="s">
        <v>7114</v>
      </c>
      <c r="H2194" s="32" t="s">
        <v>7147</v>
      </c>
      <c r="I2194" s="32" t="s">
        <v>289</v>
      </c>
      <c r="J2194" s="32">
        <v>6199</v>
      </c>
      <c r="K2194" s="32">
        <v>0</v>
      </c>
      <c r="L2194" s="32">
        <v>0</v>
      </c>
      <c r="M2194" s="32">
        <v>0</v>
      </c>
      <c r="N2194" s="32">
        <v>0</v>
      </c>
      <c r="O2194" s="32">
        <v>0</v>
      </c>
      <c r="P2194" s="32">
        <v>0</v>
      </c>
      <c r="Q2194" s="46">
        <f t="shared" si="68"/>
        <v>6199</v>
      </c>
      <c r="R2194" s="69">
        <f t="shared" si="69"/>
        <v>5269.15</v>
      </c>
      <c r="S2194" s="30"/>
      <c r="T2194" s="30"/>
    </row>
    <row r="2195" spans="1:20" ht="45" customHeight="1" x14ac:dyDescent="0.3">
      <c r="A2195" s="36">
        <v>2183</v>
      </c>
      <c r="B2195" s="32" t="s">
        <v>6948</v>
      </c>
      <c r="C2195" s="32" t="s">
        <v>7062</v>
      </c>
      <c r="D2195" s="32" t="s">
        <v>7063</v>
      </c>
      <c r="E2195" s="32">
        <v>2019</v>
      </c>
      <c r="F2195" s="32" t="s">
        <v>18</v>
      </c>
      <c r="G2195" s="32" t="s">
        <v>7115</v>
      </c>
      <c r="H2195" s="32" t="s">
        <v>7148</v>
      </c>
      <c r="I2195" s="32" t="s">
        <v>289</v>
      </c>
      <c r="J2195" s="32">
        <v>6199</v>
      </c>
      <c r="K2195" s="32">
        <v>0</v>
      </c>
      <c r="L2195" s="32">
        <v>0</v>
      </c>
      <c r="M2195" s="32">
        <v>0</v>
      </c>
      <c r="N2195" s="32">
        <v>0</v>
      </c>
      <c r="O2195" s="32">
        <v>0</v>
      </c>
      <c r="P2195" s="32">
        <v>0</v>
      </c>
      <c r="Q2195" s="46">
        <f t="shared" si="68"/>
        <v>6199</v>
      </c>
      <c r="R2195" s="69">
        <f t="shared" si="69"/>
        <v>5269.15</v>
      </c>
      <c r="S2195" s="30"/>
      <c r="T2195" s="30"/>
    </row>
    <row r="2196" spans="1:20" ht="45" customHeight="1" x14ac:dyDescent="0.3">
      <c r="A2196" s="31">
        <v>2184</v>
      </c>
      <c r="B2196" s="32" t="s">
        <v>6948</v>
      </c>
      <c r="C2196" s="32" t="s">
        <v>7064</v>
      </c>
      <c r="D2196" s="32" t="s">
        <v>7065</v>
      </c>
      <c r="E2196" s="32">
        <v>1991</v>
      </c>
      <c r="F2196" s="32" t="s">
        <v>19</v>
      </c>
      <c r="G2196" s="32" t="s">
        <v>7116</v>
      </c>
      <c r="H2196" s="32" t="s">
        <v>7149</v>
      </c>
      <c r="I2196" s="32" t="s">
        <v>2645</v>
      </c>
      <c r="J2196" s="32">
        <v>6199</v>
      </c>
      <c r="K2196" s="32">
        <v>0</v>
      </c>
      <c r="L2196" s="32">
        <v>0</v>
      </c>
      <c r="M2196" s="32">
        <v>0</v>
      </c>
      <c r="N2196" s="32">
        <v>0</v>
      </c>
      <c r="O2196" s="32">
        <v>0</v>
      </c>
      <c r="P2196" s="32">
        <v>0</v>
      </c>
      <c r="Q2196" s="46">
        <f t="shared" si="68"/>
        <v>6199</v>
      </c>
      <c r="R2196" s="69">
        <f t="shared" si="69"/>
        <v>5269.15</v>
      </c>
      <c r="S2196" s="30"/>
      <c r="T2196" s="30"/>
    </row>
    <row r="2197" spans="1:20" ht="45" customHeight="1" x14ac:dyDescent="0.3">
      <c r="A2197" s="31">
        <v>2185</v>
      </c>
      <c r="B2197" s="32" t="s">
        <v>6948</v>
      </c>
      <c r="C2197" s="32" t="s">
        <v>7331</v>
      </c>
      <c r="D2197" s="34" t="s">
        <v>7326</v>
      </c>
      <c r="E2197" s="32">
        <v>2008</v>
      </c>
      <c r="F2197" s="32" t="s">
        <v>19</v>
      </c>
      <c r="G2197" s="32" t="s">
        <v>7327</v>
      </c>
      <c r="H2197" s="32" t="s">
        <v>7328</v>
      </c>
      <c r="I2197" s="32" t="s">
        <v>7329</v>
      </c>
      <c r="J2197" s="32">
        <v>6199</v>
      </c>
      <c r="K2197" s="32">
        <f>6278+4484+2332+1346+2332+2332+2332+2332+6995+6995+2332+6995+6995+3000+4484+6995+1166</f>
        <v>69725</v>
      </c>
      <c r="L2197" s="32">
        <v>0</v>
      </c>
      <c r="M2197" s="32">
        <v>0</v>
      </c>
      <c r="N2197" s="32">
        <f>1178+1681+3179</f>
        <v>6038</v>
      </c>
      <c r="O2197" s="32">
        <v>0</v>
      </c>
      <c r="P2197" s="32">
        <f>1440+660+1200+312+56</f>
        <v>3668</v>
      </c>
      <c r="Q2197" s="46">
        <f t="shared" si="68"/>
        <v>85630</v>
      </c>
      <c r="R2197" s="69">
        <f t="shared" si="69"/>
        <v>72785.5</v>
      </c>
      <c r="S2197" s="30"/>
      <c r="T2197" s="30"/>
    </row>
    <row r="2198" spans="1:20" ht="45" customHeight="1" x14ac:dyDescent="0.3">
      <c r="A2198" s="36">
        <v>2186</v>
      </c>
      <c r="B2198" s="32" t="s">
        <v>6948</v>
      </c>
      <c r="C2198" s="32" t="s">
        <v>7331</v>
      </c>
      <c r="D2198" s="34" t="s">
        <v>7326</v>
      </c>
      <c r="E2198" s="32">
        <v>2008</v>
      </c>
      <c r="F2198" s="32" t="s">
        <v>19</v>
      </c>
      <c r="G2198" s="32" t="s">
        <v>7327</v>
      </c>
      <c r="H2198" s="32" t="s">
        <v>7328</v>
      </c>
      <c r="I2198" s="32" t="s">
        <v>7329</v>
      </c>
      <c r="J2198" s="32">
        <v>0</v>
      </c>
      <c r="K2198" s="32">
        <v>0</v>
      </c>
      <c r="L2198" s="32">
        <v>0</v>
      </c>
      <c r="M2198" s="32">
        <v>17688</v>
      </c>
      <c r="N2198" s="32">
        <v>0</v>
      </c>
      <c r="O2198" s="32">
        <v>0</v>
      </c>
      <c r="P2198" s="32">
        <v>0</v>
      </c>
      <c r="Q2198" s="46">
        <f t="shared" si="68"/>
        <v>17688</v>
      </c>
      <c r="R2198" s="69">
        <f t="shared" si="69"/>
        <v>15034.8</v>
      </c>
      <c r="S2198" s="30"/>
      <c r="T2198" s="30"/>
    </row>
    <row r="2199" spans="1:20" ht="45" customHeight="1" x14ac:dyDescent="0.3">
      <c r="A2199" s="31">
        <v>2187</v>
      </c>
      <c r="B2199" s="32" t="s">
        <v>6948</v>
      </c>
      <c r="C2199" s="32" t="s">
        <v>7332</v>
      </c>
      <c r="D2199" s="34" t="s">
        <v>4911</v>
      </c>
      <c r="E2199" s="32">
        <v>2024</v>
      </c>
      <c r="F2199" s="32" t="s">
        <v>18</v>
      </c>
      <c r="G2199" s="32" t="s">
        <v>5029</v>
      </c>
      <c r="H2199" s="32" t="s">
        <v>1044</v>
      </c>
      <c r="I2199" s="32" t="s">
        <v>5128</v>
      </c>
      <c r="J2199" s="32">
        <v>2900</v>
      </c>
      <c r="K2199" s="32">
        <v>0</v>
      </c>
      <c r="L2199" s="32">
        <v>0</v>
      </c>
      <c r="M2199" s="32">
        <v>0</v>
      </c>
      <c r="N2199" s="32">
        <v>2088</v>
      </c>
      <c r="O2199" s="32">
        <v>0</v>
      </c>
      <c r="P2199" s="32">
        <f>360+56</f>
        <v>416</v>
      </c>
      <c r="Q2199" s="46">
        <f t="shared" si="68"/>
        <v>5404</v>
      </c>
      <c r="R2199" s="69">
        <f t="shared" si="69"/>
        <v>4593.3999999999996</v>
      </c>
      <c r="S2199" s="30"/>
      <c r="T2199" s="30"/>
    </row>
    <row r="2200" spans="1:20" ht="45" customHeight="1" x14ac:dyDescent="0.3">
      <c r="A2200" s="31">
        <v>2188</v>
      </c>
      <c r="B2200" s="32" t="s">
        <v>6948</v>
      </c>
      <c r="C2200" s="32" t="s">
        <v>7333</v>
      </c>
      <c r="D2200" s="34" t="s">
        <v>6480</v>
      </c>
      <c r="E2200" s="32">
        <v>2022</v>
      </c>
      <c r="F2200" s="32" t="s">
        <v>19</v>
      </c>
      <c r="G2200" s="32" t="s">
        <v>6588</v>
      </c>
      <c r="H2200" s="32" t="s">
        <v>6640</v>
      </c>
      <c r="I2200" s="32" t="s">
        <v>2622</v>
      </c>
      <c r="J2200" s="32">
        <v>2900</v>
      </c>
      <c r="K2200" s="32">
        <v>0</v>
      </c>
      <c r="L2200" s="32">
        <v>0</v>
      </c>
      <c r="M2200" s="32">
        <v>0</v>
      </c>
      <c r="N2200" s="32">
        <v>2088</v>
      </c>
      <c r="O2200" s="32">
        <v>0</v>
      </c>
      <c r="P2200" s="32">
        <f>360+56</f>
        <v>416</v>
      </c>
      <c r="Q2200" s="46">
        <f t="shared" si="68"/>
        <v>5404</v>
      </c>
      <c r="R2200" s="69">
        <f t="shared" si="69"/>
        <v>4593.3999999999996</v>
      </c>
      <c r="S2200" s="30"/>
      <c r="T2200" s="30"/>
    </row>
    <row r="2201" spans="1:20" ht="45" customHeight="1" x14ac:dyDescent="0.3">
      <c r="A2201" s="36">
        <v>2189</v>
      </c>
      <c r="B2201" s="32" t="s">
        <v>6948</v>
      </c>
      <c r="C2201" s="32" t="s">
        <v>7334</v>
      </c>
      <c r="D2201" s="34" t="s">
        <v>6811</v>
      </c>
      <c r="E2201" s="32">
        <v>2022</v>
      </c>
      <c r="F2201" s="32" t="s">
        <v>18</v>
      </c>
      <c r="G2201" s="32" t="s">
        <v>6879</v>
      </c>
      <c r="H2201" s="32" t="s">
        <v>6912</v>
      </c>
      <c r="I2201" s="32" t="s">
        <v>1280</v>
      </c>
      <c r="J2201" s="32">
        <v>2900</v>
      </c>
      <c r="K2201" s="32">
        <v>0</v>
      </c>
      <c r="L2201" s="32">
        <v>0</v>
      </c>
      <c r="M2201" s="32">
        <v>0</v>
      </c>
      <c r="N2201" s="32">
        <v>2088</v>
      </c>
      <c r="O2201" s="32">
        <v>0</v>
      </c>
      <c r="P2201" s="32">
        <f>360+56</f>
        <v>416</v>
      </c>
      <c r="Q2201" s="46">
        <f t="shared" si="68"/>
        <v>5404</v>
      </c>
      <c r="R2201" s="69">
        <f t="shared" si="69"/>
        <v>4593.3999999999996</v>
      </c>
      <c r="S2201" s="30"/>
      <c r="T2201" s="30"/>
    </row>
    <row r="2202" spans="1:20" ht="45" customHeight="1" x14ac:dyDescent="0.3">
      <c r="A2202" s="31">
        <v>2190</v>
      </c>
      <c r="B2202" s="32" t="s">
        <v>6948</v>
      </c>
      <c r="C2202" s="32" t="s">
        <v>7335</v>
      </c>
      <c r="D2202" s="34" t="s">
        <v>2000</v>
      </c>
      <c r="E2202" s="32">
        <v>1994</v>
      </c>
      <c r="F2202" s="32" t="s">
        <v>19</v>
      </c>
      <c r="G2202" s="32" t="s">
        <v>2070</v>
      </c>
      <c r="H2202" s="32" t="s">
        <v>5915</v>
      </c>
      <c r="I2202" s="32" t="s">
        <v>2136</v>
      </c>
      <c r="J2202" s="32">
        <v>2900</v>
      </c>
      <c r="K2202" s="32">
        <v>0</v>
      </c>
      <c r="L2202" s="32">
        <v>0</v>
      </c>
      <c r="M2202" s="32">
        <v>0</v>
      </c>
      <c r="N2202" s="32">
        <f>1681+1178</f>
        <v>2859</v>
      </c>
      <c r="O2202" s="32">
        <v>0</v>
      </c>
      <c r="P2202" s="32">
        <f>312+56+1440+144+720+120</f>
        <v>2792</v>
      </c>
      <c r="Q2202" s="46">
        <f t="shared" si="68"/>
        <v>8551</v>
      </c>
      <c r="R2202" s="69">
        <f t="shared" si="69"/>
        <v>7268.35</v>
      </c>
      <c r="S2202" s="30"/>
      <c r="T2202" s="30"/>
    </row>
    <row r="2203" spans="1:20" ht="45" customHeight="1" x14ac:dyDescent="0.3">
      <c r="A2203" s="31">
        <v>2191</v>
      </c>
      <c r="B2203" s="32" t="s">
        <v>6948</v>
      </c>
      <c r="C2203" s="32" t="s">
        <v>7336</v>
      </c>
      <c r="D2203" s="34" t="s">
        <v>5850</v>
      </c>
      <c r="E2203" s="32">
        <v>2024</v>
      </c>
      <c r="F2203" s="32" t="s">
        <v>19</v>
      </c>
      <c r="G2203" s="32" t="s">
        <v>5898</v>
      </c>
      <c r="H2203" s="32" t="s">
        <v>5937</v>
      </c>
      <c r="I2203" s="32" t="s">
        <v>3675</v>
      </c>
      <c r="J2203" s="32">
        <v>2900</v>
      </c>
      <c r="K2203" s="32">
        <v>0</v>
      </c>
      <c r="L2203" s="32">
        <v>0</v>
      </c>
      <c r="M2203" s="32">
        <v>0</v>
      </c>
      <c r="N2203" s="32">
        <v>2088</v>
      </c>
      <c r="O2203" s="32">
        <v>0</v>
      </c>
      <c r="P2203" s="32">
        <f>360+56</f>
        <v>416</v>
      </c>
      <c r="Q2203" s="46">
        <f t="shared" si="68"/>
        <v>5404</v>
      </c>
      <c r="R2203" s="69">
        <f t="shared" si="69"/>
        <v>4593.3999999999996</v>
      </c>
      <c r="S2203" s="30"/>
      <c r="T2203" s="30"/>
    </row>
    <row r="2204" spans="1:20" ht="45" customHeight="1" thickBot="1" x14ac:dyDescent="0.35">
      <c r="A2204" s="36">
        <v>2192</v>
      </c>
      <c r="B2204" s="42" t="s">
        <v>6948</v>
      </c>
      <c r="C2204" s="42" t="s">
        <v>7337</v>
      </c>
      <c r="D2204" s="45" t="s">
        <v>6816</v>
      </c>
      <c r="E2204" s="42">
        <v>2024</v>
      </c>
      <c r="F2204" s="42" t="s">
        <v>18</v>
      </c>
      <c r="G2204" s="42" t="s">
        <v>6881</v>
      </c>
      <c r="H2204" s="42" t="s">
        <v>6914</v>
      </c>
      <c r="I2204" s="42" t="s">
        <v>2466</v>
      </c>
      <c r="J2204" s="42">
        <v>2900</v>
      </c>
      <c r="K2204" s="42">
        <v>0</v>
      </c>
      <c r="L2204" s="42">
        <v>0</v>
      </c>
      <c r="M2204" s="42">
        <v>0</v>
      </c>
      <c r="N2204" s="42">
        <v>2088</v>
      </c>
      <c r="O2204" s="42">
        <v>0</v>
      </c>
      <c r="P2204" s="42">
        <f>720+112</f>
        <v>832</v>
      </c>
      <c r="Q2204" s="49">
        <f t="shared" si="68"/>
        <v>5820</v>
      </c>
      <c r="R2204" s="69">
        <f t="shared" si="69"/>
        <v>4947</v>
      </c>
      <c r="S2204" s="30"/>
      <c r="T2204" s="30"/>
    </row>
    <row r="2205" spans="1:20" s="50" customFormat="1" ht="40.049999999999997" customHeight="1" x14ac:dyDescent="0.3">
      <c r="A2205" s="63" t="s">
        <v>7465</v>
      </c>
      <c r="B2205" s="64"/>
      <c r="C2205" s="64"/>
      <c r="D2205" s="64"/>
      <c r="E2205" s="64"/>
      <c r="F2205" s="64"/>
      <c r="G2205" s="64"/>
      <c r="H2205" s="64"/>
      <c r="I2205" s="64"/>
      <c r="J2205" s="64"/>
      <c r="K2205" s="64"/>
      <c r="L2205" s="64"/>
      <c r="M2205" s="64"/>
      <c r="N2205" s="64"/>
      <c r="O2205" s="64"/>
      <c r="P2205" s="64"/>
      <c r="Q2205" s="64"/>
      <c r="R2205" s="35">
        <f t="shared" si="69"/>
        <v>0</v>
      </c>
      <c r="S2205" s="65"/>
      <c r="T2205" s="65"/>
    </row>
    <row r="2206" spans="1:20" s="51" customFormat="1" ht="40.049999999999997" customHeight="1" thickBot="1" x14ac:dyDescent="0.35">
      <c r="A2206" s="66">
        <v>85</v>
      </c>
      <c r="B2206" s="67"/>
      <c r="C2206" s="67"/>
      <c r="D2206" s="67"/>
      <c r="E2206" s="67"/>
      <c r="F2206" s="67"/>
      <c r="G2206" s="67"/>
      <c r="H2206" s="67"/>
      <c r="I2206" s="67"/>
      <c r="J2206" s="67"/>
      <c r="K2206" s="67"/>
      <c r="L2206" s="67"/>
      <c r="M2206" s="67"/>
      <c r="N2206" s="67"/>
      <c r="O2206" s="67"/>
      <c r="P2206" s="67"/>
      <c r="Q2206" s="67"/>
      <c r="R2206" s="35">
        <f t="shared" si="69"/>
        <v>0</v>
      </c>
      <c r="S2206" s="68"/>
      <c r="T2206" s="68"/>
    </row>
    <row r="2207" spans="1:20" x14ac:dyDescent="0.3">
      <c r="J2207" s="16">
        <f t="shared" ref="J2207:R2207" si="70">SUM(J13:J2205)</f>
        <v>11791890</v>
      </c>
      <c r="K2207" s="16">
        <f t="shared" si="70"/>
        <v>30543764</v>
      </c>
      <c r="L2207" s="16">
        <f t="shared" si="70"/>
        <v>4176004</v>
      </c>
      <c r="M2207" s="16">
        <f t="shared" si="70"/>
        <v>2476320</v>
      </c>
      <c r="N2207" s="16">
        <f t="shared" si="70"/>
        <v>16156733</v>
      </c>
      <c r="O2207" s="16">
        <f t="shared" si="70"/>
        <v>0</v>
      </c>
      <c r="P2207" s="16">
        <f t="shared" si="70"/>
        <v>554409</v>
      </c>
      <c r="Q2207" s="114">
        <f t="shared" si="70"/>
        <v>65699120</v>
      </c>
      <c r="R2207" s="115">
        <f t="shared" si="70"/>
        <v>55844251.999999188</v>
      </c>
    </row>
    <row r="2209" spans="10:18" ht="60" customHeight="1" x14ac:dyDescent="0.3">
      <c r="J2209" s="32">
        <f>J2207*85/100</f>
        <v>10023106.5</v>
      </c>
      <c r="K2209" s="32">
        <f t="shared" ref="K2209:P2209" si="71">K2207*85/100</f>
        <v>25962199.399999999</v>
      </c>
      <c r="L2209" s="32">
        <f t="shared" si="71"/>
        <v>3549603.4</v>
      </c>
      <c r="M2209" s="32">
        <f t="shared" si="71"/>
        <v>2104872</v>
      </c>
      <c r="N2209" s="32">
        <f t="shared" si="71"/>
        <v>13733223.050000001</v>
      </c>
      <c r="O2209" s="32">
        <f t="shared" si="71"/>
        <v>0</v>
      </c>
      <c r="P2209" s="32">
        <f t="shared" si="71"/>
        <v>471247.65</v>
      </c>
      <c r="Q2209" s="32"/>
      <c r="R2209" s="32">
        <f>SUM(J2209:Q2209)</f>
        <v>55844251.999999993</v>
      </c>
    </row>
  </sheetData>
  <mergeCells count="2">
    <mergeCell ref="N2:R2"/>
    <mergeCell ref="A8:R8"/>
  </mergeCells>
  <pageMargins left="0.23622047244094491" right="0.23622047244094491" top="0.74803149606299213" bottom="0.74803149606299213" header="0.31496062992125984" footer="0.31496062992125984"/>
  <pageSetup paperSize="9" scale="20" fitToHeight="0" orientation="landscape" r:id="rId1"/>
  <rowBreaks count="1" manualBreakCount="1">
    <brk id="2059" min="2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09"/>
  <sheetViews>
    <sheetView tabSelected="1" topLeftCell="A4" zoomScale="66" zoomScaleNormal="66" workbookViewId="0">
      <selection activeCell="E12" sqref="E12"/>
    </sheetView>
  </sheetViews>
  <sheetFormatPr defaultRowHeight="34.049999999999997" customHeight="1" x14ac:dyDescent="0.3"/>
  <cols>
    <col min="1" max="1" width="10" style="16" customWidth="1"/>
    <col min="2" max="2" width="11.88671875" style="16" customWidth="1"/>
    <col min="3" max="3" width="26.109375" style="16" customWidth="1"/>
    <col min="4" max="4" width="19.5546875" style="16" customWidth="1"/>
    <col min="5" max="5" width="18" style="16" customWidth="1"/>
    <col min="6" max="6" width="22.88671875" style="16" customWidth="1"/>
    <col min="7" max="7" width="24.44140625" style="16" customWidth="1"/>
    <col min="8" max="8" width="21.33203125" style="16" customWidth="1"/>
    <col min="9" max="9" width="20.88671875" style="16" customWidth="1"/>
    <col min="10" max="10" width="16.5546875" style="16" customWidth="1"/>
    <col min="11" max="11" width="15.77734375" style="16" customWidth="1"/>
    <col min="12" max="12" width="16.6640625" style="16" customWidth="1"/>
    <col min="13" max="13" width="15.6640625" style="16" customWidth="1"/>
    <col min="14" max="14" width="22.5546875" style="16" customWidth="1"/>
    <col min="15" max="15" width="16.6640625" style="16" customWidth="1"/>
    <col min="16" max="16" width="8.77734375" style="16"/>
    <col min="17" max="17" width="12.21875" style="16" customWidth="1"/>
    <col min="18" max="18" width="14.5546875" style="16" customWidth="1"/>
    <col min="19" max="23" width="8.77734375" style="16"/>
  </cols>
  <sheetData>
    <row r="1" spans="1:23" ht="34.049999999999997" customHeight="1" x14ac:dyDescent="0.3">
      <c r="A1" s="70" t="s">
        <v>7524</v>
      </c>
      <c r="B1" s="71"/>
      <c r="C1" s="71"/>
      <c r="D1" s="72"/>
      <c r="E1" s="73"/>
      <c r="F1" s="71"/>
      <c r="G1" s="71"/>
      <c r="H1" s="71"/>
      <c r="I1" s="70"/>
      <c r="J1" s="74"/>
      <c r="K1" s="75"/>
      <c r="L1" s="76"/>
      <c r="M1" s="76"/>
      <c r="N1" s="149"/>
      <c r="O1" s="149"/>
      <c r="P1" s="149"/>
      <c r="Q1" s="149"/>
      <c r="R1" s="149"/>
    </row>
    <row r="2" spans="1:23" ht="34.049999999999997" customHeight="1" x14ac:dyDescent="0.3">
      <c r="A2" s="77" t="s">
        <v>7526</v>
      </c>
      <c r="B2" s="71"/>
      <c r="C2" s="71"/>
      <c r="D2" s="73"/>
      <c r="E2" s="73"/>
      <c r="F2" s="71"/>
      <c r="G2" s="71"/>
      <c r="H2" s="71"/>
      <c r="I2" s="71"/>
      <c r="J2" s="76"/>
      <c r="K2" s="78"/>
      <c r="L2" s="76"/>
      <c r="M2" s="76"/>
      <c r="N2" s="76"/>
      <c r="O2" s="76"/>
      <c r="P2" s="76"/>
      <c r="Q2" s="79"/>
      <c r="R2" s="80"/>
    </row>
    <row r="3" spans="1:23" ht="34.049999999999997" customHeight="1" x14ac:dyDescent="0.3">
      <c r="A3" s="77" t="s">
        <v>7525</v>
      </c>
      <c r="B3" s="71"/>
      <c r="C3" s="71"/>
      <c r="D3" s="73"/>
      <c r="E3" s="72"/>
      <c r="F3" s="71"/>
      <c r="G3" s="71"/>
      <c r="H3" s="71"/>
      <c r="I3" s="71"/>
      <c r="J3" s="76"/>
      <c r="K3" s="81" t="s">
        <v>7475</v>
      </c>
      <c r="L3" s="76"/>
      <c r="M3" s="76"/>
      <c r="N3" s="76"/>
      <c r="O3" s="76"/>
      <c r="P3" s="76"/>
      <c r="Q3" s="79"/>
      <c r="R3" s="80"/>
    </row>
    <row r="4" spans="1:23" ht="34.049999999999997" customHeight="1" x14ac:dyDescent="0.3">
      <c r="A4" s="77" t="s">
        <v>0</v>
      </c>
      <c r="B4" s="71"/>
      <c r="C4" s="71"/>
      <c r="D4" s="72"/>
      <c r="E4" s="73"/>
      <c r="F4" s="71"/>
      <c r="G4" s="71"/>
      <c r="H4" s="71"/>
      <c r="I4" s="71"/>
      <c r="J4" s="76"/>
      <c r="K4" s="78"/>
      <c r="L4" s="76"/>
      <c r="M4" s="76"/>
      <c r="N4" s="76"/>
      <c r="O4" s="76"/>
      <c r="P4" s="76"/>
      <c r="Q4" s="79"/>
      <c r="R4" s="82"/>
    </row>
    <row r="5" spans="1:23" ht="34.049999999999997" customHeight="1" x14ac:dyDescent="0.3">
      <c r="A5" s="77" t="s">
        <v>36</v>
      </c>
      <c r="B5" s="71"/>
      <c r="C5" s="71"/>
      <c r="D5" s="72"/>
      <c r="E5" s="73"/>
      <c r="F5" s="71"/>
      <c r="G5" s="71"/>
      <c r="H5" s="71"/>
      <c r="I5" s="71"/>
      <c r="J5" s="76"/>
      <c r="K5" s="78"/>
      <c r="L5" s="76"/>
      <c r="M5" s="76"/>
      <c r="N5" s="76"/>
      <c r="O5" s="76"/>
      <c r="P5" s="76"/>
      <c r="Q5" s="79"/>
      <c r="R5" s="82"/>
    </row>
    <row r="6" spans="1:23" ht="34.049999999999997" customHeight="1" thickBot="1" x14ac:dyDescent="0.35">
      <c r="A6" s="83"/>
      <c r="B6" s="71"/>
      <c r="C6" s="71"/>
      <c r="D6" s="73"/>
      <c r="E6" s="73"/>
      <c r="F6" s="71"/>
      <c r="G6" s="71"/>
      <c r="H6" s="71"/>
      <c r="I6" s="71"/>
      <c r="J6" s="76"/>
      <c r="K6" s="78"/>
      <c r="L6" s="76"/>
      <c r="M6" s="76"/>
      <c r="N6" s="76"/>
      <c r="O6" s="76"/>
      <c r="P6" s="76"/>
      <c r="Q6" s="79"/>
      <c r="R6" s="80"/>
    </row>
    <row r="7" spans="1:23" ht="34.049999999999997" customHeight="1" x14ac:dyDescent="0.3">
      <c r="A7" s="150" t="s">
        <v>1</v>
      </c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2"/>
    </row>
    <row r="8" spans="1:23" ht="34.049999999999997" customHeight="1" thickBot="1" x14ac:dyDescent="0.35">
      <c r="A8" s="84"/>
      <c r="B8" s="84"/>
      <c r="C8" s="84"/>
      <c r="D8" s="85"/>
      <c r="E8" s="85"/>
      <c r="F8" s="84"/>
      <c r="G8" s="84"/>
      <c r="H8" s="84"/>
      <c r="I8" s="84"/>
      <c r="J8" s="86"/>
      <c r="K8" s="87"/>
      <c r="L8" s="86"/>
      <c r="M8" s="86"/>
      <c r="N8" s="86"/>
      <c r="O8" s="86"/>
      <c r="P8" s="86"/>
      <c r="Q8" s="88"/>
      <c r="R8" s="89"/>
    </row>
    <row r="9" spans="1:23" ht="34.049999999999997" customHeight="1" x14ac:dyDescent="0.3">
      <c r="A9" s="83"/>
      <c r="B9" s="71"/>
      <c r="C9" s="71"/>
      <c r="D9" s="73"/>
      <c r="E9" s="73"/>
      <c r="F9" s="71"/>
      <c r="G9" s="71"/>
      <c r="H9" s="71"/>
      <c r="I9" s="71"/>
      <c r="J9" s="76"/>
      <c r="K9" s="78"/>
      <c r="L9" s="76"/>
      <c r="M9" s="76"/>
      <c r="N9" s="76"/>
      <c r="O9" s="76"/>
      <c r="P9" s="76"/>
      <c r="Q9" s="79"/>
      <c r="R9" s="80"/>
    </row>
    <row r="10" spans="1:23" s="161" customFormat="1" ht="138.44999999999999" customHeight="1" x14ac:dyDescent="0.3">
      <c r="A10" s="52" t="s">
        <v>7476</v>
      </c>
      <c r="B10" s="53" t="s">
        <v>2</v>
      </c>
      <c r="C10" s="54" t="s">
        <v>3</v>
      </c>
      <c r="D10" s="55" t="s">
        <v>4</v>
      </c>
      <c r="E10" s="56" t="s">
        <v>5</v>
      </c>
      <c r="F10" s="57" t="s">
        <v>6</v>
      </c>
      <c r="G10" s="52" t="s">
        <v>7</v>
      </c>
      <c r="H10" s="52" t="s">
        <v>8</v>
      </c>
      <c r="I10" s="52" t="s">
        <v>9</v>
      </c>
      <c r="J10" s="58" t="s">
        <v>10</v>
      </c>
      <c r="K10" s="59" t="s">
        <v>11</v>
      </c>
      <c r="L10" s="60" t="s">
        <v>12</v>
      </c>
      <c r="M10" s="58" t="s">
        <v>13</v>
      </c>
      <c r="N10" s="58" t="s">
        <v>14</v>
      </c>
      <c r="O10" s="58" t="s">
        <v>15</v>
      </c>
      <c r="P10" s="58" t="s">
        <v>16</v>
      </c>
      <c r="Q10" s="61" t="s">
        <v>17</v>
      </c>
      <c r="R10" s="62" t="s">
        <v>17</v>
      </c>
      <c r="S10" s="30"/>
      <c r="T10" s="30"/>
      <c r="U10" s="30"/>
      <c r="V10" s="30"/>
      <c r="W10" s="30"/>
    </row>
    <row r="11" spans="1:23" ht="34.049999999999997" customHeight="1" x14ac:dyDescent="0.3">
      <c r="A11" s="90"/>
      <c r="B11" s="91"/>
      <c r="C11" s="91"/>
      <c r="D11" s="91"/>
      <c r="E11" s="91"/>
      <c r="F11" s="91"/>
      <c r="G11" s="90"/>
      <c r="H11" s="90"/>
      <c r="I11" s="90"/>
      <c r="J11" s="92">
        <v>1</v>
      </c>
      <c r="K11" s="92">
        <v>1</v>
      </c>
      <c r="L11" s="92">
        <v>1</v>
      </c>
      <c r="M11" s="92">
        <v>1</v>
      </c>
      <c r="N11" s="92">
        <v>1</v>
      </c>
      <c r="O11" s="92">
        <v>1</v>
      </c>
      <c r="P11" s="92">
        <v>1</v>
      </c>
      <c r="Q11" s="92">
        <v>1</v>
      </c>
      <c r="R11" s="92">
        <v>0.85</v>
      </c>
    </row>
    <row r="12" spans="1:23" ht="34.049999999999997" customHeight="1" x14ac:dyDescent="0.3">
      <c r="A12" s="90">
        <v>1</v>
      </c>
      <c r="B12" s="91" t="s">
        <v>37</v>
      </c>
      <c r="C12" s="91" t="s">
        <v>38</v>
      </c>
      <c r="D12" s="93" t="s">
        <v>39</v>
      </c>
      <c r="E12" s="91">
        <v>1997</v>
      </c>
      <c r="F12" s="91" t="s">
        <v>19</v>
      </c>
      <c r="G12" s="91" t="s">
        <v>148</v>
      </c>
      <c r="H12" s="91" t="s">
        <v>148</v>
      </c>
      <c r="I12" s="91" t="s">
        <v>31</v>
      </c>
      <c r="J12" s="90">
        <v>6199</v>
      </c>
      <c r="K12" s="90">
        <f>6278+2332+2332+2332+2332+2332+2332+6995+6995+2332+6995+4484</f>
        <v>48071</v>
      </c>
      <c r="L12" s="90">
        <v>18406</v>
      </c>
      <c r="M12" s="90">
        <v>0</v>
      </c>
      <c r="N12" s="90">
        <v>1793</v>
      </c>
      <c r="O12" s="90">
        <v>0</v>
      </c>
      <c r="P12" s="90">
        <v>0</v>
      </c>
      <c r="Q12" s="94">
        <f t="shared" ref="Q12:Q75" si="0">SUM(J12:P12)</f>
        <v>74469</v>
      </c>
      <c r="R12" s="95">
        <f>Q12*85/100</f>
        <v>63298.65</v>
      </c>
    </row>
    <row r="13" spans="1:23" ht="34.049999999999997" customHeight="1" x14ac:dyDescent="0.3">
      <c r="A13" s="96">
        <v>2</v>
      </c>
      <c r="B13" s="91" t="s">
        <v>37</v>
      </c>
      <c r="C13" s="91" t="s">
        <v>40</v>
      </c>
      <c r="D13" s="93" t="s">
        <v>41</v>
      </c>
      <c r="E13" s="91">
        <v>1982</v>
      </c>
      <c r="F13" s="91" t="s">
        <v>18</v>
      </c>
      <c r="G13" s="91" t="s">
        <v>149</v>
      </c>
      <c r="H13" s="91" t="s">
        <v>210</v>
      </c>
      <c r="I13" s="91" t="s">
        <v>249</v>
      </c>
      <c r="J13" s="96">
        <v>6199</v>
      </c>
      <c r="K13" s="96">
        <v>0</v>
      </c>
      <c r="L13" s="96">
        <v>0</v>
      </c>
      <c r="M13" s="96">
        <v>0</v>
      </c>
      <c r="N13" s="96">
        <v>1681</v>
      </c>
      <c r="O13" s="96">
        <v>0</v>
      </c>
      <c r="P13" s="90">
        <f>240+56</f>
        <v>296</v>
      </c>
      <c r="Q13" s="97">
        <f t="shared" si="0"/>
        <v>8176</v>
      </c>
      <c r="R13" s="95">
        <f t="shared" ref="R13:R76" si="1">Q13*85/100</f>
        <v>6949.6</v>
      </c>
    </row>
    <row r="14" spans="1:23" ht="34.049999999999997" customHeight="1" x14ac:dyDescent="0.3">
      <c r="A14" s="90">
        <v>3</v>
      </c>
      <c r="B14" s="91" t="s">
        <v>37</v>
      </c>
      <c r="C14" s="91" t="s">
        <v>42</v>
      </c>
      <c r="D14" s="93" t="s">
        <v>43</v>
      </c>
      <c r="E14" s="91">
        <v>2019</v>
      </c>
      <c r="F14" s="91" t="s">
        <v>19</v>
      </c>
      <c r="G14" s="91" t="s">
        <v>150</v>
      </c>
      <c r="H14" s="98" t="s">
        <v>211</v>
      </c>
      <c r="I14" s="98" t="s">
        <v>30</v>
      </c>
      <c r="J14" s="96">
        <v>6199</v>
      </c>
      <c r="K14" s="96">
        <f>6278+4484+1346+4484+2332+2332+2332+2332+2332+1166+6995+6995+2332+6995+2332</f>
        <v>55067</v>
      </c>
      <c r="L14" s="96">
        <v>0</v>
      </c>
      <c r="M14" s="96">
        <v>0</v>
      </c>
      <c r="N14" s="96">
        <v>3148</v>
      </c>
      <c r="O14" s="96">
        <v>0</v>
      </c>
      <c r="P14" s="96">
        <v>0</v>
      </c>
      <c r="Q14" s="97">
        <f t="shared" si="0"/>
        <v>64414</v>
      </c>
      <c r="R14" s="95">
        <f t="shared" si="1"/>
        <v>54751.9</v>
      </c>
    </row>
    <row r="15" spans="1:23" ht="34.049999999999997" customHeight="1" x14ac:dyDescent="0.3">
      <c r="A15" s="90">
        <v>4</v>
      </c>
      <c r="B15" s="91" t="s">
        <v>37</v>
      </c>
      <c r="C15" s="91" t="s">
        <v>44</v>
      </c>
      <c r="D15" s="93" t="s">
        <v>45</v>
      </c>
      <c r="E15" s="91">
        <v>1976</v>
      </c>
      <c r="F15" s="91" t="s">
        <v>18</v>
      </c>
      <c r="G15" s="91" t="s">
        <v>151</v>
      </c>
      <c r="H15" s="91" t="s">
        <v>151</v>
      </c>
      <c r="I15" s="91" t="s">
        <v>250</v>
      </c>
      <c r="J15" s="90">
        <v>6199</v>
      </c>
      <c r="K15" s="90">
        <f>2332+2332+2332+2332+1346</f>
        <v>10674</v>
      </c>
      <c r="L15" s="90">
        <v>0</v>
      </c>
      <c r="M15" s="90">
        <v>0</v>
      </c>
      <c r="N15" s="90">
        <v>1793</v>
      </c>
      <c r="O15" s="90">
        <v>0</v>
      </c>
      <c r="P15" s="90">
        <v>0</v>
      </c>
      <c r="Q15" s="97">
        <f t="shared" si="0"/>
        <v>18666</v>
      </c>
      <c r="R15" s="95">
        <f t="shared" si="1"/>
        <v>15866.1</v>
      </c>
    </row>
    <row r="16" spans="1:23" ht="34.049999999999997" customHeight="1" x14ac:dyDescent="0.3">
      <c r="A16" s="96">
        <v>5</v>
      </c>
      <c r="B16" s="91" t="s">
        <v>37</v>
      </c>
      <c r="C16" s="91" t="s">
        <v>46</v>
      </c>
      <c r="D16" s="93" t="s">
        <v>47</v>
      </c>
      <c r="E16" s="91">
        <v>1979</v>
      </c>
      <c r="F16" s="91" t="s">
        <v>18</v>
      </c>
      <c r="G16" s="91" t="s">
        <v>152</v>
      </c>
      <c r="H16" s="91" t="s">
        <v>212</v>
      </c>
      <c r="I16" s="91" t="s">
        <v>251</v>
      </c>
      <c r="J16" s="96">
        <v>3582</v>
      </c>
      <c r="K16" s="96">
        <v>0</v>
      </c>
      <c r="L16" s="96">
        <v>0</v>
      </c>
      <c r="M16" s="96">
        <v>0</v>
      </c>
      <c r="N16" s="96">
        <f>34016+27380</f>
        <v>61396</v>
      </c>
      <c r="O16" s="96">
        <v>0</v>
      </c>
      <c r="P16" s="90">
        <v>0</v>
      </c>
      <c r="Q16" s="97">
        <f t="shared" si="0"/>
        <v>64978</v>
      </c>
      <c r="R16" s="95">
        <f t="shared" si="1"/>
        <v>55231.3</v>
      </c>
    </row>
    <row r="17" spans="1:23" ht="34.049999999999997" customHeight="1" x14ac:dyDescent="0.3">
      <c r="A17" s="90">
        <v>6</v>
      </c>
      <c r="B17" s="91" t="s">
        <v>37</v>
      </c>
      <c r="C17" s="91" t="s">
        <v>48</v>
      </c>
      <c r="D17" s="93" t="s">
        <v>49</v>
      </c>
      <c r="E17" s="91">
        <v>2017</v>
      </c>
      <c r="F17" s="91" t="s">
        <v>18</v>
      </c>
      <c r="G17" s="91" t="s">
        <v>153</v>
      </c>
      <c r="H17" s="91" t="s">
        <v>213</v>
      </c>
      <c r="I17" s="91" t="s">
        <v>252</v>
      </c>
      <c r="J17" s="96">
        <v>6199</v>
      </c>
      <c r="K17" s="96">
        <v>0</v>
      </c>
      <c r="L17" s="96">
        <v>0</v>
      </c>
      <c r="M17" s="96">
        <v>0</v>
      </c>
      <c r="N17" s="96">
        <v>0</v>
      </c>
      <c r="O17" s="96">
        <v>0</v>
      </c>
      <c r="P17" s="90">
        <v>0</v>
      </c>
      <c r="Q17" s="97">
        <f t="shared" si="0"/>
        <v>6199</v>
      </c>
      <c r="R17" s="95">
        <f t="shared" si="1"/>
        <v>5269.15</v>
      </c>
    </row>
    <row r="18" spans="1:23" ht="34.049999999999997" customHeight="1" x14ac:dyDescent="0.3">
      <c r="A18" s="90">
        <v>7</v>
      </c>
      <c r="B18" s="91" t="s">
        <v>37</v>
      </c>
      <c r="C18" s="91" t="s">
        <v>50</v>
      </c>
      <c r="D18" s="93" t="s">
        <v>51</v>
      </c>
      <c r="E18" s="91">
        <v>2016</v>
      </c>
      <c r="F18" s="91" t="s">
        <v>18</v>
      </c>
      <c r="G18" s="91" t="s">
        <v>154</v>
      </c>
      <c r="H18" s="91" t="s">
        <v>214</v>
      </c>
      <c r="I18" s="91" t="s">
        <v>253</v>
      </c>
      <c r="J18" s="96">
        <v>3582</v>
      </c>
      <c r="K18" s="96">
        <v>0</v>
      </c>
      <c r="L18" s="96">
        <v>0</v>
      </c>
      <c r="M18" s="96">
        <v>0</v>
      </c>
      <c r="N18" s="96">
        <f>15443+20859</f>
        <v>36302</v>
      </c>
      <c r="O18" s="96">
        <v>0</v>
      </c>
      <c r="P18" s="90">
        <v>0</v>
      </c>
      <c r="Q18" s="97">
        <f t="shared" si="0"/>
        <v>39884</v>
      </c>
      <c r="R18" s="95">
        <f t="shared" si="1"/>
        <v>33901.4</v>
      </c>
    </row>
    <row r="19" spans="1:23" ht="34.049999999999997" customHeight="1" x14ac:dyDescent="0.3">
      <c r="A19" s="96">
        <v>8</v>
      </c>
      <c r="B19" s="91" t="s">
        <v>37</v>
      </c>
      <c r="C19" s="91" t="s">
        <v>52</v>
      </c>
      <c r="D19" s="93" t="s">
        <v>53</v>
      </c>
      <c r="E19" s="91">
        <v>2006</v>
      </c>
      <c r="F19" s="91" t="s">
        <v>18</v>
      </c>
      <c r="G19" s="91" t="s">
        <v>155</v>
      </c>
      <c r="H19" s="98" t="s">
        <v>215</v>
      </c>
      <c r="I19" s="98" t="s">
        <v>254</v>
      </c>
      <c r="J19" s="96">
        <v>6199</v>
      </c>
      <c r="K19" s="96">
        <v>0</v>
      </c>
      <c r="L19" s="96">
        <v>13298</v>
      </c>
      <c r="M19" s="96">
        <v>0</v>
      </c>
      <c r="N19" s="96">
        <v>0</v>
      </c>
      <c r="O19" s="96">
        <v>0</v>
      </c>
      <c r="P19" s="96">
        <v>0</v>
      </c>
      <c r="Q19" s="97">
        <f t="shared" si="0"/>
        <v>19497</v>
      </c>
      <c r="R19" s="95">
        <f t="shared" si="1"/>
        <v>16572.45</v>
      </c>
    </row>
    <row r="20" spans="1:23" ht="34.049999999999997" customHeight="1" x14ac:dyDescent="0.3">
      <c r="A20" s="90">
        <v>9</v>
      </c>
      <c r="B20" s="91" t="s">
        <v>37</v>
      </c>
      <c r="C20" s="91" t="s">
        <v>54</v>
      </c>
      <c r="D20" s="93" t="s">
        <v>55</v>
      </c>
      <c r="E20" s="91">
        <v>1983</v>
      </c>
      <c r="F20" s="91" t="s">
        <v>19</v>
      </c>
      <c r="G20" s="91" t="s">
        <v>156</v>
      </c>
      <c r="H20" s="91" t="s">
        <v>156</v>
      </c>
      <c r="I20" s="91" t="s">
        <v>7466</v>
      </c>
      <c r="J20" s="96">
        <v>6199</v>
      </c>
      <c r="K20" s="96">
        <v>0</v>
      </c>
      <c r="L20" s="96">
        <v>0</v>
      </c>
      <c r="M20" s="96">
        <v>0</v>
      </c>
      <c r="N20" s="96">
        <v>0</v>
      </c>
      <c r="O20" s="96">
        <v>0</v>
      </c>
      <c r="P20" s="96">
        <v>0</v>
      </c>
      <c r="Q20" s="97">
        <f t="shared" si="0"/>
        <v>6199</v>
      </c>
      <c r="R20" s="95">
        <f t="shared" si="1"/>
        <v>5269.15</v>
      </c>
    </row>
    <row r="21" spans="1:23" ht="34.049999999999997" customHeight="1" x14ac:dyDescent="0.3">
      <c r="A21" s="90">
        <v>10</v>
      </c>
      <c r="B21" s="98" t="s">
        <v>37</v>
      </c>
      <c r="C21" s="98" t="s">
        <v>56</v>
      </c>
      <c r="D21" s="99" t="s">
        <v>57</v>
      </c>
      <c r="E21" s="98">
        <v>2023</v>
      </c>
      <c r="F21" s="98" t="s">
        <v>19</v>
      </c>
      <c r="G21" s="98" t="s">
        <v>157</v>
      </c>
      <c r="H21" s="98" t="s">
        <v>216</v>
      </c>
      <c r="I21" s="98" t="s">
        <v>7467</v>
      </c>
      <c r="J21" s="96">
        <v>6199</v>
      </c>
      <c r="K21" s="96">
        <f>6278+4484+1346+1166+2332+2332+2332+2332+2332+6995+6995+2332+6995+2332+4484</f>
        <v>55067</v>
      </c>
      <c r="L21" s="96">
        <v>0</v>
      </c>
      <c r="M21" s="96">
        <v>0</v>
      </c>
      <c r="N21" s="96">
        <f>3148+4053+2088</f>
        <v>9289</v>
      </c>
      <c r="O21" s="96">
        <v>0</v>
      </c>
      <c r="P21" s="96">
        <f>720+120+1080+100+360+56+396</f>
        <v>2832</v>
      </c>
      <c r="Q21" s="97">
        <f t="shared" si="0"/>
        <v>73387</v>
      </c>
      <c r="R21" s="95">
        <f t="shared" si="1"/>
        <v>62378.95</v>
      </c>
      <c r="S21" s="41"/>
      <c r="T21" s="41"/>
      <c r="U21" s="41"/>
      <c r="V21" s="41"/>
      <c r="W21" s="41"/>
    </row>
    <row r="22" spans="1:23" ht="34.049999999999997" customHeight="1" x14ac:dyDescent="0.3">
      <c r="A22" s="96">
        <v>11</v>
      </c>
      <c r="B22" s="98" t="s">
        <v>37</v>
      </c>
      <c r="C22" s="98" t="s">
        <v>56</v>
      </c>
      <c r="D22" s="99" t="s">
        <v>57</v>
      </c>
      <c r="E22" s="98">
        <v>2023</v>
      </c>
      <c r="F22" s="98" t="s">
        <v>2635</v>
      </c>
      <c r="G22" s="98" t="s">
        <v>157</v>
      </c>
      <c r="H22" s="98" t="s">
        <v>216</v>
      </c>
      <c r="I22" s="98" t="s">
        <v>7468</v>
      </c>
      <c r="J22" s="96">
        <v>0</v>
      </c>
      <c r="K22" s="96">
        <v>0</v>
      </c>
      <c r="L22" s="96">
        <v>0</v>
      </c>
      <c r="M22" s="96">
        <v>17688</v>
      </c>
      <c r="N22" s="96">
        <v>0</v>
      </c>
      <c r="O22" s="96">
        <v>0</v>
      </c>
      <c r="P22" s="96">
        <f>360+396+56</f>
        <v>812</v>
      </c>
      <c r="Q22" s="97">
        <f t="shared" si="0"/>
        <v>18500</v>
      </c>
      <c r="R22" s="95">
        <f t="shared" si="1"/>
        <v>15725</v>
      </c>
      <c r="S22" s="41"/>
      <c r="T22" s="41"/>
      <c r="U22" s="41"/>
      <c r="V22" s="41"/>
      <c r="W22" s="41"/>
    </row>
    <row r="23" spans="1:23" ht="34.049999999999997" customHeight="1" x14ac:dyDescent="0.3">
      <c r="A23" s="90">
        <v>12</v>
      </c>
      <c r="B23" s="91" t="s">
        <v>37</v>
      </c>
      <c r="C23" s="91" t="s">
        <v>58</v>
      </c>
      <c r="D23" s="93" t="s">
        <v>302</v>
      </c>
      <c r="E23" s="91">
        <v>1991</v>
      </c>
      <c r="F23" s="91" t="s">
        <v>18</v>
      </c>
      <c r="G23" s="91" t="s">
        <v>158</v>
      </c>
      <c r="H23" s="91" t="s">
        <v>158</v>
      </c>
      <c r="I23" s="91" t="s">
        <v>257</v>
      </c>
      <c r="J23" s="90">
        <v>3582</v>
      </c>
      <c r="K23" s="90">
        <v>0</v>
      </c>
      <c r="L23" s="90">
        <v>0</v>
      </c>
      <c r="M23" s="90">
        <v>0</v>
      </c>
      <c r="N23" s="90">
        <f>34016+27380</f>
        <v>61396</v>
      </c>
      <c r="O23" s="90">
        <v>0</v>
      </c>
      <c r="P23" s="90">
        <v>0</v>
      </c>
      <c r="Q23" s="97">
        <f t="shared" si="0"/>
        <v>64978</v>
      </c>
      <c r="R23" s="95">
        <f t="shared" si="1"/>
        <v>55231.3</v>
      </c>
    </row>
    <row r="24" spans="1:23" ht="34.049999999999997" customHeight="1" x14ac:dyDescent="0.3">
      <c r="A24" s="90">
        <v>13</v>
      </c>
      <c r="B24" s="91" t="s">
        <v>37</v>
      </c>
      <c r="C24" s="91" t="s">
        <v>59</v>
      </c>
      <c r="D24" s="93" t="s">
        <v>60</v>
      </c>
      <c r="E24" s="91">
        <v>2020</v>
      </c>
      <c r="F24" s="91" t="s">
        <v>18</v>
      </c>
      <c r="G24" s="91" t="s">
        <v>159</v>
      </c>
      <c r="H24" s="91" t="s">
        <v>217</v>
      </c>
      <c r="I24" s="91" t="s">
        <v>258</v>
      </c>
      <c r="J24" s="96">
        <v>3793</v>
      </c>
      <c r="K24" s="96">
        <v>0</v>
      </c>
      <c r="L24" s="96">
        <v>0</v>
      </c>
      <c r="M24" s="96">
        <v>0</v>
      </c>
      <c r="N24" s="96">
        <f>15443+19239</f>
        <v>34682</v>
      </c>
      <c r="O24" s="96">
        <v>0</v>
      </c>
      <c r="P24" s="90">
        <v>0</v>
      </c>
      <c r="Q24" s="97">
        <f t="shared" si="0"/>
        <v>38475</v>
      </c>
      <c r="R24" s="95">
        <f t="shared" si="1"/>
        <v>32703.75</v>
      </c>
    </row>
    <row r="25" spans="1:23" ht="34.049999999999997" customHeight="1" x14ac:dyDescent="0.3">
      <c r="A25" s="96">
        <v>14</v>
      </c>
      <c r="B25" s="91" t="s">
        <v>37</v>
      </c>
      <c r="C25" s="91" t="s">
        <v>61</v>
      </c>
      <c r="D25" s="93" t="s">
        <v>62</v>
      </c>
      <c r="E25" s="91">
        <v>1988</v>
      </c>
      <c r="F25" s="91" t="s">
        <v>18</v>
      </c>
      <c r="G25" s="91" t="s">
        <v>160</v>
      </c>
      <c r="H25" s="91" t="s">
        <v>160</v>
      </c>
      <c r="I25" s="91" t="s">
        <v>259</v>
      </c>
      <c r="J25" s="90">
        <v>3582</v>
      </c>
      <c r="K25" s="90">
        <v>0</v>
      </c>
      <c r="L25" s="90">
        <v>0</v>
      </c>
      <c r="M25" s="90">
        <v>0</v>
      </c>
      <c r="N25" s="90">
        <f>15443+21194+13563</f>
        <v>50200</v>
      </c>
      <c r="O25" s="90">
        <v>0</v>
      </c>
      <c r="P25" s="90">
        <v>0</v>
      </c>
      <c r="Q25" s="97">
        <f t="shared" si="0"/>
        <v>53782</v>
      </c>
      <c r="R25" s="95">
        <f t="shared" si="1"/>
        <v>45714.7</v>
      </c>
    </row>
    <row r="26" spans="1:23" ht="34.049999999999997" customHeight="1" x14ac:dyDescent="0.3">
      <c r="A26" s="90">
        <v>15</v>
      </c>
      <c r="B26" s="91" t="s">
        <v>37</v>
      </c>
      <c r="C26" s="91" t="s">
        <v>63</v>
      </c>
      <c r="D26" s="93" t="s">
        <v>64</v>
      </c>
      <c r="E26" s="91">
        <v>2023</v>
      </c>
      <c r="F26" s="91" t="s">
        <v>18</v>
      </c>
      <c r="G26" s="91" t="s">
        <v>161</v>
      </c>
      <c r="H26" s="91" t="s">
        <v>218</v>
      </c>
      <c r="I26" s="91" t="s">
        <v>260</v>
      </c>
      <c r="J26" s="90">
        <v>6199</v>
      </c>
      <c r="K26" s="90">
        <f>6278+4484+1346</f>
        <v>12108</v>
      </c>
      <c r="L26" s="90">
        <v>0</v>
      </c>
      <c r="M26" s="90">
        <v>0</v>
      </c>
      <c r="N26" s="90">
        <v>3148</v>
      </c>
      <c r="O26" s="90">
        <v>0</v>
      </c>
      <c r="P26" s="90">
        <v>0</v>
      </c>
      <c r="Q26" s="97">
        <f t="shared" si="0"/>
        <v>21455</v>
      </c>
      <c r="R26" s="95">
        <f t="shared" si="1"/>
        <v>18236.75</v>
      </c>
    </row>
    <row r="27" spans="1:23" ht="34.049999999999997" customHeight="1" x14ac:dyDescent="0.3">
      <c r="A27" s="90">
        <v>16</v>
      </c>
      <c r="B27" s="91" t="s">
        <v>37</v>
      </c>
      <c r="C27" s="91" t="s">
        <v>65</v>
      </c>
      <c r="D27" s="93" t="s">
        <v>66</v>
      </c>
      <c r="E27" s="91">
        <v>2012</v>
      </c>
      <c r="F27" s="91" t="s">
        <v>19</v>
      </c>
      <c r="G27" s="91" t="s">
        <v>162</v>
      </c>
      <c r="H27" s="91" t="s">
        <v>219</v>
      </c>
      <c r="I27" s="91" t="s">
        <v>261</v>
      </c>
      <c r="J27" s="96">
        <v>6199</v>
      </c>
      <c r="K27" s="96">
        <v>0</v>
      </c>
      <c r="L27" s="96">
        <v>0</v>
      </c>
      <c r="M27" s="96">
        <v>0</v>
      </c>
      <c r="N27" s="96">
        <v>0</v>
      </c>
      <c r="O27" s="96">
        <v>0</v>
      </c>
      <c r="P27" s="90">
        <v>0</v>
      </c>
      <c r="Q27" s="97">
        <f t="shared" si="0"/>
        <v>6199</v>
      </c>
      <c r="R27" s="95">
        <f t="shared" si="1"/>
        <v>5269.15</v>
      </c>
    </row>
    <row r="28" spans="1:23" ht="34.049999999999997" customHeight="1" x14ac:dyDescent="0.3">
      <c r="A28" s="96">
        <v>17</v>
      </c>
      <c r="B28" s="91" t="s">
        <v>37</v>
      </c>
      <c r="C28" s="91" t="s">
        <v>67</v>
      </c>
      <c r="D28" s="93" t="s">
        <v>68</v>
      </c>
      <c r="E28" s="91">
        <v>2013</v>
      </c>
      <c r="F28" s="91" t="s">
        <v>19</v>
      </c>
      <c r="G28" s="91" t="s">
        <v>163</v>
      </c>
      <c r="H28" s="91" t="s">
        <v>220</v>
      </c>
      <c r="I28" s="91" t="s">
        <v>262</v>
      </c>
      <c r="J28" s="96">
        <v>6199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0">
        <v>0</v>
      </c>
      <c r="Q28" s="97">
        <f t="shared" si="0"/>
        <v>6199</v>
      </c>
      <c r="R28" s="95">
        <f t="shared" si="1"/>
        <v>5269.15</v>
      </c>
    </row>
    <row r="29" spans="1:23" ht="34.049999999999997" customHeight="1" x14ac:dyDescent="0.3">
      <c r="A29" s="90">
        <v>18</v>
      </c>
      <c r="B29" s="91" t="s">
        <v>37</v>
      </c>
      <c r="C29" s="91" t="s">
        <v>69</v>
      </c>
      <c r="D29" s="93" t="s">
        <v>70</v>
      </c>
      <c r="E29" s="91">
        <v>2014</v>
      </c>
      <c r="F29" s="91" t="s">
        <v>19</v>
      </c>
      <c r="G29" s="91" t="s">
        <v>164</v>
      </c>
      <c r="H29" s="91" t="s">
        <v>221</v>
      </c>
      <c r="I29" s="91" t="s">
        <v>263</v>
      </c>
      <c r="J29" s="96">
        <v>6199</v>
      </c>
      <c r="K29" s="96">
        <v>0</v>
      </c>
      <c r="L29" s="96">
        <v>0</v>
      </c>
      <c r="M29" s="96">
        <v>0</v>
      </c>
      <c r="N29" s="96">
        <v>0</v>
      </c>
      <c r="O29" s="96">
        <v>0</v>
      </c>
      <c r="P29" s="90">
        <v>0</v>
      </c>
      <c r="Q29" s="97">
        <f t="shared" si="0"/>
        <v>6199</v>
      </c>
      <c r="R29" s="95">
        <f t="shared" si="1"/>
        <v>5269.15</v>
      </c>
    </row>
    <row r="30" spans="1:23" ht="34.049999999999997" customHeight="1" x14ac:dyDescent="0.3">
      <c r="A30" s="90">
        <v>19</v>
      </c>
      <c r="B30" s="91" t="s">
        <v>37</v>
      </c>
      <c r="C30" s="91" t="s">
        <v>71</v>
      </c>
      <c r="D30" s="93" t="s">
        <v>72</v>
      </c>
      <c r="E30" s="91">
        <v>1997</v>
      </c>
      <c r="F30" s="91" t="s">
        <v>19</v>
      </c>
      <c r="G30" s="91" t="s">
        <v>165</v>
      </c>
      <c r="H30" s="91" t="s">
        <v>165</v>
      </c>
      <c r="I30" s="91" t="s">
        <v>264</v>
      </c>
      <c r="J30" s="96">
        <v>6199</v>
      </c>
      <c r="K30" s="96">
        <v>0</v>
      </c>
      <c r="L30" s="96">
        <v>0</v>
      </c>
      <c r="M30" s="96">
        <v>0</v>
      </c>
      <c r="N30" s="96">
        <f>27380+34016+30886</f>
        <v>92282</v>
      </c>
      <c r="O30" s="96">
        <v>0</v>
      </c>
      <c r="P30" s="90">
        <v>0</v>
      </c>
      <c r="Q30" s="97">
        <f t="shared" si="0"/>
        <v>98481</v>
      </c>
      <c r="R30" s="95">
        <f t="shared" si="1"/>
        <v>83708.850000000006</v>
      </c>
    </row>
    <row r="31" spans="1:23" ht="34.049999999999997" customHeight="1" x14ac:dyDescent="0.3">
      <c r="A31" s="96">
        <v>20</v>
      </c>
      <c r="B31" s="91" t="s">
        <v>37</v>
      </c>
      <c r="C31" s="91" t="s">
        <v>73</v>
      </c>
      <c r="D31" s="93" t="s">
        <v>74</v>
      </c>
      <c r="E31" s="91">
        <v>1993</v>
      </c>
      <c r="F31" s="91" t="s">
        <v>18</v>
      </c>
      <c r="G31" s="91" t="s">
        <v>166</v>
      </c>
      <c r="H31" s="91" t="s">
        <v>222</v>
      </c>
      <c r="I31" s="91" t="s">
        <v>265</v>
      </c>
      <c r="J31" s="90">
        <v>6199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7">
        <f t="shared" si="0"/>
        <v>6199</v>
      </c>
      <c r="R31" s="95">
        <f t="shared" si="1"/>
        <v>5269.15</v>
      </c>
    </row>
    <row r="32" spans="1:23" ht="34.049999999999997" customHeight="1" x14ac:dyDescent="0.3">
      <c r="A32" s="90">
        <v>21</v>
      </c>
      <c r="B32" s="91" t="s">
        <v>37</v>
      </c>
      <c r="C32" s="91" t="s">
        <v>75</v>
      </c>
      <c r="D32" s="93" t="s">
        <v>76</v>
      </c>
      <c r="E32" s="91">
        <v>1981</v>
      </c>
      <c r="F32" s="91" t="s">
        <v>19</v>
      </c>
      <c r="G32" s="91" t="s">
        <v>167</v>
      </c>
      <c r="H32" s="91" t="s">
        <v>223</v>
      </c>
      <c r="I32" s="91" t="s">
        <v>266</v>
      </c>
      <c r="J32" s="96">
        <v>0</v>
      </c>
      <c r="K32" s="96">
        <v>0</v>
      </c>
      <c r="L32" s="96">
        <v>0</v>
      </c>
      <c r="M32" s="96">
        <v>0</v>
      </c>
      <c r="N32" s="96">
        <f>34016+27380</f>
        <v>61396</v>
      </c>
      <c r="O32" s="96">
        <v>0</v>
      </c>
      <c r="P32" s="96">
        <v>0</v>
      </c>
      <c r="Q32" s="97">
        <f t="shared" si="0"/>
        <v>61396</v>
      </c>
      <c r="R32" s="95">
        <f t="shared" si="1"/>
        <v>52186.6</v>
      </c>
    </row>
    <row r="33" spans="1:23" ht="34.049999999999997" customHeight="1" x14ac:dyDescent="0.3">
      <c r="A33" s="90">
        <v>22</v>
      </c>
      <c r="B33" s="91" t="s">
        <v>37</v>
      </c>
      <c r="C33" s="91" t="s">
        <v>77</v>
      </c>
      <c r="D33" s="93" t="s">
        <v>78</v>
      </c>
      <c r="E33" s="91">
        <v>2020</v>
      </c>
      <c r="F33" s="91" t="s">
        <v>18</v>
      </c>
      <c r="G33" s="91" t="s">
        <v>168</v>
      </c>
      <c r="H33" s="98" t="s">
        <v>223</v>
      </c>
      <c r="I33" s="98" t="s">
        <v>266</v>
      </c>
      <c r="J33" s="96">
        <v>0</v>
      </c>
      <c r="K33" s="96">
        <v>0</v>
      </c>
      <c r="L33" s="96">
        <v>0</v>
      </c>
      <c r="M33" s="96">
        <v>0</v>
      </c>
      <c r="N33" s="96">
        <v>27126</v>
      </c>
      <c r="O33" s="96">
        <v>0</v>
      </c>
      <c r="P33" s="96">
        <v>0</v>
      </c>
      <c r="Q33" s="97">
        <f t="shared" si="0"/>
        <v>27126</v>
      </c>
      <c r="R33" s="95">
        <f t="shared" si="1"/>
        <v>23057.1</v>
      </c>
    </row>
    <row r="34" spans="1:23" ht="34.049999999999997" customHeight="1" x14ac:dyDescent="0.3">
      <c r="A34" s="96">
        <v>23</v>
      </c>
      <c r="B34" s="91" t="s">
        <v>37</v>
      </c>
      <c r="C34" s="91" t="s">
        <v>79</v>
      </c>
      <c r="D34" s="93" t="s">
        <v>80</v>
      </c>
      <c r="E34" s="91">
        <v>1980</v>
      </c>
      <c r="F34" s="91" t="s">
        <v>18</v>
      </c>
      <c r="G34" s="91" t="s">
        <v>169</v>
      </c>
      <c r="H34" s="91" t="s">
        <v>169</v>
      </c>
      <c r="I34" s="91" t="s">
        <v>34</v>
      </c>
      <c r="J34" s="96">
        <v>6199</v>
      </c>
      <c r="K34" s="96">
        <f>1166+2801</f>
        <v>3967</v>
      </c>
      <c r="L34" s="96">
        <v>0</v>
      </c>
      <c r="M34" s="96">
        <v>0</v>
      </c>
      <c r="N34" s="96">
        <v>0</v>
      </c>
      <c r="O34" s="96">
        <v>0</v>
      </c>
      <c r="P34" s="90">
        <v>0</v>
      </c>
      <c r="Q34" s="97">
        <f t="shared" si="0"/>
        <v>10166</v>
      </c>
      <c r="R34" s="95">
        <f t="shared" si="1"/>
        <v>8641.1</v>
      </c>
    </row>
    <row r="35" spans="1:23" ht="34.049999999999997" customHeight="1" x14ac:dyDescent="0.3">
      <c r="A35" s="90">
        <v>24</v>
      </c>
      <c r="B35" s="91" t="s">
        <v>37</v>
      </c>
      <c r="C35" s="91" t="s">
        <v>81</v>
      </c>
      <c r="D35" s="93" t="s">
        <v>82</v>
      </c>
      <c r="E35" s="91">
        <v>1990</v>
      </c>
      <c r="F35" s="91" t="s">
        <v>19</v>
      </c>
      <c r="G35" s="91" t="s">
        <v>170</v>
      </c>
      <c r="H35" s="91" t="s">
        <v>170</v>
      </c>
      <c r="I35" s="91" t="s">
        <v>267</v>
      </c>
      <c r="J35" s="90">
        <v>6199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4">
        <f t="shared" si="0"/>
        <v>6199</v>
      </c>
      <c r="R35" s="95">
        <f t="shared" si="1"/>
        <v>5269.15</v>
      </c>
    </row>
    <row r="36" spans="1:23" ht="34.049999999999997" customHeight="1" x14ac:dyDescent="0.3">
      <c r="A36" s="90">
        <v>25</v>
      </c>
      <c r="B36" s="91" t="s">
        <v>37</v>
      </c>
      <c r="C36" s="91" t="s">
        <v>83</v>
      </c>
      <c r="D36" s="93" t="s">
        <v>84</v>
      </c>
      <c r="E36" s="91">
        <v>1976</v>
      </c>
      <c r="F36" s="91" t="s">
        <v>19</v>
      </c>
      <c r="G36" s="91" t="s">
        <v>171</v>
      </c>
      <c r="H36" s="91" t="s">
        <v>224</v>
      </c>
      <c r="I36" s="91" t="s">
        <v>268</v>
      </c>
      <c r="J36" s="90">
        <v>6199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7">
        <f t="shared" si="0"/>
        <v>6199</v>
      </c>
      <c r="R36" s="95">
        <f t="shared" si="1"/>
        <v>5269.15</v>
      </c>
    </row>
    <row r="37" spans="1:23" ht="34.049999999999997" customHeight="1" x14ac:dyDescent="0.3">
      <c r="A37" s="96">
        <v>26</v>
      </c>
      <c r="B37" s="91" t="s">
        <v>37</v>
      </c>
      <c r="C37" s="91" t="s">
        <v>85</v>
      </c>
      <c r="D37" s="93" t="s">
        <v>86</v>
      </c>
      <c r="E37" s="91">
        <v>1959</v>
      </c>
      <c r="F37" s="91" t="s">
        <v>18</v>
      </c>
      <c r="G37" s="91" t="s">
        <v>172</v>
      </c>
      <c r="H37" s="91" t="s">
        <v>172</v>
      </c>
      <c r="I37" s="98" t="s">
        <v>269</v>
      </c>
      <c r="J37" s="96">
        <v>6199</v>
      </c>
      <c r="K37" s="96">
        <v>0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7">
        <f t="shared" si="0"/>
        <v>6199</v>
      </c>
      <c r="R37" s="95">
        <f t="shared" si="1"/>
        <v>5269.15</v>
      </c>
    </row>
    <row r="38" spans="1:23" ht="34.049999999999997" customHeight="1" x14ac:dyDescent="0.3">
      <c r="A38" s="90">
        <v>27</v>
      </c>
      <c r="B38" s="91" t="s">
        <v>37</v>
      </c>
      <c r="C38" s="91" t="s">
        <v>87</v>
      </c>
      <c r="D38" s="93" t="s">
        <v>88</v>
      </c>
      <c r="E38" s="91">
        <v>1996</v>
      </c>
      <c r="F38" s="91" t="s">
        <v>18</v>
      </c>
      <c r="G38" s="91" t="s">
        <v>173</v>
      </c>
      <c r="H38" s="91" t="s">
        <v>173</v>
      </c>
      <c r="I38" s="91" t="s">
        <v>270</v>
      </c>
      <c r="J38" s="96">
        <v>6199</v>
      </c>
      <c r="K38" s="96">
        <f>1166+2801</f>
        <v>3967</v>
      </c>
      <c r="L38" s="96">
        <v>0</v>
      </c>
      <c r="M38" s="96">
        <v>0</v>
      </c>
      <c r="N38" s="96">
        <v>0</v>
      </c>
      <c r="O38" s="96">
        <v>0</v>
      </c>
      <c r="P38" s="90">
        <v>0</v>
      </c>
      <c r="Q38" s="97">
        <f t="shared" si="0"/>
        <v>10166</v>
      </c>
      <c r="R38" s="95">
        <f t="shared" si="1"/>
        <v>8641.1</v>
      </c>
    </row>
    <row r="39" spans="1:23" ht="34.049999999999997" customHeight="1" x14ac:dyDescent="0.3">
      <c r="A39" s="90">
        <v>28</v>
      </c>
      <c r="B39" s="91" t="s">
        <v>37</v>
      </c>
      <c r="C39" s="91" t="s">
        <v>89</v>
      </c>
      <c r="D39" s="93" t="s">
        <v>90</v>
      </c>
      <c r="E39" s="91">
        <v>2019</v>
      </c>
      <c r="F39" s="91" t="s">
        <v>19</v>
      </c>
      <c r="G39" s="91" t="s">
        <v>174</v>
      </c>
      <c r="H39" s="91" t="s">
        <v>225</v>
      </c>
      <c r="I39" s="91" t="s">
        <v>271</v>
      </c>
      <c r="J39" s="90">
        <v>3582</v>
      </c>
      <c r="K39" s="90">
        <v>0</v>
      </c>
      <c r="L39" s="90">
        <v>0</v>
      </c>
      <c r="M39" s="90">
        <v>0</v>
      </c>
      <c r="N39" s="90">
        <v>38478</v>
      </c>
      <c r="O39" s="90">
        <v>0</v>
      </c>
      <c r="P39" s="90">
        <v>0</v>
      </c>
      <c r="Q39" s="97">
        <f t="shared" si="0"/>
        <v>42060</v>
      </c>
      <c r="R39" s="95">
        <f t="shared" si="1"/>
        <v>35751</v>
      </c>
    </row>
    <row r="40" spans="1:23" ht="34.049999999999997" customHeight="1" x14ac:dyDescent="0.3">
      <c r="A40" s="96">
        <v>29</v>
      </c>
      <c r="B40" s="91" t="s">
        <v>37</v>
      </c>
      <c r="C40" s="91" t="s">
        <v>91</v>
      </c>
      <c r="D40" s="93" t="s">
        <v>92</v>
      </c>
      <c r="E40" s="91">
        <v>2018</v>
      </c>
      <c r="F40" s="91" t="s">
        <v>18</v>
      </c>
      <c r="G40" s="91" t="s">
        <v>175</v>
      </c>
      <c r="H40" s="91" t="s">
        <v>226</v>
      </c>
      <c r="I40" s="91" t="s">
        <v>272</v>
      </c>
      <c r="J40" s="90">
        <v>6199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7">
        <f t="shared" si="0"/>
        <v>6199</v>
      </c>
      <c r="R40" s="95">
        <f t="shared" si="1"/>
        <v>5269.15</v>
      </c>
    </row>
    <row r="41" spans="1:23" ht="34.049999999999997" customHeight="1" x14ac:dyDescent="0.3">
      <c r="A41" s="90">
        <v>30</v>
      </c>
      <c r="B41" s="91" t="s">
        <v>37</v>
      </c>
      <c r="C41" s="91" t="s">
        <v>93</v>
      </c>
      <c r="D41" s="93" t="s">
        <v>94</v>
      </c>
      <c r="E41" s="91">
        <v>2021</v>
      </c>
      <c r="F41" s="91" t="s">
        <v>18</v>
      </c>
      <c r="G41" s="91" t="s">
        <v>176</v>
      </c>
      <c r="H41" s="98" t="s">
        <v>227</v>
      </c>
      <c r="I41" s="98" t="s">
        <v>273</v>
      </c>
      <c r="J41" s="96">
        <v>3793</v>
      </c>
      <c r="K41" s="96">
        <f>6278+4484+1346+1166</f>
        <v>13274</v>
      </c>
      <c r="L41" s="96">
        <v>0</v>
      </c>
      <c r="M41" s="96">
        <v>0</v>
      </c>
      <c r="N41" s="96">
        <v>3148</v>
      </c>
      <c r="O41" s="96">
        <v>0</v>
      </c>
      <c r="P41" s="96">
        <v>0</v>
      </c>
      <c r="Q41" s="97">
        <f t="shared" si="0"/>
        <v>20215</v>
      </c>
      <c r="R41" s="95">
        <f t="shared" si="1"/>
        <v>17182.75</v>
      </c>
    </row>
    <row r="42" spans="1:23" ht="34.049999999999997" customHeight="1" x14ac:dyDescent="0.3">
      <c r="A42" s="90">
        <v>31</v>
      </c>
      <c r="B42" s="91" t="s">
        <v>37</v>
      </c>
      <c r="C42" s="91" t="s">
        <v>93</v>
      </c>
      <c r="D42" s="93" t="s">
        <v>94</v>
      </c>
      <c r="E42" s="91">
        <v>2021</v>
      </c>
      <c r="F42" s="91" t="s">
        <v>18</v>
      </c>
      <c r="G42" s="91" t="s">
        <v>176</v>
      </c>
      <c r="H42" s="98" t="s">
        <v>227</v>
      </c>
      <c r="I42" s="98" t="s">
        <v>273</v>
      </c>
      <c r="J42" s="96">
        <v>0</v>
      </c>
      <c r="K42" s="96">
        <v>0</v>
      </c>
      <c r="L42" s="96">
        <v>0</v>
      </c>
      <c r="M42" s="96">
        <v>0</v>
      </c>
      <c r="N42" s="96">
        <v>4053</v>
      </c>
      <c r="O42" s="96">
        <v>0</v>
      </c>
      <c r="P42" s="96">
        <f>720+1080+1200</f>
        <v>3000</v>
      </c>
      <c r="Q42" s="97">
        <f t="shared" si="0"/>
        <v>7053</v>
      </c>
      <c r="R42" s="95">
        <f t="shared" si="1"/>
        <v>5995.05</v>
      </c>
    </row>
    <row r="43" spans="1:23" ht="34.049999999999997" customHeight="1" x14ac:dyDescent="0.3">
      <c r="A43" s="96">
        <v>32</v>
      </c>
      <c r="B43" s="91" t="s">
        <v>37</v>
      </c>
      <c r="C43" s="91" t="s">
        <v>93</v>
      </c>
      <c r="D43" s="93" t="s">
        <v>94</v>
      </c>
      <c r="E43" s="91">
        <v>2021</v>
      </c>
      <c r="F43" s="91" t="s">
        <v>18</v>
      </c>
      <c r="G43" s="91" t="s">
        <v>176</v>
      </c>
      <c r="H43" s="98" t="s">
        <v>227</v>
      </c>
      <c r="I43" s="98" t="s">
        <v>273</v>
      </c>
      <c r="J43" s="96">
        <v>0</v>
      </c>
      <c r="K43" s="96">
        <v>0</v>
      </c>
      <c r="L43" s="96">
        <v>0</v>
      </c>
      <c r="M43" s="96">
        <v>17688</v>
      </c>
      <c r="N43" s="96">
        <v>0</v>
      </c>
      <c r="O43" s="96">
        <v>0</v>
      </c>
      <c r="P43" s="96">
        <f>360+56+1200</f>
        <v>1616</v>
      </c>
      <c r="Q43" s="97">
        <f t="shared" si="0"/>
        <v>19304</v>
      </c>
      <c r="R43" s="95">
        <f t="shared" si="1"/>
        <v>16408.400000000001</v>
      </c>
    </row>
    <row r="44" spans="1:23" ht="34.049999999999997" customHeight="1" x14ac:dyDescent="0.3">
      <c r="A44" s="90">
        <v>33</v>
      </c>
      <c r="B44" s="91" t="s">
        <v>37</v>
      </c>
      <c r="C44" s="91" t="s">
        <v>95</v>
      </c>
      <c r="D44" s="93" t="s">
        <v>96</v>
      </c>
      <c r="E44" s="91">
        <v>2019</v>
      </c>
      <c r="F44" s="91" t="s">
        <v>18</v>
      </c>
      <c r="G44" s="91" t="s">
        <v>177</v>
      </c>
      <c r="H44" s="98" t="s">
        <v>228</v>
      </c>
      <c r="I44" s="98" t="s">
        <v>274</v>
      </c>
      <c r="J44" s="96">
        <v>6199</v>
      </c>
      <c r="K44" s="96">
        <f>6278+4484+1346+4484+2332+2332+2332+2332+2332+2332+4484+3000+3000</f>
        <v>41068</v>
      </c>
      <c r="L44" s="96">
        <v>0</v>
      </c>
      <c r="M44" s="96">
        <v>0</v>
      </c>
      <c r="N44" s="96">
        <v>3148</v>
      </c>
      <c r="O44" s="96">
        <v>0</v>
      </c>
      <c r="P44" s="96">
        <v>0</v>
      </c>
      <c r="Q44" s="97">
        <f t="shared" si="0"/>
        <v>50415</v>
      </c>
      <c r="R44" s="95">
        <f t="shared" si="1"/>
        <v>42852.75</v>
      </c>
    </row>
    <row r="45" spans="1:23" ht="34.049999999999997" customHeight="1" x14ac:dyDescent="0.3">
      <c r="A45" s="90">
        <v>34</v>
      </c>
      <c r="B45" s="91" t="s">
        <v>37</v>
      </c>
      <c r="C45" s="91" t="s">
        <v>97</v>
      </c>
      <c r="D45" s="93" t="s">
        <v>98</v>
      </c>
      <c r="E45" s="91">
        <v>1997</v>
      </c>
      <c r="F45" s="91" t="s">
        <v>19</v>
      </c>
      <c r="G45" s="91" t="s">
        <v>178</v>
      </c>
      <c r="H45" s="91" t="s">
        <v>178</v>
      </c>
      <c r="I45" s="91" t="s">
        <v>275</v>
      </c>
      <c r="J45" s="90">
        <v>6199</v>
      </c>
      <c r="K45" s="90">
        <f>6278+2332+2332+6995</f>
        <v>17937</v>
      </c>
      <c r="L45" s="90">
        <v>18406</v>
      </c>
      <c r="M45" s="90">
        <v>0</v>
      </c>
      <c r="N45" s="90">
        <v>0</v>
      </c>
      <c r="O45" s="90">
        <v>0</v>
      </c>
      <c r="P45" s="90">
        <v>0</v>
      </c>
      <c r="Q45" s="94">
        <f t="shared" si="0"/>
        <v>42542</v>
      </c>
      <c r="R45" s="95">
        <f t="shared" si="1"/>
        <v>36160.699999999997</v>
      </c>
    </row>
    <row r="46" spans="1:23" ht="34.049999999999997" customHeight="1" x14ac:dyDescent="0.3">
      <c r="A46" s="96">
        <v>35</v>
      </c>
      <c r="B46" s="98" t="s">
        <v>37</v>
      </c>
      <c r="C46" s="98" t="s">
        <v>99</v>
      </c>
      <c r="D46" s="99" t="s">
        <v>100</v>
      </c>
      <c r="E46" s="98">
        <v>2003</v>
      </c>
      <c r="F46" s="98" t="s">
        <v>19</v>
      </c>
      <c r="G46" s="98" t="s">
        <v>179</v>
      </c>
      <c r="H46" s="98" t="s">
        <v>229</v>
      </c>
      <c r="I46" s="98" t="s">
        <v>276</v>
      </c>
      <c r="J46" s="96">
        <v>3582</v>
      </c>
      <c r="K46" s="96">
        <v>0</v>
      </c>
      <c r="L46" s="96">
        <v>0</v>
      </c>
      <c r="M46" s="96">
        <v>0</v>
      </c>
      <c r="N46" s="96">
        <v>0</v>
      </c>
      <c r="O46" s="96">
        <v>0</v>
      </c>
      <c r="P46" s="96">
        <v>0</v>
      </c>
      <c r="Q46" s="97">
        <f t="shared" si="0"/>
        <v>3582</v>
      </c>
      <c r="R46" s="95">
        <f t="shared" si="1"/>
        <v>3044.7</v>
      </c>
      <c r="S46" s="41"/>
      <c r="T46" s="41"/>
      <c r="U46" s="41"/>
      <c r="V46" s="41"/>
      <c r="W46" s="41"/>
    </row>
    <row r="47" spans="1:23" ht="34.049999999999997" customHeight="1" x14ac:dyDescent="0.3">
      <c r="A47" s="90">
        <v>36</v>
      </c>
      <c r="B47" s="98" t="s">
        <v>37</v>
      </c>
      <c r="C47" s="98" t="s">
        <v>101</v>
      </c>
      <c r="D47" s="99" t="s">
        <v>100</v>
      </c>
      <c r="E47" s="98">
        <v>2003</v>
      </c>
      <c r="F47" s="98" t="s">
        <v>19</v>
      </c>
      <c r="G47" s="98" t="s">
        <v>179</v>
      </c>
      <c r="H47" s="98" t="s">
        <v>229</v>
      </c>
      <c r="I47" s="98" t="s">
        <v>276</v>
      </c>
      <c r="J47" s="96">
        <v>6199</v>
      </c>
      <c r="K47" s="96">
        <v>0</v>
      </c>
      <c r="L47" s="96">
        <v>13298</v>
      </c>
      <c r="M47" s="96">
        <v>0</v>
      </c>
      <c r="N47" s="96">
        <v>0</v>
      </c>
      <c r="O47" s="96">
        <v>0</v>
      </c>
      <c r="P47" s="96">
        <v>0</v>
      </c>
      <c r="Q47" s="97">
        <f t="shared" si="0"/>
        <v>19497</v>
      </c>
      <c r="R47" s="95">
        <f t="shared" si="1"/>
        <v>16572.45</v>
      </c>
      <c r="S47" s="41"/>
      <c r="T47" s="41"/>
      <c r="U47" s="41"/>
      <c r="V47" s="41"/>
      <c r="W47" s="41"/>
    </row>
    <row r="48" spans="1:23" ht="34.049999999999997" customHeight="1" x14ac:dyDescent="0.3">
      <c r="A48" s="90">
        <v>37</v>
      </c>
      <c r="B48" s="91" t="s">
        <v>37</v>
      </c>
      <c r="C48" s="91" t="s">
        <v>102</v>
      </c>
      <c r="D48" s="93" t="s">
        <v>103</v>
      </c>
      <c r="E48" s="91">
        <v>2021</v>
      </c>
      <c r="F48" s="91" t="s">
        <v>19</v>
      </c>
      <c r="G48" s="91" t="s">
        <v>180</v>
      </c>
      <c r="H48" s="91" t="s">
        <v>230</v>
      </c>
      <c r="I48" s="91" t="s">
        <v>275</v>
      </c>
      <c r="J48" s="96">
        <v>6199</v>
      </c>
      <c r="K48" s="96">
        <f>6278+4484+1346+4484+2332+2332+2332+2332+2332+1166+6995+6995+2332+6995+2332+4484</f>
        <v>59551</v>
      </c>
      <c r="L48" s="96">
        <v>0</v>
      </c>
      <c r="M48" s="96">
        <v>0</v>
      </c>
      <c r="N48" s="96">
        <v>3148</v>
      </c>
      <c r="O48" s="96">
        <v>0</v>
      </c>
      <c r="P48" s="90">
        <v>0</v>
      </c>
      <c r="Q48" s="97">
        <f t="shared" si="0"/>
        <v>68898</v>
      </c>
      <c r="R48" s="95">
        <f t="shared" si="1"/>
        <v>58563.3</v>
      </c>
    </row>
    <row r="49" spans="1:18" ht="34.049999999999997" customHeight="1" x14ac:dyDescent="0.3">
      <c r="A49" s="96">
        <v>38</v>
      </c>
      <c r="B49" s="91" t="s">
        <v>37</v>
      </c>
      <c r="C49" s="91" t="s">
        <v>104</v>
      </c>
      <c r="D49" s="93" t="s">
        <v>105</v>
      </c>
      <c r="E49" s="91">
        <v>1995</v>
      </c>
      <c r="F49" s="91" t="s">
        <v>19</v>
      </c>
      <c r="G49" s="91" t="s">
        <v>181</v>
      </c>
      <c r="H49" s="91" t="s">
        <v>181</v>
      </c>
      <c r="I49" s="91" t="s">
        <v>277</v>
      </c>
      <c r="J49" s="90">
        <v>6199</v>
      </c>
      <c r="K49" s="90">
        <f>6278+3228+3000+6995</f>
        <v>19501</v>
      </c>
      <c r="L49" s="90">
        <v>17279</v>
      </c>
      <c r="M49" s="90">
        <v>0</v>
      </c>
      <c r="N49" s="90">
        <v>1793</v>
      </c>
      <c r="O49" s="90">
        <v>0</v>
      </c>
      <c r="P49" s="90">
        <v>0</v>
      </c>
      <c r="Q49" s="94">
        <f t="shared" si="0"/>
        <v>44772</v>
      </c>
      <c r="R49" s="95">
        <f t="shared" si="1"/>
        <v>38056.199999999997</v>
      </c>
    </row>
    <row r="50" spans="1:18" ht="34.049999999999997" customHeight="1" x14ac:dyDescent="0.3">
      <c r="A50" s="90">
        <v>39</v>
      </c>
      <c r="B50" s="91" t="s">
        <v>37</v>
      </c>
      <c r="C50" s="91" t="s">
        <v>106</v>
      </c>
      <c r="D50" s="93" t="s">
        <v>107</v>
      </c>
      <c r="E50" s="91">
        <v>1986</v>
      </c>
      <c r="F50" s="91" t="s">
        <v>18</v>
      </c>
      <c r="G50" s="91" t="s">
        <v>182</v>
      </c>
      <c r="H50" s="91" t="s">
        <v>182</v>
      </c>
      <c r="I50" s="91" t="s">
        <v>278</v>
      </c>
      <c r="J50" s="90">
        <v>6199</v>
      </c>
      <c r="K50" s="90">
        <v>0</v>
      </c>
      <c r="L50" s="90">
        <v>0</v>
      </c>
      <c r="M50" s="90">
        <v>0</v>
      </c>
      <c r="N50" s="90">
        <v>0</v>
      </c>
      <c r="O50" s="90">
        <v>0</v>
      </c>
      <c r="P50" s="90">
        <v>0</v>
      </c>
      <c r="Q50" s="97">
        <f t="shared" si="0"/>
        <v>6199</v>
      </c>
      <c r="R50" s="95">
        <f t="shared" si="1"/>
        <v>5269.15</v>
      </c>
    </row>
    <row r="51" spans="1:18" ht="34.049999999999997" customHeight="1" x14ac:dyDescent="0.3">
      <c r="A51" s="90">
        <v>40</v>
      </c>
      <c r="B51" s="91" t="s">
        <v>37</v>
      </c>
      <c r="C51" s="91" t="s">
        <v>108</v>
      </c>
      <c r="D51" s="93" t="s">
        <v>109</v>
      </c>
      <c r="E51" s="91">
        <v>1988</v>
      </c>
      <c r="F51" s="91" t="s">
        <v>19</v>
      </c>
      <c r="G51" s="91" t="s">
        <v>183</v>
      </c>
      <c r="H51" s="91" t="s">
        <v>183</v>
      </c>
      <c r="I51" s="91" t="s">
        <v>279</v>
      </c>
      <c r="J51" s="90">
        <v>6199</v>
      </c>
      <c r="K51" s="90">
        <f>6278+2332+2332+4484+3228</f>
        <v>18654</v>
      </c>
      <c r="L51" s="90">
        <v>18406</v>
      </c>
      <c r="M51" s="90">
        <v>0</v>
      </c>
      <c r="N51" s="90">
        <v>1793</v>
      </c>
      <c r="O51" s="90">
        <v>0</v>
      </c>
      <c r="P51" s="90">
        <v>0</v>
      </c>
      <c r="Q51" s="94">
        <f t="shared" si="0"/>
        <v>45052</v>
      </c>
      <c r="R51" s="95">
        <f t="shared" si="1"/>
        <v>38294.199999999997</v>
      </c>
    </row>
    <row r="52" spans="1:18" ht="34.049999999999997" customHeight="1" x14ac:dyDescent="0.3">
      <c r="A52" s="96">
        <v>41</v>
      </c>
      <c r="B52" s="91" t="s">
        <v>37</v>
      </c>
      <c r="C52" s="91" t="s">
        <v>110</v>
      </c>
      <c r="D52" s="93" t="s">
        <v>111</v>
      </c>
      <c r="E52" s="91">
        <v>2023</v>
      </c>
      <c r="F52" s="91" t="s">
        <v>19</v>
      </c>
      <c r="G52" s="91" t="s">
        <v>184</v>
      </c>
      <c r="H52" s="91" t="s">
        <v>231</v>
      </c>
      <c r="I52" s="91" t="s">
        <v>280</v>
      </c>
      <c r="J52" s="96">
        <v>6199</v>
      </c>
      <c r="K52" s="96">
        <f>6278+4484+4484+1166</f>
        <v>16412</v>
      </c>
      <c r="L52" s="96">
        <v>0</v>
      </c>
      <c r="M52" s="96">
        <v>0</v>
      </c>
      <c r="N52" s="96">
        <v>3148</v>
      </c>
      <c r="O52" s="96">
        <v>0</v>
      </c>
      <c r="P52" s="96">
        <v>0</v>
      </c>
      <c r="Q52" s="97">
        <f t="shared" si="0"/>
        <v>25759</v>
      </c>
      <c r="R52" s="95">
        <f t="shared" si="1"/>
        <v>21895.15</v>
      </c>
    </row>
    <row r="53" spans="1:18" ht="34.049999999999997" customHeight="1" x14ac:dyDescent="0.3">
      <c r="A53" s="90">
        <v>42</v>
      </c>
      <c r="B53" s="91" t="s">
        <v>37</v>
      </c>
      <c r="C53" s="91" t="s">
        <v>112</v>
      </c>
      <c r="D53" s="93" t="s">
        <v>113</v>
      </c>
      <c r="E53" s="91">
        <v>2020</v>
      </c>
      <c r="F53" s="91" t="s">
        <v>18</v>
      </c>
      <c r="G53" s="91" t="s">
        <v>185</v>
      </c>
      <c r="H53" s="91" t="s">
        <v>232</v>
      </c>
      <c r="I53" s="91" t="s">
        <v>35</v>
      </c>
      <c r="J53" s="96">
        <v>3793</v>
      </c>
      <c r="K53" s="96">
        <f>1166+2801</f>
        <v>3967</v>
      </c>
      <c r="L53" s="96">
        <v>0</v>
      </c>
      <c r="M53" s="96">
        <v>0</v>
      </c>
      <c r="N53" s="96">
        <v>0</v>
      </c>
      <c r="O53" s="96">
        <v>0</v>
      </c>
      <c r="P53" s="90">
        <v>0</v>
      </c>
      <c r="Q53" s="97">
        <f t="shared" si="0"/>
        <v>7760</v>
      </c>
      <c r="R53" s="95">
        <f t="shared" si="1"/>
        <v>6596</v>
      </c>
    </row>
    <row r="54" spans="1:18" ht="34.049999999999997" customHeight="1" x14ac:dyDescent="0.3">
      <c r="A54" s="90">
        <v>43</v>
      </c>
      <c r="B54" s="91" t="s">
        <v>37</v>
      </c>
      <c r="C54" s="91" t="s">
        <v>114</v>
      </c>
      <c r="D54" s="93" t="s">
        <v>115</v>
      </c>
      <c r="E54" s="91">
        <v>1999</v>
      </c>
      <c r="F54" s="91" t="s">
        <v>19</v>
      </c>
      <c r="G54" s="91" t="s">
        <v>186</v>
      </c>
      <c r="H54" s="91" t="s">
        <v>186</v>
      </c>
      <c r="I54" s="91" t="s">
        <v>281</v>
      </c>
      <c r="J54" s="90">
        <v>6199</v>
      </c>
      <c r="K54" s="90">
        <v>0</v>
      </c>
      <c r="L54" s="90">
        <v>18406</v>
      </c>
      <c r="M54" s="90">
        <v>0</v>
      </c>
      <c r="N54" s="90">
        <v>0</v>
      </c>
      <c r="O54" s="90">
        <v>0</v>
      </c>
      <c r="P54" s="90">
        <v>0</v>
      </c>
      <c r="Q54" s="94">
        <f t="shared" si="0"/>
        <v>24605</v>
      </c>
      <c r="R54" s="95">
        <f t="shared" si="1"/>
        <v>20914.25</v>
      </c>
    </row>
    <row r="55" spans="1:18" ht="34.049999999999997" customHeight="1" x14ac:dyDescent="0.3">
      <c r="A55" s="96">
        <v>44</v>
      </c>
      <c r="B55" s="91" t="s">
        <v>37</v>
      </c>
      <c r="C55" s="91" t="s">
        <v>116</v>
      </c>
      <c r="D55" s="93" t="s">
        <v>117</v>
      </c>
      <c r="E55" s="91">
        <v>2025</v>
      </c>
      <c r="F55" s="91" t="s">
        <v>19</v>
      </c>
      <c r="G55" s="91" t="s">
        <v>187</v>
      </c>
      <c r="H55" s="91" t="s">
        <v>233</v>
      </c>
      <c r="I55" s="91" t="s">
        <v>282</v>
      </c>
      <c r="J55" s="96">
        <v>6199</v>
      </c>
      <c r="K55" s="96">
        <v>0</v>
      </c>
      <c r="L55" s="96">
        <v>0</v>
      </c>
      <c r="M55" s="96">
        <v>0</v>
      </c>
      <c r="N55" s="96">
        <v>0</v>
      </c>
      <c r="O55" s="96">
        <v>0</v>
      </c>
      <c r="P55" s="90">
        <v>0</v>
      </c>
      <c r="Q55" s="97">
        <f t="shared" si="0"/>
        <v>6199</v>
      </c>
      <c r="R55" s="95">
        <f t="shared" si="1"/>
        <v>5269.15</v>
      </c>
    </row>
    <row r="56" spans="1:18" ht="34.049999999999997" customHeight="1" x14ac:dyDescent="0.3">
      <c r="A56" s="90">
        <v>45</v>
      </c>
      <c r="B56" s="91" t="s">
        <v>37</v>
      </c>
      <c r="C56" s="91" t="s">
        <v>118</v>
      </c>
      <c r="D56" s="93" t="s">
        <v>119</v>
      </c>
      <c r="E56" s="91">
        <v>2020</v>
      </c>
      <c r="F56" s="91" t="s">
        <v>18</v>
      </c>
      <c r="G56" s="91" t="s">
        <v>188</v>
      </c>
      <c r="H56" s="91" t="s">
        <v>234</v>
      </c>
      <c r="I56" s="91" t="s">
        <v>283</v>
      </c>
      <c r="J56" s="91">
        <v>6199</v>
      </c>
      <c r="K56" s="91">
        <f>6278+4484+1346+2332+4484+2332+2332+2332+2332+4484+1166+2332+2332+3000+3000</f>
        <v>44566</v>
      </c>
      <c r="L56" s="91">
        <v>0</v>
      </c>
      <c r="M56" s="91">
        <v>0</v>
      </c>
      <c r="N56" s="91">
        <v>3148</v>
      </c>
      <c r="O56" s="91">
        <v>0</v>
      </c>
      <c r="P56" s="91">
        <v>0</v>
      </c>
      <c r="Q56" s="97">
        <f t="shared" si="0"/>
        <v>53913</v>
      </c>
      <c r="R56" s="95">
        <f t="shared" si="1"/>
        <v>45826.05</v>
      </c>
    </row>
    <row r="57" spans="1:18" ht="34.049999999999997" customHeight="1" x14ac:dyDescent="0.3">
      <c r="A57" s="90">
        <v>46</v>
      </c>
      <c r="B57" s="91" t="s">
        <v>37</v>
      </c>
      <c r="C57" s="91" t="s">
        <v>120</v>
      </c>
      <c r="D57" s="93" t="s">
        <v>121</v>
      </c>
      <c r="E57" s="91">
        <v>1986</v>
      </c>
      <c r="F57" s="91" t="s">
        <v>19</v>
      </c>
      <c r="G57" s="91" t="s">
        <v>189</v>
      </c>
      <c r="H57" s="91" t="s">
        <v>189</v>
      </c>
      <c r="I57" s="91" t="s">
        <v>7469</v>
      </c>
      <c r="J57" s="91">
        <v>6199</v>
      </c>
      <c r="K57" s="91">
        <v>0</v>
      </c>
      <c r="L57" s="91">
        <v>18406</v>
      </c>
      <c r="M57" s="91">
        <v>0</v>
      </c>
      <c r="N57" s="91">
        <v>0</v>
      </c>
      <c r="O57" s="91">
        <v>0</v>
      </c>
      <c r="P57" s="91">
        <v>0</v>
      </c>
      <c r="Q57" s="94">
        <f t="shared" si="0"/>
        <v>24605</v>
      </c>
      <c r="R57" s="95">
        <f t="shared" si="1"/>
        <v>20914.25</v>
      </c>
    </row>
    <row r="58" spans="1:18" ht="34.049999999999997" customHeight="1" x14ac:dyDescent="0.3">
      <c r="A58" s="96">
        <v>47</v>
      </c>
      <c r="B58" s="91" t="s">
        <v>37</v>
      </c>
      <c r="C58" s="91" t="s">
        <v>122</v>
      </c>
      <c r="D58" s="93" t="s">
        <v>123</v>
      </c>
      <c r="E58" s="91">
        <v>2020</v>
      </c>
      <c r="F58" s="91" t="s">
        <v>18</v>
      </c>
      <c r="G58" s="91" t="s">
        <v>190</v>
      </c>
      <c r="H58" s="91" t="s">
        <v>156</v>
      </c>
      <c r="I58" s="91" t="s">
        <v>7470</v>
      </c>
      <c r="J58" s="91">
        <v>3582</v>
      </c>
      <c r="K58" s="91">
        <v>0</v>
      </c>
      <c r="L58" s="91">
        <v>0</v>
      </c>
      <c r="M58" s="91">
        <v>0</v>
      </c>
      <c r="N58" s="91">
        <v>27126</v>
      </c>
      <c r="O58" s="91">
        <v>0</v>
      </c>
      <c r="P58" s="91">
        <v>0</v>
      </c>
      <c r="Q58" s="97">
        <f t="shared" si="0"/>
        <v>30708</v>
      </c>
      <c r="R58" s="95">
        <f t="shared" si="1"/>
        <v>26101.8</v>
      </c>
    </row>
    <row r="59" spans="1:18" ht="34.049999999999997" customHeight="1" x14ac:dyDescent="0.3">
      <c r="A59" s="90">
        <v>48</v>
      </c>
      <c r="B59" s="91" t="s">
        <v>37</v>
      </c>
      <c r="C59" s="91" t="s">
        <v>124</v>
      </c>
      <c r="D59" s="93" t="s">
        <v>125</v>
      </c>
      <c r="E59" s="91">
        <v>1991</v>
      </c>
      <c r="F59" s="91" t="s">
        <v>18</v>
      </c>
      <c r="G59" s="91" t="s">
        <v>191</v>
      </c>
      <c r="H59" s="91" t="s">
        <v>191</v>
      </c>
      <c r="I59" s="91" t="s">
        <v>285</v>
      </c>
      <c r="J59" s="91">
        <v>6199</v>
      </c>
      <c r="K59" s="91">
        <f>2332+2332+2332+2332+3000+3000+2332+2332</f>
        <v>19992</v>
      </c>
      <c r="L59" s="91">
        <v>0</v>
      </c>
      <c r="M59" s="91">
        <v>0</v>
      </c>
      <c r="N59" s="91">
        <v>1793</v>
      </c>
      <c r="O59" s="91">
        <v>0</v>
      </c>
      <c r="P59" s="91">
        <v>0</v>
      </c>
      <c r="Q59" s="97">
        <f t="shared" si="0"/>
        <v>27984</v>
      </c>
      <c r="R59" s="95">
        <f t="shared" si="1"/>
        <v>23786.400000000001</v>
      </c>
    </row>
    <row r="60" spans="1:18" ht="34.049999999999997" customHeight="1" x14ac:dyDescent="0.3">
      <c r="A60" s="90">
        <v>49</v>
      </c>
      <c r="B60" s="91" t="s">
        <v>37</v>
      </c>
      <c r="C60" s="91" t="s">
        <v>126</v>
      </c>
      <c r="D60" s="93" t="s">
        <v>127</v>
      </c>
      <c r="E60" s="91">
        <v>2024</v>
      </c>
      <c r="F60" s="91" t="s">
        <v>18</v>
      </c>
      <c r="G60" s="91" t="s">
        <v>192</v>
      </c>
      <c r="H60" s="91" t="s">
        <v>235</v>
      </c>
      <c r="I60" s="91" t="s">
        <v>286</v>
      </c>
      <c r="J60" s="91">
        <v>6199</v>
      </c>
      <c r="K60" s="91">
        <v>0</v>
      </c>
      <c r="L60" s="91">
        <v>0</v>
      </c>
      <c r="M60" s="91">
        <v>0</v>
      </c>
      <c r="N60" s="91">
        <v>0</v>
      </c>
      <c r="O60" s="91">
        <v>0</v>
      </c>
      <c r="P60" s="91">
        <v>0</v>
      </c>
      <c r="Q60" s="97">
        <f t="shared" si="0"/>
        <v>6199</v>
      </c>
      <c r="R60" s="95">
        <f t="shared" si="1"/>
        <v>5269.15</v>
      </c>
    </row>
    <row r="61" spans="1:18" ht="34.049999999999997" customHeight="1" x14ac:dyDescent="0.3">
      <c r="A61" s="96">
        <v>50</v>
      </c>
      <c r="B61" s="91" t="s">
        <v>37</v>
      </c>
      <c r="C61" s="91" t="s">
        <v>128</v>
      </c>
      <c r="D61" s="93" t="s">
        <v>129</v>
      </c>
      <c r="E61" s="91">
        <v>2025</v>
      </c>
      <c r="F61" s="91" t="s">
        <v>18</v>
      </c>
      <c r="G61" s="91" t="s">
        <v>193</v>
      </c>
      <c r="H61" s="91" t="s">
        <v>236</v>
      </c>
      <c r="I61" s="91" t="s">
        <v>7471</v>
      </c>
      <c r="J61" s="91">
        <v>6199</v>
      </c>
      <c r="K61" s="91">
        <v>0</v>
      </c>
      <c r="L61" s="91">
        <f>20807+13298</f>
        <v>34105</v>
      </c>
      <c r="M61" s="91">
        <v>0</v>
      </c>
      <c r="N61" s="91">
        <v>0</v>
      </c>
      <c r="O61" s="91">
        <v>0</v>
      </c>
      <c r="P61" s="91">
        <v>0</v>
      </c>
      <c r="Q61" s="94">
        <f t="shared" si="0"/>
        <v>40304</v>
      </c>
      <c r="R61" s="95">
        <f t="shared" si="1"/>
        <v>34258.400000000001</v>
      </c>
    </row>
    <row r="62" spans="1:18" ht="34.049999999999997" customHeight="1" x14ac:dyDescent="0.3">
      <c r="A62" s="90">
        <v>51</v>
      </c>
      <c r="B62" s="91" t="s">
        <v>37</v>
      </c>
      <c r="C62" s="91" t="s">
        <v>130</v>
      </c>
      <c r="D62" s="93" t="s">
        <v>131</v>
      </c>
      <c r="E62" s="91">
        <v>2022</v>
      </c>
      <c r="F62" s="91" t="s">
        <v>18</v>
      </c>
      <c r="G62" s="91" t="s">
        <v>194</v>
      </c>
      <c r="H62" s="91" t="s">
        <v>237</v>
      </c>
      <c r="I62" s="91" t="s">
        <v>288</v>
      </c>
      <c r="J62" s="91">
        <v>6199</v>
      </c>
      <c r="K62" s="91">
        <f>6278+4484+1346+4484+2332+2332+2332+2332+2332</f>
        <v>28252</v>
      </c>
      <c r="L62" s="91">
        <v>0</v>
      </c>
      <c r="M62" s="91">
        <v>0</v>
      </c>
      <c r="N62" s="91">
        <v>3148</v>
      </c>
      <c r="O62" s="91">
        <v>0</v>
      </c>
      <c r="P62" s="91">
        <v>0</v>
      </c>
      <c r="Q62" s="97">
        <f t="shared" si="0"/>
        <v>37599</v>
      </c>
      <c r="R62" s="95">
        <f t="shared" si="1"/>
        <v>31959.15</v>
      </c>
    </row>
    <row r="63" spans="1:18" ht="34.049999999999997" customHeight="1" x14ac:dyDescent="0.3">
      <c r="A63" s="90">
        <v>52</v>
      </c>
      <c r="B63" s="91" t="s">
        <v>37</v>
      </c>
      <c r="C63" s="91" t="s">
        <v>132</v>
      </c>
      <c r="D63" s="93" t="s">
        <v>133</v>
      </c>
      <c r="E63" s="91">
        <v>1988</v>
      </c>
      <c r="F63" s="91" t="s">
        <v>18</v>
      </c>
      <c r="G63" s="91" t="s">
        <v>195</v>
      </c>
      <c r="H63" s="91" t="s">
        <v>238</v>
      </c>
      <c r="I63" s="91" t="s">
        <v>289</v>
      </c>
      <c r="J63" s="91">
        <v>6199</v>
      </c>
      <c r="K63" s="91">
        <f>2332+2332+1346+2243</f>
        <v>8253</v>
      </c>
      <c r="L63" s="91">
        <v>0</v>
      </c>
      <c r="M63" s="91">
        <v>0</v>
      </c>
      <c r="N63" s="91">
        <v>0</v>
      </c>
      <c r="O63" s="91">
        <v>0</v>
      </c>
      <c r="P63" s="91">
        <v>0</v>
      </c>
      <c r="Q63" s="97">
        <f t="shared" si="0"/>
        <v>14452</v>
      </c>
      <c r="R63" s="95">
        <f t="shared" si="1"/>
        <v>12284.2</v>
      </c>
    </row>
    <row r="64" spans="1:18" ht="34.049999999999997" customHeight="1" x14ac:dyDescent="0.3">
      <c r="A64" s="96">
        <v>53</v>
      </c>
      <c r="B64" s="91" t="s">
        <v>37</v>
      </c>
      <c r="C64" s="91" t="s">
        <v>134</v>
      </c>
      <c r="D64" s="93" t="s">
        <v>135</v>
      </c>
      <c r="E64" s="91">
        <v>2025</v>
      </c>
      <c r="F64" s="91" t="s">
        <v>19</v>
      </c>
      <c r="G64" s="91" t="s">
        <v>196</v>
      </c>
      <c r="H64" s="91" t="s">
        <v>239</v>
      </c>
      <c r="I64" s="91" t="s">
        <v>290</v>
      </c>
      <c r="J64" s="91">
        <v>6199</v>
      </c>
      <c r="K64" s="91">
        <v>0</v>
      </c>
      <c r="L64" s="91">
        <v>0</v>
      </c>
      <c r="M64" s="91">
        <v>0</v>
      </c>
      <c r="N64" s="91">
        <v>0</v>
      </c>
      <c r="O64" s="91">
        <v>0</v>
      </c>
      <c r="P64" s="91">
        <v>0</v>
      </c>
      <c r="Q64" s="97">
        <f t="shared" si="0"/>
        <v>6199</v>
      </c>
      <c r="R64" s="95">
        <f t="shared" si="1"/>
        <v>5269.15</v>
      </c>
    </row>
    <row r="65" spans="1:18" ht="34.049999999999997" customHeight="1" x14ac:dyDescent="0.3">
      <c r="A65" s="90">
        <v>54</v>
      </c>
      <c r="B65" s="91" t="s">
        <v>37</v>
      </c>
      <c r="C65" s="91" t="s">
        <v>7338</v>
      </c>
      <c r="D65" s="93" t="s">
        <v>137</v>
      </c>
      <c r="E65" s="91">
        <v>2024</v>
      </c>
      <c r="F65" s="91" t="s">
        <v>19</v>
      </c>
      <c r="G65" s="91" t="s">
        <v>198</v>
      </c>
      <c r="H65" s="91" t="s">
        <v>241</v>
      </c>
      <c r="I65" s="91" t="s">
        <v>292</v>
      </c>
      <c r="J65" s="91">
        <v>3793</v>
      </c>
      <c r="K65" s="91">
        <f>6278+4484+2332+1346+2332+2332+2332+2332+6995+6995+6995+2332+2332+4484</f>
        <v>53901</v>
      </c>
      <c r="L65" s="91">
        <v>0</v>
      </c>
      <c r="M65" s="91">
        <v>0</v>
      </c>
      <c r="N65" s="91">
        <v>3148</v>
      </c>
      <c r="O65" s="91">
        <v>0</v>
      </c>
      <c r="P65" s="91">
        <v>0</v>
      </c>
      <c r="Q65" s="97">
        <f t="shared" si="0"/>
        <v>60842</v>
      </c>
      <c r="R65" s="95">
        <f t="shared" si="1"/>
        <v>51715.7</v>
      </c>
    </row>
    <row r="66" spans="1:18" ht="34.049999999999997" customHeight="1" x14ac:dyDescent="0.3">
      <c r="A66" s="90">
        <v>55</v>
      </c>
      <c r="B66" s="91" t="s">
        <v>37</v>
      </c>
      <c r="C66" s="91" t="s">
        <v>7339</v>
      </c>
      <c r="D66" s="93" t="s">
        <v>138</v>
      </c>
      <c r="E66" s="91">
        <v>2021</v>
      </c>
      <c r="F66" s="91" t="s">
        <v>18</v>
      </c>
      <c r="G66" s="91" t="s">
        <v>199</v>
      </c>
      <c r="H66" s="91" t="s">
        <v>242</v>
      </c>
      <c r="I66" s="91" t="s">
        <v>293</v>
      </c>
      <c r="J66" s="91">
        <v>6199</v>
      </c>
      <c r="K66" s="91">
        <v>1166</v>
      </c>
      <c r="L66" s="91">
        <v>0</v>
      </c>
      <c r="M66" s="91">
        <v>0</v>
      </c>
      <c r="N66" s="91">
        <v>0</v>
      </c>
      <c r="O66" s="91">
        <v>0</v>
      </c>
      <c r="P66" s="91">
        <v>0</v>
      </c>
      <c r="Q66" s="97">
        <f t="shared" si="0"/>
        <v>7365</v>
      </c>
      <c r="R66" s="95">
        <f t="shared" si="1"/>
        <v>6260.25</v>
      </c>
    </row>
    <row r="67" spans="1:18" ht="34.049999999999997" customHeight="1" x14ac:dyDescent="0.3">
      <c r="A67" s="96">
        <v>56</v>
      </c>
      <c r="B67" s="91" t="s">
        <v>37</v>
      </c>
      <c r="C67" s="91" t="s">
        <v>7340</v>
      </c>
      <c r="D67" s="93" t="s">
        <v>139</v>
      </c>
      <c r="E67" s="91">
        <v>1996</v>
      </c>
      <c r="F67" s="91" t="s">
        <v>18</v>
      </c>
      <c r="G67" s="91" t="s">
        <v>200</v>
      </c>
      <c r="H67" s="91" t="s">
        <v>200</v>
      </c>
      <c r="I67" s="91" t="s">
        <v>294</v>
      </c>
      <c r="J67" s="91">
        <v>6199</v>
      </c>
      <c r="K67" s="91">
        <v>0</v>
      </c>
      <c r="L67" s="91">
        <v>0</v>
      </c>
      <c r="M67" s="91">
        <v>0</v>
      </c>
      <c r="N67" s="91">
        <v>44696</v>
      </c>
      <c r="O67" s="91">
        <v>0</v>
      </c>
      <c r="P67" s="91">
        <v>0</v>
      </c>
      <c r="Q67" s="97">
        <f t="shared" si="0"/>
        <v>50895</v>
      </c>
      <c r="R67" s="95">
        <f t="shared" si="1"/>
        <v>43260.75</v>
      </c>
    </row>
    <row r="68" spans="1:18" ht="34.049999999999997" customHeight="1" x14ac:dyDescent="0.3">
      <c r="A68" s="90">
        <v>57</v>
      </c>
      <c r="B68" s="91" t="s">
        <v>37</v>
      </c>
      <c r="C68" s="91" t="s">
        <v>7341</v>
      </c>
      <c r="D68" s="93" t="s">
        <v>140</v>
      </c>
      <c r="E68" s="91">
        <v>2019</v>
      </c>
      <c r="F68" s="91" t="s">
        <v>19</v>
      </c>
      <c r="G68" s="91" t="s">
        <v>201</v>
      </c>
      <c r="H68" s="91" t="s">
        <v>243</v>
      </c>
      <c r="I68" s="91" t="s">
        <v>295</v>
      </c>
      <c r="J68" s="91">
        <v>6199</v>
      </c>
      <c r="K68" s="91">
        <v>0</v>
      </c>
      <c r="L68" s="91">
        <v>0</v>
      </c>
      <c r="M68" s="91">
        <v>0</v>
      </c>
      <c r="N68" s="91">
        <v>0</v>
      </c>
      <c r="O68" s="91">
        <v>0</v>
      </c>
      <c r="P68" s="91">
        <v>0</v>
      </c>
      <c r="Q68" s="97">
        <f t="shared" si="0"/>
        <v>6199</v>
      </c>
      <c r="R68" s="95">
        <f t="shared" si="1"/>
        <v>5269.15</v>
      </c>
    </row>
    <row r="69" spans="1:18" ht="34.049999999999997" customHeight="1" x14ac:dyDescent="0.3">
      <c r="A69" s="90">
        <v>58</v>
      </c>
      <c r="B69" s="91" t="s">
        <v>37</v>
      </c>
      <c r="C69" s="91" t="s">
        <v>7342</v>
      </c>
      <c r="D69" s="93" t="s">
        <v>141</v>
      </c>
      <c r="E69" s="91">
        <v>2021</v>
      </c>
      <c r="F69" s="91" t="s">
        <v>19</v>
      </c>
      <c r="G69" s="91" t="s">
        <v>202</v>
      </c>
      <c r="H69" s="91" t="s">
        <v>243</v>
      </c>
      <c r="I69" s="91" t="s">
        <v>295</v>
      </c>
      <c r="J69" s="91">
        <v>6199</v>
      </c>
      <c r="K69" s="91">
        <v>0</v>
      </c>
      <c r="L69" s="91">
        <v>0</v>
      </c>
      <c r="M69" s="91">
        <v>0</v>
      </c>
      <c r="N69" s="91">
        <v>0</v>
      </c>
      <c r="O69" s="91">
        <v>0</v>
      </c>
      <c r="P69" s="91">
        <v>0</v>
      </c>
      <c r="Q69" s="97">
        <f t="shared" si="0"/>
        <v>6199</v>
      </c>
      <c r="R69" s="95">
        <f t="shared" si="1"/>
        <v>5269.15</v>
      </c>
    </row>
    <row r="70" spans="1:18" ht="34.049999999999997" customHeight="1" x14ac:dyDescent="0.3">
      <c r="A70" s="96">
        <v>59</v>
      </c>
      <c r="B70" s="91" t="s">
        <v>37</v>
      </c>
      <c r="C70" s="91" t="s">
        <v>7343</v>
      </c>
      <c r="D70" s="93" t="s">
        <v>142</v>
      </c>
      <c r="E70" s="91">
        <v>1990</v>
      </c>
      <c r="F70" s="91" t="s">
        <v>19</v>
      </c>
      <c r="G70" s="91" t="s">
        <v>203</v>
      </c>
      <c r="H70" s="91" t="s">
        <v>244</v>
      </c>
      <c r="I70" s="91" t="s">
        <v>296</v>
      </c>
      <c r="J70" s="91">
        <v>6199</v>
      </c>
      <c r="K70" s="91">
        <v>0</v>
      </c>
      <c r="L70" s="91">
        <v>0</v>
      </c>
      <c r="M70" s="91">
        <v>0</v>
      </c>
      <c r="N70" s="91">
        <v>0</v>
      </c>
      <c r="O70" s="91">
        <v>0</v>
      </c>
      <c r="P70" s="91">
        <v>0</v>
      </c>
      <c r="Q70" s="97">
        <f t="shared" si="0"/>
        <v>6199</v>
      </c>
      <c r="R70" s="95">
        <f t="shared" si="1"/>
        <v>5269.15</v>
      </c>
    </row>
    <row r="71" spans="1:18" ht="34.049999999999997" customHeight="1" x14ac:dyDescent="0.3">
      <c r="A71" s="90">
        <v>60</v>
      </c>
      <c r="B71" s="91" t="s">
        <v>37</v>
      </c>
      <c r="C71" s="91" t="s">
        <v>7344</v>
      </c>
      <c r="D71" s="93" t="s">
        <v>143</v>
      </c>
      <c r="E71" s="91">
        <v>1988</v>
      </c>
      <c r="F71" s="91" t="s">
        <v>18</v>
      </c>
      <c r="G71" s="91" t="s">
        <v>204</v>
      </c>
      <c r="H71" s="91" t="s">
        <v>204</v>
      </c>
      <c r="I71" s="91" t="s">
        <v>297</v>
      </c>
      <c r="J71" s="91">
        <v>6199</v>
      </c>
      <c r="K71" s="91">
        <v>0</v>
      </c>
      <c r="L71" s="91">
        <v>0</v>
      </c>
      <c r="M71" s="91">
        <v>0</v>
      </c>
      <c r="N71" s="91">
        <v>0</v>
      </c>
      <c r="O71" s="91">
        <v>0</v>
      </c>
      <c r="P71" s="91">
        <v>0</v>
      </c>
      <c r="Q71" s="97">
        <f t="shared" si="0"/>
        <v>6199</v>
      </c>
      <c r="R71" s="95">
        <f t="shared" si="1"/>
        <v>5269.15</v>
      </c>
    </row>
    <row r="72" spans="1:18" ht="34.049999999999997" customHeight="1" x14ac:dyDescent="0.3">
      <c r="A72" s="90">
        <v>61</v>
      </c>
      <c r="B72" s="91" t="s">
        <v>37</v>
      </c>
      <c r="C72" s="91" t="s">
        <v>7345</v>
      </c>
      <c r="D72" s="93" t="s">
        <v>144</v>
      </c>
      <c r="E72" s="91">
        <v>2025</v>
      </c>
      <c r="F72" s="91" t="s">
        <v>18</v>
      </c>
      <c r="G72" s="91" t="s">
        <v>205</v>
      </c>
      <c r="H72" s="91" t="s">
        <v>245</v>
      </c>
      <c r="I72" s="91" t="s">
        <v>298</v>
      </c>
      <c r="J72" s="91">
        <v>6199</v>
      </c>
      <c r="K72" s="91">
        <v>0</v>
      </c>
      <c r="L72" s="91">
        <v>0</v>
      </c>
      <c r="M72" s="91">
        <v>0</v>
      </c>
      <c r="N72" s="91">
        <v>0</v>
      </c>
      <c r="O72" s="91">
        <v>0</v>
      </c>
      <c r="P72" s="91">
        <v>0</v>
      </c>
      <c r="Q72" s="97">
        <f t="shared" si="0"/>
        <v>6199</v>
      </c>
      <c r="R72" s="95">
        <f t="shared" si="1"/>
        <v>5269.15</v>
      </c>
    </row>
    <row r="73" spans="1:18" ht="34.049999999999997" customHeight="1" x14ac:dyDescent="0.3">
      <c r="A73" s="96">
        <v>62</v>
      </c>
      <c r="B73" s="91" t="s">
        <v>37</v>
      </c>
      <c r="C73" s="91" t="s">
        <v>7346</v>
      </c>
      <c r="D73" s="93" t="s">
        <v>145</v>
      </c>
      <c r="E73" s="91">
        <v>1978</v>
      </c>
      <c r="F73" s="91" t="s">
        <v>18</v>
      </c>
      <c r="G73" s="91" t="s">
        <v>206</v>
      </c>
      <c r="H73" s="91" t="s">
        <v>246</v>
      </c>
      <c r="I73" s="91" t="s">
        <v>299</v>
      </c>
      <c r="J73" s="91">
        <v>6199</v>
      </c>
      <c r="K73" s="91">
        <v>0</v>
      </c>
      <c r="L73" s="91">
        <v>0</v>
      </c>
      <c r="M73" s="91">
        <v>0</v>
      </c>
      <c r="N73" s="91">
        <v>0</v>
      </c>
      <c r="O73" s="91">
        <v>0</v>
      </c>
      <c r="P73" s="91">
        <v>0</v>
      </c>
      <c r="Q73" s="97">
        <f t="shared" si="0"/>
        <v>6199</v>
      </c>
      <c r="R73" s="95">
        <f t="shared" si="1"/>
        <v>5269.15</v>
      </c>
    </row>
    <row r="74" spans="1:18" ht="34.049999999999997" customHeight="1" x14ac:dyDescent="0.3">
      <c r="A74" s="90">
        <v>63</v>
      </c>
      <c r="B74" s="91" t="s">
        <v>37</v>
      </c>
      <c r="C74" s="91" t="s">
        <v>7347</v>
      </c>
      <c r="D74" s="93" t="s">
        <v>146</v>
      </c>
      <c r="E74" s="91">
        <v>1991</v>
      </c>
      <c r="F74" s="91" t="s">
        <v>19</v>
      </c>
      <c r="G74" s="91" t="s">
        <v>207</v>
      </c>
      <c r="H74" s="91" t="s">
        <v>247</v>
      </c>
      <c r="I74" s="91" t="s">
        <v>300</v>
      </c>
      <c r="J74" s="91">
        <v>6199</v>
      </c>
      <c r="K74" s="91">
        <v>0</v>
      </c>
      <c r="L74" s="91">
        <v>0</v>
      </c>
      <c r="M74" s="91">
        <v>0</v>
      </c>
      <c r="N74" s="91">
        <v>0</v>
      </c>
      <c r="O74" s="91">
        <v>0</v>
      </c>
      <c r="P74" s="91">
        <v>0</v>
      </c>
      <c r="Q74" s="97">
        <f t="shared" si="0"/>
        <v>6199</v>
      </c>
      <c r="R74" s="95">
        <f t="shared" si="1"/>
        <v>5269.15</v>
      </c>
    </row>
    <row r="75" spans="1:18" ht="34.049999999999997" customHeight="1" x14ac:dyDescent="0.3">
      <c r="A75" s="90">
        <v>64</v>
      </c>
      <c r="B75" s="91" t="s">
        <v>37</v>
      </c>
      <c r="C75" s="91" t="s">
        <v>7348</v>
      </c>
      <c r="D75" s="93" t="s">
        <v>147</v>
      </c>
      <c r="E75" s="91">
        <v>1996</v>
      </c>
      <c r="F75" s="91" t="s">
        <v>19</v>
      </c>
      <c r="G75" s="91" t="s">
        <v>208</v>
      </c>
      <c r="H75" s="91" t="s">
        <v>248</v>
      </c>
      <c r="I75" s="91" t="s">
        <v>301</v>
      </c>
      <c r="J75" s="100">
        <v>6199</v>
      </c>
      <c r="K75" s="100">
        <v>0</v>
      </c>
      <c r="L75" s="100">
        <v>0</v>
      </c>
      <c r="M75" s="100">
        <v>0</v>
      </c>
      <c r="N75" s="100">
        <v>0</v>
      </c>
      <c r="O75" s="100">
        <v>0</v>
      </c>
      <c r="P75" s="100">
        <v>0</v>
      </c>
      <c r="Q75" s="101">
        <f t="shared" si="0"/>
        <v>6199</v>
      </c>
      <c r="R75" s="95">
        <f t="shared" si="1"/>
        <v>5269.15</v>
      </c>
    </row>
    <row r="76" spans="1:18" ht="34.049999999999997" customHeight="1" x14ac:dyDescent="0.3">
      <c r="A76" s="96">
        <v>65</v>
      </c>
      <c r="B76" s="91" t="s">
        <v>37</v>
      </c>
      <c r="C76" s="91" t="s">
        <v>7349</v>
      </c>
      <c r="D76" s="91" t="s">
        <v>2636</v>
      </c>
      <c r="E76" s="91">
        <v>2024</v>
      </c>
      <c r="F76" s="91" t="s">
        <v>6943</v>
      </c>
      <c r="G76" s="91" t="s">
        <v>2637</v>
      </c>
      <c r="H76" s="91" t="s">
        <v>2638</v>
      </c>
      <c r="I76" s="91" t="s">
        <v>2639</v>
      </c>
      <c r="J76" s="100">
        <v>3793</v>
      </c>
      <c r="K76" s="100">
        <f>6278+4484+4484+2332+2332+1346+2332+2332+2332+2332+1166+6995+6995+2332+6995</f>
        <v>55067</v>
      </c>
      <c r="L76" s="100">
        <v>0</v>
      </c>
      <c r="M76" s="100">
        <v>0</v>
      </c>
      <c r="N76" s="100">
        <f>3148+4053</f>
        <v>7201</v>
      </c>
      <c r="O76" s="100">
        <v>0</v>
      </c>
      <c r="P76" s="100">
        <f>720+120+1080+360+56</f>
        <v>2336</v>
      </c>
      <c r="Q76" s="102">
        <f t="shared" ref="Q76:Q139" si="2">SUM(J76:P76)</f>
        <v>68397</v>
      </c>
      <c r="R76" s="95">
        <f t="shared" si="1"/>
        <v>58137.45</v>
      </c>
    </row>
    <row r="77" spans="1:18" ht="34.049999999999997" customHeight="1" x14ac:dyDescent="0.3">
      <c r="A77" s="90">
        <v>66</v>
      </c>
      <c r="B77" s="91" t="s">
        <v>37</v>
      </c>
      <c r="C77" s="91" t="s">
        <v>7176</v>
      </c>
      <c r="D77" s="91" t="s">
        <v>2636</v>
      </c>
      <c r="E77" s="91">
        <v>2024</v>
      </c>
      <c r="F77" s="91" t="s">
        <v>6943</v>
      </c>
      <c r="G77" s="91" t="s">
        <v>2637</v>
      </c>
      <c r="H77" s="91" t="s">
        <v>2638</v>
      </c>
      <c r="I77" s="91" t="s">
        <v>2639</v>
      </c>
      <c r="J77" s="100">
        <v>0</v>
      </c>
      <c r="K77" s="100">
        <v>0</v>
      </c>
      <c r="L77" s="100">
        <v>0</v>
      </c>
      <c r="M77" s="100">
        <v>17688</v>
      </c>
      <c r="N77" s="100">
        <v>0</v>
      </c>
      <c r="O77" s="100">
        <v>0</v>
      </c>
      <c r="P77" s="100">
        <f>792+360+56</f>
        <v>1208</v>
      </c>
      <c r="Q77" s="102">
        <f t="shared" si="2"/>
        <v>18896</v>
      </c>
      <c r="R77" s="95">
        <f t="shared" ref="R77:R140" si="3">Q77*85/100</f>
        <v>16061.6</v>
      </c>
    </row>
    <row r="78" spans="1:18" ht="34.049999999999997" customHeight="1" x14ac:dyDescent="0.3">
      <c r="A78" s="90">
        <v>67</v>
      </c>
      <c r="B78" s="91" t="s">
        <v>303</v>
      </c>
      <c r="C78" s="91" t="s">
        <v>304</v>
      </c>
      <c r="D78" s="91" t="s">
        <v>305</v>
      </c>
      <c r="E78" s="91">
        <v>1997</v>
      </c>
      <c r="F78" s="91" t="s">
        <v>19</v>
      </c>
      <c r="G78" s="91" t="s">
        <v>434</v>
      </c>
      <c r="H78" s="91" t="s">
        <v>434</v>
      </c>
      <c r="I78" s="91" t="s">
        <v>534</v>
      </c>
      <c r="J78" s="91">
        <v>6199</v>
      </c>
      <c r="K78" s="91">
        <f>6278+4484+2332+2332+2332+2243+3228+3000+3000+6995+3500+3500</f>
        <v>43224</v>
      </c>
      <c r="L78" s="91">
        <v>18406</v>
      </c>
      <c r="M78" s="91">
        <v>0</v>
      </c>
      <c r="N78" s="91">
        <v>1793</v>
      </c>
      <c r="O78" s="91">
        <v>0</v>
      </c>
      <c r="P78" s="91">
        <v>0</v>
      </c>
      <c r="Q78" s="101">
        <f t="shared" si="2"/>
        <v>69622</v>
      </c>
      <c r="R78" s="95">
        <f t="shared" si="3"/>
        <v>59178.7</v>
      </c>
    </row>
    <row r="79" spans="1:18" ht="34.049999999999997" customHeight="1" x14ac:dyDescent="0.3">
      <c r="A79" s="96">
        <v>68</v>
      </c>
      <c r="B79" s="91" t="s">
        <v>303</v>
      </c>
      <c r="C79" s="91" t="s">
        <v>306</v>
      </c>
      <c r="D79" s="91" t="s">
        <v>307</v>
      </c>
      <c r="E79" s="91">
        <v>1998</v>
      </c>
      <c r="F79" s="91" t="s">
        <v>19</v>
      </c>
      <c r="G79" s="91" t="s">
        <v>435</v>
      </c>
      <c r="H79" s="91" t="s">
        <v>435</v>
      </c>
      <c r="I79" s="91" t="s">
        <v>535</v>
      </c>
      <c r="J79" s="91">
        <v>6199</v>
      </c>
      <c r="K79" s="91">
        <f>2332+2332+2243+3587</f>
        <v>10494</v>
      </c>
      <c r="L79" s="91">
        <v>17279</v>
      </c>
      <c r="M79" s="91">
        <v>0</v>
      </c>
      <c r="N79" s="91">
        <v>0</v>
      </c>
      <c r="O79" s="91">
        <v>0</v>
      </c>
      <c r="P79" s="91">
        <v>0</v>
      </c>
      <c r="Q79" s="101">
        <f t="shared" si="2"/>
        <v>33972</v>
      </c>
      <c r="R79" s="95">
        <f t="shared" si="3"/>
        <v>28876.2</v>
      </c>
    </row>
    <row r="80" spans="1:18" ht="34.049999999999997" customHeight="1" x14ac:dyDescent="0.3">
      <c r="A80" s="90">
        <v>69</v>
      </c>
      <c r="B80" s="91" t="s">
        <v>303</v>
      </c>
      <c r="C80" s="91" t="s">
        <v>308</v>
      </c>
      <c r="D80" s="91" t="s">
        <v>309</v>
      </c>
      <c r="E80" s="91">
        <v>1986</v>
      </c>
      <c r="F80" s="91" t="s">
        <v>18</v>
      </c>
      <c r="G80" s="91" t="s">
        <v>436</v>
      </c>
      <c r="H80" s="91" t="s">
        <v>436</v>
      </c>
      <c r="I80" s="91" t="s">
        <v>536</v>
      </c>
      <c r="J80" s="91">
        <v>6199</v>
      </c>
      <c r="K80" s="91">
        <f>1166+2801+6278+4484+2332+1346+2332+2332+2332+2332+6995+2332+4484+6995+6995+2332+6995+6995</f>
        <v>71858</v>
      </c>
      <c r="L80" s="91">
        <v>0</v>
      </c>
      <c r="M80" s="91">
        <v>0</v>
      </c>
      <c r="N80" s="91">
        <v>1793</v>
      </c>
      <c r="O80" s="91">
        <v>0</v>
      </c>
      <c r="P80" s="91">
        <v>0</v>
      </c>
      <c r="Q80" s="101">
        <f t="shared" si="2"/>
        <v>79850</v>
      </c>
      <c r="R80" s="95">
        <f t="shared" si="3"/>
        <v>67872.5</v>
      </c>
    </row>
    <row r="81" spans="1:23" ht="34.049999999999997" customHeight="1" x14ac:dyDescent="0.3">
      <c r="A81" s="90">
        <v>70</v>
      </c>
      <c r="B81" s="98" t="s">
        <v>303</v>
      </c>
      <c r="C81" s="98" t="s">
        <v>310</v>
      </c>
      <c r="D81" s="98" t="s">
        <v>311</v>
      </c>
      <c r="E81" s="98">
        <v>2025</v>
      </c>
      <c r="F81" s="98" t="s">
        <v>19</v>
      </c>
      <c r="G81" s="98" t="s">
        <v>437</v>
      </c>
      <c r="H81" s="98" t="s">
        <v>499</v>
      </c>
      <c r="I81" s="98" t="s">
        <v>300</v>
      </c>
      <c r="J81" s="98">
        <v>0</v>
      </c>
      <c r="K81" s="98">
        <f>6278+4484+1346+4484+2332+2332+2332+2332+2332+6995+6995+2332+6995</f>
        <v>51569</v>
      </c>
      <c r="L81" s="98">
        <v>0</v>
      </c>
      <c r="M81" s="98">
        <v>0</v>
      </c>
      <c r="N81" s="98">
        <f>4053+1178+3148</f>
        <v>8379</v>
      </c>
      <c r="O81" s="98">
        <v>0</v>
      </c>
      <c r="P81" s="98">
        <f>720+1080+374</f>
        <v>2174</v>
      </c>
      <c r="Q81" s="101">
        <f t="shared" si="2"/>
        <v>62122</v>
      </c>
      <c r="R81" s="95">
        <f t="shared" si="3"/>
        <v>52803.7</v>
      </c>
      <c r="S81" s="41"/>
      <c r="T81" s="41"/>
      <c r="U81" s="41"/>
      <c r="V81" s="41"/>
      <c r="W81" s="41"/>
    </row>
    <row r="82" spans="1:23" ht="34.049999999999997" customHeight="1" x14ac:dyDescent="0.3">
      <c r="A82" s="96">
        <v>71</v>
      </c>
      <c r="B82" s="98" t="s">
        <v>303</v>
      </c>
      <c r="C82" s="98" t="s">
        <v>310</v>
      </c>
      <c r="D82" s="98" t="s">
        <v>311</v>
      </c>
      <c r="E82" s="98">
        <v>2025</v>
      </c>
      <c r="F82" s="98" t="s">
        <v>2635</v>
      </c>
      <c r="G82" s="98" t="s">
        <v>437</v>
      </c>
      <c r="H82" s="98" t="s">
        <v>499</v>
      </c>
      <c r="I82" s="98" t="s">
        <v>300</v>
      </c>
      <c r="J82" s="98">
        <v>0</v>
      </c>
      <c r="K82" s="98">
        <v>0</v>
      </c>
      <c r="L82" s="98">
        <v>0</v>
      </c>
      <c r="M82" s="98">
        <v>17688</v>
      </c>
      <c r="N82" s="98">
        <v>2088</v>
      </c>
      <c r="O82" s="98">
        <v>0</v>
      </c>
      <c r="P82" s="98">
        <f>360+56</f>
        <v>416</v>
      </c>
      <c r="Q82" s="101">
        <f t="shared" si="2"/>
        <v>20192</v>
      </c>
      <c r="R82" s="95">
        <f t="shared" si="3"/>
        <v>17163.2</v>
      </c>
      <c r="S82" s="41"/>
      <c r="T82" s="41"/>
      <c r="U82" s="41"/>
      <c r="V82" s="41"/>
      <c r="W82" s="41"/>
    </row>
    <row r="83" spans="1:23" ht="34.049999999999997" customHeight="1" x14ac:dyDescent="0.3">
      <c r="A83" s="90">
        <v>72</v>
      </c>
      <c r="B83" s="91" t="s">
        <v>303</v>
      </c>
      <c r="C83" s="91" t="s">
        <v>312</v>
      </c>
      <c r="D83" s="91" t="s">
        <v>313</v>
      </c>
      <c r="E83" s="91">
        <v>2023</v>
      </c>
      <c r="F83" s="91" t="s">
        <v>18</v>
      </c>
      <c r="G83" s="91" t="s">
        <v>438</v>
      </c>
      <c r="H83" s="91" t="s">
        <v>500</v>
      </c>
      <c r="I83" s="91" t="s">
        <v>537</v>
      </c>
      <c r="J83" s="91">
        <v>6199</v>
      </c>
      <c r="K83" s="91">
        <v>0</v>
      </c>
      <c r="L83" s="91">
        <v>0</v>
      </c>
      <c r="M83" s="91">
        <v>0</v>
      </c>
      <c r="N83" s="91">
        <v>0</v>
      </c>
      <c r="O83" s="91">
        <v>0</v>
      </c>
      <c r="P83" s="91">
        <v>0</v>
      </c>
      <c r="Q83" s="101">
        <f t="shared" si="2"/>
        <v>6199</v>
      </c>
      <c r="R83" s="95">
        <f t="shared" si="3"/>
        <v>5269.15</v>
      </c>
    </row>
    <row r="84" spans="1:23" ht="34.049999999999997" customHeight="1" x14ac:dyDescent="0.3">
      <c r="A84" s="90">
        <v>73</v>
      </c>
      <c r="B84" s="91" t="s">
        <v>303</v>
      </c>
      <c r="C84" s="91" t="s">
        <v>314</v>
      </c>
      <c r="D84" s="91" t="s">
        <v>315</v>
      </c>
      <c r="E84" s="91">
        <v>2000</v>
      </c>
      <c r="F84" s="91" t="s">
        <v>18</v>
      </c>
      <c r="G84" s="91" t="s">
        <v>439</v>
      </c>
      <c r="H84" s="91" t="s">
        <v>439</v>
      </c>
      <c r="I84" s="91" t="s">
        <v>538</v>
      </c>
      <c r="J84" s="91">
        <v>6199</v>
      </c>
      <c r="K84" s="91">
        <f>6278+4484+2332+1346+2332+2332+2332+2332+6995+6995+2332+6995+1166+2801+6995+2332+4484+6995</f>
        <v>71858</v>
      </c>
      <c r="L84" s="91">
        <v>0</v>
      </c>
      <c r="M84" s="91">
        <v>0</v>
      </c>
      <c r="N84" s="91">
        <v>1793</v>
      </c>
      <c r="O84" s="91">
        <v>0</v>
      </c>
      <c r="P84" s="91">
        <v>0</v>
      </c>
      <c r="Q84" s="101">
        <f t="shared" si="2"/>
        <v>79850</v>
      </c>
      <c r="R84" s="95">
        <f t="shared" si="3"/>
        <v>67872.5</v>
      </c>
    </row>
    <row r="85" spans="1:23" ht="34.049999999999997" customHeight="1" x14ac:dyDescent="0.3">
      <c r="A85" s="96">
        <v>74</v>
      </c>
      <c r="B85" s="91" t="s">
        <v>303</v>
      </c>
      <c r="C85" s="91" t="s">
        <v>316</v>
      </c>
      <c r="D85" s="91" t="s">
        <v>317</v>
      </c>
      <c r="E85" s="91">
        <v>2021</v>
      </c>
      <c r="F85" s="91" t="s">
        <v>19</v>
      </c>
      <c r="G85" s="91" t="s">
        <v>440</v>
      </c>
      <c r="H85" s="91" t="s">
        <v>501</v>
      </c>
      <c r="I85" s="91" t="s">
        <v>539</v>
      </c>
      <c r="J85" s="91">
        <v>6199</v>
      </c>
      <c r="K85" s="91">
        <f>1166+2801+4484+6278+4484+2332+1346+2332+2332+2332+2332+6995+6995+2332+6995+2332</f>
        <v>57868</v>
      </c>
      <c r="L85" s="91">
        <v>20807</v>
      </c>
      <c r="M85" s="91">
        <v>0</v>
      </c>
      <c r="N85" s="91">
        <v>3148</v>
      </c>
      <c r="O85" s="91">
        <v>0</v>
      </c>
      <c r="P85" s="91">
        <v>0</v>
      </c>
      <c r="Q85" s="101">
        <f t="shared" si="2"/>
        <v>88022</v>
      </c>
      <c r="R85" s="95">
        <f t="shared" si="3"/>
        <v>74818.7</v>
      </c>
    </row>
    <row r="86" spans="1:23" ht="34.049999999999997" customHeight="1" x14ac:dyDescent="0.3">
      <c r="A86" s="90">
        <v>75</v>
      </c>
      <c r="B86" s="91" t="s">
        <v>303</v>
      </c>
      <c r="C86" s="91" t="s">
        <v>318</v>
      </c>
      <c r="D86" s="91" t="s">
        <v>319</v>
      </c>
      <c r="E86" s="91">
        <v>2021</v>
      </c>
      <c r="F86" s="91" t="s">
        <v>18</v>
      </c>
      <c r="G86" s="91" t="s">
        <v>441</v>
      </c>
      <c r="H86" s="91" t="s">
        <v>502</v>
      </c>
      <c r="I86" s="91" t="s">
        <v>540</v>
      </c>
      <c r="J86" s="91">
        <v>6199</v>
      </c>
      <c r="K86" s="91">
        <f>6278+4484+2332+1346+2332+2332+2332+2332+6995+6995+2332+6995+2332+4484+1166+2801+4484</f>
        <v>62352</v>
      </c>
      <c r="L86" s="91">
        <v>0</v>
      </c>
      <c r="M86" s="91">
        <v>0</v>
      </c>
      <c r="N86" s="91">
        <v>3148</v>
      </c>
      <c r="O86" s="91">
        <v>0</v>
      </c>
      <c r="P86" s="91">
        <v>0</v>
      </c>
      <c r="Q86" s="101">
        <f t="shared" si="2"/>
        <v>71699</v>
      </c>
      <c r="R86" s="95">
        <f t="shared" si="3"/>
        <v>60944.15</v>
      </c>
    </row>
    <row r="87" spans="1:23" ht="34.049999999999997" customHeight="1" x14ac:dyDescent="0.3">
      <c r="A87" s="90">
        <v>76</v>
      </c>
      <c r="B87" s="91" t="s">
        <v>303</v>
      </c>
      <c r="C87" s="91" t="s">
        <v>320</v>
      </c>
      <c r="D87" s="91" t="s">
        <v>321</v>
      </c>
      <c r="E87" s="91">
        <v>2019</v>
      </c>
      <c r="F87" s="91" t="s">
        <v>18</v>
      </c>
      <c r="G87" s="91" t="s">
        <v>442</v>
      </c>
      <c r="H87" s="91" t="s">
        <v>503</v>
      </c>
      <c r="I87" s="91" t="s">
        <v>25</v>
      </c>
      <c r="J87" s="91">
        <v>6199</v>
      </c>
      <c r="K87" s="91">
        <f>6278+4484+2332+1346+2332+2332+2332+2332+6995+6995+2332+6995+2332+4484+4484+1166+2801</f>
        <v>62352</v>
      </c>
      <c r="L87" s="91">
        <v>0</v>
      </c>
      <c r="M87" s="91">
        <v>0</v>
      </c>
      <c r="N87" s="91">
        <v>3148</v>
      </c>
      <c r="O87" s="91">
        <v>0</v>
      </c>
      <c r="P87" s="91">
        <v>0</v>
      </c>
      <c r="Q87" s="101">
        <f t="shared" si="2"/>
        <v>71699</v>
      </c>
      <c r="R87" s="95">
        <f t="shared" si="3"/>
        <v>60944.15</v>
      </c>
    </row>
    <row r="88" spans="1:23" ht="34.049999999999997" customHeight="1" x14ac:dyDescent="0.3">
      <c r="A88" s="96">
        <v>77</v>
      </c>
      <c r="B88" s="91" t="s">
        <v>303</v>
      </c>
      <c r="C88" s="91" t="s">
        <v>320</v>
      </c>
      <c r="D88" s="91" t="s">
        <v>321</v>
      </c>
      <c r="E88" s="91">
        <v>2019</v>
      </c>
      <c r="F88" s="91" t="s">
        <v>18</v>
      </c>
      <c r="G88" s="91" t="s">
        <v>442</v>
      </c>
      <c r="H88" s="91" t="s">
        <v>503</v>
      </c>
      <c r="I88" s="91" t="s">
        <v>25</v>
      </c>
      <c r="J88" s="91">
        <v>0</v>
      </c>
      <c r="K88" s="91">
        <v>0</v>
      </c>
      <c r="L88" s="91">
        <v>0</v>
      </c>
      <c r="M88" s="91">
        <v>17688</v>
      </c>
      <c r="N88" s="91">
        <f>4053+2088+1178</f>
        <v>7319</v>
      </c>
      <c r="O88" s="91">
        <v>0</v>
      </c>
      <c r="P88" s="91">
        <f>720+1080+720+112+1200</f>
        <v>3832</v>
      </c>
      <c r="Q88" s="101">
        <f t="shared" si="2"/>
        <v>28839</v>
      </c>
      <c r="R88" s="95">
        <f t="shared" si="3"/>
        <v>24513.15</v>
      </c>
    </row>
    <row r="89" spans="1:23" ht="34.049999999999997" customHeight="1" x14ac:dyDescent="0.3">
      <c r="A89" s="90">
        <v>78</v>
      </c>
      <c r="B89" s="91" t="s">
        <v>303</v>
      </c>
      <c r="C89" s="91" t="s">
        <v>322</v>
      </c>
      <c r="D89" s="91" t="s">
        <v>323</v>
      </c>
      <c r="E89" s="91">
        <v>2017</v>
      </c>
      <c r="F89" s="91" t="s">
        <v>18</v>
      </c>
      <c r="G89" s="91" t="s">
        <v>443</v>
      </c>
      <c r="H89" s="91" t="s">
        <v>23</v>
      </c>
      <c r="I89" s="91" t="s">
        <v>24</v>
      </c>
      <c r="J89" s="91">
        <v>6199</v>
      </c>
      <c r="K89" s="91">
        <v>0</v>
      </c>
      <c r="L89" s="91">
        <v>0</v>
      </c>
      <c r="M89" s="91">
        <v>0</v>
      </c>
      <c r="N89" s="91">
        <v>0</v>
      </c>
      <c r="O89" s="91">
        <v>0</v>
      </c>
      <c r="P89" s="91">
        <v>0</v>
      </c>
      <c r="Q89" s="101">
        <f t="shared" si="2"/>
        <v>6199</v>
      </c>
      <c r="R89" s="95">
        <f t="shared" si="3"/>
        <v>5269.15</v>
      </c>
    </row>
    <row r="90" spans="1:23" ht="34.049999999999997" customHeight="1" x14ac:dyDescent="0.3">
      <c r="A90" s="90">
        <v>79</v>
      </c>
      <c r="B90" s="91" t="s">
        <v>303</v>
      </c>
      <c r="C90" s="91" t="s">
        <v>324</v>
      </c>
      <c r="D90" s="91" t="s">
        <v>21</v>
      </c>
      <c r="E90" s="91">
        <v>1978</v>
      </c>
      <c r="F90" s="91" t="s">
        <v>19</v>
      </c>
      <c r="G90" s="91" t="s">
        <v>22</v>
      </c>
      <c r="H90" s="91" t="s">
        <v>23</v>
      </c>
      <c r="I90" s="91" t="s">
        <v>24</v>
      </c>
      <c r="J90" s="91">
        <v>6199</v>
      </c>
      <c r="K90" s="91">
        <v>0</v>
      </c>
      <c r="L90" s="91">
        <v>0</v>
      </c>
      <c r="M90" s="91">
        <v>0</v>
      </c>
      <c r="N90" s="91">
        <v>0</v>
      </c>
      <c r="O90" s="91">
        <v>0</v>
      </c>
      <c r="P90" s="91">
        <v>0</v>
      </c>
      <c r="Q90" s="101">
        <f t="shared" si="2"/>
        <v>6199</v>
      </c>
      <c r="R90" s="95">
        <f t="shared" si="3"/>
        <v>5269.15</v>
      </c>
    </row>
    <row r="91" spans="1:23" ht="34.049999999999997" customHeight="1" x14ac:dyDescent="0.3">
      <c r="A91" s="96">
        <v>80</v>
      </c>
      <c r="B91" s="91" t="s">
        <v>303</v>
      </c>
      <c r="C91" s="91" t="s">
        <v>325</v>
      </c>
      <c r="D91" s="91" t="s">
        <v>326</v>
      </c>
      <c r="E91" s="91">
        <v>1991</v>
      </c>
      <c r="F91" s="91" t="s">
        <v>19</v>
      </c>
      <c r="G91" s="91" t="s">
        <v>444</v>
      </c>
      <c r="H91" s="91" t="s">
        <v>444</v>
      </c>
      <c r="I91" s="91" t="s">
        <v>541</v>
      </c>
      <c r="J91" s="91">
        <v>6199</v>
      </c>
      <c r="K91" s="91">
        <f>2332+2332+2243</f>
        <v>6907</v>
      </c>
      <c r="L91" s="91">
        <v>0</v>
      </c>
      <c r="M91" s="91">
        <v>0</v>
      </c>
      <c r="N91" s="91">
        <v>0</v>
      </c>
      <c r="O91" s="91">
        <v>0</v>
      </c>
      <c r="P91" s="91">
        <v>0</v>
      </c>
      <c r="Q91" s="101">
        <f t="shared" si="2"/>
        <v>13106</v>
      </c>
      <c r="R91" s="95">
        <f t="shared" si="3"/>
        <v>11140.1</v>
      </c>
    </row>
    <row r="92" spans="1:23" ht="34.049999999999997" customHeight="1" x14ac:dyDescent="0.3">
      <c r="A92" s="90">
        <v>81</v>
      </c>
      <c r="B92" s="91" t="s">
        <v>303</v>
      </c>
      <c r="C92" s="91" t="s">
        <v>327</v>
      </c>
      <c r="D92" s="91" t="s">
        <v>328</v>
      </c>
      <c r="E92" s="91">
        <v>1996</v>
      </c>
      <c r="F92" s="91" t="s">
        <v>18</v>
      </c>
      <c r="G92" s="91" t="s">
        <v>445</v>
      </c>
      <c r="H92" s="91" t="s">
        <v>445</v>
      </c>
      <c r="I92" s="91" t="s">
        <v>542</v>
      </c>
      <c r="J92" s="91">
        <v>6199</v>
      </c>
      <c r="K92" s="91">
        <v>0</v>
      </c>
      <c r="L92" s="91">
        <v>13298</v>
      </c>
      <c r="M92" s="91">
        <v>0</v>
      </c>
      <c r="N92" s="91">
        <v>0</v>
      </c>
      <c r="O92" s="91">
        <v>0</v>
      </c>
      <c r="P92" s="91">
        <v>0</v>
      </c>
      <c r="Q92" s="101">
        <f t="shared" si="2"/>
        <v>19497</v>
      </c>
      <c r="R92" s="95">
        <f t="shared" si="3"/>
        <v>16572.45</v>
      </c>
    </row>
    <row r="93" spans="1:23" ht="34.049999999999997" customHeight="1" x14ac:dyDescent="0.3">
      <c r="A93" s="90">
        <v>82</v>
      </c>
      <c r="B93" s="91" t="s">
        <v>303</v>
      </c>
      <c r="C93" s="91" t="s">
        <v>329</v>
      </c>
      <c r="D93" s="91" t="s">
        <v>330</v>
      </c>
      <c r="E93" s="91">
        <v>1997</v>
      </c>
      <c r="F93" s="91" t="s">
        <v>19</v>
      </c>
      <c r="G93" s="91" t="s">
        <v>446</v>
      </c>
      <c r="H93" s="91" t="s">
        <v>446</v>
      </c>
      <c r="I93" s="91" t="s">
        <v>543</v>
      </c>
      <c r="J93" s="91">
        <v>6199</v>
      </c>
      <c r="K93" s="91">
        <v>0</v>
      </c>
      <c r="L93" s="91">
        <v>0</v>
      </c>
      <c r="M93" s="91">
        <v>0</v>
      </c>
      <c r="N93" s="91">
        <v>0</v>
      </c>
      <c r="O93" s="91">
        <v>0</v>
      </c>
      <c r="P93" s="91">
        <v>0</v>
      </c>
      <c r="Q93" s="101">
        <f t="shared" si="2"/>
        <v>6199</v>
      </c>
      <c r="R93" s="95">
        <f t="shared" si="3"/>
        <v>5269.15</v>
      </c>
    </row>
    <row r="94" spans="1:23" ht="34.049999999999997" customHeight="1" x14ac:dyDescent="0.3">
      <c r="A94" s="96">
        <v>83</v>
      </c>
      <c r="B94" s="91" t="s">
        <v>303</v>
      </c>
      <c r="C94" s="91" t="s">
        <v>331</v>
      </c>
      <c r="D94" s="91" t="s">
        <v>332</v>
      </c>
      <c r="E94" s="91">
        <v>2025</v>
      </c>
      <c r="F94" s="91" t="s">
        <v>18</v>
      </c>
      <c r="G94" s="91" t="s">
        <v>447</v>
      </c>
      <c r="H94" s="91" t="s">
        <v>504</v>
      </c>
      <c r="I94" s="91" t="s">
        <v>544</v>
      </c>
      <c r="J94" s="91">
        <v>6199</v>
      </c>
      <c r="K94" s="91">
        <f>6278+4484+1346+4484+2332+2332+2332+2332+2332</f>
        <v>28252</v>
      </c>
      <c r="L94" s="91">
        <v>0</v>
      </c>
      <c r="M94" s="91">
        <v>0</v>
      </c>
      <c r="N94" s="91">
        <v>3148</v>
      </c>
      <c r="O94" s="91">
        <v>0</v>
      </c>
      <c r="P94" s="91">
        <v>0</v>
      </c>
      <c r="Q94" s="101">
        <f t="shared" si="2"/>
        <v>37599</v>
      </c>
      <c r="R94" s="95">
        <f t="shared" si="3"/>
        <v>31959.15</v>
      </c>
    </row>
    <row r="95" spans="1:23" ht="34.049999999999997" customHeight="1" x14ac:dyDescent="0.3">
      <c r="A95" s="90">
        <v>84</v>
      </c>
      <c r="B95" s="91" t="s">
        <v>303</v>
      </c>
      <c r="C95" s="91" t="s">
        <v>331</v>
      </c>
      <c r="D95" s="91" t="s">
        <v>332</v>
      </c>
      <c r="E95" s="91">
        <v>2025</v>
      </c>
      <c r="F95" s="91" t="s">
        <v>18</v>
      </c>
      <c r="G95" s="91" t="s">
        <v>447</v>
      </c>
      <c r="H95" s="91" t="s">
        <v>504</v>
      </c>
      <c r="I95" s="91" t="s">
        <v>544</v>
      </c>
      <c r="J95" s="91">
        <v>0</v>
      </c>
      <c r="K95" s="91">
        <v>0</v>
      </c>
      <c r="L95" s="91">
        <v>0</v>
      </c>
      <c r="M95" s="91">
        <v>17688</v>
      </c>
      <c r="N95" s="91">
        <f>4053+2088</f>
        <v>6141</v>
      </c>
      <c r="O95" s="91">
        <v>0</v>
      </c>
      <c r="P95" s="91">
        <f>720+112+1200</f>
        <v>2032</v>
      </c>
      <c r="Q95" s="101">
        <f t="shared" si="2"/>
        <v>25861</v>
      </c>
      <c r="R95" s="95">
        <f t="shared" si="3"/>
        <v>21981.85</v>
      </c>
    </row>
    <row r="96" spans="1:23" ht="34.049999999999997" customHeight="1" x14ac:dyDescent="0.3">
      <c r="A96" s="90">
        <v>85</v>
      </c>
      <c r="B96" s="91" t="s">
        <v>303</v>
      </c>
      <c r="C96" s="91" t="s">
        <v>333</v>
      </c>
      <c r="D96" s="91" t="s">
        <v>334</v>
      </c>
      <c r="E96" s="91">
        <v>2024</v>
      </c>
      <c r="F96" s="91" t="s">
        <v>19</v>
      </c>
      <c r="G96" s="91" t="s">
        <v>448</v>
      </c>
      <c r="H96" s="91" t="s">
        <v>505</v>
      </c>
      <c r="I96" s="91" t="s">
        <v>545</v>
      </c>
      <c r="J96" s="91">
        <v>6199</v>
      </c>
      <c r="K96" s="91">
        <v>0</v>
      </c>
      <c r="L96" s="91">
        <v>0</v>
      </c>
      <c r="M96" s="91">
        <v>0</v>
      </c>
      <c r="N96" s="91">
        <v>0</v>
      </c>
      <c r="O96" s="91">
        <v>0</v>
      </c>
      <c r="P96" s="91">
        <v>0</v>
      </c>
      <c r="Q96" s="101">
        <f t="shared" si="2"/>
        <v>6199</v>
      </c>
      <c r="R96" s="95">
        <f t="shared" si="3"/>
        <v>5269.15</v>
      </c>
    </row>
    <row r="97" spans="1:19" ht="34.049999999999997" customHeight="1" x14ac:dyDescent="0.3">
      <c r="A97" s="96">
        <v>86</v>
      </c>
      <c r="B97" s="91" t="s">
        <v>303</v>
      </c>
      <c r="C97" s="91" t="s">
        <v>335</v>
      </c>
      <c r="D97" s="91" t="s">
        <v>336</v>
      </c>
      <c r="E97" s="91">
        <v>1998</v>
      </c>
      <c r="F97" s="91" t="s">
        <v>19</v>
      </c>
      <c r="G97" s="91" t="s">
        <v>449</v>
      </c>
      <c r="H97" s="91" t="s">
        <v>449</v>
      </c>
      <c r="I97" s="91" t="s">
        <v>546</v>
      </c>
      <c r="J97" s="91">
        <v>6199</v>
      </c>
      <c r="K97" s="91">
        <f>6278+4484+2332+2332+2332+2243+3000+3000+6995+3500+3500+3228</f>
        <v>43224</v>
      </c>
      <c r="L97" s="91">
        <v>0</v>
      </c>
      <c r="M97" s="91">
        <v>0</v>
      </c>
      <c r="N97" s="91">
        <f>1793+1681</f>
        <v>3474</v>
      </c>
      <c r="O97" s="91">
        <v>0</v>
      </c>
      <c r="P97" s="91">
        <v>480</v>
      </c>
      <c r="Q97" s="101">
        <f t="shared" si="2"/>
        <v>53377</v>
      </c>
      <c r="R97" s="95">
        <f t="shared" si="3"/>
        <v>45370.45</v>
      </c>
      <c r="S97" s="41"/>
    </row>
    <row r="98" spans="1:19" ht="34.049999999999997" customHeight="1" x14ac:dyDescent="0.3">
      <c r="A98" s="90">
        <v>87</v>
      </c>
      <c r="B98" s="91" t="s">
        <v>303</v>
      </c>
      <c r="C98" s="91" t="s">
        <v>337</v>
      </c>
      <c r="D98" s="91" t="s">
        <v>338</v>
      </c>
      <c r="E98" s="91">
        <v>2018</v>
      </c>
      <c r="F98" s="91" t="s">
        <v>19</v>
      </c>
      <c r="G98" s="91" t="s">
        <v>450</v>
      </c>
      <c r="H98" s="91" t="s">
        <v>506</v>
      </c>
      <c r="I98" s="91" t="s">
        <v>300</v>
      </c>
      <c r="J98" s="91">
        <v>6199</v>
      </c>
      <c r="K98" s="91">
        <f>1166+2801+6278+2332+2332+2332+2332+2332+6995+6995+2332+6995+1346+4484+4484+2332</f>
        <v>57868</v>
      </c>
      <c r="L98" s="91">
        <v>0</v>
      </c>
      <c r="M98" s="91">
        <v>0</v>
      </c>
      <c r="N98" s="91">
        <v>3148</v>
      </c>
      <c r="O98" s="91">
        <v>0</v>
      </c>
      <c r="P98" s="91">
        <v>0</v>
      </c>
      <c r="Q98" s="101">
        <f t="shared" si="2"/>
        <v>67215</v>
      </c>
      <c r="R98" s="95">
        <f t="shared" si="3"/>
        <v>57132.75</v>
      </c>
    </row>
    <row r="99" spans="1:19" ht="34.049999999999997" customHeight="1" x14ac:dyDescent="0.3">
      <c r="A99" s="90">
        <v>88</v>
      </c>
      <c r="B99" s="91" t="s">
        <v>303</v>
      </c>
      <c r="C99" s="91" t="s">
        <v>339</v>
      </c>
      <c r="D99" s="91" t="s">
        <v>340</v>
      </c>
      <c r="E99" s="91">
        <v>1998</v>
      </c>
      <c r="F99" s="91" t="s">
        <v>18</v>
      </c>
      <c r="G99" s="91" t="s">
        <v>451</v>
      </c>
      <c r="H99" s="91" t="s">
        <v>451</v>
      </c>
      <c r="I99" s="91" t="s">
        <v>547</v>
      </c>
      <c r="J99" s="91">
        <v>3793</v>
      </c>
      <c r="K99" s="91">
        <f>6995+6278+2332</f>
        <v>15605</v>
      </c>
      <c r="L99" s="91">
        <v>0</v>
      </c>
      <c r="M99" s="91">
        <v>0</v>
      </c>
      <c r="N99" s="91">
        <v>1793</v>
      </c>
      <c r="O99" s="91">
        <v>0</v>
      </c>
      <c r="P99" s="91">
        <v>0</v>
      </c>
      <c r="Q99" s="101">
        <f t="shared" si="2"/>
        <v>21191</v>
      </c>
      <c r="R99" s="95">
        <f t="shared" si="3"/>
        <v>18012.349999999999</v>
      </c>
    </row>
    <row r="100" spans="1:19" ht="34.049999999999997" customHeight="1" x14ac:dyDescent="0.3">
      <c r="A100" s="96">
        <v>89</v>
      </c>
      <c r="B100" s="91" t="s">
        <v>303</v>
      </c>
      <c r="C100" s="91" t="s">
        <v>341</v>
      </c>
      <c r="D100" s="91" t="s">
        <v>342</v>
      </c>
      <c r="E100" s="91">
        <v>2004</v>
      </c>
      <c r="F100" s="91" t="s">
        <v>19</v>
      </c>
      <c r="G100" s="91" t="s">
        <v>452</v>
      </c>
      <c r="H100" s="91" t="s">
        <v>507</v>
      </c>
      <c r="I100" s="91" t="s">
        <v>548</v>
      </c>
      <c r="J100" s="91">
        <v>3793</v>
      </c>
      <c r="K100" s="91">
        <v>0</v>
      </c>
      <c r="L100" s="91">
        <v>0</v>
      </c>
      <c r="M100" s="91">
        <v>0</v>
      </c>
      <c r="N100" s="91">
        <v>0</v>
      </c>
      <c r="O100" s="91">
        <v>0</v>
      </c>
      <c r="P100" s="91">
        <v>0</v>
      </c>
      <c r="Q100" s="101">
        <f t="shared" si="2"/>
        <v>3793</v>
      </c>
      <c r="R100" s="95">
        <f t="shared" si="3"/>
        <v>3224.05</v>
      </c>
    </row>
    <row r="101" spans="1:19" ht="34.049999999999997" customHeight="1" x14ac:dyDescent="0.3">
      <c r="A101" s="90">
        <v>90</v>
      </c>
      <c r="B101" s="91" t="s">
        <v>303</v>
      </c>
      <c r="C101" s="91" t="s">
        <v>343</v>
      </c>
      <c r="D101" s="91" t="s">
        <v>344</v>
      </c>
      <c r="E101" s="91">
        <v>2014</v>
      </c>
      <c r="F101" s="91" t="s">
        <v>19</v>
      </c>
      <c r="G101" s="91" t="s">
        <v>453</v>
      </c>
      <c r="H101" s="91" t="s">
        <v>508</v>
      </c>
      <c r="I101" s="91" t="s">
        <v>549</v>
      </c>
      <c r="J101" s="91">
        <v>6199</v>
      </c>
      <c r="K101" s="91">
        <v>0</v>
      </c>
      <c r="L101" s="91">
        <v>13298</v>
      </c>
      <c r="M101" s="91">
        <v>0</v>
      </c>
      <c r="N101" s="91">
        <v>5321</v>
      </c>
      <c r="O101" s="91">
        <v>0</v>
      </c>
      <c r="P101" s="91">
        <v>0</v>
      </c>
      <c r="Q101" s="101">
        <f t="shared" si="2"/>
        <v>24818</v>
      </c>
      <c r="R101" s="95">
        <f t="shared" si="3"/>
        <v>21095.3</v>
      </c>
    </row>
    <row r="102" spans="1:19" ht="34.049999999999997" customHeight="1" x14ac:dyDescent="0.3">
      <c r="A102" s="90">
        <v>91</v>
      </c>
      <c r="B102" s="91" t="s">
        <v>303</v>
      </c>
      <c r="C102" s="91" t="s">
        <v>345</v>
      </c>
      <c r="D102" s="91" t="s">
        <v>346</v>
      </c>
      <c r="E102" s="91">
        <v>2017</v>
      </c>
      <c r="F102" s="91" t="s">
        <v>19</v>
      </c>
      <c r="G102" s="91" t="s">
        <v>454</v>
      </c>
      <c r="H102" s="91" t="s">
        <v>509</v>
      </c>
      <c r="I102" s="91" t="s">
        <v>550</v>
      </c>
      <c r="J102" s="91">
        <v>6199</v>
      </c>
      <c r="K102" s="91">
        <v>0</v>
      </c>
      <c r="L102" s="91">
        <v>0</v>
      </c>
      <c r="M102" s="91">
        <v>0</v>
      </c>
      <c r="N102" s="91">
        <f>15443+60787+13563</f>
        <v>89793</v>
      </c>
      <c r="O102" s="91">
        <v>0</v>
      </c>
      <c r="P102" s="91">
        <v>0</v>
      </c>
      <c r="Q102" s="101">
        <f t="shared" si="2"/>
        <v>95992</v>
      </c>
      <c r="R102" s="95">
        <f t="shared" si="3"/>
        <v>81593.2</v>
      </c>
    </row>
    <row r="103" spans="1:19" ht="34.049999999999997" customHeight="1" x14ac:dyDescent="0.3">
      <c r="A103" s="96">
        <v>92</v>
      </c>
      <c r="B103" s="91" t="s">
        <v>303</v>
      </c>
      <c r="C103" s="91" t="s">
        <v>347</v>
      </c>
      <c r="D103" s="91" t="s">
        <v>348</v>
      </c>
      <c r="E103" s="91">
        <v>1987</v>
      </c>
      <c r="F103" s="91" t="s">
        <v>19</v>
      </c>
      <c r="G103" s="91" t="s">
        <v>455</v>
      </c>
      <c r="H103" s="91" t="s">
        <v>509</v>
      </c>
      <c r="I103" s="91" t="s">
        <v>550</v>
      </c>
      <c r="J103" s="91">
        <v>6199</v>
      </c>
      <c r="K103" s="91">
        <v>0</v>
      </c>
      <c r="L103" s="91">
        <v>0</v>
      </c>
      <c r="M103" s="91">
        <v>0</v>
      </c>
      <c r="N103" s="91">
        <v>0</v>
      </c>
      <c r="O103" s="91">
        <v>0</v>
      </c>
      <c r="P103" s="91">
        <v>0</v>
      </c>
      <c r="Q103" s="101">
        <f t="shared" si="2"/>
        <v>6199</v>
      </c>
      <c r="R103" s="95">
        <f t="shared" si="3"/>
        <v>5269.15</v>
      </c>
    </row>
    <row r="104" spans="1:19" ht="34.049999999999997" customHeight="1" x14ac:dyDescent="0.3">
      <c r="A104" s="90">
        <v>93</v>
      </c>
      <c r="B104" s="91" t="s">
        <v>303</v>
      </c>
      <c r="C104" s="91" t="s">
        <v>349</v>
      </c>
      <c r="D104" s="91" t="s">
        <v>350</v>
      </c>
      <c r="E104" s="91">
        <v>2019</v>
      </c>
      <c r="F104" s="91" t="s">
        <v>19</v>
      </c>
      <c r="G104" s="91" t="s">
        <v>456</v>
      </c>
      <c r="H104" s="91" t="s">
        <v>510</v>
      </c>
      <c r="I104" s="91" t="s">
        <v>551</v>
      </c>
      <c r="J104" s="91">
        <v>6199</v>
      </c>
      <c r="K104" s="91">
        <v>0</v>
      </c>
      <c r="L104" s="91">
        <v>0</v>
      </c>
      <c r="M104" s="91">
        <v>0</v>
      </c>
      <c r="N104" s="91">
        <f>15443+35836</f>
        <v>51279</v>
      </c>
      <c r="O104" s="91">
        <v>0</v>
      </c>
      <c r="P104" s="91">
        <v>0</v>
      </c>
      <c r="Q104" s="101">
        <f t="shared" si="2"/>
        <v>57478</v>
      </c>
      <c r="R104" s="95">
        <f t="shared" si="3"/>
        <v>48856.3</v>
      </c>
    </row>
    <row r="105" spans="1:19" ht="34.049999999999997" customHeight="1" x14ac:dyDescent="0.3">
      <c r="A105" s="90">
        <v>94</v>
      </c>
      <c r="B105" s="91" t="s">
        <v>303</v>
      </c>
      <c r="C105" s="91" t="s">
        <v>351</v>
      </c>
      <c r="D105" s="91" t="s">
        <v>352</v>
      </c>
      <c r="E105" s="91">
        <v>2021</v>
      </c>
      <c r="F105" s="91" t="s">
        <v>19</v>
      </c>
      <c r="G105" s="91" t="s">
        <v>457</v>
      </c>
      <c r="H105" s="91" t="s">
        <v>511</v>
      </c>
      <c r="I105" s="91" t="s">
        <v>32</v>
      </c>
      <c r="J105" s="91">
        <v>6199</v>
      </c>
      <c r="K105" s="91">
        <f>6278+4484+4484+1346+2332+2332+2332+2332+2332+2332+2332+2332+4484+1166</f>
        <v>40898</v>
      </c>
      <c r="L105" s="91">
        <v>0</v>
      </c>
      <c r="M105" s="91">
        <v>0</v>
      </c>
      <c r="N105" s="91">
        <v>3148</v>
      </c>
      <c r="O105" s="91">
        <v>0</v>
      </c>
      <c r="P105" s="91">
        <v>0</v>
      </c>
      <c r="Q105" s="101">
        <f t="shared" si="2"/>
        <v>50245</v>
      </c>
      <c r="R105" s="95">
        <f t="shared" si="3"/>
        <v>42708.25</v>
      </c>
    </row>
    <row r="106" spans="1:19" ht="34.049999999999997" customHeight="1" x14ac:dyDescent="0.3">
      <c r="A106" s="96">
        <v>95</v>
      </c>
      <c r="B106" s="91" t="s">
        <v>303</v>
      </c>
      <c r="C106" s="91" t="s">
        <v>353</v>
      </c>
      <c r="D106" s="91" t="s">
        <v>354</v>
      </c>
      <c r="E106" s="91">
        <v>2000</v>
      </c>
      <c r="F106" s="91" t="s">
        <v>19</v>
      </c>
      <c r="G106" s="91" t="s">
        <v>458</v>
      </c>
      <c r="H106" s="91" t="s">
        <v>458</v>
      </c>
      <c r="I106" s="91" t="s">
        <v>552</v>
      </c>
      <c r="J106" s="91">
        <v>6199</v>
      </c>
      <c r="K106" s="91">
        <v>0</v>
      </c>
      <c r="L106" s="91">
        <v>18406</v>
      </c>
      <c r="M106" s="91">
        <v>0</v>
      </c>
      <c r="N106" s="91">
        <v>0</v>
      </c>
      <c r="O106" s="91">
        <v>0</v>
      </c>
      <c r="P106" s="91">
        <v>0</v>
      </c>
      <c r="Q106" s="101">
        <f t="shared" si="2"/>
        <v>24605</v>
      </c>
      <c r="R106" s="95">
        <f t="shared" si="3"/>
        <v>20914.25</v>
      </c>
    </row>
    <row r="107" spans="1:19" ht="34.049999999999997" customHeight="1" x14ac:dyDescent="0.3">
      <c r="A107" s="90">
        <v>96</v>
      </c>
      <c r="B107" s="91" t="s">
        <v>303</v>
      </c>
      <c r="C107" s="91" t="s">
        <v>355</v>
      </c>
      <c r="D107" s="91" t="s">
        <v>356</v>
      </c>
      <c r="E107" s="91">
        <v>2020</v>
      </c>
      <c r="F107" s="91" t="s">
        <v>18</v>
      </c>
      <c r="G107" s="91" t="s">
        <v>459</v>
      </c>
      <c r="H107" s="91" t="s">
        <v>512</v>
      </c>
      <c r="I107" s="91" t="s">
        <v>553</v>
      </c>
      <c r="J107" s="91">
        <v>6199</v>
      </c>
      <c r="K107" s="91">
        <v>0</v>
      </c>
      <c r="L107" s="91">
        <v>0</v>
      </c>
      <c r="M107" s="91">
        <v>0</v>
      </c>
      <c r="N107" s="91">
        <f>15443+35836</f>
        <v>51279</v>
      </c>
      <c r="O107" s="91">
        <v>0</v>
      </c>
      <c r="P107" s="91">
        <v>0</v>
      </c>
      <c r="Q107" s="101">
        <f t="shared" si="2"/>
        <v>57478</v>
      </c>
      <c r="R107" s="95">
        <f t="shared" si="3"/>
        <v>48856.3</v>
      </c>
    </row>
    <row r="108" spans="1:19" ht="34.049999999999997" customHeight="1" x14ac:dyDescent="0.3">
      <c r="A108" s="90">
        <v>97</v>
      </c>
      <c r="B108" s="91" t="s">
        <v>303</v>
      </c>
      <c r="C108" s="91" t="s">
        <v>357</v>
      </c>
      <c r="D108" s="91" t="s">
        <v>358</v>
      </c>
      <c r="E108" s="91">
        <v>2007</v>
      </c>
      <c r="F108" s="91" t="s">
        <v>19</v>
      </c>
      <c r="G108" s="91" t="s">
        <v>460</v>
      </c>
      <c r="H108" s="91" t="s">
        <v>513</v>
      </c>
      <c r="I108" s="91" t="s">
        <v>554</v>
      </c>
      <c r="J108" s="91">
        <v>6199</v>
      </c>
      <c r="K108" s="91">
        <v>0</v>
      </c>
      <c r="L108" s="91">
        <v>0</v>
      </c>
      <c r="M108" s="91">
        <v>0</v>
      </c>
      <c r="N108" s="91">
        <v>0</v>
      </c>
      <c r="O108" s="91">
        <v>0</v>
      </c>
      <c r="P108" s="91">
        <v>0</v>
      </c>
      <c r="Q108" s="101">
        <f t="shared" si="2"/>
        <v>6199</v>
      </c>
      <c r="R108" s="95">
        <f t="shared" si="3"/>
        <v>5269.15</v>
      </c>
    </row>
    <row r="109" spans="1:19" ht="34.049999999999997" customHeight="1" x14ac:dyDescent="0.3">
      <c r="A109" s="96">
        <v>98</v>
      </c>
      <c r="B109" s="91" t="s">
        <v>303</v>
      </c>
      <c r="C109" s="91" t="s">
        <v>359</v>
      </c>
      <c r="D109" s="91" t="s">
        <v>360</v>
      </c>
      <c r="E109" s="91">
        <v>1997</v>
      </c>
      <c r="F109" s="91" t="s">
        <v>19</v>
      </c>
      <c r="G109" s="91" t="s">
        <v>461</v>
      </c>
      <c r="H109" s="91" t="s">
        <v>461</v>
      </c>
      <c r="I109" s="91" t="s">
        <v>555</v>
      </c>
      <c r="J109" s="91">
        <v>6199</v>
      </c>
      <c r="K109" s="91">
        <f>6278+2332+2332+2332+2243+3228+3000+3000+3500+3500+6995</f>
        <v>38740</v>
      </c>
      <c r="L109" s="91">
        <v>18406</v>
      </c>
      <c r="M109" s="91">
        <v>0</v>
      </c>
      <c r="N109" s="91">
        <v>1793</v>
      </c>
      <c r="O109" s="91">
        <v>0</v>
      </c>
      <c r="P109" s="91">
        <v>0</v>
      </c>
      <c r="Q109" s="101">
        <f t="shared" si="2"/>
        <v>65138</v>
      </c>
      <c r="R109" s="95">
        <f t="shared" si="3"/>
        <v>55367.3</v>
      </c>
    </row>
    <row r="110" spans="1:19" ht="34.049999999999997" customHeight="1" x14ac:dyDescent="0.3">
      <c r="A110" s="90">
        <v>99</v>
      </c>
      <c r="B110" s="91" t="s">
        <v>303</v>
      </c>
      <c r="C110" s="91" t="s">
        <v>361</v>
      </c>
      <c r="D110" s="91" t="s">
        <v>362</v>
      </c>
      <c r="E110" s="91">
        <v>1996</v>
      </c>
      <c r="F110" s="91" t="s">
        <v>19</v>
      </c>
      <c r="G110" s="91" t="s">
        <v>462</v>
      </c>
      <c r="H110" s="91" t="s">
        <v>462</v>
      </c>
      <c r="I110" s="91" t="s">
        <v>556</v>
      </c>
      <c r="J110" s="91">
        <v>6199</v>
      </c>
      <c r="K110" s="91">
        <v>0</v>
      </c>
      <c r="L110" s="91">
        <v>18406</v>
      </c>
      <c r="M110" s="91">
        <v>0</v>
      </c>
      <c r="N110" s="91">
        <v>0</v>
      </c>
      <c r="O110" s="91">
        <v>0</v>
      </c>
      <c r="P110" s="91">
        <v>0</v>
      </c>
      <c r="Q110" s="101">
        <f t="shared" si="2"/>
        <v>24605</v>
      </c>
      <c r="R110" s="95">
        <f t="shared" si="3"/>
        <v>20914.25</v>
      </c>
    </row>
    <row r="111" spans="1:19" ht="34.049999999999997" customHeight="1" x14ac:dyDescent="0.3">
      <c r="A111" s="90">
        <v>100</v>
      </c>
      <c r="B111" s="91" t="s">
        <v>303</v>
      </c>
      <c r="C111" s="91" t="s">
        <v>363</v>
      </c>
      <c r="D111" s="91" t="s">
        <v>364</v>
      </c>
      <c r="E111" s="91">
        <v>2021</v>
      </c>
      <c r="F111" s="91" t="s">
        <v>19</v>
      </c>
      <c r="G111" s="91" t="s">
        <v>463</v>
      </c>
      <c r="H111" s="91" t="s">
        <v>514</v>
      </c>
      <c r="I111" s="91" t="s">
        <v>557</v>
      </c>
      <c r="J111" s="91">
        <v>6199</v>
      </c>
      <c r="K111" s="91">
        <v>0</v>
      </c>
      <c r="L111" s="91">
        <v>0</v>
      </c>
      <c r="M111" s="91">
        <v>0</v>
      </c>
      <c r="N111" s="91">
        <v>0</v>
      </c>
      <c r="O111" s="91">
        <v>0</v>
      </c>
      <c r="P111" s="91">
        <v>0</v>
      </c>
      <c r="Q111" s="101">
        <f t="shared" si="2"/>
        <v>6199</v>
      </c>
      <c r="R111" s="95">
        <f t="shared" si="3"/>
        <v>5269.15</v>
      </c>
    </row>
    <row r="112" spans="1:19" ht="34.049999999999997" customHeight="1" x14ac:dyDescent="0.3">
      <c r="A112" s="96">
        <v>101</v>
      </c>
      <c r="B112" s="91" t="s">
        <v>303</v>
      </c>
      <c r="C112" s="91" t="s">
        <v>365</v>
      </c>
      <c r="D112" s="91" t="s">
        <v>366</v>
      </c>
      <c r="E112" s="91">
        <v>2020</v>
      </c>
      <c r="F112" s="91" t="s">
        <v>18</v>
      </c>
      <c r="G112" s="91" t="s">
        <v>464</v>
      </c>
      <c r="H112" s="91" t="s">
        <v>515</v>
      </c>
      <c r="I112" s="91" t="s">
        <v>33</v>
      </c>
      <c r="J112" s="91">
        <v>6199</v>
      </c>
      <c r="K112" s="91">
        <v>0</v>
      </c>
      <c r="L112" s="91">
        <v>0</v>
      </c>
      <c r="M112" s="91">
        <v>0</v>
      </c>
      <c r="N112" s="91">
        <v>0</v>
      </c>
      <c r="O112" s="91">
        <v>0</v>
      </c>
      <c r="P112" s="91">
        <v>0</v>
      </c>
      <c r="Q112" s="101">
        <f t="shared" si="2"/>
        <v>6199</v>
      </c>
      <c r="R112" s="95">
        <f t="shared" si="3"/>
        <v>5269.15</v>
      </c>
    </row>
    <row r="113" spans="1:23" ht="34.049999999999997" customHeight="1" x14ac:dyDescent="0.3">
      <c r="A113" s="90">
        <v>102</v>
      </c>
      <c r="B113" s="91" t="s">
        <v>303</v>
      </c>
      <c r="C113" s="91" t="s">
        <v>367</v>
      </c>
      <c r="D113" s="91" t="s">
        <v>368</v>
      </c>
      <c r="E113" s="91">
        <v>2018</v>
      </c>
      <c r="F113" s="91" t="s">
        <v>19</v>
      </c>
      <c r="G113" s="91" t="s">
        <v>465</v>
      </c>
      <c r="H113" s="91" t="s">
        <v>516</v>
      </c>
      <c r="I113" s="91" t="s">
        <v>20</v>
      </c>
      <c r="J113" s="91">
        <v>6199</v>
      </c>
      <c r="K113" s="91">
        <v>0</v>
      </c>
      <c r="L113" s="91">
        <v>0</v>
      </c>
      <c r="M113" s="91">
        <v>0</v>
      </c>
      <c r="N113" s="91">
        <f>15443+17918</f>
        <v>33361</v>
      </c>
      <c r="O113" s="91">
        <v>0</v>
      </c>
      <c r="P113" s="91">
        <v>0</v>
      </c>
      <c r="Q113" s="101">
        <f t="shared" si="2"/>
        <v>39560</v>
      </c>
      <c r="R113" s="95">
        <f t="shared" si="3"/>
        <v>33626</v>
      </c>
    </row>
    <row r="114" spans="1:23" ht="34.049999999999997" customHeight="1" x14ac:dyDescent="0.3">
      <c r="A114" s="90">
        <v>103</v>
      </c>
      <c r="B114" s="91" t="s">
        <v>303</v>
      </c>
      <c r="C114" s="91" t="s">
        <v>369</v>
      </c>
      <c r="D114" s="91" t="s">
        <v>370</v>
      </c>
      <c r="E114" s="91">
        <v>2025</v>
      </c>
      <c r="F114" s="91" t="s">
        <v>19</v>
      </c>
      <c r="G114" s="91" t="s">
        <v>466</v>
      </c>
      <c r="H114" s="91" t="s">
        <v>517</v>
      </c>
      <c r="I114" s="91" t="s">
        <v>558</v>
      </c>
      <c r="J114" s="91">
        <v>6199</v>
      </c>
      <c r="K114" s="91">
        <f>6278+4484+1346</f>
        <v>12108</v>
      </c>
      <c r="L114" s="91">
        <v>0</v>
      </c>
      <c r="M114" s="91">
        <v>0</v>
      </c>
      <c r="N114" s="91">
        <v>3148</v>
      </c>
      <c r="O114" s="91">
        <v>0</v>
      </c>
      <c r="P114" s="91">
        <v>0</v>
      </c>
      <c r="Q114" s="101">
        <f t="shared" si="2"/>
        <v>21455</v>
      </c>
      <c r="R114" s="95">
        <f t="shared" si="3"/>
        <v>18236.75</v>
      </c>
    </row>
    <row r="115" spans="1:23" ht="34.049999999999997" customHeight="1" x14ac:dyDescent="0.3">
      <c r="A115" s="96">
        <v>104</v>
      </c>
      <c r="B115" s="98" t="s">
        <v>303</v>
      </c>
      <c r="C115" s="98" t="s">
        <v>371</v>
      </c>
      <c r="D115" s="98" t="s">
        <v>372</v>
      </c>
      <c r="E115" s="98">
        <v>1981</v>
      </c>
      <c r="F115" s="98" t="s">
        <v>19</v>
      </c>
      <c r="G115" s="98" t="s">
        <v>246</v>
      </c>
      <c r="H115" s="98" t="s">
        <v>246</v>
      </c>
      <c r="I115" s="98" t="s">
        <v>7472</v>
      </c>
      <c r="J115" s="98">
        <v>6199</v>
      </c>
      <c r="K115" s="98">
        <v>0</v>
      </c>
      <c r="L115" s="98">
        <v>0</v>
      </c>
      <c r="M115" s="98">
        <v>0</v>
      </c>
      <c r="N115" s="98">
        <v>15443</v>
      </c>
      <c r="O115" s="98">
        <v>0</v>
      </c>
      <c r="P115" s="98">
        <v>0</v>
      </c>
      <c r="Q115" s="101">
        <f t="shared" si="2"/>
        <v>21642</v>
      </c>
      <c r="R115" s="95">
        <f t="shared" si="3"/>
        <v>18395.7</v>
      </c>
      <c r="S115" s="41"/>
      <c r="T115" s="41"/>
      <c r="U115" s="41"/>
      <c r="V115" s="41"/>
      <c r="W115" s="41"/>
    </row>
    <row r="116" spans="1:23" ht="34.049999999999997" customHeight="1" x14ac:dyDescent="0.3">
      <c r="A116" s="90">
        <v>105</v>
      </c>
      <c r="B116" s="91" t="s">
        <v>303</v>
      </c>
      <c r="C116" s="91" t="s">
        <v>373</v>
      </c>
      <c r="D116" s="91" t="s">
        <v>336</v>
      </c>
      <c r="E116" s="91">
        <v>1998</v>
      </c>
      <c r="F116" s="91" t="s">
        <v>19</v>
      </c>
      <c r="G116" s="91" t="s">
        <v>449</v>
      </c>
      <c r="H116" s="91" t="s">
        <v>449</v>
      </c>
      <c r="I116" s="91" t="s">
        <v>546</v>
      </c>
      <c r="J116" s="91">
        <v>6199</v>
      </c>
      <c r="K116" s="91">
        <v>0</v>
      </c>
      <c r="L116" s="91">
        <v>0</v>
      </c>
      <c r="M116" s="91">
        <v>0</v>
      </c>
      <c r="N116" s="91">
        <v>0</v>
      </c>
      <c r="O116" s="91">
        <v>0</v>
      </c>
      <c r="P116" s="91">
        <v>0</v>
      </c>
      <c r="Q116" s="101">
        <f t="shared" si="2"/>
        <v>6199</v>
      </c>
      <c r="R116" s="95">
        <f t="shared" si="3"/>
        <v>5269.15</v>
      </c>
    </row>
    <row r="117" spans="1:23" ht="34.049999999999997" customHeight="1" x14ac:dyDescent="0.3">
      <c r="A117" s="90">
        <v>106</v>
      </c>
      <c r="B117" s="91" t="s">
        <v>303</v>
      </c>
      <c r="C117" s="91" t="s">
        <v>374</v>
      </c>
      <c r="D117" s="91" t="s">
        <v>346</v>
      </c>
      <c r="E117" s="91">
        <v>2017</v>
      </c>
      <c r="F117" s="91" t="s">
        <v>19</v>
      </c>
      <c r="G117" s="91" t="s">
        <v>454</v>
      </c>
      <c r="H117" s="91" t="s">
        <v>509</v>
      </c>
      <c r="I117" s="91" t="s">
        <v>550</v>
      </c>
      <c r="J117" s="91">
        <v>6199</v>
      </c>
      <c r="K117" s="91">
        <v>0</v>
      </c>
      <c r="L117" s="91">
        <v>0</v>
      </c>
      <c r="M117" s="91">
        <v>0</v>
      </c>
      <c r="N117" s="91">
        <v>0</v>
      </c>
      <c r="O117" s="91">
        <v>0</v>
      </c>
      <c r="P117" s="91">
        <v>0</v>
      </c>
      <c r="Q117" s="101">
        <f t="shared" si="2"/>
        <v>6199</v>
      </c>
      <c r="R117" s="95">
        <f t="shared" si="3"/>
        <v>5269.15</v>
      </c>
    </row>
    <row r="118" spans="1:23" ht="34.049999999999997" customHeight="1" x14ac:dyDescent="0.3">
      <c r="A118" s="96">
        <v>107</v>
      </c>
      <c r="B118" s="91" t="s">
        <v>303</v>
      </c>
      <c r="C118" s="91" t="s">
        <v>375</v>
      </c>
      <c r="D118" s="91" t="s">
        <v>376</v>
      </c>
      <c r="E118" s="91">
        <v>2000</v>
      </c>
      <c r="F118" s="91" t="s">
        <v>19</v>
      </c>
      <c r="G118" s="91" t="s">
        <v>467</v>
      </c>
      <c r="H118" s="91" t="s">
        <v>467</v>
      </c>
      <c r="I118" s="91" t="s">
        <v>559</v>
      </c>
      <c r="J118" s="91">
        <v>6199</v>
      </c>
      <c r="K118" s="91">
        <f>2332+2332+2243</f>
        <v>6907</v>
      </c>
      <c r="L118" s="91">
        <v>18406</v>
      </c>
      <c r="M118" s="91">
        <v>0</v>
      </c>
      <c r="N118" s="91">
        <v>0</v>
      </c>
      <c r="O118" s="91">
        <v>0</v>
      </c>
      <c r="P118" s="91">
        <v>0</v>
      </c>
      <c r="Q118" s="101">
        <f t="shared" si="2"/>
        <v>31512</v>
      </c>
      <c r="R118" s="95">
        <f t="shared" si="3"/>
        <v>26785.200000000001</v>
      </c>
    </row>
    <row r="119" spans="1:23" ht="34.049999999999997" customHeight="1" x14ac:dyDescent="0.3">
      <c r="A119" s="90">
        <v>108</v>
      </c>
      <c r="B119" s="91" t="s">
        <v>303</v>
      </c>
      <c r="C119" s="91" t="s">
        <v>377</v>
      </c>
      <c r="D119" s="91" t="s">
        <v>378</v>
      </c>
      <c r="E119" s="91">
        <v>1992</v>
      </c>
      <c r="F119" s="91" t="s">
        <v>19</v>
      </c>
      <c r="G119" s="91" t="s">
        <v>468</v>
      </c>
      <c r="H119" s="91" t="s">
        <v>468</v>
      </c>
      <c r="I119" s="91" t="s">
        <v>560</v>
      </c>
      <c r="J119" s="91">
        <v>6199</v>
      </c>
      <c r="K119" s="91">
        <f>6278+2332+4484+1346+2801+1166+2332+2332+2243+3587</f>
        <v>28901</v>
      </c>
      <c r="L119" s="91">
        <v>0</v>
      </c>
      <c r="M119" s="91">
        <v>0</v>
      </c>
      <c r="N119" s="91">
        <v>1793</v>
      </c>
      <c r="O119" s="91">
        <v>0</v>
      </c>
      <c r="P119" s="91">
        <v>0</v>
      </c>
      <c r="Q119" s="101">
        <f t="shared" si="2"/>
        <v>36893</v>
      </c>
      <c r="R119" s="95">
        <f t="shared" si="3"/>
        <v>31359.05</v>
      </c>
    </row>
    <row r="120" spans="1:23" ht="34.049999999999997" customHeight="1" x14ac:dyDescent="0.3">
      <c r="A120" s="90">
        <v>109</v>
      </c>
      <c r="B120" s="91" t="s">
        <v>303</v>
      </c>
      <c r="C120" s="91" t="s">
        <v>379</v>
      </c>
      <c r="D120" s="91" t="s">
        <v>380</v>
      </c>
      <c r="E120" s="91">
        <v>1984</v>
      </c>
      <c r="F120" s="91" t="s">
        <v>18</v>
      </c>
      <c r="G120" s="91" t="s">
        <v>469</v>
      </c>
      <c r="H120" s="91" t="s">
        <v>469</v>
      </c>
      <c r="I120" s="91" t="s">
        <v>561</v>
      </c>
      <c r="J120" s="91">
        <v>6199</v>
      </c>
      <c r="K120" s="91">
        <f>2332+2332</f>
        <v>4664</v>
      </c>
      <c r="L120" s="91">
        <v>0</v>
      </c>
      <c r="M120" s="91">
        <v>0</v>
      </c>
      <c r="N120" s="91">
        <v>0</v>
      </c>
      <c r="O120" s="91">
        <v>0</v>
      </c>
      <c r="P120" s="91">
        <v>0</v>
      </c>
      <c r="Q120" s="101">
        <f t="shared" si="2"/>
        <v>10863</v>
      </c>
      <c r="R120" s="95">
        <f t="shared" si="3"/>
        <v>9233.5499999999993</v>
      </c>
    </row>
    <row r="121" spans="1:23" ht="34.049999999999997" customHeight="1" x14ac:dyDescent="0.3">
      <c r="A121" s="96">
        <v>110</v>
      </c>
      <c r="B121" s="91" t="s">
        <v>303</v>
      </c>
      <c r="C121" s="91" t="s">
        <v>381</v>
      </c>
      <c r="D121" s="91" t="s">
        <v>382</v>
      </c>
      <c r="E121" s="91">
        <v>1995</v>
      </c>
      <c r="F121" s="91" t="s">
        <v>19</v>
      </c>
      <c r="G121" s="91" t="s">
        <v>470</v>
      </c>
      <c r="H121" s="91" t="s">
        <v>518</v>
      </c>
      <c r="I121" s="91" t="s">
        <v>562</v>
      </c>
      <c r="J121" s="91">
        <v>6199</v>
      </c>
      <c r="K121" s="91">
        <v>0</v>
      </c>
      <c r="L121" s="91">
        <v>0</v>
      </c>
      <c r="M121" s="91">
        <v>0</v>
      </c>
      <c r="N121" s="91">
        <v>0</v>
      </c>
      <c r="O121" s="91">
        <v>0</v>
      </c>
      <c r="P121" s="91">
        <v>0</v>
      </c>
      <c r="Q121" s="101">
        <f t="shared" si="2"/>
        <v>6199</v>
      </c>
      <c r="R121" s="95">
        <f t="shared" si="3"/>
        <v>5269.15</v>
      </c>
    </row>
    <row r="122" spans="1:23" ht="34.049999999999997" customHeight="1" x14ac:dyDescent="0.3">
      <c r="A122" s="90">
        <v>111</v>
      </c>
      <c r="B122" s="91" t="s">
        <v>303</v>
      </c>
      <c r="C122" s="91" t="s">
        <v>383</v>
      </c>
      <c r="D122" s="91" t="s">
        <v>384</v>
      </c>
      <c r="E122" s="91">
        <v>1971</v>
      </c>
      <c r="F122" s="91" t="s">
        <v>18</v>
      </c>
      <c r="G122" s="91" t="s">
        <v>471</v>
      </c>
      <c r="H122" s="91" t="s">
        <v>471</v>
      </c>
      <c r="I122" s="91" t="s">
        <v>563</v>
      </c>
      <c r="J122" s="91">
        <v>6199</v>
      </c>
      <c r="K122" s="91">
        <f>2332+2332+2332</f>
        <v>6996</v>
      </c>
      <c r="L122" s="91">
        <v>0</v>
      </c>
      <c r="M122" s="91">
        <v>0</v>
      </c>
      <c r="N122" s="91">
        <v>1793</v>
      </c>
      <c r="O122" s="91">
        <v>0</v>
      </c>
      <c r="P122" s="91">
        <v>0</v>
      </c>
      <c r="Q122" s="101">
        <f t="shared" si="2"/>
        <v>14988</v>
      </c>
      <c r="R122" s="95">
        <f t="shared" si="3"/>
        <v>12739.8</v>
      </c>
    </row>
    <row r="123" spans="1:23" ht="34.049999999999997" customHeight="1" x14ac:dyDescent="0.3">
      <c r="A123" s="90">
        <v>112</v>
      </c>
      <c r="B123" s="91" t="s">
        <v>303</v>
      </c>
      <c r="C123" s="91" t="s">
        <v>385</v>
      </c>
      <c r="D123" s="91" t="s">
        <v>386</v>
      </c>
      <c r="E123" s="91">
        <v>1983</v>
      </c>
      <c r="F123" s="91" t="s">
        <v>18</v>
      </c>
      <c r="G123" s="91" t="s">
        <v>472</v>
      </c>
      <c r="H123" s="91" t="s">
        <v>472</v>
      </c>
      <c r="I123" s="91" t="s">
        <v>25</v>
      </c>
      <c r="J123" s="91">
        <v>6199</v>
      </c>
      <c r="K123" s="91">
        <f>1166+2332+2332+2332+2332+2332</f>
        <v>12826</v>
      </c>
      <c r="L123" s="91">
        <v>0</v>
      </c>
      <c r="M123" s="91">
        <v>0</v>
      </c>
      <c r="N123" s="91">
        <v>1793</v>
      </c>
      <c r="O123" s="91">
        <v>0</v>
      </c>
      <c r="P123" s="91">
        <v>0</v>
      </c>
      <c r="Q123" s="101">
        <f t="shared" si="2"/>
        <v>20818</v>
      </c>
      <c r="R123" s="95">
        <f t="shared" si="3"/>
        <v>17695.3</v>
      </c>
    </row>
    <row r="124" spans="1:23" ht="34.049999999999997" customHeight="1" x14ac:dyDescent="0.3">
      <c r="A124" s="96">
        <v>113</v>
      </c>
      <c r="B124" s="91" t="s">
        <v>303</v>
      </c>
      <c r="C124" s="91" t="s">
        <v>387</v>
      </c>
      <c r="D124" s="91" t="s">
        <v>388</v>
      </c>
      <c r="E124" s="91">
        <v>1981</v>
      </c>
      <c r="F124" s="91" t="s">
        <v>18</v>
      </c>
      <c r="G124" s="91" t="s">
        <v>473</v>
      </c>
      <c r="H124" s="91" t="s">
        <v>473</v>
      </c>
      <c r="I124" s="91" t="s">
        <v>564</v>
      </c>
      <c r="J124" s="91">
        <v>6199</v>
      </c>
      <c r="K124" s="91">
        <f>6278+2332+2332+2332+2332+2332+1166+2801+3000+3000+3228+2332+2332</f>
        <v>35797</v>
      </c>
      <c r="L124" s="91">
        <v>0</v>
      </c>
      <c r="M124" s="91">
        <v>0</v>
      </c>
      <c r="N124" s="91">
        <v>1793</v>
      </c>
      <c r="O124" s="91">
        <v>0</v>
      </c>
      <c r="P124" s="91">
        <v>0</v>
      </c>
      <c r="Q124" s="101">
        <f t="shared" si="2"/>
        <v>43789</v>
      </c>
      <c r="R124" s="95">
        <f t="shared" si="3"/>
        <v>37220.65</v>
      </c>
    </row>
    <row r="125" spans="1:23" ht="34.049999999999997" customHeight="1" x14ac:dyDescent="0.3">
      <c r="A125" s="90">
        <v>114</v>
      </c>
      <c r="B125" s="91" t="s">
        <v>303</v>
      </c>
      <c r="C125" s="91" t="s">
        <v>389</v>
      </c>
      <c r="D125" s="91" t="s">
        <v>390</v>
      </c>
      <c r="E125" s="91">
        <v>1975</v>
      </c>
      <c r="F125" s="91" t="s">
        <v>18</v>
      </c>
      <c r="G125" s="91" t="s">
        <v>474</v>
      </c>
      <c r="H125" s="91" t="s">
        <v>474</v>
      </c>
      <c r="I125" s="91" t="s">
        <v>565</v>
      </c>
      <c r="J125" s="91">
        <v>6199</v>
      </c>
      <c r="K125" s="91">
        <f>2332+2332+2243</f>
        <v>6907</v>
      </c>
      <c r="L125" s="91">
        <v>0</v>
      </c>
      <c r="M125" s="91">
        <v>0</v>
      </c>
      <c r="N125" s="91">
        <v>0</v>
      </c>
      <c r="O125" s="91">
        <v>0</v>
      </c>
      <c r="P125" s="91">
        <v>0</v>
      </c>
      <c r="Q125" s="101">
        <f t="shared" si="2"/>
        <v>13106</v>
      </c>
      <c r="R125" s="95">
        <f t="shared" si="3"/>
        <v>11140.1</v>
      </c>
    </row>
    <row r="126" spans="1:23" ht="34.049999999999997" customHeight="1" x14ac:dyDescent="0.3">
      <c r="A126" s="90">
        <v>115</v>
      </c>
      <c r="B126" s="91" t="s">
        <v>303</v>
      </c>
      <c r="C126" s="91" t="s">
        <v>391</v>
      </c>
      <c r="D126" s="91" t="s">
        <v>392</v>
      </c>
      <c r="E126" s="91">
        <v>1983</v>
      </c>
      <c r="F126" s="91" t="s">
        <v>18</v>
      </c>
      <c r="G126" s="91" t="s">
        <v>475</v>
      </c>
      <c r="H126" s="91" t="s">
        <v>475</v>
      </c>
      <c r="I126" s="91" t="s">
        <v>566</v>
      </c>
      <c r="J126" s="91">
        <v>6199</v>
      </c>
      <c r="K126" s="91">
        <f>2332+2332+2243</f>
        <v>6907</v>
      </c>
      <c r="L126" s="91">
        <v>0</v>
      </c>
      <c r="M126" s="91">
        <v>0</v>
      </c>
      <c r="N126" s="91">
        <f>3179+1681</f>
        <v>4860</v>
      </c>
      <c r="O126" s="91">
        <v>0</v>
      </c>
      <c r="P126" s="91">
        <f>624+112</f>
        <v>736</v>
      </c>
      <c r="Q126" s="101">
        <f t="shared" si="2"/>
        <v>18702</v>
      </c>
      <c r="R126" s="95">
        <f t="shared" si="3"/>
        <v>15896.7</v>
      </c>
    </row>
    <row r="127" spans="1:23" ht="34.049999999999997" customHeight="1" x14ac:dyDescent="0.3">
      <c r="A127" s="96">
        <v>116</v>
      </c>
      <c r="B127" s="91" t="s">
        <v>303</v>
      </c>
      <c r="C127" s="91" t="s">
        <v>393</v>
      </c>
      <c r="D127" s="91" t="s">
        <v>394</v>
      </c>
      <c r="E127" s="91">
        <v>2012</v>
      </c>
      <c r="F127" s="91" t="s">
        <v>18</v>
      </c>
      <c r="G127" s="91" t="s">
        <v>476</v>
      </c>
      <c r="H127" s="91" t="s">
        <v>519</v>
      </c>
      <c r="I127" s="91" t="s">
        <v>567</v>
      </c>
      <c r="J127" s="91">
        <v>6199</v>
      </c>
      <c r="K127" s="91">
        <v>0</v>
      </c>
      <c r="L127" s="91">
        <v>0</v>
      </c>
      <c r="M127" s="91">
        <v>0</v>
      </c>
      <c r="N127" s="91">
        <v>0</v>
      </c>
      <c r="O127" s="91">
        <v>0</v>
      </c>
      <c r="P127" s="91">
        <v>0</v>
      </c>
      <c r="Q127" s="101">
        <f t="shared" si="2"/>
        <v>6199</v>
      </c>
      <c r="R127" s="95">
        <f t="shared" si="3"/>
        <v>5269.15</v>
      </c>
    </row>
    <row r="128" spans="1:23" ht="34.049999999999997" customHeight="1" x14ac:dyDescent="0.3">
      <c r="A128" s="90">
        <v>117</v>
      </c>
      <c r="B128" s="91" t="s">
        <v>303</v>
      </c>
      <c r="C128" s="91" t="s">
        <v>395</v>
      </c>
      <c r="D128" s="91" t="s">
        <v>396</v>
      </c>
      <c r="E128" s="91">
        <v>1998</v>
      </c>
      <c r="F128" s="91" t="s">
        <v>19</v>
      </c>
      <c r="G128" s="91" t="s">
        <v>477</v>
      </c>
      <c r="H128" s="91" t="s">
        <v>477</v>
      </c>
      <c r="I128" s="91" t="s">
        <v>32</v>
      </c>
      <c r="J128" s="91">
        <v>6199</v>
      </c>
      <c r="K128" s="91">
        <v>0</v>
      </c>
      <c r="L128" s="91">
        <v>18406</v>
      </c>
      <c r="M128" s="91">
        <v>0</v>
      </c>
      <c r="N128" s="91">
        <v>0</v>
      </c>
      <c r="O128" s="91">
        <v>0</v>
      </c>
      <c r="P128" s="91">
        <v>0</v>
      </c>
      <c r="Q128" s="101">
        <f t="shared" si="2"/>
        <v>24605</v>
      </c>
      <c r="R128" s="95">
        <f t="shared" si="3"/>
        <v>20914.25</v>
      </c>
    </row>
    <row r="129" spans="1:23" ht="34.049999999999997" customHeight="1" x14ac:dyDescent="0.3">
      <c r="A129" s="90">
        <v>118</v>
      </c>
      <c r="B129" s="91" t="s">
        <v>303</v>
      </c>
      <c r="C129" s="91" t="s">
        <v>397</v>
      </c>
      <c r="D129" s="91" t="s">
        <v>398</v>
      </c>
      <c r="E129" s="91">
        <v>2017</v>
      </c>
      <c r="F129" s="91" t="s">
        <v>18</v>
      </c>
      <c r="G129" s="91" t="s">
        <v>478</v>
      </c>
      <c r="H129" s="91" t="s">
        <v>520</v>
      </c>
      <c r="I129" s="91" t="s">
        <v>568</v>
      </c>
      <c r="J129" s="91">
        <v>6199</v>
      </c>
      <c r="K129" s="91">
        <v>0</v>
      </c>
      <c r="L129" s="91">
        <v>0</v>
      </c>
      <c r="M129" s="91">
        <v>0</v>
      </c>
      <c r="N129" s="91">
        <f>15443+35836</f>
        <v>51279</v>
      </c>
      <c r="O129" s="91">
        <v>0</v>
      </c>
      <c r="P129" s="91">
        <v>0</v>
      </c>
      <c r="Q129" s="101">
        <f t="shared" si="2"/>
        <v>57478</v>
      </c>
      <c r="R129" s="95">
        <f t="shared" si="3"/>
        <v>48856.3</v>
      </c>
    </row>
    <row r="130" spans="1:23" ht="34.049999999999997" customHeight="1" x14ac:dyDescent="0.3">
      <c r="A130" s="96">
        <v>119</v>
      </c>
      <c r="B130" s="91" t="s">
        <v>303</v>
      </c>
      <c r="C130" s="91" t="s">
        <v>399</v>
      </c>
      <c r="D130" s="91" t="s">
        <v>400</v>
      </c>
      <c r="E130" s="91">
        <v>1990</v>
      </c>
      <c r="F130" s="91" t="s">
        <v>19</v>
      </c>
      <c r="G130" s="91" t="s">
        <v>479</v>
      </c>
      <c r="H130" s="91" t="s">
        <v>521</v>
      </c>
      <c r="I130" s="91" t="s">
        <v>28</v>
      </c>
      <c r="J130" s="91">
        <v>6199</v>
      </c>
      <c r="K130" s="91">
        <v>0</v>
      </c>
      <c r="L130" s="91">
        <v>18406</v>
      </c>
      <c r="M130" s="91">
        <v>0</v>
      </c>
      <c r="N130" s="91">
        <v>0</v>
      </c>
      <c r="O130" s="91">
        <v>0</v>
      </c>
      <c r="P130" s="91">
        <v>0</v>
      </c>
      <c r="Q130" s="101">
        <f t="shared" si="2"/>
        <v>24605</v>
      </c>
      <c r="R130" s="95">
        <f t="shared" si="3"/>
        <v>20914.25</v>
      </c>
    </row>
    <row r="131" spans="1:23" ht="34.049999999999997" customHeight="1" x14ac:dyDescent="0.3">
      <c r="A131" s="90">
        <v>120</v>
      </c>
      <c r="B131" s="91" t="s">
        <v>303</v>
      </c>
      <c r="C131" s="91" t="s">
        <v>401</v>
      </c>
      <c r="D131" s="91" t="s">
        <v>402</v>
      </c>
      <c r="E131" s="91">
        <v>1993</v>
      </c>
      <c r="F131" s="91" t="s">
        <v>19</v>
      </c>
      <c r="G131" s="91" t="s">
        <v>480</v>
      </c>
      <c r="H131" s="91" t="s">
        <v>522</v>
      </c>
      <c r="I131" s="91" t="s">
        <v>569</v>
      </c>
      <c r="J131" s="91">
        <v>6199</v>
      </c>
      <c r="K131" s="91">
        <v>0</v>
      </c>
      <c r="L131" s="91">
        <v>0</v>
      </c>
      <c r="M131" s="91">
        <v>0</v>
      </c>
      <c r="N131" s="91">
        <v>0</v>
      </c>
      <c r="O131" s="91">
        <v>0</v>
      </c>
      <c r="P131" s="91">
        <v>0</v>
      </c>
      <c r="Q131" s="101">
        <f t="shared" si="2"/>
        <v>6199</v>
      </c>
      <c r="R131" s="95">
        <f t="shared" si="3"/>
        <v>5269.15</v>
      </c>
    </row>
    <row r="132" spans="1:23" ht="34.049999999999997" customHeight="1" x14ac:dyDescent="0.3">
      <c r="A132" s="90">
        <v>121</v>
      </c>
      <c r="B132" s="91" t="s">
        <v>303</v>
      </c>
      <c r="C132" s="91" t="s">
        <v>403</v>
      </c>
      <c r="D132" s="91" t="s">
        <v>404</v>
      </c>
      <c r="E132" s="91">
        <v>2022</v>
      </c>
      <c r="F132" s="91" t="s">
        <v>18</v>
      </c>
      <c r="G132" s="91" t="s">
        <v>481</v>
      </c>
      <c r="H132" s="91" t="s">
        <v>523</v>
      </c>
      <c r="I132" s="91" t="s">
        <v>268</v>
      </c>
      <c r="J132" s="91">
        <v>6199</v>
      </c>
      <c r="K132" s="91">
        <v>0</v>
      </c>
      <c r="L132" s="91">
        <v>0</v>
      </c>
      <c r="M132" s="91">
        <v>0</v>
      </c>
      <c r="N132" s="91">
        <v>0</v>
      </c>
      <c r="O132" s="91">
        <v>0</v>
      </c>
      <c r="P132" s="91">
        <v>0</v>
      </c>
      <c r="Q132" s="101">
        <f t="shared" si="2"/>
        <v>6199</v>
      </c>
      <c r="R132" s="95">
        <f t="shared" si="3"/>
        <v>5269.15</v>
      </c>
    </row>
    <row r="133" spans="1:23" ht="34.049999999999997" customHeight="1" x14ac:dyDescent="0.3">
      <c r="A133" s="96">
        <v>122</v>
      </c>
      <c r="B133" s="91" t="s">
        <v>303</v>
      </c>
      <c r="C133" s="91" t="s">
        <v>405</v>
      </c>
      <c r="D133" s="91" t="s">
        <v>406</v>
      </c>
      <c r="E133" s="91">
        <v>2018</v>
      </c>
      <c r="F133" s="91" t="s">
        <v>18</v>
      </c>
      <c r="G133" s="91" t="s">
        <v>482</v>
      </c>
      <c r="H133" s="91" t="s">
        <v>523</v>
      </c>
      <c r="I133" s="91" t="s">
        <v>268</v>
      </c>
      <c r="J133" s="91">
        <v>3793</v>
      </c>
      <c r="K133" s="91">
        <v>0</v>
      </c>
      <c r="L133" s="91">
        <v>0</v>
      </c>
      <c r="M133" s="91">
        <v>0</v>
      </c>
      <c r="N133" s="91">
        <v>0</v>
      </c>
      <c r="O133" s="91">
        <v>0</v>
      </c>
      <c r="P133" s="91">
        <v>0</v>
      </c>
      <c r="Q133" s="101">
        <f t="shared" si="2"/>
        <v>3793</v>
      </c>
      <c r="R133" s="95">
        <f t="shared" si="3"/>
        <v>3224.05</v>
      </c>
    </row>
    <row r="134" spans="1:23" ht="34.049999999999997" customHeight="1" x14ac:dyDescent="0.3">
      <c r="A134" s="90">
        <v>123</v>
      </c>
      <c r="B134" s="91" t="s">
        <v>303</v>
      </c>
      <c r="C134" s="91" t="s">
        <v>407</v>
      </c>
      <c r="D134" s="91" t="s">
        <v>408</v>
      </c>
      <c r="E134" s="91">
        <v>1999</v>
      </c>
      <c r="F134" s="91" t="s">
        <v>19</v>
      </c>
      <c r="G134" s="91" t="s">
        <v>483</v>
      </c>
      <c r="H134" s="91" t="s">
        <v>524</v>
      </c>
      <c r="I134" s="91" t="s">
        <v>570</v>
      </c>
      <c r="J134" s="91">
        <v>6199</v>
      </c>
      <c r="K134" s="91">
        <v>0</v>
      </c>
      <c r="L134" s="91">
        <v>17279</v>
      </c>
      <c r="M134" s="91">
        <v>0</v>
      </c>
      <c r="N134" s="91">
        <v>0</v>
      </c>
      <c r="O134" s="91">
        <v>0</v>
      </c>
      <c r="P134" s="91">
        <v>0</v>
      </c>
      <c r="Q134" s="101">
        <f t="shared" si="2"/>
        <v>23478</v>
      </c>
      <c r="R134" s="95">
        <f t="shared" si="3"/>
        <v>19956.3</v>
      </c>
    </row>
    <row r="135" spans="1:23" ht="34.049999999999997" customHeight="1" x14ac:dyDescent="0.3">
      <c r="A135" s="90">
        <v>124</v>
      </c>
      <c r="B135" s="91" t="s">
        <v>303</v>
      </c>
      <c r="C135" s="91" t="s">
        <v>409</v>
      </c>
      <c r="D135" s="91" t="s">
        <v>410</v>
      </c>
      <c r="E135" s="91">
        <v>2024</v>
      </c>
      <c r="F135" s="91" t="s">
        <v>18</v>
      </c>
      <c r="G135" s="91" t="s">
        <v>484</v>
      </c>
      <c r="H135" s="91" t="s">
        <v>525</v>
      </c>
      <c r="I135" s="91" t="s">
        <v>571</v>
      </c>
      <c r="J135" s="91">
        <v>6199</v>
      </c>
      <c r="K135" s="91">
        <f>6278+4484+1346</f>
        <v>12108</v>
      </c>
      <c r="L135" s="91">
        <v>0</v>
      </c>
      <c r="M135" s="91">
        <v>0</v>
      </c>
      <c r="N135" s="91">
        <v>3148</v>
      </c>
      <c r="O135" s="91">
        <v>0</v>
      </c>
      <c r="P135" s="91">
        <v>0</v>
      </c>
      <c r="Q135" s="101">
        <f t="shared" si="2"/>
        <v>21455</v>
      </c>
      <c r="R135" s="95">
        <f t="shared" si="3"/>
        <v>18236.75</v>
      </c>
    </row>
    <row r="136" spans="1:23" ht="34.049999999999997" customHeight="1" x14ac:dyDescent="0.3">
      <c r="A136" s="96">
        <v>125</v>
      </c>
      <c r="B136" s="91" t="s">
        <v>303</v>
      </c>
      <c r="C136" s="91" t="s">
        <v>411</v>
      </c>
      <c r="D136" s="91" t="s">
        <v>412</v>
      </c>
      <c r="E136" s="91">
        <v>1989</v>
      </c>
      <c r="F136" s="91" t="s">
        <v>19</v>
      </c>
      <c r="G136" s="91" t="s">
        <v>485</v>
      </c>
      <c r="H136" s="91" t="s">
        <v>485</v>
      </c>
      <c r="I136" s="91" t="s">
        <v>572</v>
      </c>
      <c r="J136" s="91">
        <v>6199</v>
      </c>
      <c r="K136" s="91">
        <v>0</v>
      </c>
      <c r="L136" s="91">
        <v>18406</v>
      </c>
      <c r="M136" s="91">
        <v>0</v>
      </c>
      <c r="N136" s="91">
        <v>0</v>
      </c>
      <c r="O136" s="91">
        <v>0</v>
      </c>
      <c r="P136" s="91">
        <v>0</v>
      </c>
      <c r="Q136" s="101">
        <f t="shared" si="2"/>
        <v>24605</v>
      </c>
      <c r="R136" s="95">
        <f t="shared" si="3"/>
        <v>20914.25</v>
      </c>
    </row>
    <row r="137" spans="1:23" ht="34.049999999999997" customHeight="1" x14ac:dyDescent="0.3">
      <c r="A137" s="90">
        <v>126</v>
      </c>
      <c r="B137" s="91" t="s">
        <v>303</v>
      </c>
      <c r="C137" s="91" t="s">
        <v>413</v>
      </c>
      <c r="D137" s="91" t="s">
        <v>414</v>
      </c>
      <c r="E137" s="91">
        <v>2022</v>
      </c>
      <c r="F137" s="91" t="s">
        <v>18</v>
      </c>
      <c r="G137" s="91" t="s">
        <v>486</v>
      </c>
      <c r="H137" s="91" t="s">
        <v>487</v>
      </c>
      <c r="I137" s="91" t="s">
        <v>573</v>
      </c>
      <c r="J137" s="91">
        <v>6199</v>
      </c>
      <c r="K137" s="91">
        <f>6278+4484+1346</f>
        <v>12108</v>
      </c>
      <c r="L137" s="91">
        <v>0</v>
      </c>
      <c r="M137" s="91">
        <v>0</v>
      </c>
      <c r="N137" s="91">
        <v>3148</v>
      </c>
      <c r="O137" s="91">
        <v>0</v>
      </c>
      <c r="P137" s="91">
        <v>0</v>
      </c>
      <c r="Q137" s="101">
        <f t="shared" si="2"/>
        <v>21455</v>
      </c>
      <c r="R137" s="95">
        <f t="shared" si="3"/>
        <v>18236.75</v>
      </c>
    </row>
    <row r="138" spans="1:23" ht="34.049999999999997" customHeight="1" x14ac:dyDescent="0.3">
      <c r="A138" s="90">
        <v>127</v>
      </c>
      <c r="B138" s="98" t="s">
        <v>303</v>
      </c>
      <c r="C138" s="98" t="s">
        <v>415</v>
      </c>
      <c r="D138" s="98" t="s">
        <v>416</v>
      </c>
      <c r="E138" s="98">
        <v>1993</v>
      </c>
      <c r="F138" s="98" t="s">
        <v>19</v>
      </c>
      <c r="G138" s="98" t="s">
        <v>487</v>
      </c>
      <c r="H138" s="98" t="s">
        <v>487</v>
      </c>
      <c r="I138" s="98" t="s">
        <v>573</v>
      </c>
      <c r="J138" s="98">
        <v>6199</v>
      </c>
      <c r="K138" s="98">
        <v>0</v>
      </c>
      <c r="L138" s="98">
        <v>18406</v>
      </c>
      <c r="M138" s="98">
        <v>0</v>
      </c>
      <c r="N138" s="98">
        <v>0</v>
      </c>
      <c r="O138" s="98">
        <v>0</v>
      </c>
      <c r="P138" s="98">
        <v>0</v>
      </c>
      <c r="Q138" s="101">
        <f t="shared" si="2"/>
        <v>24605</v>
      </c>
      <c r="R138" s="95">
        <f t="shared" si="3"/>
        <v>20914.25</v>
      </c>
      <c r="S138" s="41"/>
      <c r="T138" s="41"/>
      <c r="U138" s="41"/>
      <c r="V138" s="41"/>
      <c r="W138" s="41"/>
    </row>
    <row r="139" spans="1:23" ht="34.049999999999997" customHeight="1" x14ac:dyDescent="0.3">
      <c r="A139" s="96">
        <v>128</v>
      </c>
      <c r="B139" s="91" t="s">
        <v>303</v>
      </c>
      <c r="C139" s="91" t="s">
        <v>417</v>
      </c>
      <c r="D139" s="91" t="s">
        <v>418</v>
      </c>
      <c r="E139" s="91">
        <v>1979</v>
      </c>
      <c r="F139" s="91" t="s">
        <v>19</v>
      </c>
      <c r="G139" s="91" t="s">
        <v>488</v>
      </c>
      <c r="H139" s="91" t="s">
        <v>488</v>
      </c>
      <c r="I139" s="91" t="s">
        <v>7473</v>
      </c>
      <c r="J139" s="91">
        <v>6199</v>
      </c>
      <c r="K139" s="91">
        <v>0</v>
      </c>
      <c r="L139" s="91">
        <v>0</v>
      </c>
      <c r="M139" s="91">
        <v>0</v>
      </c>
      <c r="N139" s="91">
        <v>0</v>
      </c>
      <c r="O139" s="91">
        <v>0</v>
      </c>
      <c r="P139" s="91">
        <v>0</v>
      </c>
      <c r="Q139" s="101">
        <f t="shared" si="2"/>
        <v>6199</v>
      </c>
      <c r="R139" s="95">
        <f t="shared" si="3"/>
        <v>5269.15</v>
      </c>
    </row>
    <row r="140" spans="1:23" ht="34.049999999999997" customHeight="1" x14ac:dyDescent="0.3">
      <c r="A140" s="90">
        <v>129</v>
      </c>
      <c r="B140" s="91" t="s">
        <v>303</v>
      </c>
      <c r="C140" s="91" t="s">
        <v>419</v>
      </c>
      <c r="D140" s="91" t="s">
        <v>420</v>
      </c>
      <c r="E140" s="91">
        <v>2012</v>
      </c>
      <c r="F140" s="91" t="s">
        <v>18</v>
      </c>
      <c r="G140" s="91" t="s">
        <v>489</v>
      </c>
      <c r="H140" s="91" t="s">
        <v>526</v>
      </c>
      <c r="I140" s="91" t="s">
        <v>7470</v>
      </c>
      <c r="J140" s="91">
        <v>6199</v>
      </c>
      <c r="K140" s="91">
        <v>0</v>
      </c>
      <c r="L140" s="91">
        <v>0</v>
      </c>
      <c r="M140" s="91">
        <v>0</v>
      </c>
      <c r="N140" s="91">
        <v>0</v>
      </c>
      <c r="O140" s="91">
        <v>0</v>
      </c>
      <c r="P140" s="91">
        <v>0</v>
      </c>
      <c r="Q140" s="101">
        <f t="shared" ref="Q140:Q203" si="4">SUM(J140:P140)</f>
        <v>6199</v>
      </c>
      <c r="R140" s="95">
        <f t="shared" si="3"/>
        <v>5269.15</v>
      </c>
    </row>
    <row r="141" spans="1:23" ht="34.049999999999997" customHeight="1" x14ac:dyDescent="0.3">
      <c r="A141" s="90">
        <v>130</v>
      </c>
      <c r="B141" s="91" t="s">
        <v>303</v>
      </c>
      <c r="C141" s="91" t="s">
        <v>421</v>
      </c>
      <c r="D141" s="91" t="s">
        <v>422</v>
      </c>
      <c r="E141" s="91">
        <v>1986</v>
      </c>
      <c r="F141" s="91" t="s">
        <v>19</v>
      </c>
      <c r="G141" s="91" t="s">
        <v>490</v>
      </c>
      <c r="H141" s="91" t="s">
        <v>527</v>
      </c>
      <c r="I141" s="91" t="s">
        <v>7474</v>
      </c>
      <c r="J141" s="91">
        <v>6199</v>
      </c>
      <c r="K141" s="91">
        <v>0</v>
      </c>
      <c r="L141" s="91">
        <v>17279</v>
      </c>
      <c r="M141" s="91">
        <v>0</v>
      </c>
      <c r="N141" s="91">
        <v>0</v>
      </c>
      <c r="O141" s="91">
        <v>0</v>
      </c>
      <c r="P141" s="91">
        <v>0</v>
      </c>
      <c r="Q141" s="101">
        <f t="shared" si="4"/>
        <v>23478</v>
      </c>
      <c r="R141" s="95">
        <f t="shared" ref="R141:R204" si="5">Q141*85/100</f>
        <v>19956.3</v>
      </c>
    </row>
    <row r="142" spans="1:23" ht="34.049999999999997" customHeight="1" x14ac:dyDescent="0.3">
      <c r="A142" s="96">
        <v>131</v>
      </c>
      <c r="B142" s="91" t="s">
        <v>303</v>
      </c>
      <c r="C142" s="91" t="s">
        <v>423</v>
      </c>
      <c r="D142" s="91" t="s">
        <v>424</v>
      </c>
      <c r="E142" s="91">
        <v>2020</v>
      </c>
      <c r="F142" s="91" t="s">
        <v>19</v>
      </c>
      <c r="G142" s="91" t="s">
        <v>491</v>
      </c>
      <c r="H142" s="91" t="s">
        <v>528</v>
      </c>
      <c r="I142" s="91" t="s">
        <v>576</v>
      </c>
      <c r="J142" s="91">
        <v>6199</v>
      </c>
      <c r="K142" s="91">
        <f>6278+4484+1346+4484+2332+2332+2332+2332</f>
        <v>25920</v>
      </c>
      <c r="L142" s="91">
        <v>0</v>
      </c>
      <c r="M142" s="91">
        <v>0</v>
      </c>
      <c r="N142" s="91">
        <v>3148</v>
      </c>
      <c r="O142" s="91">
        <v>0</v>
      </c>
      <c r="P142" s="91">
        <v>0</v>
      </c>
      <c r="Q142" s="101">
        <f t="shared" si="4"/>
        <v>35267</v>
      </c>
      <c r="R142" s="95">
        <f t="shared" si="5"/>
        <v>29976.95</v>
      </c>
    </row>
    <row r="143" spans="1:23" ht="34.049999999999997" customHeight="1" x14ac:dyDescent="0.3">
      <c r="A143" s="90">
        <v>132</v>
      </c>
      <c r="B143" s="91" t="s">
        <v>303</v>
      </c>
      <c r="C143" s="91" t="s">
        <v>425</v>
      </c>
      <c r="D143" s="91" t="s">
        <v>426</v>
      </c>
      <c r="E143" s="91">
        <v>2024</v>
      </c>
      <c r="F143" s="91" t="s">
        <v>18</v>
      </c>
      <c r="G143" s="91" t="s">
        <v>492</v>
      </c>
      <c r="H143" s="91" t="s">
        <v>529</v>
      </c>
      <c r="I143" s="91" t="s">
        <v>577</v>
      </c>
      <c r="J143" s="91">
        <v>6199</v>
      </c>
      <c r="K143" s="91">
        <v>0</v>
      </c>
      <c r="L143" s="91">
        <v>0</v>
      </c>
      <c r="M143" s="91">
        <v>0</v>
      </c>
      <c r="N143" s="91">
        <v>0</v>
      </c>
      <c r="O143" s="91">
        <v>0</v>
      </c>
      <c r="P143" s="91">
        <v>0</v>
      </c>
      <c r="Q143" s="101">
        <f t="shared" si="4"/>
        <v>6199</v>
      </c>
      <c r="R143" s="95">
        <f t="shared" si="5"/>
        <v>5269.15</v>
      </c>
    </row>
    <row r="144" spans="1:23" ht="34.049999999999997" customHeight="1" x14ac:dyDescent="0.3">
      <c r="A144" s="90">
        <v>133</v>
      </c>
      <c r="B144" s="91" t="s">
        <v>303</v>
      </c>
      <c r="C144" s="91" t="s">
        <v>427</v>
      </c>
      <c r="D144" s="91" t="s">
        <v>428</v>
      </c>
      <c r="E144" s="91">
        <v>2022</v>
      </c>
      <c r="F144" s="91" t="s">
        <v>19</v>
      </c>
      <c r="G144" s="91" t="s">
        <v>493</v>
      </c>
      <c r="H144" s="91" t="s">
        <v>530</v>
      </c>
      <c r="I144" s="91" t="s">
        <v>578</v>
      </c>
      <c r="J144" s="91">
        <v>6199</v>
      </c>
      <c r="K144" s="91">
        <v>0</v>
      </c>
      <c r="L144" s="91">
        <v>0</v>
      </c>
      <c r="M144" s="91">
        <v>0</v>
      </c>
      <c r="N144" s="91">
        <v>0</v>
      </c>
      <c r="O144" s="91">
        <v>0</v>
      </c>
      <c r="P144" s="91">
        <v>0</v>
      </c>
      <c r="Q144" s="101">
        <f t="shared" si="4"/>
        <v>6199</v>
      </c>
      <c r="R144" s="95">
        <f t="shared" si="5"/>
        <v>5269.15</v>
      </c>
    </row>
    <row r="145" spans="1:23" ht="34.049999999999997" customHeight="1" x14ac:dyDescent="0.3">
      <c r="A145" s="96">
        <v>134</v>
      </c>
      <c r="B145" s="91" t="s">
        <v>303</v>
      </c>
      <c r="C145" s="91" t="s">
        <v>7350</v>
      </c>
      <c r="D145" s="91" t="s">
        <v>430</v>
      </c>
      <c r="E145" s="91">
        <v>2018</v>
      </c>
      <c r="F145" s="91" t="s">
        <v>19</v>
      </c>
      <c r="G145" s="91" t="s">
        <v>495</v>
      </c>
      <c r="H145" s="91" t="s">
        <v>532</v>
      </c>
      <c r="I145" s="91" t="s">
        <v>579</v>
      </c>
      <c r="J145" s="91">
        <v>6199</v>
      </c>
      <c r="K145" s="91">
        <v>1166</v>
      </c>
      <c r="L145" s="91">
        <v>0</v>
      </c>
      <c r="M145" s="91">
        <v>0</v>
      </c>
      <c r="N145" s="91">
        <v>0</v>
      </c>
      <c r="O145" s="91">
        <v>0</v>
      </c>
      <c r="P145" s="91">
        <v>0</v>
      </c>
      <c r="Q145" s="101">
        <f t="shared" si="4"/>
        <v>7365</v>
      </c>
      <c r="R145" s="95">
        <f t="shared" si="5"/>
        <v>6260.25</v>
      </c>
    </row>
    <row r="146" spans="1:23" ht="34.049999999999997" customHeight="1" x14ac:dyDescent="0.3">
      <c r="A146" s="90">
        <v>135</v>
      </c>
      <c r="B146" s="91" t="s">
        <v>303</v>
      </c>
      <c r="C146" s="91" t="s">
        <v>7351</v>
      </c>
      <c r="D146" s="91" t="s">
        <v>431</v>
      </c>
      <c r="E146" s="91">
        <v>1991</v>
      </c>
      <c r="F146" s="91" t="s">
        <v>19</v>
      </c>
      <c r="G146" s="91" t="s">
        <v>496</v>
      </c>
      <c r="H146" s="91" t="s">
        <v>496</v>
      </c>
      <c r="I146" s="91" t="s">
        <v>580</v>
      </c>
      <c r="J146" s="91">
        <v>6199</v>
      </c>
      <c r="K146" s="91">
        <v>0</v>
      </c>
      <c r="L146" s="91">
        <v>0</v>
      </c>
      <c r="M146" s="91">
        <v>0</v>
      </c>
      <c r="N146" s="91">
        <v>0</v>
      </c>
      <c r="O146" s="91">
        <v>0</v>
      </c>
      <c r="P146" s="91">
        <v>0</v>
      </c>
      <c r="Q146" s="101">
        <f t="shared" si="4"/>
        <v>6199</v>
      </c>
      <c r="R146" s="95">
        <f t="shared" si="5"/>
        <v>5269.15</v>
      </c>
    </row>
    <row r="147" spans="1:23" ht="34.049999999999997" customHeight="1" x14ac:dyDescent="0.3">
      <c r="A147" s="90">
        <v>136</v>
      </c>
      <c r="B147" s="91" t="s">
        <v>303</v>
      </c>
      <c r="C147" s="91" t="s">
        <v>7352</v>
      </c>
      <c r="D147" s="91" t="s">
        <v>432</v>
      </c>
      <c r="E147" s="91">
        <v>1995</v>
      </c>
      <c r="F147" s="91" t="s">
        <v>18</v>
      </c>
      <c r="G147" s="91" t="s">
        <v>497</v>
      </c>
      <c r="H147" s="91" t="s">
        <v>497</v>
      </c>
      <c r="I147" s="91" t="s">
        <v>581</v>
      </c>
      <c r="J147" s="91">
        <v>6199</v>
      </c>
      <c r="K147" s="91">
        <v>0</v>
      </c>
      <c r="L147" s="91">
        <v>0</v>
      </c>
      <c r="M147" s="91">
        <v>0</v>
      </c>
      <c r="N147" s="91">
        <v>0</v>
      </c>
      <c r="O147" s="91">
        <v>0</v>
      </c>
      <c r="P147" s="91">
        <v>0</v>
      </c>
      <c r="Q147" s="101">
        <f t="shared" si="4"/>
        <v>6199</v>
      </c>
      <c r="R147" s="95">
        <f t="shared" si="5"/>
        <v>5269.15</v>
      </c>
    </row>
    <row r="148" spans="1:23" ht="34.049999999999997" customHeight="1" x14ac:dyDescent="0.3">
      <c r="A148" s="96">
        <v>137</v>
      </c>
      <c r="B148" s="98" t="s">
        <v>303</v>
      </c>
      <c r="C148" s="98" t="s">
        <v>7353</v>
      </c>
      <c r="D148" s="98" t="s">
        <v>433</v>
      </c>
      <c r="E148" s="98">
        <v>2021</v>
      </c>
      <c r="F148" s="98" t="s">
        <v>19</v>
      </c>
      <c r="G148" s="98" t="s">
        <v>498</v>
      </c>
      <c r="H148" s="98" t="s">
        <v>533</v>
      </c>
      <c r="I148" s="98" t="s">
        <v>27</v>
      </c>
      <c r="J148" s="98">
        <v>6199</v>
      </c>
      <c r="K148" s="98">
        <f>6278+4484+1346</f>
        <v>12108</v>
      </c>
      <c r="L148" s="98">
        <v>0</v>
      </c>
      <c r="M148" s="98">
        <v>0</v>
      </c>
      <c r="N148" s="98">
        <v>3148</v>
      </c>
      <c r="O148" s="98">
        <v>0</v>
      </c>
      <c r="P148" s="98">
        <v>0</v>
      </c>
      <c r="Q148" s="101">
        <f t="shared" si="4"/>
        <v>21455</v>
      </c>
      <c r="R148" s="95">
        <f t="shared" si="5"/>
        <v>18236.75</v>
      </c>
      <c r="S148" s="41"/>
      <c r="T148" s="41"/>
      <c r="U148" s="41"/>
      <c r="V148" s="41"/>
      <c r="W148" s="41"/>
    </row>
    <row r="149" spans="1:23" ht="34.049999999999997" customHeight="1" x14ac:dyDescent="0.3">
      <c r="A149" s="90">
        <v>138</v>
      </c>
      <c r="B149" s="98" t="s">
        <v>303</v>
      </c>
      <c r="C149" s="98" t="s">
        <v>2640</v>
      </c>
      <c r="D149" s="99" t="s">
        <v>94</v>
      </c>
      <c r="E149" s="98">
        <v>2021</v>
      </c>
      <c r="F149" s="98" t="s">
        <v>18</v>
      </c>
      <c r="G149" s="98" t="s">
        <v>176</v>
      </c>
      <c r="H149" s="98" t="s">
        <v>227</v>
      </c>
      <c r="I149" s="98" t="s">
        <v>570</v>
      </c>
      <c r="J149" s="98">
        <v>2900</v>
      </c>
      <c r="K149" s="98">
        <v>0</v>
      </c>
      <c r="L149" s="98">
        <v>0</v>
      </c>
      <c r="M149" s="98">
        <v>17688</v>
      </c>
      <c r="N149" s="98">
        <v>2088</v>
      </c>
      <c r="O149" s="98">
        <v>0</v>
      </c>
      <c r="P149" s="98">
        <f>1080+168+60</f>
        <v>1308</v>
      </c>
      <c r="Q149" s="101">
        <f t="shared" si="4"/>
        <v>23984</v>
      </c>
      <c r="R149" s="95">
        <f t="shared" si="5"/>
        <v>20386.400000000001</v>
      </c>
      <c r="S149" s="41"/>
      <c r="T149" s="41"/>
      <c r="U149" s="41"/>
      <c r="V149" s="41"/>
      <c r="W149" s="41"/>
    </row>
    <row r="150" spans="1:23" ht="34.049999999999997" customHeight="1" x14ac:dyDescent="0.3">
      <c r="A150" s="90">
        <v>139</v>
      </c>
      <c r="B150" s="98" t="s">
        <v>303</v>
      </c>
      <c r="C150" s="98" t="s">
        <v>7354</v>
      </c>
      <c r="D150" s="99" t="s">
        <v>57</v>
      </c>
      <c r="E150" s="98">
        <v>2023</v>
      </c>
      <c r="F150" s="98" t="s">
        <v>19</v>
      </c>
      <c r="G150" s="98" t="s">
        <v>157</v>
      </c>
      <c r="H150" s="98" t="s">
        <v>216</v>
      </c>
      <c r="I150" s="98" t="s">
        <v>7467</v>
      </c>
      <c r="J150" s="98">
        <v>2900</v>
      </c>
      <c r="K150" s="98">
        <v>0</v>
      </c>
      <c r="L150" s="98">
        <v>0</v>
      </c>
      <c r="M150" s="98">
        <v>17688</v>
      </c>
      <c r="N150" s="98">
        <f>2356+2088</f>
        <v>4444</v>
      </c>
      <c r="O150" s="98">
        <v>0</v>
      </c>
      <c r="P150" s="98">
        <f>1080+168+1188</f>
        <v>2436</v>
      </c>
      <c r="Q150" s="101">
        <f t="shared" si="4"/>
        <v>27468</v>
      </c>
      <c r="R150" s="95">
        <f t="shared" si="5"/>
        <v>23347.8</v>
      </c>
      <c r="S150" s="41"/>
      <c r="T150" s="41"/>
      <c r="U150" s="41"/>
      <c r="V150" s="41"/>
      <c r="W150" s="41"/>
    </row>
    <row r="151" spans="1:23" ht="34.049999999999997" customHeight="1" x14ac:dyDescent="0.3">
      <c r="A151" s="96">
        <v>140</v>
      </c>
      <c r="B151" s="98" t="s">
        <v>303</v>
      </c>
      <c r="C151" s="98" t="s">
        <v>7177</v>
      </c>
      <c r="D151" s="98" t="s">
        <v>2636</v>
      </c>
      <c r="E151" s="98">
        <v>2024</v>
      </c>
      <c r="F151" s="98" t="s">
        <v>18</v>
      </c>
      <c r="G151" s="98" t="s">
        <v>2637</v>
      </c>
      <c r="H151" s="98" t="s">
        <v>2638</v>
      </c>
      <c r="I151" s="98" t="s">
        <v>2639</v>
      </c>
      <c r="J151" s="98">
        <v>2900</v>
      </c>
      <c r="K151" s="98">
        <v>0</v>
      </c>
      <c r="L151" s="98">
        <v>0</v>
      </c>
      <c r="M151" s="98">
        <v>17688</v>
      </c>
      <c r="N151" s="98">
        <f>2088+1178</f>
        <v>3266</v>
      </c>
      <c r="O151" s="98">
        <v>0</v>
      </c>
      <c r="P151" s="98">
        <f>1080+168+1200+720+374+1188+660+1080</f>
        <v>6470</v>
      </c>
      <c r="Q151" s="101">
        <f t="shared" si="4"/>
        <v>30324</v>
      </c>
      <c r="R151" s="95">
        <f t="shared" si="5"/>
        <v>25775.4</v>
      </c>
      <c r="S151" s="41"/>
      <c r="T151" s="41"/>
      <c r="U151" s="41"/>
      <c r="V151" s="41"/>
      <c r="W151" s="41"/>
    </row>
    <row r="152" spans="1:23" ht="34.049999999999997" customHeight="1" x14ac:dyDescent="0.3">
      <c r="A152" s="90">
        <v>141</v>
      </c>
      <c r="B152" s="91" t="s">
        <v>582</v>
      </c>
      <c r="C152" s="91" t="s">
        <v>583</v>
      </c>
      <c r="D152" s="91" t="s">
        <v>584</v>
      </c>
      <c r="E152" s="91">
        <v>1965</v>
      </c>
      <c r="F152" s="91" t="s">
        <v>19</v>
      </c>
      <c r="G152" s="91" t="s">
        <v>720</v>
      </c>
      <c r="H152" s="91" t="s">
        <v>787</v>
      </c>
      <c r="I152" s="91" t="s">
        <v>824</v>
      </c>
      <c r="J152" s="91">
        <v>6199</v>
      </c>
      <c r="K152" s="91">
        <f>6278+2332+13452+4484+4484+2332+2332+2332</f>
        <v>38026</v>
      </c>
      <c r="L152" s="91">
        <v>0</v>
      </c>
      <c r="M152" s="91">
        <v>0</v>
      </c>
      <c r="N152" s="91">
        <v>1793</v>
      </c>
      <c r="O152" s="91">
        <v>0</v>
      </c>
      <c r="P152" s="91">
        <v>0</v>
      </c>
      <c r="Q152" s="101">
        <f t="shared" si="4"/>
        <v>46018</v>
      </c>
      <c r="R152" s="95">
        <f t="shared" si="5"/>
        <v>39115.300000000003</v>
      </c>
    </row>
    <row r="153" spans="1:23" ht="34.049999999999997" customHeight="1" x14ac:dyDescent="0.3">
      <c r="A153" s="90">
        <v>142</v>
      </c>
      <c r="B153" s="91" t="s">
        <v>582</v>
      </c>
      <c r="C153" s="91" t="s">
        <v>585</v>
      </c>
      <c r="D153" s="91" t="s">
        <v>586</v>
      </c>
      <c r="E153" s="91">
        <v>1967</v>
      </c>
      <c r="F153" s="91" t="s">
        <v>18</v>
      </c>
      <c r="G153" s="91" t="s">
        <v>721</v>
      </c>
      <c r="H153" s="91" t="s">
        <v>788</v>
      </c>
      <c r="I153" s="91" t="s">
        <v>825</v>
      </c>
      <c r="J153" s="91">
        <v>6199</v>
      </c>
      <c r="K153" s="91">
        <f>6278+4484+2332+2332+2332+2332+2332+4484+1166+2801+1346</f>
        <v>32219</v>
      </c>
      <c r="L153" s="91">
        <v>0</v>
      </c>
      <c r="M153" s="91">
        <v>0</v>
      </c>
      <c r="N153" s="91">
        <f>1793+1681</f>
        <v>3474</v>
      </c>
      <c r="O153" s="91">
        <v>0</v>
      </c>
      <c r="P153" s="91">
        <f>1440+660+720+144+120</f>
        <v>3084</v>
      </c>
      <c r="Q153" s="101">
        <f t="shared" si="4"/>
        <v>44976</v>
      </c>
      <c r="R153" s="95">
        <f t="shared" si="5"/>
        <v>38229.599999999999</v>
      </c>
    </row>
    <row r="154" spans="1:23" ht="34.049999999999997" customHeight="1" x14ac:dyDescent="0.3">
      <c r="A154" s="96">
        <v>143</v>
      </c>
      <c r="B154" s="91" t="s">
        <v>582</v>
      </c>
      <c r="C154" s="91" t="s">
        <v>587</v>
      </c>
      <c r="D154" s="91" t="s">
        <v>588</v>
      </c>
      <c r="E154" s="91">
        <v>1995</v>
      </c>
      <c r="F154" s="91" t="s">
        <v>19</v>
      </c>
      <c r="G154" s="91" t="s">
        <v>722</v>
      </c>
      <c r="H154" s="91" t="s">
        <v>722</v>
      </c>
      <c r="I154" s="91" t="s">
        <v>826</v>
      </c>
      <c r="J154" s="91">
        <v>6199</v>
      </c>
      <c r="K154" s="91">
        <v>0</v>
      </c>
      <c r="L154" s="91">
        <v>0</v>
      </c>
      <c r="M154" s="91">
        <v>0</v>
      </c>
      <c r="N154" s="91">
        <v>0</v>
      </c>
      <c r="O154" s="91">
        <v>0</v>
      </c>
      <c r="P154" s="91">
        <v>0</v>
      </c>
      <c r="Q154" s="101">
        <f t="shared" si="4"/>
        <v>6199</v>
      </c>
      <c r="R154" s="95">
        <f t="shared" si="5"/>
        <v>5269.15</v>
      </c>
    </row>
    <row r="155" spans="1:23" ht="34.049999999999997" customHeight="1" x14ac:dyDescent="0.3">
      <c r="A155" s="90">
        <v>144</v>
      </c>
      <c r="B155" s="91" t="s">
        <v>582</v>
      </c>
      <c r="C155" s="91" t="s">
        <v>589</v>
      </c>
      <c r="D155" s="91" t="s">
        <v>590</v>
      </c>
      <c r="E155" s="91">
        <v>2025</v>
      </c>
      <c r="F155" s="91" t="s">
        <v>18</v>
      </c>
      <c r="G155" s="91" t="s">
        <v>723</v>
      </c>
      <c r="H155" s="91" t="s">
        <v>754</v>
      </c>
      <c r="I155" s="91" t="s">
        <v>294</v>
      </c>
      <c r="J155" s="91">
        <v>6199</v>
      </c>
      <c r="K155" s="91">
        <f>6278+4484+4484+1346+2332+2332+2332+2332+2332+6995+6995+2332+6995</f>
        <v>51569</v>
      </c>
      <c r="L155" s="91">
        <v>0</v>
      </c>
      <c r="M155" s="91">
        <v>0</v>
      </c>
      <c r="N155" s="91">
        <v>3148</v>
      </c>
      <c r="O155" s="91">
        <v>0</v>
      </c>
      <c r="P155" s="91">
        <v>0</v>
      </c>
      <c r="Q155" s="101">
        <f t="shared" si="4"/>
        <v>60916</v>
      </c>
      <c r="R155" s="95">
        <f t="shared" si="5"/>
        <v>51778.6</v>
      </c>
    </row>
    <row r="156" spans="1:23" ht="34.049999999999997" customHeight="1" x14ac:dyDescent="0.3">
      <c r="A156" s="90">
        <v>145</v>
      </c>
      <c r="B156" s="91" t="s">
        <v>582</v>
      </c>
      <c r="C156" s="91" t="s">
        <v>591</v>
      </c>
      <c r="D156" s="91" t="s">
        <v>592</v>
      </c>
      <c r="E156" s="91">
        <v>2019</v>
      </c>
      <c r="F156" s="91" t="s">
        <v>19</v>
      </c>
      <c r="G156" s="91" t="s">
        <v>724</v>
      </c>
      <c r="H156" s="91" t="s">
        <v>789</v>
      </c>
      <c r="I156" s="91" t="s">
        <v>827</v>
      </c>
      <c r="J156" s="91">
        <v>6199</v>
      </c>
      <c r="K156" s="91">
        <v>0</v>
      </c>
      <c r="L156" s="91">
        <v>0</v>
      </c>
      <c r="M156" s="91">
        <v>0</v>
      </c>
      <c r="N156" s="91">
        <v>0</v>
      </c>
      <c r="O156" s="91">
        <v>0</v>
      </c>
      <c r="P156" s="91">
        <v>0</v>
      </c>
      <c r="Q156" s="101">
        <f t="shared" si="4"/>
        <v>6199</v>
      </c>
      <c r="R156" s="95">
        <f t="shared" si="5"/>
        <v>5269.15</v>
      </c>
    </row>
    <row r="157" spans="1:23" ht="34.049999999999997" customHeight="1" x14ac:dyDescent="0.3">
      <c r="A157" s="96">
        <v>146</v>
      </c>
      <c r="B157" s="91" t="s">
        <v>582</v>
      </c>
      <c r="C157" s="91" t="s">
        <v>593</v>
      </c>
      <c r="D157" s="91" t="s">
        <v>594</v>
      </c>
      <c r="E157" s="91">
        <v>1996</v>
      </c>
      <c r="F157" s="91" t="s">
        <v>19</v>
      </c>
      <c r="G157" s="91" t="s">
        <v>725</v>
      </c>
      <c r="H157" s="91" t="s">
        <v>725</v>
      </c>
      <c r="I157" s="91" t="s">
        <v>828</v>
      </c>
      <c r="J157" s="91">
        <v>6199</v>
      </c>
      <c r="K157" s="91">
        <f>2332+2332+2243</f>
        <v>6907</v>
      </c>
      <c r="L157" s="91">
        <v>0</v>
      </c>
      <c r="M157" s="91">
        <v>0</v>
      </c>
      <c r="N157" s="91">
        <v>0</v>
      </c>
      <c r="O157" s="91">
        <v>0</v>
      </c>
      <c r="P157" s="91">
        <v>0</v>
      </c>
      <c r="Q157" s="101">
        <f t="shared" si="4"/>
        <v>13106</v>
      </c>
      <c r="R157" s="95">
        <f t="shared" si="5"/>
        <v>11140.1</v>
      </c>
    </row>
    <row r="158" spans="1:23" ht="34.049999999999997" customHeight="1" x14ac:dyDescent="0.3">
      <c r="A158" s="90">
        <v>147</v>
      </c>
      <c r="B158" s="91" t="s">
        <v>582</v>
      </c>
      <c r="C158" s="91" t="s">
        <v>595</v>
      </c>
      <c r="D158" s="91" t="s">
        <v>596</v>
      </c>
      <c r="E158" s="91">
        <v>2022</v>
      </c>
      <c r="F158" s="91" t="s">
        <v>18</v>
      </c>
      <c r="G158" s="91" t="s">
        <v>726</v>
      </c>
      <c r="H158" s="91" t="s">
        <v>725</v>
      </c>
      <c r="I158" s="91" t="s">
        <v>828</v>
      </c>
      <c r="J158" s="91">
        <v>6199</v>
      </c>
      <c r="K158" s="91">
        <f>1346+6278+4484+4484+2332+2332+2332+2332+2332+2332+6995+6995+2332+6995</f>
        <v>53901</v>
      </c>
      <c r="L158" s="91">
        <v>0</v>
      </c>
      <c r="M158" s="91">
        <v>0</v>
      </c>
      <c r="N158" s="91">
        <v>3148</v>
      </c>
      <c r="O158" s="91">
        <v>0</v>
      </c>
      <c r="P158" s="91">
        <v>0</v>
      </c>
      <c r="Q158" s="101">
        <f t="shared" si="4"/>
        <v>63248</v>
      </c>
      <c r="R158" s="95">
        <f t="shared" si="5"/>
        <v>53760.800000000003</v>
      </c>
    </row>
    <row r="159" spans="1:23" ht="34.049999999999997" customHeight="1" x14ac:dyDescent="0.3">
      <c r="A159" s="90">
        <v>148</v>
      </c>
      <c r="B159" s="91" t="s">
        <v>582</v>
      </c>
      <c r="C159" s="91" t="s">
        <v>597</v>
      </c>
      <c r="D159" s="91" t="s">
        <v>598</v>
      </c>
      <c r="E159" s="91">
        <v>2022</v>
      </c>
      <c r="F159" s="91" t="s">
        <v>18</v>
      </c>
      <c r="G159" s="91" t="s">
        <v>727</v>
      </c>
      <c r="H159" s="91" t="s">
        <v>790</v>
      </c>
      <c r="I159" s="91" t="s">
        <v>296</v>
      </c>
      <c r="J159" s="91">
        <v>6199</v>
      </c>
      <c r="K159" s="91">
        <f>2332+2332</f>
        <v>4664</v>
      </c>
      <c r="L159" s="91">
        <v>0</v>
      </c>
      <c r="M159" s="91">
        <v>0</v>
      </c>
      <c r="N159" s="91">
        <v>0</v>
      </c>
      <c r="O159" s="91">
        <v>0</v>
      </c>
      <c r="P159" s="91">
        <v>0</v>
      </c>
      <c r="Q159" s="101">
        <f t="shared" si="4"/>
        <v>10863</v>
      </c>
      <c r="R159" s="95">
        <f t="shared" si="5"/>
        <v>9233.5499999999993</v>
      </c>
    </row>
    <row r="160" spans="1:23" ht="34.049999999999997" customHeight="1" x14ac:dyDescent="0.3">
      <c r="A160" s="96">
        <v>149</v>
      </c>
      <c r="B160" s="91" t="s">
        <v>582</v>
      </c>
      <c r="C160" s="91" t="s">
        <v>599</v>
      </c>
      <c r="D160" s="91" t="s">
        <v>600</v>
      </c>
      <c r="E160" s="91">
        <v>2015</v>
      </c>
      <c r="F160" s="91" t="s">
        <v>19</v>
      </c>
      <c r="G160" s="91" t="s">
        <v>728</v>
      </c>
      <c r="H160" s="91" t="s">
        <v>791</v>
      </c>
      <c r="I160" s="91" t="s">
        <v>829</v>
      </c>
      <c r="J160" s="91">
        <v>6199</v>
      </c>
      <c r="K160" s="91">
        <v>0</v>
      </c>
      <c r="L160" s="91">
        <v>0</v>
      </c>
      <c r="M160" s="91">
        <v>0</v>
      </c>
      <c r="N160" s="91">
        <v>0</v>
      </c>
      <c r="O160" s="91">
        <v>0</v>
      </c>
      <c r="P160" s="91">
        <v>0</v>
      </c>
      <c r="Q160" s="101">
        <f t="shared" si="4"/>
        <v>6199</v>
      </c>
      <c r="R160" s="95">
        <f t="shared" si="5"/>
        <v>5269.15</v>
      </c>
    </row>
    <row r="161" spans="1:18" ht="34.049999999999997" customHeight="1" x14ac:dyDescent="0.3">
      <c r="A161" s="90">
        <v>150</v>
      </c>
      <c r="B161" s="91" t="s">
        <v>582</v>
      </c>
      <c r="C161" s="91" t="s">
        <v>601</v>
      </c>
      <c r="D161" s="91" t="s">
        <v>602</v>
      </c>
      <c r="E161" s="91">
        <v>2003</v>
      </c>
      <c r="F161" s="91" t="s">
        <v>19</v>
      </c>
      <c r="G161" s="91" t="s">
        <v>729</v>
      </c>
      <c r="H161" s="91" t="s">
        <v>729</v>
      </c>
      <c r="I161" s="91" t="s">
        <v>830</v>
      </c>
      <c r="J161" s="91">
        <v>6199</v>
      </c>
      <c r="K161" s="91">
        <f>1346+6278+4484+2332+2332+2332+2332+2332+3587+6995+2332+2332+2332+3000+3000+3228</f>
        <v>50574</v>
      </c>
      <c r="L161" s="91">
        <v>13298</v>
      </c>
      <c r="M161" s="91">
        <v>0</v>
      </c>
      <c r="N161" s="91">
        <v>1793</v>
      </c>
      <c r="O161" s="91">
        <v>0</v>
      </c>
      <c r="P161" s="91">
        <v>0</v>
      </c>
      <c r="Q161" s="101">
        <f t="shared" si="4"/>
        <v>71864</v>
      </c>
      <c r="R161" s="95">
        <f t="shared" si="5"/>
        <v>61084.4</v>
      </c>
    </row>
    <row r="162" spans="1:18" ht="34.049999999999997" customHeight="1" x14ac:dyDescent="0.3">
      <c r="A162" s="90">
        <v>151</v>
      </c>
      <c r="B162" s="91" t="s">
        <v>582</v>
      </c>
      <c r="C162" s="91" t="s">
        <v>603</v>
      </c>
      <c r="D162" s="91" t="s">
        <v>604</v>
      </c>
      <c r="E162" s="91">
        <v>1994</v>
      </c>
      <c r="F162" s="91" t="s">
        <v>19</v>
      </c>
      <c r="G162" s="91" t="s">
        <v>730</v>
      </c>
      <c r="H162" s="91" t="s">
        <v>792</v>
      </c>
      <c r="I162" s="91" t="s">
        <v>300</v>
      </c>
      <c r="J162" s="91">
        <v>6199</v>
      </c>
      <c r="K162" s="91">
        <f>2332+2332+3587+6278+4484</f>
        <v>19013</v>
      </c>
      <c r="L162" s="91">
        <v>0</v>
      </c>
      <c r="M162" s="91">
        <v>0</v>
      </c>
      <c r="N162" s="91">
        <v>1793</v>
      </c>
      <c r="O162" s="91">
        <v>0</v>
      </c>
      <c r="P162" s="91">
        <v>0</v>
      </c>
      <c r="Q162" s="101">
        <f t="shared" si="4"/>
        <v>27005</v>
      </c>
      <c r="R162" s="95">
        <f t="shared" si="5"/>
        <v>22954.25</v>
      </c>
    </row>
    <row r="163" spans="1:18" ht="34.049999999999997" customHeight="1" x14ac:dyDescent="0.3">
      <c r="A163" s="96">
        <v>152</v>
      </c>
      <c r="B163" s="91" t="s">
        <v>582</v>
      </c>
      <c r="C163" s="91" t="s">
        <v>605</v>
      </c>
      <c r="D163" s="91" t="s">
        <v>606</v>
      </c>
      <c r="E163" s="91">
        <v>1985</v>
      </c>
      <c r="F163" s="91" t="s">
        <v>18</v>
      </c>
      <c r="G163" s="91" t="s">
        <v>731</v>
      </c>
      <c r="H163" s="91" t="s">
        <v>731</v>
      </c>
      <c r="I163" s="91" t="s">
        <v>831</v>
      </c>
      <c r="J163" s="91">
        <v>6199</v>
      </c>
      <c r="K163" s="91">
        <v>0</v>
      </c>
      <c r="L163" s="91">
        <v>20807</v>
      </c>
      <c r="M163" s="91">
        <v>0</v>
      </c>
      <c r="N163" s="91">
        <v>0</v>
      </c>
      <c r="O163" s="91">
        <v>0</v>
      </c>
      <c r="P163" s="91">
        <v>0</v>
      </c>
      <c r="Q163" s="101">
        <f t="shared" si="4"/>
        <v>27006</v>
      </c>
      <c r="R163" s="95">
        <f t="shared" si="5"/>
        <v>22955.1</v>
      </c>
    </row>
    <row r="164" spans="1:18" ht="34.049999999999997" customHeight="1" x14ac:dyDescent="0.3">
      <c r="A164" s="90">
        <v>153</v>
      </c>
      <c r="B164" s="91" t="s">
        <v>582</v>
      </c>
      <c r="C164" s="91" t="s">
        <v>607</v>
      </c>
      <c r="D164" s="91" t="s">
        <v>608</v>
      </c>
      <c r="E164" s="91">
        <v>2007</v>
      </c>
      <c r="F164" s="91" t="s">
        <v>18</v>
      </c>
      <c r="G164" s="91" t="s">
        <v>732</v>
      </c>
      <c r="H164" s="91" t="s">
        <v>793</v>
      </c>
      <c r="I164" s="91" t="s">
        <v>832</v>
      </c>
      <c r="J164" s="91">
        <v>6199</v>
      </c>
      <c r="K164" s="91">
        <v>0</v>
      </c>
      <c r="L164" s="91">
        <v>0</v>
      </c>
      <c r="M164" s="91">
        <v>0</v>
      </c>
      <c r="N164" s="91">
        <v>0</v>
      </c>
      <c r="O164" s="91">
        <v>0</v>
      </c>
      <c r="P164" s="91">
        <v>0</v>
      </c>
      <c r="Q164" s="101">
        <f t="shared" si="4"/>
        <v>6199</v>
      </c>
      <c r="R164" s="95">
        <f t="shared" si="5"/>
        <v>5269.15</v>
      </c>
    </row>
    <row r="165" spans="1:18" ht="34.049999999999997" customHeight="1" x14ac:dyDescent="0.3">
      <c r="A165" s="90">
        <v>154</v>
      </c>
      <c r="B165" s="91" t="s">
        <v>582</v>
      </c>
      <c r="C165" s="91" t="s">
        <v>609</v>
      </c>
      <c r="D165" s="91" t="s">
        <v>610</v>
      </c>
      <c r="E165" s="91">
        <v>1938</v>
      </c>
      <c r="F165" s="91" t="s">
        <v>18</v>
      </c>
      <c r="G165" s="91" t="s">
        <v>733</v>
      </c>
      <c r="H165" s="91" t="s">
        <v>733</v>
      </c>
      <c r="I165" s="91" t="s">
        <v>253</v>
      </c>
      <c r="J165" s="91">
        <v>3587</v>
      </c>
      <c r="K165" s="91">
        <v>0</v>
      </c>
      <c r="L165" s="91">
        <v>0</v>
      </c>
      <c r="M165" s="91">
        <v>0</v>
      </c>
      <c r="N165" s="91">
        <v>0</v>
      </c>
      <c r="O165" s="91">
        <v>0</v>
      </c>
      <c r="P165" s="91">
        <v>0</v>
      </c>
      <c r="Q165" s="101">
        <f t="shared" si="4"/>
        <v>3587</v>
      </c>
      <c r="R165" s="95">
        <f t="shared" si="5"/>
        <v>3048.95</v>
      </c>
    </row>
    <row r="166" spans="1:18" ht="34.049999999999997" customHeight="1" x14ac:dyDescent="0.3">
      <c r="A166" s="96">
        <v>155</v>
      </c>
      <c r="B166" s="91" t="s">
        <v>582</v>
      </c>
      <c r="C166" s="91" t="s">
        <v>611</v>
      </c>
      <c r="D166" s="91" t="s">
        <v>612</v>
      </c>
      <c r="E166" s="91">
        <v>2007</v>
      </c>
      <c r="F166" s="91" t="s">
        <v>19</v>
      </c>
      <c r="G166" s="91" t="s">
        <v>734</v>
      </c>
      <c r="H166" s="91" t="s">
        <v>794</v>
      </c>
      <c r="I166" s="91" t="s">
        <v>833</v>
      </c>
      <c r="J166" s="91">
        <v>6199</v>
      </c>
      <c r="K166" s="91">
        <f>2332+2332+6278+4484+6995+2332+2332+2332+3228+2332+2332+2332+3000+3000+1166+3500</f>
        <v>50307</v>
      </c>
      <c r="L166" s="91">
        <v>0</v>
      </c>
      <c r="M166" s="91">
        <v>0</v>
      </c>
      <c r="N166" s="91">
        <v>1793</v>
      </c>
      <c r="O166" s="91">
        <v>0</v>
      </c>
      <c r="P166" s="91">
        <v>0</v>
      </c>
      <c r="Q166" s="101">
        <f t="shared" si="4"/>
        <v>58299</v>
      </c>
      <c r="R166" s="95">
        <f t="shared" si="5"/>
        <v>49554.15</v>
      </c>
    </row>
    <row r="167" spans="1:18" ht="34.049999999999997" customHeight="1" x14ac:dyDescent="0.3">
      <c r="A167" s="90">
        <v>156</v>
      </c>
      <c r="B167" s="91" t="s">
        <v>582</v>
      </c>
      <c r="C167" s="91" t="s">
        <v>613</v>
      </c>
      <c r="D167" s="91" t="s">
        <v>614</v>
      </c>
      <c r="E167" s="91">
        <v>1953</v>
      </c>
      <c r="F167" s="91" t="s">
        <v>18</v>
      </c>
      <c r="G167" s="91" t="s">
        <v>735</v>
      </c>
      <c r="H167" s="91" t="s">
        <v>795</v>
      </c>
      <c r="I167" s="91" t="s">
        <v>575</v>
      </c>
      <c r="J167" s="91">
        <v>6199</v>
      </c>
      <c r="K167" s="91">
        <f>2332+2332+2332+4484+4484+4484+2332+2332+2332+13452+6995+6995+2332</f>
        <v>57218</v>
      </c>
      <c r="L167" s="91">
        <v>0</v>
      </c>
      <c r="M167" s="91">
        <v>0</v>
      </c>
      <c r="N167" s="91">
        <v>1793</v>
      </c>
      <c r="O167" s="91">
        <v>0</v>
      </c>
      <c r="P167" s="91">
        <v>0</v>
      </c>
      <c r="Q167" s="101">
        <f t="shared" si="4"/>
        <v>65210</v>
      </c>
      <c r="R167" s="95">
        <f t="shared" si="5"/>
        <v>55428.5</v>
      </c>
    </row>
    <row r="168" spans="1:18" ht="34.049999999999997" customHeight="1" x14ac:dyDescent="0.3">
      <c r="A168" s="90">
        <v>157</v>
      </c>
      <c r="B168" s="91" t="s">
        <v>582</v>
      </c>
      <c r="C168" s="91" t="s">
        <v>615</v>
      </c>
      <c r="D168" s="91" t="s">
        <v>616</v>
      </c>
      <c r="E168" s="91">
        <v>1974</v>
      </c>
      <c r="F168" s="91" t="s">
        <v>19</v>
      </c>
      <c r="G168" s="91" t="s">
        <v>736</v>
      </c>
      <c r="H168" s="91" t="s">
        <v>736</v>
      </c>
      <c r="I168" s="91" t="s">
        <v>573</v>
      </c>
      <c r="J168" s="91">
        <v>6199</v>
      </c>
      <c r="K168" s="91">
        <v>2332</v>
      </c>
      <c r="L168" s="91">
        <v>0</v>
      </c>
      <c r="M168" s="91">
        <v>0</v>
      </c>
      <c r="N168" s="91">
        <v>1793</v>
      </c>
      <c r="O168" s="91">
        <v>0</v>
      </c>
      <c r="P168" s="91">
        <v>0</v>
      </c>
      <c r="Q168" s="101">
        <f t="shared" si="4"/>
        <v>10324</v>
      </c>
      <c r="R168" s="95">
        <f t="shared" si="5"/>
        <v>8775.4</v>
      </c>
    </row>
    <row r="169" spans="1:18" ht="34.049999999999997" customHeight="1" x14ac:dyDescent="0.3">
      <c r="A169" s="96">
        <v>158</v>
      </c>
      <c r="B169" s="91" t="s">
        <v>582</v>
      </c>
      <c r="C169" s="91" t="s">
        <v>617</v>
      </c>
      <c r="D169" s="91" t="s">
        <v>618</v>
      </c>
      <c r="E169" s="91">
        <v>2009</v>
      </c>
      <c r="F169" s="91" t="s">
        <v>18</v>
      </c>
      <c r="G169" s="91" t="s">
        <v>737</v>
      </c>
      <c r="H169" s="91" t="s">
        <v>796</v>
      </c>
      <c r="I169" s="91" t="s">
        <v>834</v>
      </c>
      <c r="J169" s="91">
        <v>6199</v>
      </c>
      <c r="K169" s="91">
        <v>0</v>
      </c>
      <c r="L169" s="91">
        <v>20807</v>
      </c>
      <c r="M169" s="91">
        <v>0</v>
      </c>
      <c r="N169" s="91">
        <v>0</v>
      </c>
      <c r="O169" s="91">
        <v>0</v>
      </c>
      <c r="P169" s="91">
        <v>0</v>
      </c>
      <c r="Q169" s="101">
        <f t="shared" si="4"/>
        <v>27006</v>
      </c>
      <c r="R169" s="95">
        <f t="shared" si="5"/>
        <v>22955.1</v>
      </c>
    </row>
    <row r="170" spans="1:18" ht="34.049999999999997" customHeight="1" x14ac:dyDescent="0.3">
      <c r="A170" s="90">
        <v>159</v>
      </c>
      <c r="B170" s="91" t="s">
        <v>582</v>
      </c>
      <c r="C170" s="91" t="s">
        <v>619</v>
      </c>
      <c r="D170" s="91" t="s">
        <v>620</v>
      </c>
      <c r="E170" s="91">
        <v>1962</v>
      </c>
      <c r="F170" s="91" t="s">
        <v>18</v>
      </c>
      <c r="G170" s="91" t="s">
        <v>738</v>
      </c>
      <c r="H170" s="91" t="s">
        <v>738</v>
      </c>
      <c r="I170" s="91" t="s">
        <v>824</v>
      </c>
      <c r="J170" s="91">
        <v>6199</v>
      </c>
      <c r="K170" s="91">
        <v>0</v>
      </c>
      <c r="L170" s="91">
        <v>0</v>
      </c>
      <c r="M170" s="91">
        <v>0</v>
      </c>
      <c r="N170" s="91">
        <v>0</v>
      </c>
      <c r="O170" s="91">
        <v>0</v>
      </c>
      <c r="P170" s="91">
        <v>0</v>
      </c>
      <c r="Q170" s="101">
        <f t="shared" si="4"/>
        <v>6199</v>
      </c>
      <c r="R170" s="95">
        <f t="shared" si="5"/>
        <v>5269.15</v>
      </c>
    </row>
    <row r="171" spans="1:18" ht="34.049999999999997" customHeight="1" x14ac:dyDescent="0.3">
      <c r="A171" s="90">
        <v>160</v>
      </c>
      <c r="B171" s="91" t="s">
        <v>582</v>
      </c>
      <c r="C171" s="91" t="s">
        <v>621</v>
      </c>
      <c r="D171" s="91" t="s">
        <v>622</v>
      </c>
      <c r="E171" s="91">
        <v>2021</v>
      </c>
      <c r="F171" s="91" t="s">
        <v>18</v>
      </c>
      <c r="G171" s="91" t="s">
        <v>739</v>
      </c>
      <c r="H171" s="91" t="s">
        <v>797</v>
      </c>
      <c r="I171" s="91" t="s">
        <v>835</v>
      </c>
      <c r="J171" s="91">
        <v>6199</v>
      </c>
      <c r="K171" s="91">
        <f>1346+6278+4484+2332+2332+4484+2332+2332+2332+6995+6995+2332+6995+2332</f>
        <v>53901</v>
      </c>
      <c r="L171" s="91">
        <v>0</v>
      </c>
      <c r="M171" s="91">
        <v>0</v>
      </c>
      <c r="N171" s="91">
        <v>3148</v>
      </c>
      <c r="O171" s="91">
        <v>0</v>
      </c>
      <c r="P171" s="91">
        <v>0</v>
      </c>
      <c r="Q171" s="101">
        <f t="shared" si="4"/>
        <v>63248</v>
      </c>
      <c r="R171" s="95">
        <f t="shared" si="5"/>
        <v>53760.800000000003</v>
      </c>
    </row>
    <row r="172" spans="1:18" ht="34.049999999999997" customHeight="1" x14ac:dyDescent="0.3">
      <c r="A172" s="96">
        <v>161</v>
      </c>
      <c r="B172" s="91" t="s">
        <v>582</v>
      </c>
      <c r="C172" s="91" t="s">
        <v>623</v>
      </c>
      <c r="D172" s="91" t="s">
        <v>624</v>
      </c>
      <c r="E172" s="91">
        <v>1997</v>
      </c>
      <c r="F172" s="91" t="s">
        <v>19</v>
      </c>
      <c r="G172" s="91" t="s">
        <v>740</v>
      </c>
      <c r="H172" s="91" t="s">
        <v>798</v>
      </c>
      <c r="I172" s="91" t="s">
        <v>835</v>
      </c>
      <c r="J172" s="91">
        <v>6199</v>
      </c>
      <c r="K172" s="91">
        <f>1346+6278+4484+2332+2332+2332+6995+2332+2332+2332+3000+3000+1166+3500+3228+2332+2332+3587</f>
        <v>55240</v>
      </c>
      <c r="L172" s="91">
        <v>0</v>
      </c>
      <c r="M172" s="91">
        <v>0</v>
      </c>
      <c r="N172" s="91">
        <v>1793</v>
      </c>
      <c r="O172" s="91">
        <v>0</v>
      </c>
      <c r="P172" s="91">
        <v>0</v>
      </c>
      <c r="Q172" s="101">
        <f t="shared" si="4"/>
        <v>63232</v>
      </c>
      <c r="R172" s="95">
        <f t="shared" si="5"/>
        <v>53747.199999999997</v>
      </c>
    </row>
    <row r="173" spans="1:18" ht="34.049999999999997" customHeight="1" x14ac:dyDescent="0.3">
      <c r="A173" s="90">
        <v>162</v>
      </c>
      <c r="B173" s="91" t="s">
        <v>582</v>
      </c>
      <c r="C173" s="91" t="s">
        <v>625</v>
      </c>
      <c r="D173" s="91" t="s">
        <v>626</v>
      </c>
      <c r="E173" s="91">
        <v>2023</v>
      </c>
      <c r="F173" s="91" t="s">
        <v>18</v>
      </c>
      <c r="G173" s="91" t="s">
        <v>741</v>
      </c>
      <c r="H173" s="91" t="s">
        <v>799</v>
      </c>
      <c r="I173" s="91" t="s">
        <v>29</v>
      </c>
      <c r="J173" s="91">
        <v>6199</v>
      </c>
      <c r="K173" s="91">
        <f>6278+4484+4484+2332+1346+2332+2332+2332+2332+6995+6995+2332+6995+1166+2332</f>
        <v>55067</v>
      </c>
      <c r="L173" s="91">
        <v>0</v>
      </c>
      <c r="M173" s="91">
        <v>0</v>
      </c>
      <c r="N173" s="91">
        <v>3148</v>
      </c>
      <c r="O173" s="91">
        <v>0</v>
      </c>
      <c r="P173" s="91">
        <v>0</v>
      </c>
      <c r="Q173" s="101">
        <f t="shared" si="4"/>
        <v>64414</v>
      </c>
      <c r="R173" s="95">
        <f t="shared" si="5"/>
        <v>54751.9</v>
      </c>
    </row>
    <row r="174" spans="1:18" ht="34.049999999999997" customHeight="1" x14ac:dyDescent="0.3">
      <c r="A174" s="90">
        <v>163</v>
      </c>
      <c r="B174" s="91" t="s">
        <v>582</v>
      </c>
      <c r="C174" s="91" t="s">
        <v>627</v>
      </c>
      <c r="D174" s="91" t="s">
        <v>628</v>
      </c>
      <c r="E174" s="91">
        <v>2025</v>
      </c>
      <c r="F174" s="91" t="s">
        <v>19</v>
      </c>
      <c r="G174" s="91" t="s">
        <v>742</v>
      </c>
      <c r="H174" s="91" t="s">
        <v>800</v>
      </c>
      <c r="I174" s="91" t="s">
        <v>288</v>
      </c>
      <c r="J174" s="91">
        <v>6199</v>
      </c>
      <c r="K174" s="91">
        <f>6278+4484+1346</f>
        <v>12108</v>
      </c>
      <c r="L174" s="91">
        <v>0</v>
      </c>
      <c r="M174" s="91">
        <v>0</v>
      </c>
      <c r="N174" s="91">
        <v>1793</v>
      </c>
      <c r="O174" s="91">
        <v>0</v>
      </c>
      <c r="P174" s="91">
        <v>0</v>
      </c>
      <c r="Q174" s="101">
        <f t="shared" si="4"/>
        <v>20100</v>
      </c>
      <c r="R174" s="95">
        <f t="shared" si="5"/>
        <v>17085</v>
      </c>
    </row>
    <row r="175" spans="1:18" ht="34.049999999999997" customHeight="1" x14ac:dyDescent="0.3">
      <c r="A175" s="96">
        <v>164</v>
      </c>
      <c r="B175" s="91" t="s">
        <v>582</v>
      </c>
      <c r="C175" s="91" t="s">
        <v>629</v>
      </c>
      <c r="D175" s="91" t="s">
        <v>630</v>
      </c>
      <c r="E175" s="91">
        <v>1980</v>
      </c>
      <c r="F175" s="91" t="s">
        <v>18</v>
      </c>
      <c r="G175" s="91" t="s">
        <v>743</v>
      </c>
      <c r="H175" s="91" t="s">
        <v>743</v>
      </c>
      <c r="I175" s="91" t="s">
        <v>836</v>
      </c>
      <c r="J175" s="91">
        <v>6199</v>
      </c>
      <c r="K175" s="91">
        <v>0</v>
      </c>
      <c r="L175" s="91">
        <v>0</v>
      </c>
      <c r="M175" s="91">
        <v>0</v>
      </c>
      <c r="N175" s="91">
        <v>0</v>
      </c>
      <c r="O175" s="91">
        <v>0</v>
      </c>
      <c r="P175" s="91">
        <v>0</v>
      </c>
      <c r="Q175" s="101">
        <f t="shared" si="4"/>
        <v>6199</v>
      </c>
      <c r="R175" s="95">
        <f t="shared" si="5"/>
        <v>5269.15</v>
      </c>
    </row>
    <row r="176" spans="1:18" ht="34.049999999999997" customHeight="1" x14ac:dyDescent="0.3">
      <c r="A176" s="90">
        <v>165</v>
      </c>
      <c r="B176" s="91" t="s">
        <v>582</v>
      </c>
      <c r="C176" s="91" t="s">
        <v>631</v>
      </c>
      <c r="D176" s="91" t="s">
        <v>632</v>
      </c>
      <c r="E176" s="91">
        <v>2023</v>
      </c>
      <c r="F176" s="91" t="s">
        <v>18</v>
      </c>
      <c r="G176" s="91" t="s">
        <v>744</v>
      </c>
      <c r="H176" s="91" t="s">
        <v>801</v>
      </c>
      <c r="I176" s="91" t="s">
        <v>837</v>
      </c>
      <c r="J176" s="91">
        <v>6199</v>
      </c>
      <c r="K176" s="91">
        <f>1346+6278+4484+2332+2332+2332+6995+6995+2332+6995+2332+2332+2332+4484</f>
        <v>53901</v>
      </c>
      <c r="L176" s="91">
        <v>0</v>
      </c>
      <c r="M176" s="91">
        <v>0</v>
      </c>
      <c r="N176" s="91">
        <v>3148</v>
      </c>
      <c r="O176" s="91">
        <v>0</v>
      </c>
      <c r="P176" s="91">
        <v>0</v>
      </c>
      <c r="Q176" s="101">
        <f t="shared" si="4"/>
        <v>63248</v>
      </c>
      <c r="R176" s="95">
        <f t="shared" si="5"/>
        <v>53760.800000000003</v>
      </c>
    </row>
    <row r="177" spans="1:23" ht="34.049999999999997" customHeight="1" x14ac:dyDescent="0.3">
      <c r="A177" s="90">
        <v>166</v>
      </c>
      <c r="B177" s="91" t="s">
        <v>582</v>
      </c>
      <c r="C177" s="91" t="s">
        <v>633</v>
      </c>
      <c r="D177" s="91" t="s">
        <v>634</v>
      </c>
      <c r="E177" s="91">
        <v>2022</v>
      </c>
      <c r="F177" s="91" t="s">
        <v>18</v>
      </c>
      <c r="G177" s="91" t="s">
        <v>745</v>
      </c>
      <c r="H177" s="91" t="s">
        <v>802</v>
      </c>
      <c r="I177" s="91" t="s">
        <v>838</v>
      </c>
      <c r="J177" s="91">
        <v>6199</v>
      </c>
      <c r="K177" s="91">
        <f>1346+6278+4484+4484+2332+2332+2332+2332+2332+2332+6995+6995+2332+6995</f>
        <v>53901</v>
      </c>
      <c r="L177" s="91">
        <v>0</v>
      </c>
      <c r="M177" s="91">
        <v>0</v>
      </c>
      <c r="N177" s="91">
        <v>3148</v>
      </c>
      <c r="O177" s="91">
        <v>0</v>
      </c>
      <c r="P177" s="91">
        <v>0</v>
      </c>
      <c r="Q177" s="101">
        <f t="shared" si="4"/>
        <v>63248</v>
      </c>
      <c r="R177" s="95">
        <f t="shared" si="5"/>
        <v>53760.800000000003</v>
      </c>
    </row>
    <row r="178" spans="1:23" ht="34.049999999999997" customHeight="1" x14ac:dyDescent="0.3">
      <c r="A178" s="96">
        <v>167</v>
      </c>
      <c r="B178" s="91" t="s">
        <v>582</v>
      </c>
      <c r="C178" s="91" t="s">
        <v>635</v>
      </c>
      <c r="D178" s="91" t="s">
        <v>636</v>
      </c>
      <c r="E178" s="91">
        <v>1964</v>
      </c>
      <c r="F178" s="91" t="s">
        <v>19</v>
      </c>
      <c r="G178" s="91" t="s">
        <v>746</v>
      </c>
      <c r="H178" s="91" t="s">
        <v>746</v>
      </c>
      <c r="I178" s="91" t="s">
        <v>839</v>
      </c>
      <c r="J178" s="91">
        <v>3793</v>
      </c>
      <c r="K178" s="91">
        <v>0</v>
      </c>
      <c r="L178" s="91">
        <v>0</v>
      </c>
      <c r="M178" s="91">
        <v>0</v>
      </c>
      <c r="N178" s="91">
        <v>0</v>
      </c>
      <c r="O178" s="91">
        <v>0</v>
      </c>
      <c r="P178" s="91">
        <f>1936+1200</f>
        <v>3136</v>
      </c>
      <c r="Q178" s="101">
        <f t="shared" si="4"/>
        <v>6929</v>
      </c>
      <c r="R178" s="95">
        <f t="shared" si="5"/>
        <v>5889.65</v>
      </c>
    </row>
    <row r="179" spans="1:23" ht="34.049999999999997" customHeight="1" x14ac:dyDescent="0.3">
      <c r="A179" s="90">
        <v>168</v>
      </c>
      <c r="B179" s="91" t="s">
        <v>582</v>
      </c>
      <c r="C179" s="91" t="s">
        <v>637</v>
      </c>
      <c r="D179" s="91" t="s">
        <v>638</v>
      </c>
      <c r="E179" s="91">
        <v>1978</v>
      </c>
      <c r="F179" s="91" t="s">
        <v>18</v>
      </c>
      <c r="G179" s="91" t="s">
        <v>747</v>
      </c>
      <c r="H179" s="91" t="s">
        <v>747</v>
      </c>
      <c r="I179" s="91" t="s">
        <v>840</v>
      </c>
      <c r="J179" s="91">
        <v>6199</v>
      </c>
      <c r="K179" s="91">
        <f>6278+13452+2332+2332+2332</f>
        <v>26726</v>
      </c>
      <c r="L179" s="91">
        <v>0</v>
      </c>
      <c r="M179" s="91">
        <v>0</v>
      </c>
      <c r="N179" s="91">
        <v>1793</v>
      </c>
      <c r="O179" s="91">
        <v>0</v>
      </c>
      <c r="P179" s="91">
        <v>0</v>
      </c>
      <c r="Q179" s="101">
        <f t="shared" si="4"/>
        <v>34718</v>
      </c>
      <c r="R179" s="95">
        <f t="shared" si="5"/>
        <v>29510.3</v>
      </c>
    </row>
    <row r="180" spans="1:23" ht="34.049999999999997" customHeight="1" x14ac:dyDescent="0.3">
      <c r="A180" s="90">
        <v>169</v>
      </c>
      <c r="B180" s="91" t="s">
        <v>582</v>
      </c>
      <c r="C180" s="91" t="s">
        <v>639</v>
      </c>
      <c r="D180" s="91" t="s">
        <v>596</v>
      </c>
      <c r="E180" s="91">
        <v>2022</v>
      </c>
      <c r="F180" s="91" t="s">
        <v>18</v>
      </c>
      <c r="G180" s="91" t="s">
        <v>726</v>
      </c>
      <c r="H180" s="91" t="s">
        <v>725</v>
      </c>
      <c r="I180" s="91" t="s">
        <v>828</v>
      </c>
      <c r="J180" s="91">
        <v>3582</v>
      </c>
      <c r="K180" s="91">
        <v>0</v>
      </c>
      <c r="L180" s="91">
        <v>0</v>
      </c>
      <c r="M180" s="91">
        <v>0</v>
      </c>
      <c r="N180" s="91">
        <v>15443</v>
      </c>
      <c r="O180" s="91">
        <v>0</v>
      </c>
      <c r="P180" s="91">
        <v>0</v>
      </c>
      <c r="Q180" s="101">
        <f t="shared" si="4"/>
        <v>19025</v>
      </c>
      <c r="R180" s="95">
        <f t="shared" si="5"/>
        <v>16171.25</v>
      </c>
    </row>
    <row r="181" spans="1:23" ht="34.049999999999997" customHeight="1" x14ac:dyDescent="0.3">
      <c r="A181" s="96">
        <v>170</v>
      </c>
      <c r="B181" s="98" t="s">
        <v>582</v>
      </c>
      <c r="C181" s="98" t="s">
        <v>640</v>
      </c>
      <c r="D181" s="98" t="s">
        <v>641</v>
      </c>
      <c r="E181" s="98">
        <v>2006</v>
      </c>
      <c r="F181" s="98" t="s">
        <v>19</v>
      </c>
      <c r="G181" s="98" t="s">
        <v>748</v>
      </c>
      <c r="H181" s="98" t="s">
        <v>803</v>
      </c>
      <c r="I181" s="98" t="s">
        <v>841</v>
      </c>
      <c r="J181" s="98">
        <v>6199</v>
      </c>
      <c r="K181" s="98">
        <f>6278+2332+2801</f>
        <v>11411</v>
      </c>
      <c r="L181" s="98">
        <v>0</v>
      </c>
      <c r="M181" s="98">
        <v>0</v>
      </c>
      <c r="N181" s="98">
        <f>1178+4053+1793</f>
        <v>7024</v>
      </c>
      <c r="O181" s="98">
        <v>0</v>
      </c>
      <c r="P181" s="98">
        <f>720+120+144+720+374</f>
        <v>2078</v>
      </c>
      <c r="Q181" s="101">
        <f t="shared" si="4"/>
        <v>26712</v>
      </c>
      <c r="R181" s="95">
        <f t="shared" si="5"/>
        <v>22705.200000000001</v>
      </c>
      <c r="S181" s="41"/>
      <c r="T181" s="41"/>
      <c r="U181" s="41"/>
      <c r="V181" s="41"/>
      <c r="W181" s="41"/>
    </row>
    <row r="182" spans="1:23" ht="34.049999999999997" customHeight="1" x14ac:dyDescent="0.3">
      <c r="A182" s="90">
        <v>171</v>
      </c>
      <c r="B182" s="98" t="s">
        <v>582</v>
      </c>
      <c r="C182" s="98" t="s">
        <v>640</v>
      </c>
      <c r="D182" s="98" t="s">
        <v>641</v>
      </c>
      <c r="E182" s="98">
        <v>2006</v>
      </c>
      <c r="F182" s="98" t="s">
        <v>19</v>
      </c>
      <c r="G182" s="98" t="s">
        <v>748</v>
      </c>
      <c r="H182" s="98" t="s">
        <v>803</v>
      </c>
      <c r="I182" s="98" t="s">
        <v>841</v>
      </c>
      <c r="J182" s="98">
        <v>0</v>
      </c>
      <c r="K182" s="98">
        <v>0</v>
      </c>
      <c r="L182" s="98">
        <v>0</v>
      </c>
      <c r="M182" s="98">
        <v>17688</v>
      </c>
      <c r="N182" s="98">
        <v>0</v>
      </c>
      <c r="O182" s="98">
        <v>0</v>
      </c>
      <c r="P182" s="98">
        <v>0</v>
      </c>
      <c r="Q182" s="101">
        <f t="shared" si="4"/>
        <v>17688</v>
      </c>
      <c r="R182" s="95">
        <f t="shared" si="5"/>
        <v>15034.8</v>
      </c>
      <c r="S182" s="41"/>
      <c r="T182" s="41"/>
      <c r="U182" s="41"/>
      <c r="V182" s="41"/>
      <c r="W182" s="41"/>
    </row>
    <row r="183" spans="1:23" ht="34.049999999999997" customHeight="1" x14ac:dyDescent="0.3">
      <c r="A183" s="90">
        <v>172</v>
      </c>
      <c r="B183" s="91" t="s">
        <v>582</v>
      </c>
      <c r="C183" s="91" t="s">
        <v>642</v>
      </c>
      <c r="D183" s="91" t="s">
        <v>643</v>
      </c>
      <c r="E183" s="91">
        <v>1965</v>
      </c>
      <c r="F183" s="91" t="s">
        <v>19</v>
      </c>
      <c r="G183" s="91" t="s">
        <v>749</v>
      </c>
      <c r="H183" s="91" t="s">
        <v>749</v>
      </c>
      <c r="I183" s="91" t="s">
        <v>300</v>
      </c>
      <c r="J183" s="91">
        <v>6199</v>
      </c>
      <c r="K183" s="91">
        <v>0</v>
      </c>
      <c r="L183" s="91">
        <v>0</v>
      </c>
      <c r="M183" s="91">
        <v>0</v>
      </c>
      <c r="N183" s="91">
        <v>0</v>
      </c>
      <c r="O183" s="91">
        <v>0</v>
      </c>
      <c r="P183" s="91">
        <v>0</v>
      </c>
      <c r="Q183" s="101">
        <f t="shared" si="4"/>
        <v>6199</v>
      </c>
      <c r="R183" s="95">
        <f t="shared" si="5"/>
        <v>5269.15</v>
      </c>
    </row>
    <row r="184" spans="1:23" ht="34.049999999999997" customHeight="1" x14ac:dyDescent="0.3">
      <c r="A184" s="96">
        <v>173</v>
      </c>
      <c r="B184" s="91" t="s">
        <v>582</v>
      </c>
      <c r="C184" s="91" t="s">
        <v>644</v>
      </c>
      <c r="D184" s="91" t="s">
        <v>645</v>
      </c>
      <c r="E184" s="91">
        <v>1991</v>
      </c>
      <c r="F184" s="91" t="s">
        <v>19</v>
      </c>
      <c r="G184" s="91" t="s">
        <v>750</v>
      </c>
      <c r="H184" s="91" t="s">
        <v>750</v>
      </c>
      <c r="I184" s="91" t="s">
        <v>249</v>
      </c>
      <c r="J184" s="91">
        <v>6199</v>
      </c>
      <c r="K184" s="91">
        <f>1346+6278+4484+2332+2332+2332</f>
        <v>19104</v>
      </c>
      <c r="L184" s="91">
        <v>9422</v>
      </c>
      <c r="M184" s="91">
        <v>0</v>
      </c>
      <c r="N184" s="91">
        <v>1793</v>
      </c>
      <c r="O184" s="91">
        <v>0</v>
      </c>
      <c r="P184" s="91">
        <v>0</v>
      </c>
      <c r="Q184" s="101">
        <f t="shared" si="4"/>
        <v>36518</v>
      </c>
      <c r="R184" s="95">
        <f t="shared" si="5"/>
        <v>31040.3</v>
      </c>
    </row>
    <row r="185" spans="1:23" ht="34.049999999999997" customHeight="1" x14ac:dyDescent="0.3">
      <c r="A185" s="90">
        <v>174</v>
      </c>
      <c r="B185" s="91" t="s">
        <v>582</v>
      </c>
      <c r="C185" s="91" t="s">
        <v>646</v>
      </c>
      <c r="D185" s="91" t="s">
        <v>139</v>
      </c>
      <c r="E185" s="91">
        <v>1996</v>
      </c>
      <c r="F185" s="91" t="s">
        <v>18</v>
      </c>
      <c r="G185" s="91" t="s">
        <v>200</v>
      </c>
      <c r="H185" s="91" t="s">
        <v>200</v>
      </c>
      <c r="I185" s="91" t="s">
        <v>294</v>
      </c>
      <c r="J185" s="91">
        <v>0</v>
      </c>
      <c r="K185" s="91">
        <v>0</v>
      </c>
      <c r="L185" s="91">
        <v>0</v>
      </c>
      <c r="M185" s="91">
        <v>0</v>
      </c>
      <c r="N185" s="91">
        <v>5321</v>
      </c>
      <c r="O185" s="91">
        <v>0</v>
      </c>
      <c r="P185" s="91">
        <v>0</v>
      </c>
      <c r="Q185" s="101">
        <f t="shared" si="4"/>
        <v>5321</v>
      </c>
      <c r="R185" s="95">
        <f t="shared" si="5"/>
        <v>4522.8500000000004</v>
      </c>
    </row>
    <row r="186" spans="1:23" ht="34.049999999999997" customHeight="1" x14ac:dyDescent="0.3">
      <c r="A186" s="90">
        <v>175</v>
      </c>
      <c r="B186" s="91" t="s">
        <v>582</v>
      </c>
      <c r="C186" s="91" t="s">
        <v>647</v>
      </c>
      <c r="D186" s="91" t="s">
        <v>648</v>
      </c>
      <c r="E186" s="91">
        <v>1980</v>
      </c>
      <c r="F186" s="91" t="s">
        <v>19</v>
      </c>
      <c r="G186" s="91" t="s">
        <v>751</v>
      </c>
      <c r="H186" s="91" t="s">
        <v>751</v>
      </c>
      <c r="I186" s="91" t="s">
        <v>293</v>
      </c>
      <c r="J186" s="91">
        <v>6199</v>
      </c>
      <c r="K186" s="91">
        <v>0</v>
      </c>
      <c r="L186" s="91">
        <v>13526</v>
      </c>
      <c r="M186" s="91">
        <v>0</v>
      </c>
      <c r="N186" s="91">
        <v>0</v>
      </c>
      <c r="O186" s="91">
        <v>0</v>
      </c>
      <c r="P186" s="91">
        <v>0</v>
      </c>
      <c r="Q186" s="101">
        <f t="shared" si="4"/>
        <v>19725</v>
      </c>
      <c r="R186" s="95">
        <f t="shared" si="5"/>
        <v>16766.25</v>
      </c>
    </row>
    <row r="187" spans="1:23" ht="34.049999999999997" customHeight="1" x14ac:dyDescent="0.3">
      <c r="A187" s="96">
        <v>176</v>
      </c>
      <c r="B187" s="91" t="s">
        <v>582</v>
      </c>
      <c r="C187" s="91" t="s">
        <v>649</v>
      </c>
      <c r="D187" s="91" t="s">
        <v>650</v>
      </c>
      <c r="E187" s="91">
        <v>1982</v>
      </c>
      <c r="F187" s="91" t="s">
        <v>19</v>
      </c>
      <c r="G187" s="91" t="s">
        <v>752</v>
      </c>
      <c r="H187" s="91" t="s">
        <v>804</v>
      </c>
      <c r="I187" s="91" t="s">
        <v>561</v>
      </c>
      <c r="J187" s="91">
        <v>6199</v>
      </c>
      <c r="K187" s="91">
        <f>6278+4484+2332+2332+2332+6995+2332+2332+2332+3000+3000+1166+2801+2332+2332</f>
        <v>46380</v>
      </c>
      <c r="L187" s="91">
        <v>20807</v>
      </c>
      <c r="M187" s="91">
        <v>0</v>
      </c>
      <c r="N187" s="91">
        <v>1793</v>
      </c>
      <c r="O187" s="91">
        <v>0</v>
      </c>
      <c r="P187" s="91">
        <v>0</v>
      </c>
      <c r="Q187" s="101">
        <f t="shared" si="4"/>
        <v>75179</v>
      </c>
      <c r="R187" s="95">
        <f t="shared" si="5"/>
        <v>63902.15</v>
      </c>
    </row>
    <row r="188" spans="1:23" ht="34.049999999999997" customHeight="1" x14ac:dyDescent="0.3">
      <c r="A188" s="90">
        <v>177</v>
      </c>
      <c r="B188" s="91" t="s">
        <v>582</v>
      </c>
      <c r="C188" s="91" t="s">
        <v>651</v>
      </c>
      <c r="D188" s="91" t="s">
        <v>652</v>
      </c>
      <c r="E188" s="91">
        <v>2015</v>
      </c>
      <c r="F188" s="91" t="s">
        <v>18</v>
      </c>
      <c r="G188" s="91" t="s">
        <v>753</v>
      </c>
      <c r="H188" s="91" t="s">
        <v>805</v>
      </c>
      <c r="I188" s="91" t="s">
        <v>842</v>
      </c>
      <c r="J188" s="91">
        <v>6199</v>
      </c>
      <c r="K188" s="91">
        <v>1166</v>
      </c>
      <c r="L188" s="91">
        <v>0</v>
      </c>
      <c r="M188" s="91">
        <v>0</v>
      </c>
      <c r="N188" s="91">
        <v>0</v>
      </c>
      <c r="O188" s="91">
        <v>0</v>
      </c>
      <c r="P188" s="91">
        <v>0</v>
      </c>
      <c r="Q188" s="101">
        <f t="shared" si="4"/>
        <v>7365</v>
      </c>
      <c r="R188" s="95">
        <f t="shared" si="5"/>
        <v>6260.25</v>
      </c>
    </row>
    <row r="189" spans="1:23" ht="34.049999999999997" customHeight="1" x14ac:dyDescent="0.3">
      <c r="A189" s="90">
        <v>178</v>
      </c>
      <c r="B189" s="91" t="s">
        <v>582</v>
      </c>
      <c r="C189" s="91" t="s">
        <v>653</v>
      </c>
      <c r="D189" s="91" t="s">
        <v>654</v>
      </c>
      <c r="E189" s="91">
        <v>1997</v>
      </c>
      <c r="F189" s="91" t="s">
        <v>19</v>
      </c>
      <c r="G189" s="91" t="s">
        <v>754</v>
      </c>
      <c r="H189" s="91" t="s">
        <v>754</v>
      </c>
      <c r="I189" s="91" t="s">
        <v>294</v>
      </c>
      <c r="J189" s="91">
        <v>6199</v>
      </c>
      <c r="K189" s="91">
        <v>0</v>
      </c>
      <c r="L189" s="91">
        <v>0</v>
      </c>
      <c r="M189" s="91">
        <v>0</v>
      </c>
      <c r="N189" s="91">
        <v>0</v>
      </c>
      <c r="O189" s="91">
        <v>0</v>
      </c>
      <c r="P189" s="91">
        <v>0</v>
      </c>
      <c r="Q189" s="101">
        <f t="shared" si="4"/>
        <v>6199</v>
      </c>
      <c r="R189" s="95">
        <f t="shared" si="5"/>
        <v>5269.15</v>
      </c>
    </row>
    <row r="190" spans="1:23" ht="34.049999999999997" customHeight="1" x14ac:dyDescent="0.3">
      <c r="A190" s="96">
        <v>179</v>
      </c>
      <c r="B190" s="91" t="s">
        <v>582</v>
      </c>
      <c r="C190" s="91" t="s">
        <v>655</v>
      </c>
      <c r="D190" s="91" t="s">
        <v>656</v>
      </c>
      <c r="E190" s="91">
        <v>1958</v>
      </c>
      <c r="F190" s="91" t="s">
        <v>18</v>
      </c>
      <c r="G190" s="91" t="s">
        <v>755</v>
      </c>
      <c r="H190" s="91" t="s">
        <v>806</v>
      </c>
      <c r="I190" s="91" t="s">
        <v>843</v>
      </c>
      <c r="J190" s="91">
        <v>6199</v>
      </c>
      <c r="K190" s="91">
        <v>0</v>
      </c>
      <c r="L190" s="91">
        <v>0</v>
      </c>
      <c r="M190" s="91">
        <v>0</v>
      </c>
      <c r="N190" s="91">
        <v>0</v>
      </c>
      <c r="O190" s="91">
        <v>0</v>
      </c>
      <c r="P190" s="91">
        <v>0</v>
      </c>
      <c r="Q190" s="101">
        <f t="shared" si="4"/>
        <v>6199</v>
      </c>
      <c r="R190" s="95">
        <f t="shared" si="5"/>
        <v>5269.15</v>
      </c>
    </row>
    <row r="191" spans="1:23" ht="34.049999999999997" customHeight="1" x14ac:dyDescent="0.3">
      <c r="A191" s="90">
        <v>180</v>
      </c>
      <c r="B191" s="91" t="s">
        <v>582</v>
      </c>
      <c r="C191" s="91" t="s">
        <v>657</v>
      </c>
      <c r="D191" s="91" t="s">
        <v>658</v>
      </c>
      <c r="E191" s="91">
        <v>1987</v>
      </c>
      <c r="F191" s="91" t="s">
        <v>19</v>
      </c>
      <c r="G191" s="91" t="s">
        <v>756</v>
      </c>
      <c r="H191" s="91" t="s">
        <v>756</v>
      </c>
      <c r="I191" s="91" t="s">
        <v>844</v>
      </c>
      <c r="J191" s="91">
        <v>6199</v>
      </c>
      <c r="K191" s="91">
        <v>3587</v>
      </c>
      <c r="L191" s="91">
        <v>0</v>
      </c>
      <c r="M191" s="91">
        <v>0</v>
      </c>
      <c r="N191" s="91">
        <v>0</v>
      </c>
      <c r="O191" s="91">
        <v>0</v>
      </c>
      <c r="P191" s="91">
        <v>0</v>
      </c>
      <c r="Q191" s="101">
        <f t="shared" si="4"/>
        <v>9786</v>
      </c>
      <c r="R191" s="95">
        <f t="shared" si="5"/>
        <v>8318.1</v>
      </c>
    </row>
    <row r="192" spans="1:23" ht="34.049999999999997" customHeight="1" x14ac:dyDescent="0.3">
      <c r="A192" s="90">
        <v>181</v>
      </c>
      <c r="B192" s="91" t="s">
        <v>582</v>
      </c>
      <c r="C192" s="91" t="s">
        <v>659</v>
      </c>
      <c r="D192" s="91" t="s">
        <v>660</v>
      </c>
      <c r="E192" s="91">
        <v>2012</v>
      </c>
      <c r="F192" s="91" t="s">
        <v>19</v>
      </c>
      <c r="G192" s="91" t="s">
        <v>757</v>
      </c>
      <c r="H192" s="91" t="s">
        <v>807</v>
      </c>
      <c r="I192" s="91" t="s">
        <v>20</v>
      </c>
      <c r="J192" s="91">
        <v>6199</v>
      </c>
      <c r="K192" s="91">
        <f>6278+4484+2332+2801</f>
        <v>15895</v>
      </c>
      <c r="L192" s="91">
        <v>0</v>
      </c>
      <c r="M192" s="91">
        <v>0</v>
      </c>
      <c r="N192" s="91">
        <f>1178+4053+1793</f>
        <v>7024</v>
      </c>
      <c r="O192" s="91">
        <v>0</v>
      </c>
      <c r="P192" s="91">
        <f>720+374</f>
        <v>1094</v>
      </c>
      <c r="Q192" s="101">
        <f t="shared" si="4"/>
        <v>30212</v>
      </c>
      <c r="R192" s="95">
        <f t="shared" si="5"/>
        <v>25680.2</v>
      </c>
    </row>
    <row r="193" spans="1:18" ht="34.049999999999997" customHeight="1" x14ac:dyDescent="0.3">
      <c r="A193" s="96">
        <v>182</v>
      </c>
      <c r="B193" s="91" t="s">
        <v>582</v>
      </c>
      <c r="C193" s="91" t="s">
        <v>661</v>
      </c>
      <c r="D193" s="91" t="s">
        <v>662</v>
      </c>
      <c r="E193" s="91">
        <v>2022</v>
      </c>
      <c r="F193" s="91" t="s">
        <v>18</v>
      </c>
      <c r="G193" s="91" t="s">
        <v>758</v>
      </c>
      <c r="H193" s="91" t="s">
        <v>808</v>
      </c>
      <c r="I193" s="91" t="s">
        <v>298</v>
      </c>
      <c r="J193" s="91">
        <v>6199</v>
      </c>
      <c r="K193" s="91">
        <f>6278+4484+1346</f>
        <v>12108</v>
      </c>
      <c r="L193" s="91">
        <v>0</v>
      </c>
      <c r="M193" s="91">
        <v>0</v>
      </c>
      <c r="N193" s="91">
        <v>3148</v>
      </c>
      <c r="O193" s="91">
        <v>0</v>
      </c>
      <c r="P193" s="91">
        <v>0</v>
      </c>
      <c r="Q193" s="101">
        <f t="shared" si="4"/>
        <v>21455</v>
      </c>
      <c r="R193" s="95">
        <f t="shared" si="5"/>
        <v>18236.75</v>
      </c>
    </row>
    <row r="194" spans="1:18" ht="34.049999999999997" customHeight="1" x14ac:dyDescent="0.3">
      <c r="A194" s="90">
        <v>183</v>
      </c>
      <c r="B194" s="91" t="s">
        <v>582</v>
      </c>
      <c r="C194" s="91" t="s">
        <v>663</v>
      </c>
      <c r="D194" s="91" t="s">
        <v>664</v>
      </c>
      <c r="E194" s="91">
        <v>1988</v>
      </c>
      <c r="F194" s="91" t="s">
        <v>19</v>
      </c>
      <c r="G194" s="91" t="s">
        <v>759</v>
      </c>
      <c r="H194" s="91" t="s">
        <v>759</v>
      </c>
      <c r="I194" s="91" t="s">
        <v>845</v>
      </c>
      <c r="J194" s="91">
        <v>6199</v>
      </c>
      <c r="K194" s="91">
        <f>2332+2332+3587+3252</f>
        <v>11503</v>
      </c>
      <c r="L194" s="91">
        <v>20807</v>
      </c>
      <c r="M194" s="91">
        <v>0</v>
      </c>
      <c r="N194" s="91">
        <v>0</v>
      </c>
      <c r="O194" s="91">
        <v>0</v>
      </c>
      <c r="P194" s="91">
        <v>0</v>
      </c>
      <c r="Q194" s="101">
        <f t="shared" si="4"/>
        <v>38509</v>
      </c>
      <c r="R194" s="95">
        <f t="shared" si="5"/>
        <v>32732.65</v>
      </c>
    </row>
    <row r="195" spans="1:18" ht="34.049999999999997" customHeight="1" x14ac:dyDescent="0.3">
      <c r="A195" s="90">
        <v>184</v>
      </c>
      <c r="B195" s="91" t="s">
        <v>582</v>
      </c>
      <c r="C195" s="91" t="s">
        <v>665</v>
      </c>
      <c r="D195" s="91" t="s">
        <v>666</v>
      </c>
      <c r="E195" s="91">
        <v>2025</v>
      </c>
      <c r="F195" s="91" t="s">
        <v>19</v>
      </c>
      <c r="G195" s="91" t="s">
        <v>760</v>
      </c>
      <c r="H195" s="91" t="s">
        <v>809</v>
      </c>
      <c r="I195" s="91" t="s">
        <v>846</v>
      </c>
      <c r="J195" s="91">
        <v>6199</v>
      </c>
      <c r="K195" s="91">
        <v>0</v>
      </c>
      <c r="L195" s="91">
        <v>0</v>
      </c>
      <c r="M195" s="91">
        <v>0</v>
      </c>
      <c r="N195" s="91">
        <v>0</v>
      </c>
      <c r="O195" s="91">
        <v>0</v>
      </c>
      <c r="P195" s="91">
        <v>0</v>
      </c>
      <c r="Q195" s="101">
        <f t="shared" si="4"/>
        <v>6199</v>
      </c>
      <c r="R195" s="95">
        <f t="shared" si="5"/>
        <v>5269.15</v>
      </c>
    </row>
    <row r="196" spans="1:18" ht="34.049999999999997" customHeight="1" x14ac:dyDescent="0.3">
      <c r="A196" s="96">
        <v>185</v>
      </c>
      <c r="B196" s="91" t="s">
        <v>582</v>
      </c>
      <c r="C196" s="91" t="s">
        <v>667</v>
      </c>
      <c r="D196" s="91" t="s">
        <v>668</v>
      </c>
      <c r="E196" s="91">
        <v>2023</v>
      </c>
      <c r="F196" s="91" t="s">
        <v>19</v>
      </c>
      <c r="G196" s="91" t="s">
        <v>761</v>
      </c>
      <c r="H196" s="91" t="s">
        <v>810</v>
      </c>
      <c r="I196" s="91" t="s">
        <v>847</v>
      </c>
      <c r="J196" s="91">
        <v>6199</v>
      </c>
      <c r="K196" s="91">
        <f>6278+4484+1346+2332+2332+2332+2332+4484+2332+6995+6995+2332+6995+2332</f>
        <v>53901</v>
      </c>
      <c r="L196" s="91">
        <v>0</v>
      </c>
      <c r="M196" s="91">
        <v>0</v>
      </c>
      <c r="N196" s="91">
        <v>3148</v>
      </c>
      <c r="O196" s="91">
        <v>0</v>
      </c>
      <c r="P196" s="91">
        <v>0</v>
      </c>
      <c r="Q196" s="101">
        <f t="shared" si="4"/>
        <v>63248</v>
      </c>
      <c r="R196" s="95">
        <f t="shared" si="5"/>
        <v>53760.800000000003</v>
      </c>
    </row>
    <row r="197" spans="1:18" ht="34.049999999999997" customHeight="1" x14ac:dyDescent="0.3">
      <c r="A197" s="90">
        <v>186</v>
      </c>
      <c r="B197" s="91" t="s">
        <v>582</v>
      </c>
      <c r="C197" s="91" t="s">
        <v>669</v>
      </c>
      <c r="D197" s="91" t="s">
        <v>670</v>
      </c>
      <c r="E197" s="91">
        <v>2022</v>
      </c>
      <c r="F197" s="91" t="s">
        <v>19</v>
      </c>
      <c r="G197" s="91" t="s">
        <v>762</v>
      </c>
      <c r="H197" s="91" t="s">
        <v>811</v>
      </c>
      <c r="I197" s="91" t="s">
        <v>848</v>
      </c>
      <c r="J197" s="91">
        <v>6199</v>
      </c>
      <c r="K197" s="91">
        <f>1346+6278+4484+2332+2332+2332+2332+2332+2332+4484+6995+6995+2332+6995</f>
        <v>53901</v>
      </c>
      <c r="L197" s="91">
        <v>0</v>
      </c>
      <c r="M197" s="91">
        <v>0</v>
      </c>
      <c r="N197" s="91">
        <v>3148</v>
      </c>
      <c r="O197" s="91">
        <v>0</v>
      </c>
      <c r="P197" s="91">
        <v>0</v>
      </c>
      <c r="Q197" s="101">
        <f t="shared" si="4"/>
        <v>63248</v>
      </c>
      <c r="R197" s="95">
        <f t="shared" si="5"/>
        <v>53760.800000000003</v>
      </c>
    </row>
    <row r="198" spans="1:18" ht="34.049999999999997" customHeight="1" x14ac:dyDescent="0.3">
      <c r="A198" s="90">
        <v>187</v>
      </c>
      <c r="B198" s="91" t="s">
        <v>582</v>
      </c>
      <c r="C198" s="91" t="s">
        <v>669</v>
      </c>
      <c r="D198" s="91" t="s">
        <v>670</v>
      </c>
      <c r="E198" s="91">
        <v>2022</v>
      </c>
      <c r="F198" s="91" t="s">
        <v>19</v>
      </c>
      <c r="G198" s="91" t="s">
        <v>762</v>
      </c>
      <c r="H198" s="91" t="s">
        <v>811</v>
      </c>
      <c r="I198" s="91" t="s">
        <v>848</v>
      </c>
      <c r="J198" s="91">
        <v>0</v>
      </c>
      <c r="K198" s="91">
        <v>0</v>
      </c>
      <c r="L198" s="91">
        <v>0</v>
      </c>
      <c r="M198" s="91">
        <v>0</v>
      </c>
      <c r="N198" s="91">
        <v>4053</v>
      </c>
      <c r="O198" s="91">
        <v>0</v>
      </c>
      <c r="P198" s="91">
        <f>720+120+1080</f>
        <v>1920</v>
      </c>
      <c r="Q198" s="101">
        <f t="shared" si="4"/>
        <v>5973</v>
      </c>
      <c r="R198" s="95">
        <f t="shared" si="5"/>
        <v>5077.05</v>
      </c>
    </row>
    <row r="199" spans="1:18" ht="34.049999999999997" customHeight="1" x14ac:dyDescent="0.3">
      <c r="A199" s="96">
        <v>188</v>
      </c>
      <c r="B199" s="91" t="s">
        <v>582</v>
      </c>
      <c r="C199" s="91" t="s">
        <v>669</v>
      </c>
      <c r="D199" s="91" t="s">
        <v>670</v>
      </c>
      <c r="E199" s="91">
        <v>2022</v>
      </c>
      <c r="F199" s="91" t="s">
        <v>19</v>
      </c>
      <c r="G199" s="91" t="s">
        <v>762</v>
      </c>
      <c r="H199" s="91" t="s">
        <v>811</v>
      </c>
      <c r="I199" s="91" t="s">
        <v>848</v>
      </c>
      <c r="J199" s="91">
        <v>0</v>
      </c>
      <c r="K199" s="91">
        <v>0</v>
      </c>
      <c r="L199" s="91">
        <v>0</v>
      </c>
      <c r="M199" s="91">
        <v>17688</v>
      </c>
      <c r="N199" s="91">
        <v>2088</v>
      </c>
      <c r="O199" s="91">
        <v>0</v>
      </c>
      <c r="P199" s="91">
        <f>56+360</f>
        <v>416</v>
      </c>
      <c r="Q199" s="101">
        <f t="shared" si="4"/>
        <v>20192</v>
      </c>
      <c r="R199" s="95">
        <f t="shared" si="5"/>
        <v>17163.2</v>
      </c>
    </row>
    <row r="200" spans="1:18" ht="34.049999999999997" customHeight="1" x14ac:dyDescent="0.3">
      <c r="A200" s="90">
        <v>189</v>
      </c>
      <c r="B200" s="91" t="s">
        <v>582</v>
      </c>
      <c r="C200" s="91" t="s">
        <v>671</v>
      </c>
      <c r="D200" s="91" t="s">
        <v>672</v>
      </c>
      <c r="E200" s="91">
        <v>2021</v>
      </c>
      <c r="F200" s="91" t="s">
        <v>19</v>
      </c>
      <c r="G200" s="91" t="s">
        <v>763</v>
      </c>
      <c r="H200" s="91" t="s">
        <v>812</v>
      </c>
      <c r="I200" s="91" t="s">
        <v>848</v>
      </c>
      <c r="J200" s="91">
        <v>6199</v>
      </c>
      <c r="K200" s="91">
        <v>0</v>
      </c>
      <c r="L200" s="91">
        <v>0</v>
      </c>
      <c r="M200" s="91">
        <v>0</v>
      </c>
      <c r="N200" s="91">
        <v>0</v>
      </c>
      <c r="O200" s="91">
        <v>0</v>
      </c>
      <c r="P200" s="91">
        <v>0</v>
      </c>
      <c r="Q200" s="101">
        <f t="shared" si="4"/>
        <v>6199</v>
      </c>
      <c r="R200" s="95">
        <f t="shared" si="5"/>
        <v>5269.15</v>
      </c>
    </row>
    <row r="201" spans="1:18" ht="34.049999999999997" customHeight="1" x14ac:dyDescent="0.3">
      <c r="A201" s="90">
        <v>190</v>
      </c>
      <c r="B201" s="91" t="s">
        <v>582</v>
      </c>
      <c r="C201" s="91" t="s">
        <v>673</v>
      </c>
      <c r="D201" s="91" t="s">
        <v>674</v>
      </c>
      <c r="E201" s="91">
        <v>1988</v>
      </c>
      <c r="F201" s="91" t="s">
        <v>18</v>
      </c>
      <c r="G201" s="91" t="s">
        <v>764</v>
      </c>
      <c r="H201" s="91" t="s">
        <v>764</v>
      </c>
      <c r="I201" s="91" t="s">
        <v>849</v>
      </c>
      <c r="J201" s="91">
        <v>6199</v>
      </c>
      <c r="K201" s="91">
        <f>1346+6278+4484+2332+2332+2332+3228</f>
        <v>22332</v>
      </c>
      <c r="L201" s="91">
        <v>0</v>
      </c>
      <c r="M201" s="91">
        <v>0</v>
      </c>
      <c r="N201" s="91">
        <v>1793</v>
      </c>
      <c r="O201" s="91">
        <v>0</v>
      </c>
      <c r="P201" s="91">
        <v>0</v>
      </c>
      <c r="Q201" s="101">
        <f t="shared" si="4"/>
        <v>30324</v>
      </c>
      <c r="R201" s="95">
        <f t="shared" si="5"/>
        <v>25775.4</v>
      </c>
    </row>
    <row r="202" spans="1:18" ht="34.049999999999997" customHeight="1" x14ac:dyDescent="0.3">
      <c r="A202" s="96">
        <v>191</v>
      </c>
      <c r="B202" s="91" t="s">
        <v>582</v>
      </c>
      <c r="C202" s="91" t="s">
        <v>675</v>
      </c>
      <c r="D202" s="91" t="s">
        <v>676</v>
      </c>
      <c r="E202" s="91">
        <v>1984</v>
      </c>
      <c r="F202" s="91" t="s">
        <v>18</v>
      </c>
      <c r="G202" s="91" t="s">
        <v>765</v>
      </c>
      <c r="H202" s="91" t="s">
        <v>765</v>
      </c>
      <c r="I202" s="91" t="s">
        <v>24</v>
      </c>
      <c r="J202" s="91">
        <v>6199</v>
      </c>
      <c r="K202" s="91">
        <v>0</v>
      </c>
      <c r="L202" s="91">
        <v>0</v>
      </c>
      <c r="M202" s="91">
        <v>0</v>
      </c>
      <c r="N202" s="91">
        <v>0</v>
      </c>
      <c r="O202" s="91">
        <v>0</v>
      </c>
      <c r="P202" s="91">
        <v>0</v>
      </c>
      <c r="Q202" s="101">
        <f t="shared" si="4"/>
        <v>6199</v>
      </c>
      <c r="R202" s="95">
        <f t="shared" si="5"/>
        <v>5269.15</v>
      </c>
    </row>
    <row r="203" spans="1:18" ht="34.049999999999997" customHeight="1" x14ac:dyDescent="0.3">
      <c r="A203" s="90">
        <v>192</v>
      </c>
      <c r="B203" s="91" t="s">
        <v>582</v>
      </c>
      <c r="C203" s="91" t="s">
        <v>677</v>
      </c>
      <c r="D203" s="91" t="s">
        <v>678</v>
      </c>
      <c r="E203" s="91">
        <v>2021</v>
      </c>
      <c r="F203" s="91" t="s">
        <v>18</v>
      </c>
      <c r="G203" s="91" t="s">
        <v>766</v>
      </c>
      <c r="H203" s="91" t="s">
        <v>813</v>
      </c>
      <c r="I203" s="91" t="s">
        <v>850</v>
      </c>
      <c r="J203" s="91">
        <v>6199</v>
      </c>
      <c r="K203" s="91">
        <f>6278+4484+1346+4484+2332+2332+2332+2332+2332+4484</f>
        <v>32736</v>
      </c>
      <c r="L203" s="91">
        <v>0</v>
      </c>
      <c r="M203" s="91">
        <v>0</v>
      </c>
      <c r="N203" s="91">
        <v>3148</v>
      </c>
      <c r="O203" s="91">
        <v>0</v>
      </c>
      <c r="P203" s="91">
        <v>0</v>
      </c>
      <c r="Q203" s="101">
        <f t="shared" si="4"/>
        <v>42083</v>
      </c>
      <c r="R203" s="95">
        <f t="shared" si="5"/>
        <v>35770.550000000003</v>
      </c>
    </row>
    <row r="204" spans="1:18" ht="34.049999999999997" customHeight="1" x14ac:dyDescent="0.3">
      <c r="A204" s="90">
        <v>193</v>
      </c>
      <c r="B204" s="91" t="s">
        <v>582</v>
      </c>
      <c r="C204" s="91" t="s">
        <v>679</v>
      </c>
      <c r="D204" s="91" t="s">
        <v>680</v>
      </c>
      <c r="E204" s="91">
        <v>1986</v>
      </c>
      <c r="F204" s="91" t="s">
        <v>19</v>
      </c>
      <c r="G204" s="91" t="s">
        <v>767</v>
      </c>
      <c r="H204" s="91" t="s">
        <v>767</v>
      </c>
      <c r="I204" s="91" t="s">
        <v>851</v>
      </c>
      <c r="J204" s="91">
        <v>6199</v>
      </c>
      <c r="K204" s="91">
        <v>0</v>
      </c>
      <c r="L204" s="91">
        <v>0</v>
      </c>
      <c r="M204" s="91">
        <v>0</v>
      </c>
      <c r="N204" s="91">
        <v>9871</v>
      </c>
      <c r="O204" s="91">
        <v>0</v>
      </c>
      <c r="P204" s="91">
        <v>0</v>
      </c>
      <c r="Q204" s="101">
        <f t="shared" ref="Q204:Q267" si="6">SUM(J204:P204)</f>
        <v>16070</v>
      </c>
      <c r="R204" s="95">
        <f t="shared" si="5"/>
        <v>13659.5</v>
      </c>
    </row>
    <row r="205" spans="1:18" ht="34.049999999999997" customHeight="1" x14ac:dyDescent="0.3">
      <c r="A205" s="96">
        <v>194</v>
      </c>
      <c r="B205" s="91" t="s">
        <v>582</v>
      </c>
      <c r="C205" s="91" t="s">
        <v>681</v>
      </c>
      <c r="D205" s="91" t="s">
        <v>429</v>
      </c>
      <c r="E205" s="91">
        <v>2024</v>
      </c>
      <c r="F205" s="91" t="s">
        <v>18</v>
      </c>
      <c r="G205" s="91" t="s">
        <v>494</v>
      </c>
      <c r="H205" s="91" t="s">
        <v>531</v>
      </c>
      <c r="I205" s="91" t="s">
        <v>570</v>
      </c>
      <c r="J205" s="91">
        <v>0</v>
      </c>
      <c r="K205" s="91">
        <f>6278+4484+1346</f>
        <v>12108</v>
      </c>
      <c r="L205" s="91">
        <v>0</v>
      </c>
      <c r="M205" s="91">
        <v>0</v>
      </c>
      <c r="N205" s="91">
        <f>3148+3179</f>
        <v>6327</v>
      </c>
      <c r="O205" s="91">
        <v>0</v>
      </c>
      <c r="P205" s="91">
        <v>1200</v>
      </c>
      <c r="Q205" s="101">
        <f t="shared" si="6"/>
        <v>19635</v>
      </c>
      <c r="R205" s="95">
        <f t="shared" ref="R205:R268" si="7">Q205*85/100</f>
        <v>16689.75</v>
      </c>
    </row>
    <row r="206" spans="1:18" ht="34.049999999999997" customHeight="1" x14ac:dyDescent="0.3">
      <c r="A206" s="90">
        <v>195</v>
      </c>
      <c r="B206" s="91" t="s">
        <v>582</v>
      </c>
      <c r="C206" s="91" t="s">
        <v>681</v>
      </c>
      <c r="D206" s="91" t="s">
        <v>429</v>
      </c>
      <c r="E206" s="91">
        <v>2024</v>
      </c>
      <c r="F206" s="91" t="s">
        <v>18</v>
      </c>
      <c r="G206" s="91" t="s">
        <v>494</v>
      </c>
      <c r="H206" s="91" t="s">
        <v>531</v>
      </c>
      <c r="I206" s="91" t="s">
        <v>570</v>
      </c>
      <c r="J206" s="91">
        <v>0</v>
      </c>
      <c r="K206" s="91">
        <v>0</v>
      </c>
      <c r="L206" s="91">
        <v>0</v>
      </c>
      <c r="M206" s="91">
        <v>17688</v>
      </c>
      <c r="N206" s="91">
        <v>2088</v>
      </c>
      <c r="O206" s="91">
        <v>0</v>
      </c>
      <c r="P206" s="91">
        <f>360+56</f>
        <v>416</v>
      </c>
      <c r="Q206" s="101">
        <f t="shared" si="6"/>
        <v>20192</v>
      </c>
      <c r="R206" s="95">
        <f t="shared" si="7"/>
        <v>17163.2</v>
      </c>
    </row>
    <row r="207" spans="1:18" ht="34.049999999999997" customHeight="1" x14ac:dyDescent="0.3">
      <c r="A207" s="90">
        <v>196</v>
      </c>
      <c r="B207" s="91" t="s">
        <v>582</v>
      </c>
      <c r="C207" s="91" t="s">
        <v>682</v>
      </c>
      <c r="D207" s="91" t="s">
        <v>683</v>
      </c>
      <c r="E207" s="91">
        <v>2013</v>
      </c>
      <c r="F207" s="91" t="s">
        <v>19</v>
      </c>
      <c r="G207" s="91" t="s">
        <v>768</v>
      </c>
      <c r="H207" s="91" t="s">
        <v>814</v>
      </c>
      <c r="I207" s="91" t="s">
        <v>852</v>
      </c>
      <c r="J207" s="91">
        <v>3582</v>
      </c>
      <c r="K207" s="91">
        <v>0</v>
      </c>
      <c r="L207" s="91">
        <v>0</v>
      </c>
      <c r="M207" s="91">
        <v>0</v>
      </c>
      <c r="N207" s="91">
        <f>15443+21194+13563</f>
        <v>50200</v>
      </c>
      <c r="O207" s="91">
        <v>0</v>
      </c>
      <c r="P207" s="91">
        <v>0</v>
      </c>
      <c r="Q207" s="101">
        <f t="shared" si="6"/>
        <v>53782</v>
      </c>
      <c r="R207" s="95">
        <f t="shared" si="7"/>
        <v>45714.7</v>
      </c>
    </row>
    <row r="208" spans="1:18" ht="34.049999999999997" customHeight="1" x14ac:dyDescent="0.3">
      <c r="A208" s="96">
        <v>197</v>
      </c>
      <c r="B208" s="91" t="s">
        <v>582</v>
      </c>
      <c r="C208" s="91" t="s">
        <v>684</v>
      </c>
      <c r="D208" s="91" t="s">
        <v>685</v>
      </c>
      <c r="E208" s="91">
        <v>1989</v>
      </c>
      <c r="F208" s="91" t="s">
        <v>19</v>
      </c>
      <c r="G208" s="91" t="s">
        <v>769</v>
      </c>
      <c r="H208" s="91" t="s">
        <v>769</v>
      </c>
      <c r="I208" s="91" t="s">
        <v>853</v>
      </c>
      <c r="J208" s="91">
        <v>6199</v>
      </c>
      <c r="K208" s="91">
        <v>0</v>
      </c>
      <c r="L208" s="91">
        <v>0</v>
      </c>
      <c r="M208" s="91">
        <v>0</v>
      </c>
      <c r="N208" s="91">
        <v>0</v>
      </c>
      <c r="O208" s="91">
        <v>0</v>
      </c>
      <c r="P208" s="91">
        <v>0</v>
      </c>
      <c r="Q208" s="101">
        <f t="shared" si="6"/>
        <v>6199</v>
      </c>
      <c r="R208" s="95">
        <f t="shared" si="7"/>
        <v>5269.15</v>
      </c>
    </row>
    <row r="209" spans="1:19" ht="34.049999999999997" customHeight="1" x14ac:dyDescent="0.3">
      <c r="A209" s="90">
        <v>198</v>
      </c>
      <c r="B209" s="91" t="s">
        <v>582</v>
      </c>
      <c r="C209" s="91" t="s">
        <v>686</v>
      </c>
      <c r="D209" s="91" t="s">
        <v>687</v>
      </c>
      <c r="E209" s="91">
        <v>2008</v>
      </c>
      <c r="F209" s="91" t="s">
        <v>19</v>
      </c>
      <c r="G209" s="91" t="s">
        <v>770</v>
      </c>
      <c r="H209" s="91" t="s">
        <v>815</v>
      </c>
      <c r="I209" s="91" t="s">
        <v>26</v>
      </c>
      <c r="J209" s="91">
        <v>6199</v>
      </c>
      <c r="K209" s="91">
        <f>1346+6278+4484+1166</f>
        <v>13274</v>
      </c>
      <c r="L209" s="91">
        <v>0</v>
      </c>
      <c r="M209" s="91">
        <v>0</v>
      </c>
      <c r="N209" s="91">
        <v>1793</v>
      </c>
      <c r="O209" s="91">
        <v>0</v>
      </c>
      <c r="P209" s="91">
        <v>0</v>
      </c>
      <c r="Q209" s="101">
        <f t="shared" si="6"/>
        <v>21266</v>
      </c>
      <c r="R209" s="95">
        <f t="shared" si="7"/>
        <v>18076.099999999999</v>
      </c>
    </row>
    <row r="210" spans="1:19" ht="34.049999999999997" customHeight="1" x14ac:dyDescent="0.3">
      <c r="A210" s="90">
        <v>199</v>
      </c>
      <c r="B210" s="91" t="s">
        <v>582</v>
      </c>
      <c r="C210" s="91" t="s">
        <v>688</v>
      </c>
      <c r="D210" s="91" t="s">
        <v>689</v>
      </c>
      <c r="E210" s="91">
        <v>2001</v>
      </c>
      <c r="F210" s="91" t="s">
        <v>18</v>
      </c>
      <c r="G210" s="91" t="s">
        <v>771</v>
      </c>
      <c r="H210" s="91" t="s">
        <v>771</v>
      </c>
      <c r="I210" s="91" t="s">
        <v>854</v>
      </c>
      <c r="J210" s="91">
        <v>6199</v>
      </c>
      <c r="K210" s="91">
        <v>0</v>
      </c>
      <c r="L210" s="91">
        <v>13298</v>
      </c>
      <c r="M210" s="91">
        <v>0</v>
      </c>
      <c r="N210" s="91">
        <v>0</v>
      </c>
      <c r="O210" s="91">
        <v>0</v>
      </c>
      <c r="P210" s="91">
        <v>0</v>
      </c>
      <c r="Q210" s="101">
        <f t="shared" si="6"/>
        <v>19497</v>
      </c>
      <c r="R210" s="95">
        <f t="shared" si="7"/>
        <v>16572.45</v>
      </c>
    </row>
    <row r="211" spans="1:19" ht="34.049999999999997" customHeight="1" x14ac:dyDescent="0.3">
      <c r="A211" s="96">
        <v>200</v>
      </c>
      <c r="B211" s="91" t="s">
        <v>582</v>
      </c>
      <c r="C211" s="91" t="s">
        <v>690</v>
      </c>
      <c r="D211" s="91" t="s">
        <v>691</v>
      </c>
      <c r="E211" s="91">
        <v>1971</v>
      </c>
      <c r="F211" s="91" t="s">
        <v>18</v>
      </c>
      <c r="G211" s="91" t="s">
        <v>772</v>
      </c>
      <c r="H211" s="91" t="s">
        <v>772</v>
      </c>
      <c r="I211" s="91" t="s">
        <v>855</v>
      </c>
      <c r="J211" s="91">
        <v>6199</v>
      </c>
      <c r="K211" s="91">
        <v>0</v>
      </c>
      <c r="L211" s="91">
        <v>0</v>
      </c>
      <c r="M211" s="91">
        <v>0</v>
      </c>
      <c r="N211" s="91">
        <v>0</v>
      </c>
      <c r="O211" s="91">
        <v>0</v>
      </c>
      <c r="P211" s="91">
        <v>0</v>
      </c>
      <c r="Q211" s="101">
        <f t="shared" si="6"/>
        <v>6199</v>
      </c>
      <c r="R211" s="95">
        <f t="shared" si="7"/>
        <v>5269.15</v>
      </c>
    </row>
    <row r="212" spans="1:19" ht="34.049999999999997" customHeight="1" x14ac:dyDescent="0.3">
      <c r="A212" s="90">
        <v>201</v>
      </c>
      <c r="B212" s="91" t="s">
        <v>582</v>
      </c>
      <c r="C212" s="91" t="s">
        <v>692</v>
      </c>
      <c r="D212" s="91" t="s">
        <v>693</v>
      </c>
      <c r="E212" s="91">
        <v>1995</v>
      </c>
      <c r="F212" s="91" t="s">
        <v>18</v>
      </c>
      <c r="G212" s="91" t="s">
        <v>773</v>
      </c>
      <c r="H212" s="91" t="s">
        <v>773</v>
      </c>
      <c r="I212" s="91" t="s">
        <v>856</v>
      </c>
      <c r="J212" s="91">
        <v>3582</v>
      </c>
      <c r="K212" s="91">
        <v>0</v>
      </c>
      <c r="L212" s="91">
        <v>0</v>
      </c>
      <c r="M212" s="91">
        <v>0</v>
      </c>
      <c r="N212" s="91">
        <v>0</v>
      </c>
      <c r="O212" s="91">
        <v>0</v>
      </c>
      <c r="P212" s="91">
        <v>0</v>
      </c>
      <c r="Q212" s="101">
        <f t="shared" si="6"/>
        <v>3582</v>
      </c>
      <c r="R212" s="95">
        <f t="shared" si="7"/>
        <v>3044.7</v>
      </c>
    </row>
    <row r="213" spans="1:19" ht="34.049999999999997" customHeight="1" x14ac:dyDescent="0.3">
      <c r="A213" s="90">
        <v>202</v>
      </c>
      <c r="B213" s="91" t="s">
        <v>582</v>
      </c>
      <c r="C213" s="91" t="s">
        <v>694</v>
      </c>
      <c r="D213" s="91" t="s">
        <v>695</v>
      </c>
      <c r="E213" s="91">
        <v>1996</v>
      </c>
      <c r="F213" s="91" t="s">
        <v>19</v>
      </c>
      <c r="G213" s="91" t="s">
        <v>774</v>
      </c>
      <c r="H213" s="91" t="s">
        <v>774</v>
      </c>
      <c r="I213" s="91" t="s">
        <v>857</v>
      </c>
      <c r="J213" s="91">
        <v>3582</v>
      </c>
      <c r="K213" s="91">
        <v>0</v>
      </c>
      <c r="L213" s="91">
        <v>0</v>
      </c>
      <c r="M213" s="91">
        <v>0</v>
      </c>
      <c r="N213" s="91">
        <f>34016+27380</f>
        <v>61396</v>
      </c>
      <c r="O213" s="91">
        <v>0</v>
      </c>
      <c r="P213" s="91">
        <v>0</v>
      </c>
      <c r="Q213" s="101">
        <f t="shared" si="6"/>
        <v>64978</v>
      </c>
      <c r="R213" s="95">
        <f t="shared" si="7"/>
        <v>55231.3</v>
      </c>
    </row>
    <row r="214" spans="1:19" ht="34.049999999999997" customHeight="1" x14ac:dyDescent="0.3">
      <c r="A214" s="96">
        <v>203</v>
      </c>
      <c r="B214" s="91" t="s">
        <v>582</v>
      </c>
      <c r="C214" s="91" t="s">
        <v>696</v>
      </c>
      <c r="D214" s="91" t="s">
        <v>697</v>
      </c>
      <c r="E214" s="91">
        <v>1990</v>
      </c>
      <c r="F214" s="91" t="s">
        <v>18</v>
      </c>
      <c r="G214" s="91" t="s">
        <v>775</v>
      </c>
      <c r="H214" s="91" t="s">
        <v>775</v>
      </c>
      <c r="I214" s="91" t="s">
        <v>858</v>
      </c>
      <c r="J214" s="91">
        <v>6199</v>
      </c>
      <c r="K214" s="91">
        <v>0</v>
      </c>
      <c r="L214" s="91">
        <v>0</v>
      </c>
      <c r="M214" s="91">
        <v>0</v>
      </c>
      <c r="N214" s="91">
        <v>0</v>
      </c>
      <c r="O214" s="91">
        <v>0</v>
      </c>
      <c r="P214" s="91">
        <v>0</v>
      </c>
      <c r="Q214" s="101">
        <f t="shared" si="6"/>
        <v>6199</v>
      </c>
      <c r="R214" s="95">
        <f t="shared" si="7"/>
        <v>5269.15</v>
      </c>
    </row>
    <row r="215" spans="1:19" ht="34.049999999999997" customHeight="1" x14ac:dyDescent="0.3">
      <c r="A215" s="90">
        <v>204</v>
      </c>
      <c r="B215" s="91" t="s">
        <v>582</v>
      </c>
      <c r="C215" s="91" t="s">
        <v>698</v>
      </c>
      <c r="D215" s="91" t="s">
        <v>699</v>
      </c>
      <c r="E215" s="91">
        <v>1986</v>
      </c>
      <c r="F215" s="91" t="s">
        <v>18</v>
      </c>
      <c r="G215" s="91" t="s">
        <v>776</v>
      </c>
      <c r="H215" s="91" t="s">
        <v>776</v>
      </c>
      <c r="I215" s="91" t="s">
        <v>300</v>
      </c>
      <c r="J215" s="91">
        <v>3793</v>
      </c>
      <c r="K215" s="91">
        <v>0</v>
      </c>
      <c r="L215" s="91">
        <v>0</v>
      </c>
      <c r="M215" s="91">
        <v>0</v>
      </c>
      <c r="N215" s="91">
        <v>0</v>
      </c>
      <c r="O215" s="91">
        <v>0</v>
      </c>
      <c r="P215" s="91">
        <v>0</v>
      </c>
      <c r="Q215" s="101">
        <f t="shared" si="6"/>
        <v>3793</v>
      </c>
      <c r="R215" s="95">
        <f t="shared" si="7"/>
        <v>3224.05</v>
      </c>
    </row>
    <row r="216" spans="1:19" ht="34.049999999999997" customHeight="1" x14ac:dyDescent="0.3">
      <c r="A216" s="90">
        <v>205</v>
      </c>
      <c r="B216" s="91" t="s">
        <v>582</v>
      </c>
      <c r="C216" s="91" t="s">
        <v>700</v>
      </c>
      <c r="D216" s="91" t="s">
        <v>701</v>
      </c>
      <c r="E216" s="91">
        <v>2025</v>
      </c>
      <c r="F216" s="91" t="s">
        <v>18</v>
      </c>
      <c r="G216" s="91" t="s">
        <v>777</v>
      </c>
      <c r="H216" s="91" t="s">
        <v>816</v>
      </c>
      <c r="I216" s="91" t="s">
        <v>570</v>
      </c>
      <c r="J216" s="91">
        <v>6199</v>
      </c>
      <c r="K216" s="91">
        <f>1346+6278+4484+4484+2332+2332+2332+2332+2332+2332+6995+6995+2332+6995</f>
        <v>53901</v>
      </c>
      <c r="L216" s="91">
        <v>0</v>
      </c>
      <c r="M216" s="91">
        <v>0</v>
      </c>
      <c r="N216" s="91">
        <v>3148</v>
      </c>
      <c r="O216" s="91">
        <v>0</v>
      </c>
      <c r="P216" s="91">
        <v>0</v>
      </c>
      <c r="Q216" s="101">
        <f t="shared" si="6"/>
        <v>63248</v>
      </c>
      <c r="R216" s="95">
        <f t="shared" si="7"/>
        <v>53760.800000000003</v>
      </c>
    </row>
    <row r="217" spans="1:19" ht="34.049999999999997" customHeight="1" x14ac:dyDescent="0.3">
      <c r="A217" s="96">
        <v>206</v>
      </c>
      <c r="B217" s="91" t="s">
        <v>582</v>
      </c>
      <c r="C217" s="91" t="s">
        <v>702</v>
      </c>
      <c r="D217" s="91" t="s">
        <v>703</v>
      </c>
      <c r="E217" s="91">
        <v>2022</v>
      </c>
      <c r="F217" s="91" t="s">
        <v>18</v>
      </c>
      <c r="G217" s="91" t="s">
        <v>778</v>
      </c>
      <c r="H217" s="91" t="s">
        <v>817</v>
      </c>
      <c r="I217" s="91" t="s">
        <v>859</v>
      </c>
      <c r="J217" s="91">
        <v>6199</v>
      </c>
      <c r="K217" s="91">
        <f>1346+6278+4484</f>
        <v>12108</v>
      </c>
      <c r="L217" s="91">
        <v>0</v>
      </c>
      <c r="M217" s="91">
        <v>0</v>
      </c>
      <c r="N217" s="91">
        <v>3148</v>
      </c>
      <c r="O217" s="91">
        <v>0</v>
      </c>
      <c r="P217" s="91">
        <v>0</v>
      </c>
      <c r="Q217" s="101">
        <f t="shared" si="6"/>
        <v>21455</v>
      </c>
      <c r="R217" s="95">
        <f t="shared" si="7"/>
        <v>18236.75</v>
      </c>
    </row>
    <row r="218" spans="1:19" ht="34.049999999999997" customHeight="1" x14ac:dyDescent="0.3">
      <c r="A218" s="90">
        <v>207</v>
      </c>
      <c r="B218" s="91" t="s">
        <v>582</v>
      </c>
      <c r="C218" s="91" t="s">
        <v>704</v>
      </c>
      <c r="D218" s="91" t="s">
        <v>705</v>
      </c>
      <c r="E218" s="91">
        <v>2018</v>
      </c>
      <c r="F218" s="91" t="s">
        <v>19</v>
      </c>
      <c r="G218" s="91" t="s">
        <v>779</v>
      </c>
      <c r="H218" s="91" t="s">
        <v>818</v>
      </c>
      <c r="I218" s="91" t="s">
        <v>300</v>
      </c>
      <c r="J218" s="91">
        <v>6199</v>
      </c>
      <c r="K218" s="91">
        <v>0</v>
      </c>
      <c r="L218" s="91">
        <v>0</v>
      </c>
      <c r="M218" s="91">
        <v>0</v>
      </c>
      <c r="N218" s="91">
        <v>0</v>
      </c>
      <c r="O218" s="91">
        <v>0</v>
      </c>
      <c r="P218" s="91">
        <v>0</v>
      </c>
      <c r="Q218" s="101">
        <f t="shared" si="6"/>
        <v>6199</v>
      </c>
      <c r="R218" s="95">
        <f t="shared" si="7"/>
        <v>5269.15</v>
      </c>
    </row>
    <row r="219" spans="1:19" ht="34.049999999999997" customHeight="1" x14ac:dyDescent="0.3">
      <c r="A219" s="90">
        <v>208</v>
      </c>
      <c r="B219" s="91" t="s">
        <v>582</v>
      </c>
      <c r="C219" s="91" t="s">
        <v>706</v>
      </c>
      <c r="D219" s="91" t="s">
        <v>707</v>
      </c>
      <c r="E219" s="91">
        <v>1995</v>
      </c>
      <c r="F219" s="91" t="s">
        <v>19</v>
      </c>
      <c r="G219" s="91" t="s">
        <v>780</v>
      </c>
      <c r="H219" s="91" t="s">
        <v>819</v>
      </c>
      <c r="I219" s="91" t="s">
        <v>860</v>
      </c>
      <c r="J219" s="91">
        <v>6199</v>
      </c>
      <c r="K219" s="91">
        <v>0</v>
      </c>
      <c r="L219" s="91">
        <v>0</v>
      </c>
      <c r="M219" s="91">
        <v>0</v>
      </c>
      <c r="N219" s="91">
        <v>0</v>
      </c>
      <c r="O219" s="91">
        <v>0</v>
      </c>
      <c r="P219" s="91">
        <v>0</v>
      </c>
      <c r="Q219" s="101">
        <f t="shared" si="6"/>
        <v>6199</v>
      </c>
      <c r="R219" s="95">
        <f t="shared" si="7"/>
        <v>5269.15</v>
      </c>
    </row>
    <row r="220" spans="1:19" ht="34.049999999999997" customHeight="1" x14ac:dyDescent="0.3">
      <c r="A220" s="96">
        <v>209</v>
      </c>
      <c r="B220" s="91" t="s">
        <v>582</v>
      </c>
      <c r="C220" s="91" t="s">
        <v>708</v>
      </c>
      <c r="D220" s="91" t="s">
        <v>709</v>
      </c>
      <c r="E220" s="91">
        <v>2023</v>
      </c>
      <c r="F220" s="91" t="s">
        <v>18</v>
      </c>
      <c r="G220" s="91" t="s">
        <v>781</v>
      </c>
      <c r="H220" s="91" t="s">
        <v>820</v>
      </c>
      <c r="I220" s="91" t="s">
        <v>20</v>
      </c>
      <c r="J220" s="91">
        <v>6199</v>
      </c>
      <c r="K220" s="91">
        <f>1346+6278+4484</f>
        <v>12108</v>
      </c>
      <c r="L220" s="91">
        <v>0</v>
      </c>
      <c r="M220" s="91">
        <v>0</v>
      </c>
      <c r="N220" s="91">
        <v>3148</v>
      </c>
      <c r="O220" s="91">
        <v>0</v>
      </c>
      <c r="P220" s="91">
        <v>0</v>
      </c>
      <c r="Q220" s="101">
        <f t="shared" si="6"/>
        <v>21455</v>
      </c>
      <c r="R220" s="95">
        <f t="shared" si="7"/>
        <v>18236.75</v>
      </c>
    </row>
    <row r="221" spans="1:19" ht="34.049999999999997" customHeight="1" x14ac:dyDescent="0.3">
      <c r="A221" s="90">
        <v>210</v>
      </c>
      <c r="B221" s="91" t="s">
        <v>582</v>
      </c>
      <c r="C221" s="91" t="s">
        <v>710</v>
      </c>
      <c r="D221" s="91" t="s">
        <v>711</v>
      </c>
      <c r="E221" s="91">
        <v>2022</v>
      </c>
      <c r="F221" s="91" t="s">
        <v>18</v>
      </c>
      <c r="G221" s="91" t="s">
        <v>782</v>
      </c>
      <c r="H221" s="91" t="s">
        <v>821</v>
      </c>
      <c r="I221" s="91" t="s">
        <v>861</v>
      </c>
      <c r="J221" s="91">
        <v>6199</v>
      </c>
      <c r="K221" s="91">
        <f>1346+6278+4484</f>
        <v>12108</v>
      </c>
      <c r="L221" s="91">
        <v>0</v>
      </c>
      <c r="M221" s="91">
        <v>0</v>
      </c>
      <c r="N221" s="91">
        <v>3148</v>
      </c>
      <c r="O221" s="91">
        <v>0</v>
      </c>
      <c r="P221" s="91">
        <v>0</v>
      </c>
      <c r="Q221" s="101">
        <f t="shared" si="6"/>
        <v>21455</v>
      </c>
      <c r="R221" s="95">
        <f t="shared" si="7"/>
        <v>18236.75</v>
      </c>
    </row>
    <row r="222" spans="1:19" ht="34.049999999999997" customHeight="1" x14ac:dyDescent="0.3">
      <c r="A222" s="90">
        <v>211</v>
      </c>
      <c r="B222" s="91" t="s">
        <v>582</v>
      </c>
      <c r="C222" s="91" t="s">
        <v>712</v>
      </c>
      <c r="D222" s="91" t="s">
        <v>713</v>
      </c>
      <c r="E222" s="91">
        <v>1989</v>
      </c>
      <c r="F222" s="91" t="s">
        <v>19</v>
      </c>
      <c r="G222" s="91" t="s">
        <v>783</v>
      </c>
      <c r="H222" s="91" t="s">
        <v>783</v>
      </c>
      <c r="I222" s="91" t="s">
        <v>293</v>
      </c>
      <c r="J222" s="91">
        <v>6199</v>
      </c>
      <c r="K222" s="91">
        <v>0</v>
      </c>
      <c r="L222" s="91">
        <v>0</v>
      </c>
      <c r="M222" s="91">
        <v>0</v>
      </c>
      <c r="N222" s="91">
        <v>0</v>
      </c>
      <c r="O222" s="91">
        <v>0</v>
      </c>
      <c r="P222" s="91">
        <v>0</v>
      </c>
      <c r="Q222" s="101">
        <f t="shared" si="6"/>
        <v>6199</v>
      </c>
      <c r="R222" s="95">
        <f t="shared" si="7"/>
        <v>5269.15</v>
      </c>
    </row>
    <row r="223" spans="1:19" ht="34.049999999999997" customHeight="1" x14ac:dyDescent="0.3">
      <c r="A223" s="96">
        <v>212</v>
      </c>
      <c r="B223" s="91" t="s">
        <v>582</v>
      </c>
      <c r="C223" s="91" t="s">
        <v>714</v>
      </c>
      <c r="D223" s="91" t="s">
        <v>715</v>
      </c>
      <c r="E223" s="91">
        <v>2024</v>
      </c>
      <c r="F223" s="91" t="s">
        <v>18</v>
      </c>
      <c r="G223" s="91" t="s">
        <v>784</v>
      </c>
      <c r="H223" s="91" t="s">
        <v>822</v>
      </c>
      <c r="I223" s="91" t="s">
        <v>293</v>
      </c>
      <c r="J223" s="91">
        <v>6199</v>
      </c>
      <c r="K223" s="91">
        <f>1346+6278+4484</f>
        <v>12108</v>
      </c>
      <c r="L223" s="91">
        <v>0</v>
      </c>
      <c r="M223" s="91">
        <v>0</v>
      </c>
      <c r="N223" s="91">
        <v>3148</v>
      </c>
      <c r="O223" s="91">
        <v>0</v>
      </c>
      <c r="P223" s="91">
        <v>0</v>
      </c>
      <c r="Q223" s="101">
        <f t="shared" si="6"/>
        <v>21455</v>
      </c>
      <c r="R223" s="95">
        <f t="shared" si="7"/>
        <v>18236.75</v>
      </c>
    </row>
    <row r="224" spans="1:19" ht="34.049999999999997" customHeight="1" x14ac:dyDescent="0.3">
      <c r="A224" s="90">
        <v>213</v>
      </c>
      <c r="B224" s="91" t="s">
        <v>582</v>
      </c>
      <c r="C224" s="91" t="s">
        <v>716</v>
      </c>
      <c r="D224" s="91" t="s">
        <v>717</v>
      </c>
      <c r="E224" s="91">
        <v>2012</v>
      </c>
      <c r="F224" s="91" t="s">
        <v>18</v>
      </c>
      <c r="G224" s="91" t="s">
        <v>785</v>
      </c>
      <c r="H224" s="91" t="s">
        <v>823</v>
      </c>
      <c r="I224" s="91" t="s">
        <v>862</v>
      </c>
      <c r="J224" s="91">
        <v>6199</v>
      </c>
      <c r="K224" s="91">
        <f>1346+6278+4484+2332+2332+2332+1166</f>
        <v>20270</v>
      </c>
      <c r="L224" s="91">
        <v>0</v>
      </c>
      <c r="M224" s="91">
        <v>0</v>
      </c>
      <c r="N224" s="91">
        <v>1793</v>
      </c>
      <c r="O224" s="91">
        <v>0</v>
      </c>
      <c r="P224" s="91">
        <v>0</v>
      </c>
      <c r="Q224" s="101">
        <f t="shared" si="6"/>
        <v>28262</v>
      </c>
      <c r="R224" s="95">
        <f t="shared" si="7"/>
        <v>24022.7</v>
      </c>
      <c r="S224" s="41"/>
    </row>
    <row r="225" spans="1:18" ht="34.049999999999997" customHeight="1" x14ac:dyDescent="0.3">
      <c r="A225" s="90">
        <v>214</v>
      </c>
      <c r="B225" s="91" t="s">
        <v>582</v>
      </c>
      <c r="C225" s="91" t="s">
        <v>718</v>
      </c>
      <c r="D225" s="91" t="s">
        <v>719</v>
      </c>
      <c r="E225" s="91">
        <v>1980</v>
      </c>
      <c r="F225" s="91" t="s">
        <v>18</v>
      </c>
      <c r="G225" s="91" t="s">
        <v>786</v>
      </c>
      <c r="H225" s="91" t="s">
        <v>786</v>
      </c>
      <c r="I225" s="91" t="s">
        <v>843</v>
      </c>
      <c r="J225" s="91">
        <v>3793</v>
      </c>
      <c r="K225" s="91">
        <v>0</v>
      </c>
      <c r="L225" s="91">
        <v>0</v>
      </c>
      <c r="M225" s="91">
        <v>0</v>
      </c>
      <c r="N225" s="91">
        <v>0</v>
      </c>
      <c r="O225" s="91">
        <v>0</v>
      </c>
      <c r="P225" s="91">
        <v>0</v>
      </c>
      <c r="Q225" s="101">
        <f t="shared" si="6"/>
        <v>3793</v>
      </c>
      <c r="R225" s="95">
        <f t="shared" si="7"/>
        <v>3224.05</v>
      </c>
    </row>
    <row r="226" spans="1:18" ht="34.049999999999997" customHeight="1" x14ac:dyDescent="0.3">
      <c r="A226" s="96">
        <v>215</v>
      </c>
      <c r="B226" s="91" t="s">
        <v>582</v>
      </c>
      <c r="C226" s="91" t="s">
        <v>7355</v>
      </c>
      <c r="D226" s="93" t="s">
        <v>2641</v>
      </c>
      <c r="E226" s="91">
        <v>2023</v>
      </c>
      <c r="F226" s="91" t="s">
        <v>19</v>
      </c>
      <c r="G226" s="91" t="s">
        <v>2642</v>
      </c>
      <c r="H226" s="91" t="s">
        <v>2643</v>
      </c>
      <c r="I226" s="91" t="s">
        <v>2644</v>
      </c>
      <c r="J226" s="91">
        <v>3793</v>
      </c>
      <c r="K226" s="91">
        <f>1346+6278+4484+4484+2332+2332+2332+6995+6995+2332+6995+2332+2332+2332</f>
        <v>53901</v>
      </c>
      <c r="L226" s="91">
        <v>0</v>
      </c>
      <c r="M226" s="91">
        <v>0</v>
      </c>
      <c r="N226" s="91">
        <f>3148+4053</f>
        <v>7201</v>
      </c>
      <c r="O226" s="91">
        <v>0</v>
      </c>
      <c r="P226" s="91">
        <f>720+1080+120</f>
        <v>1920</v>
      </c>
      <c r="Q226" s="101">
        <f t="shared" si="6"/>
        <v>66815</v>
      </c>
      <c r="R226" s="95">
        <f t="shared" si="7"/>
        <v>56792.75</v>
      </c>
    </row>
    <row r="227" spans="1:18" ht="34.049999999999997" customHeight="1" x14ac:dyDescent="0.3">
      <c r="A227" s="90">
        <v>216</v>
      </c>
      <c r="B227" s="91" t="s">
        <v>582</v>
      </c>
      <c r="C227" s="91" t="s">
        <v>7355</v>
      </c>
      <c r="D227" s="93" t="s">
        <v>2641</v>
      </c>
      <c r="E227" s="91">
        <v>2023</v>
      </c>
      <c r="F227" s="91" t="s">
        <v>19</v>
      </c>
      <c r="G227" s="91" t="s">
        <v>2642</v>
      </c>
      <c r="H227" s="91" t="s">
        <v>2643</v>
      </c>
      <c r="I227" s="91" t="s">
        <v>2644</v>
      </c>
      <c r="J227" s="91">
        <v>0</v>
      </c>
      <c r="K227" s="91">
        <v>0</v>
      </c>
      <c r="L227" s="91">
        <v>0</v>
      </c>
      <c r="M227" s="91">
        <v>17688</v>
      </c>
      <c r="N227" s="91">
        <v>4176</v>
      </c>
      <c r="O227" s="91">
        <v>0</v>
      </c>
      <c r="P227" s="91">
        <f>720+112</f>
        <v>832</v>
      </c>
      <c r="Q227" s="101">
        <f t="shared" si="6"/>
        <v>22696</v>
      </c>
      <c r="R227" s="95">
        <f t="shared" si="7"/>
        <v>19291.599999999999</v>
      </c>
    </row>
    <row r="228" spans="1:18" ht="34.049999999999997" customHeight="1" x14ac:dyDescent="0.3">
      <c r="A228" s="90">
        <v>217</v>
      </c>
      <c r="B228" s="91" t="s">
        <v>582</v>
      </c>
      <c r="C228" s="91" t="s">
        <v>7356</v>
      </c>
      <c r="D228" s="93" t="s">
        <v>2636</v>
      </c>
      <c r="E228" s="91">
        <v>2024</v>
      </c>
      <c r="F228" s="91" t="s">
        <v>18</v>
      </c>
      <c r="G228" s="91" t="s">
        <v>2637</v>
      </c>
      <c r="H228" s="91" t="s">
        <v>2638</v>
      </c>
      <c r="I228" s="91" t="s">
        <v>2639</v>
      </c>
      <c r="J228" s="91">
        <v>2900</v>
      </c>
      <c r="K228" s="91">
        <v>0</v>
      </c>
      <c r="L228" s="91">
        <v>0</v>
      </c>
      <c r="M228" s="91">
        <v>17688</v>
      </c>
      <c r="N228" s="91">
        <v>2088</v>
      </c>
      <c r="O228" s="91">
        <v>0</v>
      </c>
      <c r="P228" s="91">
        <f>60+1080+396+168</f>
        <v>1704</v>
      </c>
      <c r="Q228" s="101">
        <f t="shared" si="6"/>
        <v>24380</v>
      </c>
      <c r="R228" s="95">
        <f t="shared" si="7"/>
        <v>20723</v>
      </c>
    </row>
    <row r="229" spans="1:18" ht="34.049999999999997" customHeight="1" x14ac:dyDescent="0.3">
      <c r="A229" s="96">
        <v>218</v>
      </c>
      <c r="B229" s="91" t="s">
        <v>582</v>
      </c>
      <c r="C229" s="91" t="s">
        <v>7357</v>
      </c>
      <c r="D229" s="93" t="s">
        <v>311</v>
      </c>
      <c r="E229" s="91">
        <v>2025</v>
      </c>
      <c r="F229" s="91" t="s">
        <v>19</v>
      </c>
      <c r="G229" s="91" t="s">
        <v>437</v>
      </c>
      <c r="H229" s="91" t="s">
        <v>499</v>
      </c>
      <c r="I229" s="91" t="s">
        <v>300</v>
      </c>
      <c r="J229" s="91">
        <v>2900</v>
      </c>
      <c r="K229" s="91">
        <v>0</v>
      </c>
      <c r="L229" s="91">
        <v>0</v>
      </c>
      <c r="M229" s="91">
        <v>0</v>
      </c>
      <c r="N229" s="91">
        <v>2088</v>
      </c>
      <c r="O229" s="91">
        <v>0</v>
      </c>
      <c r="P229" s="91">
        <f>360+56</f>
        <v>416</v>
      </c>
      <c r="Q229" s="101">
        <f t="shared" si="6"/>
        <v>5404</v>
      </c>
      <c r="R229" s="95">
        <f t="shared" si="7"/>
        <v>4593.3999999999996</v>
      </c>
    </row>
    <row r="230" spans="1:18" ht="34.049999999999997" customHeight="1" x14ac:dyDescent="0.3">
      <c r="A230" s="90">
        <v>219</v>
      </c>
      <c r="B230" s="91" t="s">
        <v>582</v>
      </c>
      <c r="C230" s="91" t="s">
        <v>7358</v>
      </c>
      <c r="D230" s="93" t="s">
        <v>57</v>
      </c>
      <c r="E230" s="91">
        <v>2023</v>
      </c>
      <c r="F230" s="91" t="s">
        <v>19</v>
      </c>
      <c r="G230" s="91" t="s">
        <v>157</v>
      </c>
      <c r="H230" s="91" t="s">
        <v>216</v>
      </c>
      <c r="I230" s="91" t="s">
        <v>256</v>
      </c>
      <c r="J230" s="91">
        <v>2900</v>
      </c>
      <c r="K230" s="91">
        <v>0</v>
      </c>
      <c r="L230" s="91">
        <v>0</v>
      </c>
      <c r="M230" s="91">
        <v>0</v>
      </c>
      <c r="N230" s="91">
        <f>2088+1178</f>
        <v>3266</v>
      </c>
      <c r="O230" s="91">
        <v>0</v>
      </c>
      <c r="P230" s="91">
        <f>360+56+396</f>
        <v>812</v>
      </c>
      <c r="Q230" s="101">
        <f t="shared" si="6"/>
        <v>6978</v>
      </c>
      <c r="R230" s="95">
        <f t="shared" si="7"/>
        <v>5931.3</v>
      </c>
    </row>
    <row r="231" spans="1:18" ht="34.049999999999997" customHeight="1" x14ac:dyDescent="0.3">
      <c r="A231" s="90">
        <v>220</v>
      </c>
      <c r="B231" s="91" t="s">
        <v>582</v>
      </c>
      <c r="C231" s="91" t="s">
        <v>7359</v>
      </c>
      <c r="D231" s="93" t="s">
        <v>94</v>
      </c>
      <c r="E231" s="91">
        <v>2021</v>
      </c>
      <c r="F231" s="91" t="s">
        <v>18</v>
      </c>
      <c r="G231" s="91" t="s">
        <v>176</v>
      </c>
      <c r="H231" s="91" t="s">
        <v>227</v>
      </c>
      <c r="I231" s="91" t="s">
        <v>2645</v>
      </c>
      <c r="J231" s="91">
        <v>2900</v>
      </c>
      <c r="K231" s="91">
        <v>0</v>
      </c>
      <c r="L231" s="91">
        <v>0</v>
      </c>
      <c r="M231" s="91">
        <v>17688</v>
      </c>
      <c r="N231" s="91">
        <v>2088</v>
      </c>
      <c r="O231" s="91">
        <v>0</v>
      </c>
      <c r="P231" s="91">
        <f>1080+168</f>
        <v>1248</v>
      </c>
      <c r="Q231" s="101">
        <f t="shared" si="6"/>
        <v>23924</v>
      </c>
      <c r="R231" s="95">
        <f t="shared" si="7"/>
        <v>20335.400000000001</v>
      </c>
    </row>
    <row r="232" spans="1:18" ht="34.049999999999997" customHeight="1" x14ac:dyDescent="0.3">
      <c r="A232" s="96">
        <v>221</v>
      </c>
      <c r="B232" s="91" t="s">
        <v>582</v>
      </c>
      <c r="C232" s="91" t="s">
        <v>7360</v>
      </c>
      <c r="D232" s="93" t="s">
        <v>321</v>
      </c>
      <c r="E232" s="91">
        <v>2019</v>
      </c>
      <c r="F232" s="91" t="s">
        <v>18</v>
      </c>
      <c r="G232" s="91" t="s">
        <v>442</v>
      </c>
      <c r="H232" s="91" t="s">
        <v>503</v>
      </c>
      <c r="I232" s="91" t="s">
        <v>25</v>
      </c>
      <c r="J232" s="91">
        <v>2900</v>
      </c>
      <c r="K232" s="91">
        <v>0</v>
      </c>
      <c r="L232" s="91">
        <v>0</v>
      </c>
      <c r="M232" s="91">
        <v>17688</v>
      </c>
      <c r="N232" s="91">
        <v>2088</v>
      </c>
      <c r="O232" s="91">
        <v>0</v>
      </c>
      <c r="P232" s="91">
        <f>1080+168</f>
        <v>1248</v>
      </c>
      <c r="Q232" s="101">
        <f t="shared" si="6"/>
        <v>23924</v>
      </c>
      <c r="R232" s="95">
        <f t="shared" si="7"/>
        <v>20335.400000000001</v>
      </c>
    </row>
    <row r="233" spans="1:18" ht="34.049999999999997" customHeight="1" x14ac:dyDescent="0.3">
      <c r="A233" s="90">
        <v>222</v>
      </c>
      <c r="B233" s="91" t="s">
        <v>582</v>
      </c>
      <c r="C233" s="91" t="s">
        <v>7178</v>
      </c>
      <c r="D233" s="93" t="s">
        <v>332</v>
      </c>
      <c r="E233" s="91">
        <v>2025</v>
      </c>
      <c r="F233" s="91" t="s">
        <v>18</v>
      </c>
      <c r="G233" s="91" t="s">
        <v>447</v>
      </c>
      <c r="H233" s="91" t="s">
        <v>504</v>
      </c>
      <c r="I233" s="91" t="s">
        <v>544</v>
      </c>
      <c r="J233" s="91">
        <v>2900</v>
      </c>
      <c r="K233" s="91">
        <v>0</v>
      </c>
      <c r="L233" s="91">
        <v>0</v>
      </c>
      <c r="M233" s="91">
        <v>17688</v>
      </c>
      <c r="N233" s="91">
        <v>2088</v>
      </c>
      <c r="O233" s="91">
        <v>0</v>
      </c>
      <c r="P233" s="91">
        <f>1080+168</f>
        <v>1248</v>
      </c>
      <c r="Q233" s="101">
        <f t="shared" si="6"/>
        <v>23924</v>
      </c>
      <c r="R233" s="95">
        <f t="shared" si="7"/>
        <v>20335.400000000001</v>
      </c>
    </row>
    <row r="234" spans="1:18" ht="34.049999999999997" customHeight="1" x14ac:dyDescent="0.3">
      <c r="A234" s="90">
        <v>223</v>
      </c>
      <c r="B234" s="91" t="s">
        <v>863</v>
      </c>
      <c r="C234" s="91" t="s">
        <v>864</v>
      </c>
      <c r="D234" s="91" t="s">
        <v>865</v>
      </c>
      <c r="E234" s="91">
        <v>2023</v>
      </c>
      <c r="F234" s="91" t="s">
        <v>19</v>
      </c>
      <c r="G234" s="91" t="s">
        <v>966</v>
      </c>
      <c r="H234" s="91" t="s">
        <v>1015</v>
      </c>
      <c r="I234" s="91" t="s">
        <v>1046</v>
      </c>
      <c r="J234" s="91">
        <v>6199</v>
      </c>
      <c r="K234" s="91">
        <f>6278+4484+4484+1346+2332+2332+2332+2332+2332+2332+6995+6995+2332+6995</f>
        <v>53901</v>
      </c>
      <c r="L234" s="91">
        <v>0</v>
      </c>
      <c r="M234" s="91">
        <v>0</v>
      </c>
      <c r="N234" s="91">
        <v>3148</v>
      </c>
      <c r="O234" s="91">
        <v>0</v>
      </c>
      <c r="P234" s="91">
        <v>0</v>
      </c>
      <c r="Q234" s="101">
        <f t="shared" si="6"/>
        <v>63248</v>
      </c>
      <c r="R234" s="95">
        <f t="shared" si="7"/>
        <v>53760.800000000003</v>
      </c>
    </row>
    <row r="235" spans="1:18" ht="34.049999999999997" customHeight="1" x14ac:dyDescent="0.3">
      <c r="A235" s="96">
        <v>224</v>
      </c>
      <c r="B235" s="91" t="s">
        <v>863</v>
      </c>
      <c r="C235" s="91" t="s">
        <v>866</v>
      </c>
      <c r="D235" s="91" t="s">
        <v>867</v>
      </c>
      <c r="E235" s="91">
        <v>2018</v>
      </c>
      <c r="F235" s="91" t="s">
        <v>19</v>
      </c>
      <c r="G235" s="91" t="s">
        <v>967</v>
      </c>
      <c r="H235" s="91" t="s">
        <v>1016</v>
      </c>
      <c r="I235" s="91" t="s">
        <v>1047</v>
      </c>
      <c r="J235" s="91">
        <v>6199</v>
      </c>
      <c r="K235" s="91">
        <v>0</v>
      </c>
      <c r="L235" s="91">
        <v>0</v>
      </c>
      <c r="M235" s="91">
        <v>0</v>
      </c>
      <c r="N235" s="91">
        <f>15443+17918</f>
        <v>33361</v>
      </c>
      <c r="O235" s="91">
        <v>0</v>
      </c>
      <c r="P235" s="91">
        <v>0</v>
      </c>
      <c r="Q235" s="101">
        <f t="shared" si="6"/>
        <v>39560</v>
      </c>
      <c r="R235" s="95">
        <f t="shared" si="7"/>
        <v>33626</v>
      </c>
    </row>
    <row r="236" spans="1:18" ht="34.049999999999997" customHeight="1" x14ac:dyDescent="0.3">
      <c r="A236" s="90">
        <v>225</v>
      </c>
      <c r="B236" s="91" t="s">
        <v>863</v>
      </c>
      <c r="C236" s="91" t="s">
        <v>868</v>
      </c>
      <c r="D236" s="91" t="s">
        <v>869</v>
      </c>
      <c r="E236" s="91">
        <v>1991</v>
      </c>
      <c r="F236" s="91" t="s">
        <v>19</v>
      </c>
      <c r="G236" s="91" t="s">
        <v>968</v>
      </c>
      <c r="H236" s="91" t="s">
        <v>968</v>
      </c>
      <c r="I236" s="91" t="s">
        <v>300</v>
      </c>
      <c r="J236" s="91">
        <v>6199</v>
      </c>
      <c r="K236" s="91">
        <v>0</v>
      </c>
      <c r="L236" s="91">
        <v>0</v>
      </c>
      <c r="M236" s="91">
        <v>0</v>
      </c>
      <c r="N236" s="91">
        <f>248001+15443</f>
        <v>263444</v>
      </c>
      <c r="O236" s="91">
        <v>0</v>
      </c>
      <c r="P236" s="91">
        <v>0</v>
      </c>
      <c r="Q236" s="101">
        <f t="shared" si="6"/>
        <v>269643</v>
      </c>
      <c r="R236" s="95">
        <f t="shared" si="7"/>
        <v>229196.55</v>
      </c>
    </row>
    <row r="237" spans="1:18" ht="34.049999999999997" customHeight="1" x14ac:dyDescent="0.3">
      <c r="A237" s="90">
        <v>226</v>
      </c>
      <c r="B237" s="91" t="s">
        <v>863</v>
      </c>
      <c r="C237" s="91" t="s">
        <v>870</v>
      </c>
      <c r="D237" s="91" t="s">
        <v>871</v>
      </c>
      <c r="E237" s="91">
        <v>1990</v>
      </c>
      <c r="F237" s="91" t="s">
        <v>19</v>
      </c>
      <c r="G237" s="91" t="s">
        <v>969</v>
      </c>
      <c r="H237" s="91" t="s">
        <v>1017</v>
      </c>
      <c r="I237" s="91" t="s">
        <v>1048</v>
      </c>
      <c r="J237" s="91">
        <v>6199</v>
      </c>
      <c r="K237" s="91">
        <v>0</v>
      </c>
      <c r="L237" s="91">
        <v>0</v>
      </c>
      <c r="M237" s="91">
        <v>0</v>
      </c>
      <c r="N237" s="91">
        <f>248001+30886</f>
        <v>278887</v>
      </c>
      <c r="O237" s="91">
        <v>0</v>
      </c>
      <c r="P237" s="91">
        <v>0</v>
      </c>
      <c r="Q237" s="101">
        <f t="shared" si="6"/>
        <v>285086</v>
      </c>
      <c r="R237" s="95">
        <f t="shared" si="7"/>
        <v>242323.1</v>
      </c>
    </row>
    <row r="238" spans="1:18" ht="34.049999999999997" customHeight="1" x14ac:dyDescent="0.3">
      <c r="A238" s="96">
        <v>227</v>
      </c>
      <c r="B238" s="91" t="s">
        <v>863</v>
      </c>
      <c r="C238" s="91" t="s">
        <v>872</v>
      </c>
      <c r="D238" s="91" t="s">
        <v>873</v>
      </c>
      <c r="E238" s="91">
        <v>2011</v>
      </c>
      <c r="F238" s="91" t="s">
        <v>18</v>
      </c>
      <c r="G238" s="91" t="s">
        <v>970</v>
      </c>
      <c r="H238" s="91" t="s">
        <v>1018</v>
      </c>
      <c r="I238" s="91" t="s">
        <v>1049</v>
      </c>
      <c r="J238" s="91">
        <v>6199</v>
      </c>
      <c r="K238" s="91">
        <f>6278+4484+1346+2332+2332+2332+2332+2332+2332+3000+3000+1166+2332+6995+6995+2332+6995</f>
        <v>58915</v>
      </c>
      <c r="L238" s="91">
        <v>0</v>
      </c>
      <c r="M238" s="91">
        <v>0</v>
      </c>
      <c r="N238" s="91">
        <v>1793</v>
      </c>
      <c r="O238" s="91">
        <v>0</v>
      </c>
      <c r="P238" s="91">
        <v>0</v>
      </c>
      <c r="Q238" s="101">
        <f t="shared" si="6"/>
        <v>66907</v>
      </c>
      <c r="R238" s="95">
        <f t="shared" si="7"/>
        <v>56870.95</v>
      </c>
    </row>
    <row r="239" spans="1:18" ht="34.049999999999997" customHeight="1" x14ac:dyDescent="0.3">
      <c r="A239" s="90">
        <v>228</v>
      </c>
      <c r="B239" s="91" t="s">
        <v>863</v>
      </c>
      <c r="C239" s="91" t="s">
        <v>874</v>
      </c>
      <c r="D239" s="91" t="s">
        <v>875</v>
      </c>
      <c r="E239" s="91">
        <v>1980</v>
      </c>
      <c r="F239" s="91" t="s">
        <v>19</v>
      </c>
      <c r="G239" s="91" t="s">
        <v>971</v>
      </c>
      <c r="H239" s="91" t="s">
        <v>1019</v>
      </c>
      <c r="I239" s="91" t="s">
        <v>534</v>
      </c>
      <c r="J239" s="91">
        <v>6199</v>
      </c>
      <c r="K239" s="91">
        <f>1346+6278+4484+2332+2332+2332+6995+2332+2332+2332+3228+4484+4484+2332+4484+3000+3000+2332+2332+6995+2243+3587</f>
        <v>75596</v>
      </c>
      <c r="L239" s="91">
        <v>0</v>
      </c>
      <c r="M239" s="91">
        <v>0</v>
      </c>
      <c r="N239" s="91">
        <v>1793</v>
      </c>
      <c r="O239" s="91">
        <v>0</v>
      </c>
      <c r="P239" s="91">
        <v>0</v>
      </c>
      <c r="Q239" s="101">
        <f t="shared" si="6"/>
        <v>83588</v>
      </c>
      <c r="R239" s="95">
        <f t="shared" si="7"/>
        <v>71049.8</v>
      </c>
    </row>
    <row r="240" spans="1:18" ht="34.049999999999997" customHeight="1" x14ac:dyDescent="0.3">
      <c r="A240" s="90">
        <v>229</v>
      </c>
      <c r="B240" s="91" t="s">
        <v>863</v>
      </c>
      <c r="C240" s="91" t="s">
        <v>876</v>
      </c>
      <c r="D240" s="91" t="s">
        <v>877</v>
      </c>
      <c r="E240" s="91">
        <v>1977</v>
      </c>
      <c r="F240" s="91" t="s">
        <v>18</v>
      </c>
      <c r="G240" s="91" t="s">
        <v>972</v>
      </c>
      <c r="H240" s="91" t="s">
        <v>1020</v>
      </c>
      <c r="I240" s="91" t="s">
        <v>293</v>
      </c>
      <c r="J240" s="91">
        <v>6199</v>
      </c>
      <c r="K240" s="91">
        <v>0</v>
      </c>
      <c r="L240" s="91">
        <v>0</v>
      </c>
      <c r="M240" s="91">
        <v>0</v>
      </c>
      <c r="N240" s="91">
        <v>0</v>
      </c>
      <c r="O240" s="91">
        <v>0</v>
      </c>
      <c r="P240" s="91">
        <v>0</v>
      </c>
      <c r="Q240" s="101">
        <f t="shared" si="6"/>
        <v>6199</v>
      </c>
      <c r="R240" s="95">
        <f t="shared" si="7"/>
        <v>5269.15</v>
      </c>
    </row>
    <row r="241" spans="1:23" ht="34.049999999999997" customHeight="1" x14ac:dyDescent="0.3">
      <c r="A241" s="96">
        <v>230</v>
      </c>
      <c r="B241" s="91" t="s">
        <v>863</v>
      </c>
      <c r="C241" s="91" t="s">
        <v>878</v>
      </c>
      <c r="D241" s="91" t="s">
        <v>879</v>
      </c>
      <c r="E241" s="91">
        <v>1980</v>
      </c>
      <c r="F241" s="91" t="s">
        <v>19</v>
      </c>
      <c r="G241" s="91" t="s">
        <v>973</v>
      </c>
      <c r="H241" s="91" t="s">
        <v>973</v>
      </c>
      <c r="I241" s="91" t="s">
        <v>1050</v>
      </c>
      <c r="J241" s="91">
        <v>3582</v>
      </c>
      <c r="K241" s="91">
        <v>0</v>
      </c>
      <c r="L241" s="91">
        <v>0</v>
      </c>
      <c r="M241" s="91">
        <v>0</v>
      </c>
      <c r="N241" s="91">
        <f>15443+20859</f>
        <v>36302</v>
      </c>
      <c r="O241" s="91">
        <v>0</v>
      </c>
      <c r="P241" s="91">
        <v>0</v>
      </c>
      <c r="Q241" s="101">
        <f t="shared" si="6"/>
        <v>39884</v>
      </c>
      <c r="R241" s="95">
        <f t="shared" si="7"/>
        <v>33901.4</v>
      </c>
    </row>
    <row r="242" spans="1:23" ht="34.049999999999997" customHeight="1" x14ac:dyDescent="0.3">
      <c r="A242" s="90">
        <v>231</v>
      </c>
      <c r="B242" s="91" t="s">
        <v>863</v>
      </c>
      <c r="C242" s="91" t="s">
        <v>880</v>
      </c>
      <c r="D242" s="91" t="s">
        <v>881</v>
      </c>
      <c r="E242" s="91">
        <v>2009</v>
      </c>
      <c r="F242" s="91" t="s">
        <v>18</v>
      </c>
      <c r="G242" s="91" t="s">
        <v>974</v>
      </c>
      <c r="H242" s="91" t="s">
        <v>1021</v>
      </c>
      <c r="I242" s="91" t="s">
        <v>1050</v>
      </c>
      <c r="J242" s="91">
        <v>6199</v>
      </c>
      <c r="K242" s="91">
        <v>0</v>
      </c>
      <c r="L242" s="91">
        <v>0</v>
      </c>
      <c r="M242" s="91">
        <v>0</v>
      </c>
      <c r="N242" s="91">
        <v>0</v>
      </c>
      <c r="O242" s="91">
        <v>0</v>
      </c>
      <c r="P242" s="91">
        <v>0</v>
      </c>
      <c r="Q242" s="101">
        <f t="shared" si="6"/>
        <v>6199</v>
      </c>
      <c r="R242" s="95">
        <f t="shared" si="7"/>
        <v>5269.15</v>
      </c>
    </row>
    <row r="243" spans="1:23" ht="34.049999999999997" customHeight="1" x14ac:dyDescent="0.3">
      <c r="A243" s="90">
        <v>232</v>
      </c>
      <c r="B243" s="91" t="s">
        <v>863</v>
      </c>
      <c r="C243" s="91" t="s">
        <v>882</v>
      </c>
      <c r="D243" s="91" t="s">
        <v>879</v>
      </c>
      <c r="E243" s="91">
        <v>1980</v>
      </c>
      <c r="F243" s="91" t="s">
        <v>19</v>
      </c>
      <c r="G243" s="91" t="s">
        <v>973</v>
      </c>
      <c r="H243" s="91" t="s">
        <v>973</v>
      </c>
      <c r="I243" s="91" t="s">
        <v>1050</v>
      </c>
      <c r="J243" s="91">
        <v>3793</v>
      </c>
      <c r="K243" s="91">
        <v>0</v>
      </c>
      <c r="L243" s="91">
        <v>0</v>
      </c>
      <c r="M243" s="91">
        <v>0</v>
      </c>
      <c r="N243" s="91">
        <v>0</v>
      </c>
      <c r="O243" s="91">
        <v>0</v>
      </c>
      <c r="P243" s="91">
        <v>0</v>
      </c>
      <c r="Q243" s="101">
        <f t="shared" si="6"/>
        <v>3793</v>
      </c>
      <c r="R243" s="95">
        <f t="shared" si="7"/>
        <v>3224.05</v>
      </c>
    </row>
    <row r="244" spans="1:23" ht="34.049999999999997" customHeight="1" x14ac:dyDescent="0.3">
      <c r="A244" s="96">
        <v>233</v>
      </c>
      <c r="B244" s="91" t="s">
        <v>863</v>
      </c>
      <c r="C244" s="91" t="s">
        <v>883</v>
      </c>
      <c r="D244" s="91" t="s">
        <v>884</v>
      </c>
      <c r="E244" s="91">
        <v>2016</v>
      </c>
      <c r="F244" s="91" t="s">
        <v>19</v>
      </c>
      <c r="G244" s="91" t="s">
        <v>975</v>
      </c>
      <c r="H244" s="91" t="s">
        <v>1022</v>
      </c>
      <c r="I244" s="91" t="s">
        <v>1051</v>
      </c>
      <c r="J244" s="91">
        <v>6199</v>
      </c>
      <c r="K244" s="91">
        <f>6278+1346+1166+4484</f>
        <v>13274</v>
      </c>
      <c r="L244" s="91">
        <v>0</v>
      </c>
      <c r="M244" s="91">
        <v>0</v>
      </c>
      <c r="N244" s="91">
        <v>3148</v>
      </c>
      <c r="O244" s="91">
        <v>0</v>
      </c>
      <c r="P244" s="91">
        <v>0</v>
      </c>
      <c r="Q244" s="101">
        <f t="shared" si="6"/>
        <v>22621</v>
      </c>
      <c r="R244" s="95">
        <f t="shared" si="7"/>
        <v>19227.849999999999</v>
      </c>
    </row>
    <row r="245" spans="1:23" ht="34.049999999999997" customHeight="1" x14ac:dyDescent="0.3">
      <c r="A245" s="90">
        <v>234</v>
      </c>
      <c r="B245" s="91" t="s">
        <v>863</v>
      </c>
      <c r="C245" s="91" t="s">
        <v>885</v>
      </c>
      <c r="D245" s="91" t="s">
        <v>886</v>
      </c>
      <c r="E245" s="91">
        <v>1994</v>
      </c>
      <c r="F245" s="91" t="s">
        <v>19</v>
      </c>
      <c r="G245" s="91" t="s">
        <v>976</v>
      </c>
      <c r="H245" s="91" t="s">
        <v>1023</v>
      </c>
      <c r="I245" s="91" t="s">
        <v>1052</v>
      </c>
      <c r="J245" s="91">
        <v>3793</v>
      </c>
      <c r="K245" s="91">
        <v>0</v>
      </c>
      <c r="L245" s="91">
        <v>9422</v>
      </c>
      <c r="M245" s="91">
        <v>0</v>
      </c>
      <c r="N245" s="91">
        <v>0</v>
      </c>
      <c r="O245" s="91">
        <v>0</v>
      </c>
      <c r="P245" s="91">
        <v>0</v>
      </c>
      <c r="Q245" s="101">
        <f t="shared" si="6"/>
        <v>13215</v>
      </c>
      <c r="R245" s="95">
        <f t="shared" si="7"/>
        <v>11232.75</v>
      </c>
    </row>
    <row r="246" spans="1:23" ht="34.049999999999997" customHeight="1" x14ac:dyDescent="0.3">
      <c r="A246" s="90">
        <v>235</v>
      </c>
      <c r="B246" s="91" t="s">
        <v>863</v>
      </c>
      <c r="C246" s="91" t="s">
        <v>887</v>
      </c>
      <c r="D246" s="91" t="s">
        <v>888</v>
      </c>
      <c r="E246" s="91">
        <v>2011</v>
      </c>
      <c r="F246" s="91" t="s">
        <v>19</v>
      </c>
      <c r="G246" s="91" t="s">
        <v>977</v>
      </c>
      <c r="H246" s="91" t="s">
        <v>1024</v>
      </c>
      <c r="I246" s="91" t="s">
        <v>300</v>
      </c>
      <c r="J246" s="91">
        <v>6199</v>
      </c>
      <c r="K246" s="91">
        <v>0</v>
      </c>
      <c r="L246" s="91">
        <v>0</v>
      </c>
      <c r="M246" s="91">
        <v>0</v>
      </c>
      <c r="N246" s="91">
        <v>68032</v>
      </c>
      <c r="O246" s="91">
        <v>0</v>
      </c>
      <c r="P246" s="91">
        <v>0</v>
      </c>
      <c r="Q246" s="101">
        <f t="shared" si="6"/>
        <v>74231</v>
      </c>
      <c r="R246" s="95">
        <f t="shared" si="7"/>
        <v>63096.35</v>
      </c>
    </row>
    <row r="247" spans="1:23" ht="34.049999999999997" customHeight="1" x14ac:dyDescent="0.3">
      <c r="A247" s="96">
        <v>236</v>
      </c>
      <c r="B247" s="91" t="s">
        <v>863</v>
      </c>
      <c r="C247" s="91" t="s">
        <v>889</v>
      </c>
      <c r="D247" s="91" t="s">
        <v>344</v>
      </c>
      <c r="E247" s="91">
        <v>2014</v>
      </c>
      <c r="F247" s="91" t="s">
        <v>19</v>
      </c>
      <c r="G247" s="91" t="s">
        <v>453</v>
      </c>
      <c r="H247" s="91" t="s">
        <v>508</v>
      </c>
      <c r="I247" s="91" t="s">
        <v>549</v>
      </c>
      <c r="J247" s="91">
        <v>0</v>
      </c>
      <c r="K247" s="91">
        <v>0</v>
      </c>
      <c r="L247" s="91">
        <v>0</v>
      </c>
      <c r="M247" s="91">
        <v>0</v>
      </c>
      <c r="N247" s="91">
        <v>5321</v>
      </c>
      <c r="O247" s="91">
        <v>0</v>
      </c>
      <c r="P247" s="91">
        <v>0</v>
      </c>
      <c r="Q247" s="101">
        <f t="shared" si="6"/>
        <v>5321</v>
      </c>
      <c r="R247" s="95">
        <f t="shared" si="7"/>
        <v>4522.8500000000004</v>
      </c>
    </row>
    <row r="248" spans="1:23" ht="34.049999999999997" customHeight="1" x14ac:dyDescent="0.3">
      <c r="A248" s="90">
        <v>237</v>
      </c>
      <c r="B248" s="91" t="s">
        <v>863</v>
      </c>
      <c r="C248" s="91" t="s">
        <v>890</v>
      </c>
      <c r="D248" s="91" t="s">
        <v>891</v>
      </c>
      <c r="E248" s="91">
        <v>1978</v>
      </c>
      <c r="F248" s="91" t="s">
        <v>18</v>
      </c>
      <c r="G248" s="91" t="s">
        <v>978</v>
      </c>
      <c r="H248" s="91" t="s">
        <v>978</v>
      </c>
      <c r="I248" s="91" t="s">
        <v>1053</v>
      </c>
      <c r="J248" s="91">
        <v>6199</v>
      </c>
      <c r="K248" s="91">
        <v>0</v>
      </c>
      <c r="L248" s="91">
        <v>0</v>
      </c>
      <c r="M248" s="91">
        <v>0</v>
      </c>
      <c r="N248" s="91">
        <v>0</v>
      </c>
      <c r="O248" s="91">
        <v>0</v>
      </c>
      <c r="P248" s="91">
        <v>0</v>
      </c>
      <c r="Q248" s="101">
        <f t="shared" si="6"/>
        <v>6199</v>
      </c>
      <c r="R248" s="95">
        <f t="shared" si="7"/>
        <v>5269.15</v>
      </c>
    </row>
    <row r="249" spans="1:23" ht="34.049999999999997" customHeight="1" x14ac:dyDescent="0.3">
      <c r="A249" s="90">
        <v>238</v>
      </c>
      <c r="B249" s="91" t="s">
        <v>863</v>
      </c>
      <c r="C249" s="91" t="s">
        <v>892</v>
      </c>
      <c r="D249" s="91" t="s">
        <v>893</v>
      </c>
      <c r="E249" s="91">
        <v>1982</v>
      </c>
      <c r="F249" s="91" t="s">
        <v>18</v>
      </c>
      <c r="G249" s="91" t="s">
        <v>979</v>
      </c>
      <c r="H249" s="91" t="s">
        <v>1025</v>
      </c>
      <c r="I249" s="91" t="s">
        <v>1054</v>
      </c>
      <c r="J249" s="91">
        <v>6199</v>
      </c>
      <c r="K249" s="91">
        <f>6278+4484+2332+2332+2332+2332+2332+2332+3000+3000+3228+4484+4484+2332+4484+1166</f>
        <v>50932</v>
      </c>
      <c r="L249" s="91">
        <v>0</v>
      </c>
      <c r="M249" s="91">
        <v>0</v>
      </c>
      <c r="N249" s="91">
        <v>1793</v>
      </c>
      <c r="O249" s="91">
        <v>0</v>
      </c>
      <c r="P249" s="91">
        <v>0</v>
      </c>
      <c r="Q249" s="101">
        <f t="shared" si="6"/>
        <v>58924</v>
      </c>
      <c r="R249" s="95">
        <f t="shared" si="7"/>
        <v>50085.4</v>
      </c>
    </row>
    <row r="250" spans="1:23" ht="34.049999999999997" customHeight="1" x14ac:dyDescent="0.3">
      <c r="A250" s="96">
        <v>239</v>
      </c>
      <c r="B250" s="98" t="s">
        <v>863</v>
      </c>
      <c r="C250" s="98" t="s">
        <v>894</v>
      </c>
      <c r="D250" s="98" t="s">
        <v>404</v>
      </c>
      <c r="E250" s="98">
        <v>2022</v>
      </c>
      <c r="F250" s="98" t="s">
        <v>18</v>
      </c>
      <c r="G250" s="98" t="s">
        <v>481</v>
      </c>
      <c r="H250" s="98" t="s">
        <v>523</v>
      </c>
      <c r="I250" s="98" t="s">
        <v>268</v>
      </c>
      <c r="J250" s="98">
        <v>3793</v>
      </c>
      <c r="K250" s="98">
        <f>1346+6278+4484+4484+2332+2332+2332+2332+2332+6995+6995+2332+6995+2332</f>
        <v>53901</v>
      </c>
      <c r="L250" s="98">
        <v>0</v>
      </c>
      <c r="M250" s="98">
        <v>0</v>
      </c>
      <c r="N250" s="98">
        <f>3148+1178+4053</f>
        <v>8379</v>
      </c>
      <c r="O250" s="98">
        <v>0</v>
      </c>
      <c r="P250" s="98">
        <f>720+1080+120</f>
        <v>1920</v>
      </c>
      <c r="Q250" s="101">
        <f t="shared" si="6"/>
        <v>67993</v>
      </c>
      <c r="R250" s="95">
        <f t="shared" si="7"/>
        <v>57794.05</v>
      </c>
      <c r="S250" s="41"/>
      <c r="T250" s="41"/>
      <c r="U250" s="41"/>
      <c r="V250" s="41"/>
      <c r="W250" s="41"/>
    </row>
    <row r="251" spans="1:23" ht="34.049999999999997" customHeight="1" x14ac:dyDescent="0.3">
      <c r="A251" s="90">
        <v>240</v>
      </c>
      <c r="B251" s="98" t="s">
        <v>863</v>
      </c>
      <c r="C251" s="98" t="s">
        <v>894</v>
      </c>
      <c r="D251" s="98" t="s">
        <v>404</v>
      </c>
      <c r="E251" s="98">
        <v>2022</v>
      </c>
      <c r="F251" s="98" t="s">
        <v>18</v>
      </c>
      <c r="G251" s="98" t="s">
        <v>481</v>
      </c>
      <c r="H251" s="98" t="s">
        <v>523</v>
      </c>
      <c r="I251" s="98" t="s">
        <v>268</v>
      </c>
      <c r="J251" s="98">
        <v>0</v>
      </c>
      <c r="K251" s="98">
        <v>0</v>
      </c>
      <c r="L251" s="98">
        <v>0</v>
      </c>
      <c r="M251" s="98">
        <v>17688</v>
      </c>
      <c r="N251" s="98">
        <v>2088</v>
      </c>
      <c r="O251" s="98">
        <v>0</v>
      </c>
      <c r="P251" s="98">
        <f>720+112+1200</f>
        <v>2032</v>
      </c>
      <c r="Q251" s="101">
        <f t="shared" si="6"/>
        <v>21808</v>
      </c>
      <c r="R251" s="95">
        <f t="shared" si="7"/>
        <v>18536.8</v>
      </c>
      <c r="S251" s="41"/>
      <c r="T251" s="41"/>
      <c r="U251" s="41"/>
      <c r="V251" s="41"/>
      <c r="W251" s="41"/>
    </row>
    <row r="252" spans="1:23" ht="34.049999999999997" customHeight="1" x14ac:dyDescent="0.3">
      <c r="A252" s="90">
        <v>241</v>
      </c>
      <c r="B252" s="91" t="s">
        <v>863</v>
      </c>
      <c r="C252" s="91" t="s">
        <v>895</v>
      </c>
      <c r="D252" s="91" t="s">
        <v>896</v>
      </c>
      <c r="E252" s="91">
        <v>1996</v>
      </c>
      <c r="F252" s="91" t="s">
        <v>19</v>
      </c>
      <c r="G252" s="91" t="s">
        <v>980</v>
      </c>
      <c r="H252" s="91" t="s">
        <v>980</v>
      </c>
      <c r="I252" s="91" t="s">
        <v>283</v>
      </c>
      <c r="J252" s="91">
        <v>6199</v>
      </c>
      <c r="K252" s="91">
        <v>0</v>
      </c>
      <c r="L252" s="91">
        <v>0</v>
      </c>
      <c r="M252" s="91">
        <v>0</v>
      </c>
      <c r="N252" s="91">
        <v>55832</v>
      </c>
      <c r="O252" s="91">
        <v>0</v>
      </c>
      <c r="P252" s="91">
        <v>0</v>
      </c>
      <c r="Q252" s="101">
        <f t="shared" si="6"/>
        <v>62031</v>
      </c>
      <c r="R252" s="95">
        <f t="shared" si="7"/>
        <v>52726.35</v>
      </c>
    </row>
    <row r="253" spans="1:23" ht="34.049999999999997" customHeight="1" x14ac:dyDescent="0.3">
      <c r="A253" s="96">
        <v>242</v>
      </c>
      <c r="B253" s="91" t="s">
        <v>863</v>
      </c>
      <c r="C253" s="91" t="s">
        <v>897</v>
      </c>
      <c r="D253" s="91" t="s">
        <v>898</v>
      </c>
      <c r="E253" s="91">
        <v>2020</v>
      </c>
      <c r="F253" s="91" t="s">
        <v>18</v>
      </c>
      <c r="G253" s="91" t="s">
        <v>981</v>
      </c>
      <c r="H253" s="91" t="s">
        <v>1026</v>
      </c>
      <c r="I253" s="91" t="s">
        <v>1055</v>
      </c>
      <c r="J253" s="91">
        <v>6199</v>
      </c>
      <c r="K253" s="91">
        <f>1346+6278+4484+4484+2332+2332+2332+2332+2332+2332+6995+6995+2332+6995</f>
        <v>53901</v>
      </c>
      <c r="L253" s="91">
        <v>0</v>
      </c>
      <c r="M253" s="91">
        <v>0</v>
      </c>
      <c r="N253" s="91">
        <v>3148</v>
      </c>
      <c r="O253" s="91">
        <v>0</v>
      </c>
      <c r="P253" s="91">
        <v>0</v>
      </c>
      <c r="Q253" s="101">
        <f t="shared" si="6"/>
        <v>63248</v>
      </c>
      <c r="R253" s="95">
        <f t="shared" si="7"/>
        <v>53760.800000000003</v>
      </c>
    </row>
    <row r="254" spans="1:23" ht="34.049999999999997" customHeight="1" x14ac:dyDescent="0.3">
      <c r="A254" s="90">
        <v>243</v>
      </c>
      <c r="B254" s="91" t="s">
        <v>863</v>
      </c>
      <c r="C254" s="91" t="s">
        <v>899</v>
      </c>
      <c r="D254" s="91" t="s">
        <v>900</v>
      </c>
      <c r="E254" s="91">
        <v>2015</v>
      </c>
      <c r="F254" s="91" t="s">
        <v>19</v>
      </c>
      <c r="G254" s="91" t="s">
        <v>982</v>
      </c>
      <c r="H254" s="91" t="s">
        <v>1027</v>
      </c>
      <c r="I254" s="91" t="s">
        <v>1050</v>
      </c>
      <c r="J254" s="91">
        <v>6199</v>
      </c>
      <c r="K254" s="91">
        <v>0</v>
      </c>
      <c r="L254" s="91">
        <v>0</v>
      </c>
      <c r="M254" s="91">
        <v>0</v>
      </c>
      <c r="N254" s="91">
        <v>0</v>
      </c>
      <c r="O254" s="91">
        <v>0</v>
      </c>
      <c r="P254" s="91">
        <v>0</v>
      </c>
      <c r="Q254" s="101">
        <f t="shared" si="6"/>
        <v>6199</v>
      </c>
      <c r="R254" s="95">
        <f t="shared" si="7"/>
        <v>5269.15</v>
      </c>
    </row>
    <row r="255" spans="1:23" ht="34.049999999999997" customHeight="1" x14ac:dyDescent="0.3">
      <c r="A255" s="90">
        <v>244</v>
      </c>
      <c r="B255" s="91" t="s">
        <v>863</v>
      </c>
      <c r="C255" s="91" t="s">
        <v>901</v>
      </c>
      <c r="D255" s="91" t="s">
        <v>902</v>
      </c>
      <c r="E255" s="91">
        <v>2020</v>
      </c>
      <c r="F255" s="91" t="s">
        <v>19</v>
      </c>
      <c r="G255" s="91" t="s">
        <v>983</v>
      </c>
      <c r="H255" s="91" t="s">
        <v>1028</v>
      </c>
      <c r="I255" s="91" t="s">
        <v>1056</v>
      </c>
      <c r="J255" s="91">
        <v>6199</v>
      </c>
      <c r="K255" s="91">
        <v>1166</v>
      </c>
      <c r="L255" s="91">
        <v>0</v>
      </c>
      <c r="M255" s="91">
        <v>0</v>
      </c>
      <c r="N255" s="91">
        <v>0</v>
      </c>
      <c r="O255" s="91">
        <v>0</v>
      </c>
      <c r="P255" s="91">
        <v>0</v>
      </c>
      <c r="Q255" s="101">
        <f t="shared" si="6"/>
        <v>7365</v>
      </c>
      <c r="R255" s="95">
        <f t="shared" si="7"/>
        <v>6260.25</v>
      </c>
    </row>
    <row r="256" spans="1:23" ht="34.049999999999997" customHeight="1" x14ac:dyDescent="0.3">
      <c r="A256" s="96">
        <v>245</v>
      </c>
      <c r="B256" s="91" t="s">
        <v>863</v>
      </c>
      <c r="C256" s="91" t="s">
        <v>903</v>
      </c>
      <c r="D256" s="91" t="s">
        <v>904</v>
      </c>
      <c r="E256" s="91">
        <v>1975</v>
      </c>
      <c r="F256" s="91" t="s">
        <v>18</v>
      </c>
      <c r="G256" s="91" t="s">
        <v>984</v>
      </c>
      <c r="H256" s="91" t="s">
        <v>984</v>
      </c>
      <c r="I256" s="91" t="s">
        <v>1057</v>
      </c>
      <c r="J256" s="91">
        <v>6199</v>
      </c>
      <c r="K256" s="91">
        <v>0</v>
      </c>
      <c r="L256" s="91">
        <v>0</v>
      </c>
      <c r="M256" s="91">
        <v>0</v>
      </c>
      <c r="N256" s="91">
        <v>0</v>
      </c>
      <c r="O256" s="91">
        <v>0</v>
      </c>
      <c r="P256" s="91">
        <v>0</v>
      </c>
      <c r="Q256" s="101">
        <f t="shared" si="6"/>
        <v>6199</v>
      </c>
      <c r="R256" s="95">
        <f t="shared" si="7"/>
        <v>5269.15</v>
      </c>
    </row>
    <row r="257" spans="1:23" ht="34.049999999999997" customHeight="1" x14ac:dyDescent="0.3">
      <c r="A257" s="90">
        <v>246</v>
      </c>
      <c r="B257" s="91" t="s">
        <v>863</v>
      </c>
      <c r="C257" s="91" t="s">
        <v>905</v>
      </c>
      <c r="D257" s="91" t="s">
        <v>906</v>
      </c>
      <c r="E257" s="91">
        <v>2017</v>
      </c>
      <c r="F257" s="91" t="s">
        <v>18</v>
      </c>
      <c r="G257" s="91" t="s">
        <v>985</v>
      </c>
      <c r="H257" s="91" t="s">
        <v>1029</v>
      </c>
      <c r="I257" s="91" t="s">
        <v>1058</v>
      </c>
      <c r="J257" s="91">
        <v>6199</v>
      </c>
      <c r="K257" s="91">
        <f>6278+4484+1346+1166+4484+4484+2332+2332+2332+2332+2332+2332+2332</f>
        <v>38566</v>
      </c>
      <c r="L257" s="91">
        <v>0</v>
      </c>
      <c r="M257" s="91">
        <v>0</v>
      </c>
      <c r="N257" s="91">
        <v>3148</v>
      </c>
      <c r="O257" s="91">
        <v>0</v>
      </c>
      <c r="P257" s="91">
        <v>0</v>
      </c>
      <c r="Q257" s="101">
        <f t="shared" si="6"/>
        <v>47913</v>
      </c>
      <c r="R257" s="95">
        <f t="shared" si="7"/>
        <v>40726.050000000003</v>
      </c>
    </row>
    <row r="258" spans="1:23" ht="34.049999999999997" customHeight="1" x14ac:dyDescent="0.3">
      <c r="A258" s="90">
        <v>247</v>
      </c>
      <c r="B258" s="91" t="s">
        <v>863</v>
      </c>
      <c r="C258" s="91" t="s">
        <v>907</v>
      </c>
      <c r="D258" s="91" t="s">
        <v>908</v>
      </c>
      <c r="E258" s="91">
        <v>2025</v>
      </c>
      <c r="F258" s="91" t="s">
        <v>19</v>
      </c>
      <c r="G258" s="91" t="s">
        <v>986</v>
      </c>
      <c r="H258" s="91" t="s">
        <v>1030</v>
      </c>
      <c r="I258" s="91" t="s">
        <v>1059</v>
      </c>
      <c r="J258" s="91">
        <v>6199</v>
      </c>
      <c r="K258" s="91">
        <f>1346+6278+4484+2332+2332+2332+2332+2332+2332+6995+6995+2332+6995</f>
        <v>49417</v>
      </c>
      <c r="L258" s="91">
        <v>0</v>
      </c>
      <c r="M258" s="91">
        <v>0</v>
      </c>
      <c r="N258" s="91">
        <v>3148</v>
      </c>
      <c r="O258" s="91">
        <v>0</v>
      </c>
      <c r="P258" s="91">
        <v>0</v>
      </c>
      <c r="Q258" s="101">
        <f t="shared" si="6"/>
        <v>58764</v>
      </c>
      <c r="R258" s="95">
        <f t="shared" si="7"/>
        <v>49949.4</v>
      </c>
    </row>
    <row r="259" spans="1:23" ht="34.049999999999997" customHeight="1" x14ac:dyDescent="0.3">
      <c r="A259" s="96">
        <v>248</v>
      </c>
      <c r="B259" s="91" t="s">
        <v>863</v>
      </c>
      <c r="C259" s="91" t="s">
        <v>909</v>
      </c>
      <c r="D259" s="91" t="s">
        <v>910</v>
      </c>
      <c r="E259" s="91">
        <v>2010</v>
      </c>
      <c r="F259" s="91" t="s">
        <v>19</v>
      </c>
      <c r="G259" s="91" t="s">
        <v>987</v>
      </c>
      <c r="H259" s="91" t="s">
        <v>1031</v>
      </c>
      <c r="I259" s="91" t="s">
        <v>1060</v>
      </c>
      <c r="J259" s="91">
        <v>6199</v>
      </c>
      <c r="K259" s="91">
        <f>1346+6278+4484</f>
        <v>12108</v>
      </c>
      <c r="L259" s="91">
        <v>0</v>
      </c>
      <c r="M259" s="91">
        <v>0</v>
      </c>
      <c r="N259" s="91">
        <v>1793</v>
      </c>
      <c r="O259" s="91">
        <v>0</v>
      </c>
      <c r="P259" s="91">
        <v>0</v>
      </c>
      <c r="Q259" s="101">
        <f t="shared" si="6"/>
        <v>20100</v>
      </c>
      <c r="R259" s="95">
        <f t="shared" si="7"/>
        <v>17085</v>
      </c>
    </row>
    <row r="260" spans="1:23" ht="34.049999999999997" customHeight="1" x14ac:dyDescent="0.3">
      <c r="A260" s="90">
        <v>249</v>
      </c>
      <c r="B260" s="91" t="s">
        <v>863</v>
      </c>
      <c r="C260" s="91" t="s">
        <v>911</v>
      </c>
      <c r="D260" s="91" t="s">
        <v>912</v>
      </c>
      <c r="E260" s="91">
        <v>1995</v>
      </c>
      <c r="F260" s="91" t="s">
        <v>19</v>
      </c>
      <c r="G260" s="91" t="s">
        <v>988</v>
      </c>
      <c r="H260" s="91" t="s">
        <v>988</v>
      </c>
      <c r="I260" s="91" t="s">
        <v>32</v>
      </c>
      <c r="J260" s="91">
        <v>0</v>
      </c>
      <c r="K260" s="91">
        <v>0</v>
      </c>
      <c r="L260" s="91">
        <v>0</v>
      </c>
      <c r="M260" s="91">
        <v>0</v>
      </c>
      <c r="N260" s="91">
        <f>34016+27380</f>
        <v>61396</v>
      </c>
      <c r="O260" s="91">
        <v>0</v>
      </c>
      <c r="P260" s="91">
        <v>0</v>
      </c>
      <c r="Q260" s="101">
        <f t="shared" si="6"/>
        <v>61396</v>
      </c>
      <c r="R260" s="95">
        <f t="shared" si="7"/>
        <v>52186.6</v>
      </c>
    </row>
    <row r="261" spans="1:23" ht="34.049999999999997" customHeight="1" x14ac:dyDescent="0.3">
      <c r="A261" s="90">
        <v>250</v>
      </c>
      <c r="B261" s="91" t="s">
        <v>863</v>
      </c>
      <c r="C261" s="91" t="s">
        <v>913</v>
      </c>
      <c r="D261" s="91" t="s">
        <v>914</v>
      </c>
      <c r="E261" s="91">
        <v>1996</v>
      </c>
      <c r="F261" s="91" t="s">
        <v>19</v>
      </c>
      <c r="G261" s="91" t="s">
        <v>989</v>
      </c>
      <c r="H261" s="91" t="s">
        <v>1032</v>
      </c>
      <c r="I261" s="91" t="s">
        <v>1061</v>
      </c>
      <c r="J261" s="91">
        <v>6199</v>
      </c>
      <c r="K261" s="91">
        <v>0</v>
      </c>
      <c r="L261" s="91">
        <v>0</v>
      </c>
      <c r="M261" s="91">
        <v>0</v>
      </c>
      <c r="N261" s="91">
        <v>9871</v>
      </c>
      <c r="O261" s="91">
        <v>0</v>
      </c>
      <c r="P261" s="91">
        <v>0</v>
      </c>
      <c r="Q261" s="101">
        <f t="shared" si="6"/>
        <v>16070</v>
      </c>
      <c r="R261" s="95">
        <f t="shared" si="7"/>
        <v>13659.5</v>
      </c>
    </row>
    <row r="262" spans="1:23" ht="34.049999999999997" customHeight="1" x14ac:dyDescent="0.3">
      <c r="A262" s="96">
        <v>251</v>
      </c>
      <c r="B262" s="91" t="s">
        <v>863</v>
      </c>
      <c r="C262" s="91" t="s">
        <v>915</v>
      </c>
      <c r="D262" s="91" t="s">
        <v>914</v>
      </c>
      <c r="E262" s="91">
        <v>1996</v>
      </c>
      <c r="F262" s="91" t="s">
        <v>19</v>
      </c>
      <c r="G262" s="91" t="s">
        <v>989</v>
      </c>
      <c r="H262" s="91" t="s">
        <v>1032</v>
      </c>
      <c r="I262" s="91" t="s">
        <v>1061</v>
      </c>
      <c r="J262" s="91">
        <v>3582</v>
      </c>
      <c r="K262" s="91">
        <v>0</v>
      </c>
      <c r="L262" s="91">
        <v>0</v>
      </c>
      <c r="M262" s="91">
        <v>0</v>
      </c>
      <c r="N262" s="91">
        <f>34016+38478</f>
        <v>72494</v>
      </c>
      <c r="O262" s="91">
        <v>0</v>
      </c>
      <c r="P262" s="91">
        <v>0</v>
      </c>
      <c r="Q262" s="101">
        <f t="shared" si="6"/>
        <v>76076</v>
      </c>
      <c r="R262" s="95">
        <f t="shared" si="7"/>
        <v>64664.6</v>
      </c>
    </row>
    <row r="263" spans="1:23" ht="34.049999999999997" customHeight="1" x14ac:dyDescent="0.3">
      <c r="A263" s="90">
        <v>252</v>
      </c>
      <c r="B263" s="91" t="s">
        <v>863</v>
      </c>
      <c r="C263" s="91" t="s">
        <v>916</v>
      </c>
      <c r="D263" s="91" t="s">
        <v>917</v>
      </c>
      <c r="E263" s="91">
        <v>1985</v>
      </c>
      <c r="F263" s="91" t="s">
        <v>18</v>
      </c>
      <c r="G263" s="91" t="s">
        <v>990</v>
      </c>
      <c r="H263" s="91" t="s">
        <v>990</v>
      </c>
      <c r="I263" s="91" t="s">
        <v>1062</v>
      </c>
      <c r="J263" s="91">
        <v>6199</v>
      </c>
      <c r="K263" s="91">
        <f>6278+4484+2332+2332+2332+6995+2332+2332+2332+3000+3000+2332+2332+4484</f>
        <v>46897</v>
      </c>
      <c r="L263" s="91">
        <v>0</v>
      </c>
      <c r="M263" s="91">
        <v>0</v>
      </c>
      <c r="N263" s="91">
        <v>1793</v>
      </c>
      <c r="O263" s="91">
        <v>0</v>
      </c>
      <c r="P263" s="91">
        <v>0</v>
      </c>
      <c r="Q263" s="101">
        <f t="shared" si="6"/>
        <v>54889</v>
      </c>
      <c r="R263" s="95">
        <f t="shared" si="7"/>
        <v>46655.65</v>
      </c>
    </row>
    <row r="264" spans="1:23" ht="34.049999999999997" customHeight="1" x14ac:dyDescent="0.3">
      <c r="A264" s="90">
        <v>253</v>
      </c>
      <c r="B264" s="91" t="s">
        <v>863</v>
      </c>
      <c r="C264" s="91" t="s">
        <v>918</v>
      </c>
      <c r="D264" s="91" t="s">
        <v>919</v>
      </c>
      <c r="E264" s="91">
        <v>1998</v>
      </c>
      <c r="F264" s="91" t="s">
        <v>19</v>
      </c>
      <c r="G264" s="91" t="s">
        <v>991</v>
      </c>
      <c r="H264" s="91" t="s">
        <v>991</v>
      </c>
      <c r="I264" s="91" t="s">
        <v>1063</v>
      </c>
      <c r="J264" s="91">
        <v>6199</v>
      </c>
      <c r="K264" s="91">
        <v>0</v>
      </c>
      <c r="L264" s="91">
        <v>0</v>
      </c>
      <c r="M264" s="91">
        <v>0</v>
      </c>
      <c r="N264" s="91">
        <v>0</v>
      </c>
      <c r="O264" s="91">
        <v>0</v>
      </c>
      <c r="P264" s="91">
        <v>0</v>
      </c>
      <c r="Q264" s="101">
        <f t="shared" si="6"/>
        <v>6199</v>
      </c>
      <c r="R264" s="95">
        <f t="shared" si="7"/>
        <v>5269.15</v>
      </c>
    </row>
    <row r="265" spans="1:23" ht="34.049999999999997" customHeight="1" x14ac:dyDescent="0.3">
      <c r="A265" s="96">
        <v>254</v>
      </c>
      <c r="B265" s="98" t="s">
        <v>863</v>
      </c>
      <c r="C265" s="98" t="s">
        <v>920</v>
      </c>
      <c r="D265" s="98" t="s">
        <v>921</v>
      </c>
      <c r="E265" s="98">
        <v>1973</v>
      </c>
      <c r="F265" s="98" t="s">
        <v>19</v>
      </c>
      <c r="G265" s="98" t="s">
        <v>992</v>
      </c>
      <c r="H265" s="98" t="s">
        <v>992</v>
      </c>
      <c r="I265" s="98" t="s">
        <v>1064</v>
      </c>
      <c r="J265" s="98">
        <v>6199</v>
      </c>
      <c r="K265" s="98">
        <f>1346+6278+4484+2332+2332+2332</f>
        <v>19104</v>
      </c>
      <c r="L265" s="98">
        <v>0</v>
      </c>
      <c r="M265" s="98">
        <v>0</v>
      </c>
      <c r="N265" s="98">
        <v>1793</v>
      </c>
      <c r="O265" s="98">
        <v>0</v>
      </c>
      <c r="P265" s="98">
        <v>0</v>
      </c>
      <c r="Q265" s="101">
        <f t="shared" si="6"/>
        <v>27096</v>
      </c>
      <c r="R265" s="95">
        <f t="shared" si="7"/>
        <v>23031.599999999999</v>
      </c>
      <c r="S265" s="41"/>
      <c r="T265" s="41"/>
      <c r="U265" s="41"/>
      <c r="V265" s="41"/>
      <c r="W265" s="41"/>
    </row>
    <row r="266" spans="1:23" ht="34.049999999999997" customHeight="1" x14ac:dyDescent="0.3">
      <c r="A266" s="90">
        <v>255</v>
      </c>
      <c r="B266" s="91" t="s">
        <v>863</v>
      </c>
      <c r="C266" s="91" t="s">
        <v>922</v>
      </c>
      <c r="D266" s="91" t="s">
        <v>923</v>
      </c>
      <c r="E266" s="91">
        <v>2019</v>
      </c>
      <c r="F266" s="91" t="s">
        <v>19</v>
      </c>
      <c r="G266" s="91" t="s">
        <v>993</v>
      </c>
      <c r="H266" s="91" t="s">
        <v>1033</v>
      </c>
      <c r="I266" s="91" t="s">
        <v>1065</v>
      </c>
      <c r="J266" s="91">
        <v>6199</v>
      </c>
      <c r="K266" s="91">
        <f>6278+4484+1346+4484+2332+2332+2332+2332+2332+6995+6995+2332+6995+2332</f>
        <v>53901</v>
      </c>
      <c r="L266" s="91">
        <v>0</v>
      </c>
      <c r="M266" s="91">
        <v>0</v>
      </c>
      <c r="N266" s="91">
        <v>3148</v>
      </c>
      <c r="O266" s="91">
        <v>0</v>
      </c>
      <c r="P266" s="91">
        <v>0</v>
      </c>
      <c r="Q266" s="101">
        <f t="shared" si="6"/>
        <v>63248</v>
      </c>
      <c r="R266" s="95">
        <f t="shared" si="7"/>
        <v>53760.800000000003</v>
      </c>
    </row>
    <row r="267" spans="1:23" ht="34.049999999999997" customHeight="1" x14ac:dyDescent="0.3">
      <c r="A267" s="90">
        <v>256</v>
      </c>
      <c r="B267" s="98" t="s">
        <v>863</v>
      </c>
      <c r="C267" s="98" t="s">
        <v>2650</v>
      </c>
      <c r="D267" s="99" t="s">
        <v>2651</v>
      </c>
      <c r="E267" s="98">
        <v>2012</v>
      </c>
      <c r="F267" s="98" t="s">
        <v>19</v>
      </c>
      <c r="G267" s="98" t="s">
        <v>2652</v>
      </c>
      <c r="H267" s="98" t="s">
        <v>2653</v>
      </c>
      <c r="I267" s="98" t="s">
        <v>1885</v>
      </c>
      <c r="J267" s="98">
        <v>6199</v>
      </c>
      <c r="K267" s="98">
        <f>6278+4484+1346+2332+2332+4484+2332+2332+2332+2332+6995+6995+2332+6995+3000+3000+2332+2332+1166</f>
        <v>65731</v>
      </c>
      <c r="L267" s="98">
        <v>0</v>
      </c>
      <c r="M267" s="98">
        <v>0</v>
      </c>
      <c r="N267" s="98">
        <f>3148+4053+2088</f>
        <v>9289</v>
      </c>
      <c r="O267" s="98">
        <v>0</v>
      </c>
      <c r="P267" s="98">
        <f>660+100</f>
        <v>760</v>
      </c>
      <c r="Q267" s="101">
        <f t="shared" si="6"/>
        <v>81979</v>
      </c>
      <c r="R267" s="95">
        <f t="shared" si="7"/>
        <v>69682.149999999994</v>
      </c>
      <c r="S267" s="41"/>
      <c r="T267" s="41"/>
      <c r="U267" s="41"/>
      <c r="V267" s="41"/>
      <c r="W267" s="41"/>
    </row>
    <row r="268" spans="1:23" ht="34.049999999999997" customHeight="1" x14ac:dyDescent="0.3">
      <c r="A268" s="96">
        <v>257</v>
      </c>
      <c r="B268" s="98" t="s">
        <v>863</v>
      </c>
      <c r="C268" s="98" t="s">
        <v>2650</v>
      </c>
      <c r="D268" s="99" t="s">
        <v>2651</v>
      </c>
      <c r="E268" s="98">
        <v>2012</v>
      </c>
      <c r="F268" s="98" t="s">
        <v>19</v>
      </c>
      <c r="G268" s="98" t="s">
        <v>2652</v>
      </c>
      <c r="H268" s="98" t="s">
        <v>2653</v>
      </c>
      <c r="I268" s="98" t="s">
        <v>1885</v>
      </c>
      <c r="J268" s="98">
        <v>0</v>
      </c>
      <c r="K268" s="98">
        <v>0</v>
      </c>
      <c r="L268" s="98">
        <v>0</v>
      </c>
      <c r="M268" s="98">
        <v>17688</v>
      </c>
      <c r="N268" s="98">
        <v>1178</v>
      </c>
      <c r="O268" s="98">
        <v>0</v>
      </c>
      <c r="P268" s="98">
        <f>1320+2160</f>
        <v>3480</v>
      </c>
      <c r="Q268" s="101">
        <f t="shared" ref="Q268:Q331" si="8">SUM(J268:P268)</f>
        <v>22346</v>
      </c>
      <c r="R268" s="95">
        <f t="shared" si="7"/>
        <v>18994.099999999999</v>
      </c>
      <c r="S268" s="41"/>
      <c r="T268" s="41"/>
      <c r="U268" s="41"/>
      <c r="V268" s="41"/>
      <c r="W268" s="41"/>
    </row>
    <row r="269" spans="1:23" ht="34.049999999999997" customHeight="1" x14ac:dyDescent="0.3">
      <c r="A269" s="90">
        <v>258</v>
      </c>
      <c r="B269" s="91" t="s">
        <v>863</v>
      </c>
      <c r="C269" s="91" t="s">
        <v>924</v>
      </c>
      <c r="D269" s="91" t="s">
        <v>925</v>
      </c>
      <c r="E269" s="91">
        <v>2010</v>
      </c>
      <c r="F269" s="91" t="s">
        <v>19</v>
      </c>
      <c r="G269" s="91" t="s">
        <v>994</v>
      </c>
      <c r="H269" s="91" t="s">
        <v>1034</v>
      </c>
      <c r="I269" s="91" t="s">
        <v>1067</v>
      </c>
      <c r="J269" s="91">
        <v>6199</v>
      </c>
      <c r="K269" s="91">
        <f>1166+2801</f>
        <v>3967</v>
      </c>
      <c r="L269" s="91">
        <v>0</v>
      </c>
      <c r="M269" s="91">
        <v>0</v>
      </c>
      <c r="N269" s="91">
        <v>0</v>
      </c>
      <c r="O269" s="91">
        <v>0</v>
      </c>
      <c r="P269" s="91">
        <v>0</v>
      </c>
      <c r="Q269" s="101">
        <f t="shared" si="8"/>
        <v>10166</v>
      </c>
      <c r="R269" s="95">
        <f t="shared" ref="R269:R332" si="9">Q269*85/100</f>
        <v>8641.1</v>
      </c>
    </row>
    <row r="270" spans="1:23" ht="34.049999999999997" customHeight="1" x14ac:dyDescent="0.3">
      <c r="A270" s="90">
        <v>259</v>
      </c>
      <c r="B270" s="91" t="s">
        <v>863</v>
      </c>
      <c r="C270" s="91" t="s">
        <v>926</v>
      </c>
      <c r="D270" s="91" t="s">
        <v>927</v>
      </c>
      <c r="E270" s="91">
        <v>1986</v>
      </c>
      <c r="F270" s="91" t="s">
        <v>18</v>
      </c>
      <c r="G270" s="91" t="s">
        <v>995</v>
      </c>
      <c r="H270" s="91" t="s">
        <v>995</v>
      </c>
      <c r="I270" s="91" t="s">
        <v>1068</v>
      </c>
      <c r="J270" s="91">
        <v>3582</v>
      </c>
      <c r="K270" s="91">
        <v>0</v>
      </c>
      <c r="L270" s="91">
        <v>0</v>
      </c>
      <c r="M270" s="91">
        <v>0</v>
      </c>
      <c r="N270" s="91">
        <f>15443+42388+27126</f>
        <v>84957</v>
      </c>
      <c r="O270" s="91">
        <v>0</v>
      </c>
      <c r="P270" s="91">
        <v>0</v>
      </c>
      <c r="Q270" s="101">
        <f t="shared" si="8"/>
        <v>88539</v>
      </c>
      <c r="R270" s="95">
        <f t="shared" si="9"/>
        <v>75258.149999999994</v>
      </c>
    </row>
    <row r="271" spans="1:23" ht="34.049999999999997" customHeight="1" x14ac:dyDescent="0.3">
      <c r="A271" s="96">
        <v>260</v>
      </c>
      <c r="B271" s="91" t="s">
        <v>863</v>
      </c>
      <c r="C271" s="91" t="s">
        <v>928</v>
      </c>
      <c r="D271" s="91" t="s">
        <v>929</v>
      </c>
      <c r="E271" s="91">
        <v>1988</v>
      </c>
      <c r="F271" s="91" t="s">
        <v>19</v>
      </c>
      <c r="G271" s="91" t="s">
        <v>996</v>
      </c>
      <c r="H271" s="91" t="s">
        <v>996</v>
      </c>
      <c r="I271" s="91" t="s">
        <v>1069</v>
      </c>
      <c r="J271" s="91">
        <v>6199</v>
      </c>
      <c r="K271" s="91">
        <f>2332+2332+1166+2243</f>
        <v>8073</v>
      </c>
      <c r="L271" s="91">
        <v>0</v>
      </c>
      <c r="M271" s="91">
        <v>0</v>
      </c>
      <c r="N271" s="91">
        <v>0</v>
      </c>
      <c r="O271" s="91">
        <v>0</v>
      </c>
      <c r="P271" s="91">
        <v>0</v>
      </c>
      <c r="Q271" s="101">
        <f t="shared" si="8"/>
        <v>14272</v>
      </c>
      <c r="R271" s="95">
        <f t="shared" si="9"/>
        <v>12131.2</v>
      </c>
    </row>
    <row r="272" spans="1:23" ht="34.049999999999997" customHeight="1" x14ac:dyDescent="0.3">
      <c r="A272" s="90">
        <v>261</v>
      </c>
      <c r="B272" s="91" t="s">
        <v>863</v>
      </c>
      <c r="C272" s="91" t="s">
        <v>930</v>
      </c>
      <c r="D272" s="91" t="s">
        <v>931</v>
      </c>
      <c r="E272" s="91">
        <v>2025</v>
      </c>
      <c r="F272" s="91" t="s">
        <v>19</v>
      </c>
      <c r="G272" s="91" t="s">
        <v>997</v>
      </c>
      <c r="H272" s="91" t="s">
        <v>1035</v>
      </c>
      <c r="I272" s="91" t="s">
        <v>1070</v>
      </c>
      <c r="J272" s="91">
        <v>6199</v>
      </c>
      <c r="K272" s="91">
        <v>0</v>
      </c>
      <c r="L272" s="91">
        <v>0</v>
      </c>
      <c r="M272" s="91">
        <v>0</v>
      </c>
      <c r="N272" s="91">
        <v>0</v>
      </c>
      <c r="O272" s="91">
        <v>0</v>
      </c>
      <c r="P272" s="91">
        <v>0</v>
      </c>
      <c r="Q272" s="101">
        <f t="shared" si="8"/>
        <v>6199</v>
      </c>
      <c r="R272" s="95">
        <f t="shared" si="9"/>
        <v>5269.15</v>
      </c>
    </row>
    <row r="273" spans="1:18" ht="34.049999999999997" customHeight="1" x14ac:dyDescent="0.3">
      <c r="A273" s="90">
        <v>262</v>
      </c>
      <c r="B273" s="91" t="s">
        <v>863</v>
      </c>
      <c r="C273" s="91" t="s">
        <v>932</v>
      </c>
      <c r="D273" s="91" t="s">
        <v>933</v>
      </c>
      <c r="E273" s="91">
        <v>1997</v>
      </c>
      <c r="F273" s="91" t="s">
        <v>18</v>
      </c>
      <c r="G273" s="91" t="s">
        <v>998</v>
      </c>
      <c r="H273" s="91" t="s">
        <v>998</v>
      </c>
      <c r="I273" s="91" t="s">
        <v>1071</v>
      </c>
      <c r="J273" s="91">
        <v>6199</v>
      </c>
      <c r="K273" s="91">
        <f>6278+4484+1346+4484+2332+2332+2332+2332+2332+3000+3000+6995+6995+2332+6995</f>
        <v>57569</v>
      </c>
      <c r="L273" s="91">
        <v>0</v>
      </c>
      <c r="M273" s="91">
        <v>0</v>
      </c>
      <c r="N273" s="91">
        <v>1793</v>
      </c>
      <c r="O273" s="91">
        <v>0</v>
      </c>
      <c r="P273" s="91">
        <v>0</v>
      </c>
      <c r="Q273" s="101">
        <f t="shared" si="8"/>
        <v>65561</v>
      </c>
      <c r="R273" s="95">
        <f t="shared" si="9"/>
        <v>55726.85</v>
      </c>
    </row>
    <row r="274" spans="1:18" ht="34.049999999999997" customHeight="1" x14ac:dyDescent="0.3">
      <c r="A274" s="96">
        <v>263</v>
      </c>
      <c r="B274" s="91" t="s">
        <v>863</v>
      </c>
      <c r="C274" s="91" t="s">
        <v>934</v>
      </c>
      <c r="D274" s="91" t="s">
        <v>935</v>
      </c>
      <c r="E274" s="91">
        <v>1981</v>
      </c>
      <c r="F274" s="91" t="s">
        <v>18</v>
      </c>
      <c r="G274" s="91" t="s">
        <v>999</v>
      </c>
      <c r="H274" s="91" t="s">
        <v>999</v>
      </c>
      <c r="I274" s="91" t="s">
        <v>35</v>
      </c>
      <c r="J274" s="91">
        <v>3793</v>
      </c>
      <c r="K274" s="91">
        <v>0</v>
      </c>
      <c r="L274" s="91">
        <v>0</v>
      </c>
      <c r="M274" s="91">
        <v>0</v>
      </c>
      <c r="N274" s="91">
        <v>13298</v>
      </c>
      <c r="O274" s="91">
        <v>0</v>
      </c>
      <c r="P274" s="91">
        <v>0</v>
      </c>
      <c r="Q274" s="101">
        <f t="shared" si="8"/>
        <v>17091</v>
      </c>
      <c r="R274" s="95">
        <f t="shared" si="9"/>
        <v>14527.35</v>
      </c>
    </row>
    <row r="275" spans="1:18" ht="34.049999999999997" customHeight="1" x14ac:dyDescent="0.3">
      <c r="A275" s="90">
        <v>264</v>
      </c>
      <c r="B275" s="91" t="s">
        <v>863</v>
      </c>
      <c r="C275" s="91" t="s">
        <v>936</v>
      </c>
      <c r="D275" s="91" t="s">
        <v>937</v>
      </c>
      <c r="E275" s="91">
        <v>2010</v>
      </c>
      <c r="F275" s="91" t="s">
        <v>18</v>
      </c>
      <c r="G275" s="91" t="s">
        <v>1000</v>
      </c>
      <c r="H275" s="91" t="s">
        <v>1036</v>
      </c>
      <c r="I275" s="91" t="s">
        <v>1072</v>
      </c>
      <c r="J275" s="91">
        <v>6199</v>
      </c>
      <c r="K275" s="91">
        <f>1346+6278+4484</f>
        <v>12108</v>
      </c>
      <c r="L275" s="91">
        <v>0</v>
      </c>
      <c r="M275" s="91">
        <v>0</v>
      </c>
      <c r="N275" s="91">
        <v>1793</v>
      </c>
      <c r="O275" s="91">
        <v>0</v>
      </c>
      <c r="P275" s="91">
        <v>0</v>
      </c>
      <c r="Q275" s="101">
        <f t="shared" si="8"/>
        <v>20100</v>
      </c>
      <c r="R275" s="95">
        <f t="shared" si="9"/>
        <v>17085</v>
      </c>
    </row>
    <row r="276" spans="1:18" ht="34.049999999999997" customHeight="1" x14ac:dyDescent="0.3">
      <c r="A276" s="90">
        <v>265</v>
      </c>
      <c r="B276" s="91" t="s">
        <v>863</v>
      </c>
      <c r="C276" s="91" t="s">
        <v>938</v>
      </c>
      <c r="D276" s="91" t="s">
        <v>939</v>
      </c>
      <c r="E276" s="91">
        <v>2020</v>
      </c>
      <c r="F276" s="91" t="s">
        <v>19</v>
      </c>
      <c r="G276" s="91" t="s">
        <v>1001</v>
      </c>
      <c r="H276" s="91" t="s">
        <v>1037</v>
      </c>
      <c r="I276" s="91" t="s">
        <v>1073</v>
      </c>
      <c r="J276" s="91">
        <v>6199</v>
      </c>
      <c r="K276" s="91">
        <f>6278+4484+1166+4484</f>
        <v>16412</v>
      </c>
      <c r="L276" s="91">
        <v>0</v>
      </c>
      <c r="M276" s="91">
        <v>0</v>
      </c>
      <c r="N276" s="91">
        <v>3148</v>
      </c>
      <c r="O276" s="91">
        <v>0</v>
      </c>
      <c r="P276" s="91">
        <v>0</v>
      </c>
      <c r="Q276" s="101">
        <f t="shared" si="8"/>
        <v>25759</v>
      </c>
      <c r="R276" s="95">
        <f t="shared" si="9"/>
        <v>21895.15</v>
      </c>
    </row>
    <row r="277" spans="1:18" ht="34.049999999999997" customHeight="1" x14ac:dyDescent="0.3">
      <c r="A277" s="96">
        <v>266</v>
      </c>
      <c r="B277" s="91" t="s">
        <v>863</v>
      </c>
      <c r="C277" s="91" t="s">
        <v>940</v>
      </c>
      <c r="D277" s="91" t="s">
        <v>941</v>
      </c>
      <c r="E277" s="91">
        <v>2024</v>
      </c>
      <c r="F277" s="91" t="s">
        <v>19</v>
      </c>
      <c r="G277" s="91" t="s">
        <v>1002</v>
      </c>
      <c r="H277" s="91" t="s">
        <v>1038</v>
      </c>
      <c r="I277" s="91" t="s">
        <v>1074</v>
      </c>
      <c r="J277" s="91">
        <v>6199</v>
      </c>
      <c r="K277" s="91">
        <f>1346+6278+4484</f>
        <v>12108</v>
      </c>
      <c r="L277" s="91">
        <v>0</v>
      </c>
      <c r="M277" s="91">
        <v>0</v>
      </c>
      <c r="N277" s="91">
        <v>3148</v>
      </c>
      <c r="O277" s="91">
        <v>0</v>
      </c>
      <c r="P277" s="91">
        <v>0</v>
      </c>
      <c r="Q277" s="101">
        <f t="shared" si="8"/>
        <v>21455</v>
      </c>
      <c r="R277" s="95">
        <f t="shared" si="9"/>
        <v>18236.75</v>
      </c>
    </row>
    <row r="278" spans="1:18" ht="34.049999999999997" customHeight="1" x14ac:dyDescent="0.3">
      <c r="A278" s="90">
        <v>267</v>
      </c>
      <c r="B278" s="91" t="s">
        <v>863</v>
      </c>
      <c r="C278" s="91" t="s">
        <v>942</v>
      </c>
      <c r="D278" s="91" t="s">
        <v>943</v>
      </c>
      <c r="E278" s="91">
        <v>1995</v>
      </c>
      <c r="F278" s="91" t="s">
        <v>19</v>
      </c>
      <c r="G278" s="91" t="s">
        <v>1003</v>
      </c>
      <c r="H278" s="91" t="s">
        <v>1003</v>
      </c>
      <c r="I278" s="91" t="s">
        <v>1075</v>
      </c>
      <c r="J278" s="91">
        <v>3793</v>
      </c>
      <c r="K278" s="91">
        <f>2332+2332</f>
        <v>4664</v>
      </c>
      <c r="L278" s="91">
        <v>0</v>
      </c>
      <c r="M278" s="91">
        <v>0</v>
      </c>
      <c r="N278" s="91">
        <v>0</v>
      </c>
      <c r="O278" s="91">
        <v>0</v>
      </c>
      <c r="P278" s="91">
        <v>0</v>
      </c>
      <c r="Q278" s="101">
        <f t="shared" si="8"/>
        <v>8457</v>
      </c>
      <c r="R278" s="95">
        <f t="shared" si="9"/>
        <v>7188.45</v>
      </c>
    </row>
    <row r="279" spans="1:18" ht="34.049999999999997" customHeight="1" x14ac:dyDescent="0.3">
      <c r="A279" s="90">
        <v>268</v>
      </c>
      <c r="B279" s="91" t="s">
        <v>863</v>
      </c>
      <c r="C279" s="91" t="s">
        <v>944</v>
      </c>
      <c r="D279" s="91" t="s">
        <v>945</v>
      </c>
      <c r="E279" s="91">
        <v>2022</v>
      </c>
      <c r="F279" s="91" t="s">
        <v>19</v>
      </c>
      <c r="G279" s="91" t="s">
        <v>1004</v>
      </c>
      <c r="H279" s="91" t="s">
        <v>1039</v>
      </c>
      <c r="I279" s="91" t="s">
        <v>1076</v>
      </c>
      <c r="J279" s="91">
        <v>6199</v>
      </c>
      <c r="K279" s="91">
        <f>1346+6278+4484</f>
        <v>12108</v>
      </c>
      <c r="L279" s="91">
        <v>0</v>
      </c>
      <c r="M279" s="91">
        <v>0</v>
      </c>
      <c r="N279" s="91">
        <v>3148</v>
      </c>
      <c r="O279" s="91">
        <v>0</v>
      </c>
      <c r="P279" s="91">
        <v>0</v>
      </c>
      <c r="Q279" s="101">
        <f t="shared" si="8"/>
        <v>21455</v>
      </c>
      <c r="R279" s="95">
        <f t="shared" si="9"/>
        <v>18236.75</v>
      </c>
    </row>
    <row r="280" spans="1:18" ht="34.049999999999997" customHeight="1" x14ac:dyDescent="0.3">
      <c r="A280" s="96">
        <v>269</v>
      </c>
      <c r="B280" s="91" t="s">
        <v>863</v>
      </c>
      <c r="C280" s="91" t="s">
        <v>946</v>
      </c>
      <c r="D280" s="91" t="s">
        <v>947</v>
      </c>
      <c r="E280" s="91">
        <v>2021</v>
      </c>
      <c r="F280" s="91" t="s">
        <v>19</v>
      </c>
      <c r="G280" s="91" t="s">
        <v>1005</v>
      </c>
      <c r="H280" s="91" t="s">
        <v>1040</v>
      </c>
      <c r="I280" s="91" t="s">
        <v>1077</v>
      </c>
      <c r="J280" s="91">
        <v>6199</v>
      </c>
      <c r="K280" s="91">
        <v>0</v>
      </c>
      <c r="L280" s="91">
        <v>0</v>
      </c>
      <c r="M280" s="91">
        <v>0</v>
      </c>
      <c r="N280" s="91">
        <v>0</v>
      </c>
      <c r="O280" s="91">
        <v>0</v>
      </c>
      <c r="P280" s="91">
        <v>0</v>
      </c>
      <c r="Q280" s="101">
        <f t="shared" si="8"/>
        <v>6199</v>
      </c>
      <c r="R280" s="95">
        <f t="shared" si="9"/>
        <v>5269.15</v>
      </c>
    </row>
    <row r="281" spans="1:18" ht="34.049999999999997" customHeight="1" x14ac:dyDescent="0.3">
      <c r="A281" s="90">
        <v>270</v>
      </c>
      <c r="B281" s="91" t="s">
        <v>863</v>
      </c>
      <c r="C281" s="91" t="s">
        <v>948</v>
      </c>
      <c r="D281" s="91" t="s">
        <v>949</v>
      </c>
      <c r="E281" s="91">
        <v>2012</v>
      </c>
      <c r="F281" s="91" t="s">
        <v>18</v>
      </c>
      <c r="G281" s="91" t="s">
        <v>1006</v>
      </c>
      <c r="H281" s="91" t="s">
        <v>1041</v>
      </c>
      <c r="I281" s="91" t="s">
        <v>1078</v>
      </c>
      <c r="J281" s="91">
        <v>6199</v>
      </c>
      <c r="K281" s="91">
        <f>1346+6278+4484</f>
        <v>12108</v>
      </c>
      <c r="L281" s="91">
        <v>0</v>
      </c>
      <c r="M281" s="91">
        <v>0</v>
      </c>
      <c r="N281" s="91">
        <v>1793</v>
      </c>
      <c r="O281" s="91">
        <v>0</v>
      </c>
      <c r="P281" s="91">
        <v>0</v>
      </c>
      <c r="Q281" s="101">
        <f t="shared" si="8"/>
        <v>20100</v>
      </c>
      <c r="R281" s="95">
        <f t="shared" si="9"/>
        <v>17085</v>
      </c>
    </row>
    <row r="282" spans="1:18" ht="34.049999999999997" customHeight="1" x14ac:dyDescent="0.3">
      <c r="A282" s="90">
        <v>271</v>
      </c>
      <c r="B282" s="91" t="s">
        <v>863</v>
      </c>
      <c r="C282" s="91" t="s">
        <v>950</v>
      </c>
      <c r="D282" s="91" t="s">
        <v>951</v>
      </c>
      <c r="E282" s="91">
        <v>2025</v>
      </c>
      <c r="F282" s="91" t="s">
        <v>18</v>
      </c>
      <c r="G282" s="91" t="s">
        <v>1007</v>
      </c>
      <c r="H282" s="91" t="s">
        <v>1042</v>
      </c>
      <c r="I282" s="91" t="s">
        <v>1079</v>
      </c>
      <c r="J282" s="91">
        <v>6199</v>
      </c>
      <c r="K282" s="91">
        <v>0</v>
      </c>
      <c r="L282" s="91">
        <v>0</v>
      </c>
      <c r="M282" s="91">
        <v>0</v>
      </c>
      <c r="N282" s="91">
        <v>0</v>
      </c>
      <c r="O282" s="91">
        <v>0</v>
      </c>
      <c r="P282" s="91">
        <v>0</v>
      </c>
      <c r="Q282" s="101">
        <f t="shared" si="8"/>
        <v>6199</v>
      </c>
      <c r="R282" s="95">
        <f t="shared" si="9"/>
        <v>5269.15</v>
      </c>
    </row>
    <row r="283" spans="1:18" ht="34.049999999999997" customHeight="1" x14ac:dyDescent="0.3">
      <c r="A283" s="96">
        <v>272</v>
      </c>
      <c r="B283" s="91" t="s">
        <v>863</v>
      </c>
      <c r="C283" s="91" t="s">
        <v>952</v>
      </c>
      <c r="D283" s="91" t="s">
        <v>953</v>
      </c>
      <c r="E283" s="91">
        <v>1972</v>
      </c>
      <c r="F283" s="91" t="s">
        <v>18</v>
      </c>
      <c r="G283" s="91" t="s">
        <v>1008</v>
      </c>
      <c r="H283" s="91" t="s">
        <v>1008</v>
      </c>
      <c r="I283" s="91" t="s">
        <v>1080</v>
      </c>
      <c r="J283" s="91">
        <v>6199</v>
      </c>
      <c r="K283" s="91">
        <v>0</v>
      </c>
      <c r="L283" s="91">
        <v>0</v>
      </c>
      <c r="M283" s="91">
        <v>0</v>
      </c>
      <c r="N283" s="91">
        <v>0</v>
      </c>
      <c r="O283" s="91">
        <v>0</v>
      </c>
      <c r="P283" s="91">
        <v>0</v>
      </c>
      <c r="Q283" s="101">
        <f t="shared" si="8"/>
        <v>6199</v>
      </c>
      <c r="R283" s="95">
        <f t="shared" si="9"/>
        <v>5269.15</v>
      </c>
    </row>
    <row r="284" spans="1:18" ht="34.049999999999997" customHeight="1" x14ac:dyDescent="0.3">
      <c r="A284" s="90">
        <v>273</v>
      </c>
      <c r="B284" s="91" t="s">
        <v>863</v>
      </c>
      <c r="C284" s="91" t="s">
        <v>954</v>
      </c>
      <c r="D284" s="91" t="s">
        <v>955</v>
      </c>
      <c r="E284" s="91">
        <v>2016</v>
      </c>
      <c r="F284" s="91" t="s">
        <v>18</v>
      </c>
      <c r="G284" s="91" t="s">
        <v>1009</v>
      </c>
      <c r="H284" s="91" t="s">
        <v>1043</v>
      </c>
      <c r="I284" s="91" t="s">
        <v>1081</v>
      </c>
      <c r="J284" s="91">
        <v>6199</v>
      </c>
      <c r="K284" s="91">
        <v>1166</v>
      </c>
      <c r="L284" s="91">
        <v>0</v>
      </c>
      <c r="M284" s="91">
        <v>0</v>
      </c>
      <c r="N284" s="91">
        <v>0</v>
      </c>
      <c r="O284" s="91">
        <v>0</v>
      </c>
      <c r="P284" s="91">
        <v>0</v>
      </c>
      <c r="Q284" s="101">
        <f t="shared" si="8"/>
        <v>7365</v>
      </c>
      <c r="R284" s="95">
        <f t="shared" si="9"/>
        <v>6260.25</v>
      </c>
    </row>
    <row r="285" spans="1:18" ht="34.049999999999997" customHeight="1" x14ac:dyDescent="0.3">
      <c r="A285" s="90">
        <v>274</v>
      </c>
      <c r="B285" s="91" t="s">
        <v>863</v>
      </c>
      <c r="C285" s="91" t="s">
        <v>956</v>
      </c>
      <c r="D285" s="91" t="s">
        <v>957</v>
      </c>
      <c r="E285" s="91">
        <v>2018</v>
      </c>
      <c r="F285" s="91" t="s">
        <v>19</v>
      </c>
      <c r="G285" s="91" t="s">
        <v>1010</v>
      </c>
      <c r="H285" s="91" t="s">
        <v>1043</v>
      </c>
      <c r="I285" s="91" t="s">
        <v>1081</v>
      </c>
      <c r="J285" s="91">
        <v>6199</v>
      </c>
      <c r="K285" s="91">
        <v>0</v>
      </c>
      <c r="L285" s="91">
        <v>0</v>
      </c>
      <c r="M285" s="91">
        <v>0</v>
      </c>
      <c r="N285" s="91">
        <v>0</v>
      </c>
      <c r="O285" s="91">
        <v>0</v>
      </c>
      <c r="P285" s="91">
        <v>0</v>
      </c>
      <c r="Q285" s="101">
        <f t="shared" si="8"/>
        <v>6199</v>
      </c>
      <c r="R285" s="95">
        <f t="shared" si="9"/>
        <v>5269.15</v>
      </c>
    </row>
    <row r="286" spans="1:18" ht="34.049999999999997" customHeight="1" x14ac:dyDescent="0.3">
      <c r="A286" s="96">
        <v>275</v>
      </c>
      <c r="B286" s="91" t="s">
        <v>863</v>
      </c>
      <c r="C286" s="91" t="s">
        <v>958</v>
      </c>
      <c r="D286" s="91" t="s">
        <v>959</v>
      </c>
      <c r="E286" s="91">
        <v>1990</v>
      </c>
      <c r="F286" s="91" t="s">
        <v>19</v>
      </c>
      <c r="G286" s="91" t="s">
        <v>1011</v>
      </c>
      <c r="H286" s="91" t="s">
        <v>1044</v>
      </c>
      <c r="I286" s="91" t="s">
        <v>1082</v>
      </c>
      <c r="J286" s="91">
        <v>3793</v>
      </c>
      <c r="K286" s="91">
        <v>0</v>
      </c>
      <c r="L286" s="91">
        <v>0</v>
      </c>
      <c r="M286" s="91">
        <v>0</v>
      </c>
      <c r="N286" s="91">
        <v>0</v>
      </c>
      <c r="O286" s="91">
        <v>0</v>
      </c>
      <c r="P286" s="91">
        <v>0</v>
      </c>
      <c r="Q286" s="101">
        <f t="shared" si="8"/>
        <v>3793</v>
      </c>
      <c r="R286" s="95">
        <f t="shared" si="9"/>
        <v>3224.05</v>
      </c>
    </row>
    <row r="287" spans="1:18" ht="34.049999999999997" customHeight="1" x14ac:dyDescent="0.3">
      <c r="A287" s="90">
        <v>276</v>
      </c>
      <c r="B287" s="91" t="s">
        <v>863</v>
      </c>
      <c r="C287" s="91" t="s">
        <v>960</v>
      </c>
      <c r="D287" s="91" t="s">
        <v>961</v>
      </c>
      <c r="E287" s="91">
        <v>1986</v>
      </c>
      <c r="F287" s="91" t="s">
        <v>19</v>
      </c>
      <c r="G287" s="91" t="s">
        <v>1012</v>
      </c>
      <c r="H287" s="91" t="s">
        <v>1041</v>
      </c>
      <c r="I287" s="91" t="s">
        <v>1078</v>
      </c>
      <c r="J287" s="91">
        <v>6199</v>
      </c>
      <c r="K287" s="91">
        <v>0</v>
      </c>
      <c r="L287" s="91">
        <v>0</v>
      </c>
      <c r="M287" s="91">
        <v>0</v>
      </c>
      <c r="N287" s="91">
        <v>0</v>
      </c>
      <c r="O287" s="91">
        <v>0</v>
      </c>
      <c r="P287" s="91">
        <v>0</v>
      </c>
      <c r="Q287" s="101">
        <f t="shared" si="8"/>
        <v>6199</v>
      </c>
      <c r="R287" s="95">
        <f t="shared" si="9"/>
        <v>5269.15</v>
      </c>
    </row>
    <row r="288" spans="1:18" ht="34.049999999999997" customHeight="1" x14ac:dyDescent="0.3">
      <c r="A288" s="90">
        <v>277</v>
      </c>
      <c r="B288" s="91" t="s">
        <v>863</v>
      </c>
      <c r="C288" s="91" t="s">
        <v>962</v>
      </c>
      <c r="D288" s="91" t="s">
        <v>963</v>
      </c>
      <c r="E288" s="91">
        <v>1995</v>
      </c>
      <c r="F288" s="91" t="s">
        <v>19</v>
      </c>
      <c r="G288" s="91" t="s">
        <v>1013</v>
      </c>
      <c r="H288" s="91" t="s">
        <v>1045</v>
      </c>
      <c r="I288" s="91" t="s">
        <v>1083</v>
      </c>
      <c r="J288" s="91">
        <v>6199</v>
      </c>
      <c r="K288" s="91">
        <v>0</v>
      </c>
      <c r="L288" s="91">
        <v>0</v>
      </c>
      <c r="M288" s="91">
        <v>0</v>
      </c>
      <c r="N288" s="91">
        <v>0</v>
      </c>
      <c r="O288" s="91">
        <v>0</v>
      </c>
      <c r="P288" s="91">
        <v>0</v>
      </c>
      <c r="Q288" s="101">
        <f t="shared" si="8"/>
        <v>6199</v>
      </c>
      <c r="R288" s="95">
        <f t="shared" si="9"/>
        <v>5269.15</v>
      </c>
    </row>
    <row r="289" spans="1:18" ht="34.049999999999997" customHeight="1" x14ac:dyDescent="0.3">
      <c r="A289" s="96">
        <v>278</v>
      </c>
      <c r="B289" s="91" t="s">
        <v>863</v>
      </c>
      <c r="C289" s="91" t="s">
        <v>964</v>
      </c>
      <c r="D289" s="91" t="s">
        <v>965</v>
      </c>
      <c r="E289" s="91">
        <v>1984</v>
      </c>
      <c r="F289" s="91" t="s">
        <v>18</v>
      </c>
      <c r="G289" s="91" t="s">
        <v>1014</v>
      </c>
      <c r="H289" s="91" t="s">
        <v>1014</v>
      </c>
      <c r="I289" s="91" t="s">
        <v>1084</v>
      </c>
      <c r="J289" s="91">
        <v>6199</v>
      </c>
      <c r="K289" s="91">
        <v>0</v>
      </c>
      <c r="L289" s="91">
        <v>0</v>
      </c>
      <c r="M289" s="91">
        <v>0</v>
      </c>
      <c r="N289" s="91">
        <v>0</v>
      </c>
      <c r="O289" s="91">
        <v>0</v>
      </c>
      <c r="P289" s="91">
        <v>0</v>
      </c>
      <c r="Q289" s="101">
        <f t="shared" si="8"/>
        <v>6199</v>
      </c>
      <c r="R289" s="95">
        <f t="shared" si="9"/>
        <v>5269.15</v>
      </c>
    </row>
    <row r="290" spans="1:18" ht="34.049999999999997" customHeight="1" x14ac:dyDescent="0.3">
      <c r="A290" s="90">
        <v>279</v>
      </c>
      <c r="B290" s="91" t="s">
        <v>863</v>
      </c>
      <c r="C290" s="91" t="s">
        <v>7179</v>
      </c>
      <c r="D290" s="93" t="s">
        <v>2641</v>
      </c>
      <c r="E290" s="91">
        <v>2023</v>
      </c>
      <c r="F290" s="91" t="s">
        <v>19</v>
      </c>
      <c r="G290" s="91" t="s">
        <v>2642</v>
      </c>
      <c r="H290" s="91" t="s">
        <v>2643</v>
      </c>
      <c r="I290" s="91" t="s">
        <v>1460</v>
      </c>
      <c r="J290" s="91">
        <v>2900</v>
      </c>
      <c r="K290" s="91">
        <v>0</v>
      </c>
      <c r="L290" s="91">
        <v>0</v>
      </c>
      <c r="M290" s="91">
        <v>17688</v>
      </c>
      <c r="N290" s="91">
        <v>2088</v>
      </c>
      <c r="O290" s="91">
        <v>0</v>
      </c>
      <c r="P290" s="91">
        <f>1080+168+1200</f>
        <v>2448</v>
      </c>
      <c r="Q290" s="101">
        <f t="shared" si="8"/>
        <v>25124</v>
      </c>
      <c r="R290" s="95">
        <f t="shared" si="9"/>
        <v>21355.4</v>
      </c>
    </row>
    <row r="291" spans="1:18" ht="34.049999999999997" customHeight="1" x14ac:dyDescent="0.3">
      <c r="A291" s="90">
        <v>280</v>
      </c>
      <c r="B291" s="91" t="s">
        <v>863</v>
      </c>
      <c r="C291" s="91" t="s">
        <v>7180</v>
      </c>
      <c r="D291" s="93" t="s">
        <v>2636</v>
      </c>
      <c r="E291" s="91">
        <v>2024</v>
      </c>
      <c r="F291" s="91" t="s">
        <v>18</v>
      </c>
      <c r="G291" s="91" t="s">
        <v>2637</v>
      </c>
      <c r="H291" s="91" t="s">
        <v>2638</v>
      </c>
      <c r="I291" s="91" t="s">
        <v>2639</v>
      </c>
      <c r="J291" s="91">
        <v>2900</v>
      </c>
      <c r="K291" s="91">
        <v>0</v>
      </c>
      <c r="L291" s="91">
        <v>0</v>
      </c>
      <c r="M291" s="91">
        <v>0</v>
      </c>
      <c r="N291" s="91">
        <v>2088</v>
      </c>
      <c r="O291" s="91">
        <v>0</v>
      </c>
      <c r="P291" s="91">
        <f>360+56</f>
        <v>416</v>
      </c>
      <c r="Q291" s="101">
        <f t="shared" si="8"/>
        <v>5404</v>
      </c>
      <c r="R291" s="95">
        <f t="shared" si="9"/>
        <v>4593.3999999999996</v>
      </c>
    </row>
    <row r="292" spans="1:18" ht="34.049999999999997" customHeight="1" x14ac:dyDescent="0.3">
      <c r="A292" s="96">
        <v>281</v>
      </c>
      <c r="B292" s="91" t="s">
        <v>863</v>
      </c>
      <c r="C292" s="91" t="s">
        <v>7181</v>
      </c>
      <c r="D292" s="93" t="s">
        <v>641</v>
      </c>
      <c r="E292" s="91">
        <v>2006</v>
      </c>
      <c r="F292" s="91" t="s">
        <v>19</v>
      </c>
      <c r="G292" s="91" t="s">
        <v>748</v>
      </c>
      <c r="H292" s="91" t="s">
        <v>803</v>
      </c>
      <c r="I292" s="91" t="s">
        <v>283</v>
      </c>
      <c r="J292" s="91">
        <v>2900</v>
      </c>
      <c r="K292" s="91">
        <v>0</v>
      </c>
      <c r="L292" s="91">
        <v>0</v>
      </c>
      <c r="M292" s="91">
        <v>0</v>
      </c>
      <c r="N292" s="91">
        <v>0</v>
      </c>
      <c r="O292" s="91">
        <v>0</v>
      </c>
      <c r="P292" s="91">
        <f>144+720+720</f>
        <v>1584</v>
      </c>
      <c r="Q292" s="101">
        <f t="shared" si="8"/>
        <v>4484</v>
      </c>
      <c r="R292" s="95">
        <f t="shared" si="9"/>
        <v>3811.4</v>
      </c>
    </row>
    <row r="293" spans="1:18" ht="34.049999999999997" customHeight="1" x14ac:dyDescent="0.3">
      <c r="A293" s="90">
        <v>282</v>
      </c>
      <c r="B293" s="91" t="s">
        <v>863</v>
      </c>
      <c r="C293" s="91" t="s">
        <v>7182</v>
      </c>
      <c r="D293" s="93" t="s">
        <v>94</v>
      </c>
      <c r="E293" s="91">
        <v>2021</v>
      </c>
      <c r="F293" s="91" t="s">
        <v>18</v>
      </c>
      <c r="G293" s="91" t="s">
        <v>176</v>
      </c>
      <c r="H293" s="91" t="s">
        <v>227</v>
      </c>
      <c r="I293" s="91" t="s">
        <v>570</v>
      </c>
      <c r="J293" s="91">
        <v>2900</v>
      </c>
      <c r="K293" s="91">
        <v>0</v>
      </c>
      <c r="L293" s="91">
        <v>0</v>
      </c>
      <c r="M293" s="91">
        <v>0</v>
      </c>
      <c r="N293" s="91">
        <v>2088</v>
      </c>
      <c r="O293" s="91">
        <v>0</v>
      </c>
      <c r="P293" s="91">
        <f>360+56</f>
        <v>416</v>
      </c>
      <c r="Q293" s="101">
        <f t="shared" si="8"/>
        <v>5404</v>
      </c>
      <c r="R293" s="95">
        <f t="shared" si="9"/>
        <v>4593.3999999999996</v>
      </c>
    </row>
    <row r="294" spans="1:18" ht="34.049999999999997" customHeight="1" x14ac:dyDescent="0.3">
      <c r="A294" s="90">
        <v>283</v>
      </c>
      <c r="B294" s="91" t="s">
        <v>863</v>
      </c>
      <c r="C294" s="91" t="s">
        <v>7183</v>
      </c>
      <c r="D294" s="93" t="s">
        <v>332</v>
      </c>
      <c r="E294" s="91">
        <v>2025</v>
      </c>
      <c r="F294" s="91" t="s">
        <v>18</v>
      </c>
      <c r="G294" s="91" t="s">
        <v>447</v>
      </c>
      <c r="H294" s="91" t="s">
        <v>504</v>
      </c>
      <c r="I294" s="91" t="s">
        <v>544</v>
      </c>
      <c r="J294" s="91">
        <v>2900</v>
      </c>
      <c r="K294" s="91">
        <f>6278+4484</f>
        <v>10762</v>
      </c>
      <c r="L294" s="91">
        <v>0</v>
      </c>
      <c r="M294" s="91">
        <v>0</v>
      </c>
      <c r="N294" s="91">
        <f>2088+3148</f>
        <v>5236</v>
      </c>
      <c r="O294" s="91">
        <v>0</v>
      </c>
      <c r="P294" s="91">
        <f>720+112</f>
        <v>832</v>
      </c>
      <c r="Q294" s="101">
        <f t="shared" si="8"/>
        <v>19730</v>
      </c>
      <c r="R294" s="95">
        <f t="shared" si="9"/>
        <v>16770.5</v>
      </c>
    </row>
    <row r="295" spans="1:18" ht="34.049999999999997" customHeight="1" x14ac:dyDescent="0.3">
      <c r="A295" s="96">
        <v>284</v>
      </c>
      <c r="B295" s="91" t="s">
        <v>863</v>
      </c>
      <c r="C295" s="91" t="s">
        <v>7184</v>
      </c>
      <c r="D295" s="93" t="s">
        <v>429</v>
      </c>
      <c r="E295" s="91">
        <v>2024</v>
      </c>
      <c r="F295" s="91" t="s">
        <v>18</v>
      </c>
      <c r="G295" s="91" t="s">
        <v>494</v>
      </c>
      <c r="H295" s="91" t="s">
        <v>531</v>
      </c>
      <c r="I295" s="91" t="s">
        <v>570</v>
      </c>
      <c r="J295" s="91">
        <v>2900</v>
      </c>
      <c r="K295" s="91">
        <v>0</v>
      </c>
      <c r="L295" s="91">
        <v>0</v>
      </c>
      <c r="M295" s="91">
        <v>0</v>
      </c>
      <c r="N295" s="91">
        <v>2088</v>
      </c>
      <c r="O295" s="91">
        <v>0</v>
      </c>
      <c r="P295" s="91">
        <f>360+56+1200</f>
        <v>1616</v>
      </c>
      <c r="Q295" s="101">
        <f t="shared" si="8"/>
        <v>6604</v>
      </c>
      <c r="R295" s="95">
        <f t="shared" si="9"/>
        <v>5613.4</v>
      </c>
    </row>
    <row r="296" spans="1:18" ht="34.049999999999997" customHeight="1" x14ac:dyDescent="0.3">
      <c r="A296" s="90">
        <v>285</v>
      </c>
      <c r="B296" s="91" t="s">
        <v>863</v>
      </c>
      <c r="C296" s="91" t="s">
        <v>7185</v>
      </c>
      <c r="D296" s="93" t="s">
        <v>2646</v>
      </c>
      <c r="E296" s="91">
        <v>2022</v>
      </c>
      <c r="F296" s="91" t="s">
        <v>19</v>
      </c>
      <c r="G296" s="91" t="s">
        <v>762</v>
      </c>
      <c r="H296" s="91" t="s">
        <v>811</v>
      </c>
      <c r="I296" s="91" t="s">
        <v>848</v>
      </c>
      <c r="J296" s="91">
        <v>2900</v>
      </c>
      <c r="K296" s="91">
        <v>0</v>
      </c>
      <c r="L296" s="91">
        <v>0</v>
      </c>
      <c r="M296" s="91">
        <v>0</v>
      </c>
      <c r="N296" s="91">
        <v>2088</v>
      </c>
      <c r="O296" s="91">
        <v>0</v>
      </c>
      <c r="P296" s="91">
        <f>360+56</f>
        <v>416</v>
      </c>
      <c r="Q296" s="101">
        <f t="shared" si="8"/>
        <v>5404</v>
      </c>
      <c r="R296" s="95">
        <f t="shared" si="9"/>
        <v>4593.3999999999996</v>
      </c>
    </row>
    <row r="297" spans="1:18" ht="34.049999999999997" customHeight="1" x14ac:dyDescent="0.3">
      <c r="A297" s="90">
        <v>286</v>
      </c>
      <c r="B297" s="91" t="s">
        <v>863</v>
      </c>
      <c r="C297" s="91" t="s">
        <v>7186</v>
      </c>
      <c r="D297" s="93" t="s">
        <v>321</v>
      </c>
      <c r="E297" s="91">
        <v>2019</v>
      </c>
      <c r="F297" s="91" t="s">
        <v>18</v>
      </c>
      <c r="G297" s="91" t="s">
        <v>442</v>
      </c>
      <c r="H297" s="91" t="s">
        <v>503</v>
      </c>
      <c r="I297" s="91" t="s">
        <v>25</v>
      </c>
      <c r="J297" s="91">
        <v>2900</v>
      </c>
      <c r="K297" s="91">
        <v>0</v>
      </c>
      <c r="L297" s="91">
        <v>0</v>
      </c>
      <c r="M297" s="91">
        <v>0</v>
      </c>
      <c r="N297" s="91">
        <v>2088</v>
      </c>
      <c r="O297" s="91">
        <v>0</v>
      </c>
      <c r="P297" s="91">
        <f>360+56</f>
        <v>416</v>
      </c>
      <c r="Q297" s="101">
        <f t="shared" si="8"/>
        <v>5404</v>
      </c>
      <c r="R297" s="95">
        <f t="shared" si="9"/>
        <v>4593.3999999999996</v>
      </c>
    </row>
    <row r="298" spans="1:18" ht="34.049999999999997" customHeight="1" x14ac:dyDescent="0.3">
      <c r="A298" s="96">
        <v>287</v>
      </c>
      <c r="B298" s="91" t="s">
        <v>1085</v>
      </c>
      <c r="C298" s="91" t="s">
        <v>1086</v>
      </c>
      <c r="D298" s="91" t="s">
        <v>1087</v>
      </c>
      <c r="E298" s="91">
        <v>1993</v>
      </c>
      <c r="F298" s="91" t="s">
        <v>19</v>
      </c>
      <c r="G298" s="91" t="s">
        <v>1170</v>
      </c>
      <c r="H298" s="91" t="s">
        <v>1170</v>
      </c>
      <c r="I298" s="91" t="s">
        <v>1254</v>
      </c>
      <c r="J298" s="91">
        <v>3582</v>
      </c>
      <c r="K298" s="91">
        <v>0</v>
      </c>
      <c r="L298" s="91">
        <v>0</v>
      </c>
      <c r="M298" s="91">
        <v>0</v>
      </c>
      <c r="N298" s="91">
        <f>34016+27380</f>
        <v>61396</v>
      </c>
      <c r="O298" s="91">
        <v>0</v>
      </c>
      <c r="P298" s="91">
        <v>0</v>
      </c>
      <c r="Q298" s="101">
        <f t="shared" si="8"/>
        <v>64978</v>
      </c>
      <c r="R298" s="95">
        <f t="shared" si="9"/>
        <v>55231.3</v>
      </c>
    </row>
    <row r="299" spans="1:18" ht="34.049999999999997" customHeight="1" x14ac:dyDescent="0.3">
      <c r="A299" s="90">
        <v>288</v>
      </c>
      <c r="B299" s="91" t="s">
        <v>1085</v>
      </c>
      <c r="C299" s="91" t="s">
        <v>1088</v>
      </c>
      <c r="D299" s="91" t="s">
        <v>1089</v>
      </c>
      <c r="E299" s="91">
        <v>1994</v>
      </c>
      <c r="F299" s="91" t="s">
        <v>19</v>
      </c>
      <c r="G299" s="91" t="s">
        <v>1171</v>
      </c>
      <c r="H299" s="91" t="s">
        <v>1171</v>
      </c>
      <c r="I299" s="91" t="s">
        <v>1255</v>
      </c>
      <c r="J299" s="91">
        <v>6199</v>
      </c>
      <c r="K299" s="91">
        <f>6278+4484+1346+2332+2332+4484+2332+2332+2332+1346+3000+3000</f>
        <v>35598</v>
      </c>
      <c r="L299" s="91">
        <v>0</v>
      </c>
      <c r="M299" s="91">
        <v>0</v>
      </c>
      <c r="N299" s="91">
        <v>1793</v>
      </c>
      <c r="O299" s="91">
        <v>0</v>
      </c>
      <c r="P299" s="91">
        <v>0</v>
      </c>
      <c r="Q299" s="101">
        <f t="shared" si="8"/>
        <v>43590</v>
      </c>
      <c r="R299" s="95">
        <f t="shared" si="9"/>
        <v>37051.5</v>
      </c>
    </row>
    <row r="300" spans="1:18" ht="34.049999999999997" customHeight="1" x14ac:dyDescent="0.3">
      <c r="A300" s="90">
        <v>289</v>
      </c>
      <c r="B300" s="91" t="s">
        <v>1085</v>
      </c>
      <c r="C300" s="91" t="s">
        <v>1090</v>
      </c>
      <c r="D300" s="91" t="s">
        <v>1091</v>
      </c>
      <c r="E300" s="91">
        <v>1984</v>
      </c>
      <c r="F300" s="91" t="s">
        <v>18</v>
      </c>
      <c r="G300" s="91" t="s">
        <v>1172</v>
      </c>
      <c r="H300" s="91" t="s">
        <v>1172</v>
      </c>
      <c r="I300" s="91" t="s">
        <v>836</v>
      </c>
      <c r="J300" s="91">
        <v>6199</v>
      </c>
      <c r="K300" s="91">
        <f>6278+4484+1346+2332+4484+2332+2332+2332+2332+4484+4484+4484+2332</f>
        <v>44036</v>
      </c>
      <c r="L300" s="91">
        <v>0</v>
      </c>
      <c r="M300" s="91">
        <v>0</v>
      </c>
      <c r="N300" s="91">
        <v>1793</v>
      </c>
      <c r="O300" s="91">
        <v>0</v>
      </c>
      <c r="P300" s="91">
        <v>0</v>
      </c>
      <c r="Q300" s="101">
        <f t="shared" si="8"/>
        <v>52028</v>
      </c>
      <c r="R300" s="95">
        <f t="shared" si="9"/>
        <v>44223.8</v>
      </c>
    </row>
    <row r="301" spans="1:18" ht="34.049999999999997" customHeight="1" x14ac:dyDescent="0.3">
      <c r="A301" s="96">
        <v>290</v>
      </c>
      <c r="B301" s="91" t="s">
        <v>1085</v>
      </c>
      <c r="C301" s="91" t="s">
        <v>1092</v>
      </c>
      <c r="D301" s="91" t="s">
        <v>1093</v>
      </c>
      <c r="E301" s="91">
        <v>2022</v>
      </c>
      <c r="F301" s="91" t="s">
        <v>18</v>
      </c>
      <c r="G301" s="91" t="s">
        <v>1173</v>
      </c>
      <c r="H301" s="91" t="s">
        <v>1224</v>
      </c>
      <c r="I301" s="91" t="s">
        <v>1256</v>
      </c>
      <c r="J301" s="91">
        <v>6199</v>
      </c>
      <c r="K301" s="91">
        <f>1346+6278+4484+4484+2332+2332+2332+6995+2332+2332+2332+6995+6995+2332</f>
        <v>53901</v>
      </c>
      <c r="L301" s="91">
        <v>0</v>
      </c>
      <c r="M301" s="91">
        <v>0</v>
      </c>
      <c r="N301" s="91">
        <v>3148</v>
      </c>
      <c r="O301" s="91">
        <v>0</v>
      </c>
      <c r="P301" s="91">
        <v>0</v>
      </c>
      <c r="Q301" s="101">
        <f t="shared" si="8"/>
        <v>63248</v>
      </c>
      <c r="R301" s="95">
        <f t="shared" si="9"/>
        <v>53760.800000000003</v>
      </c>
    </row>
    <row r="302" spans="1:18" ht="34.049999999999997" customHeight="1" x14ac:dyDescent="0.3">
      <c r="A302" s="90">
        <v>291</v>
      </c>
      <c r="B302" s="91" t="s">
        <v>1085</v>
      </c>
      <c r="C302" s="91" t="s">
        <v>1094</v>
      </c>
      <c r="D302" s="91" t="s">
        <v>1095</v>
      </c>
      <c r="E302" s="91">
        <v>1986</v>
      </c>
      <c r="F302" s="91" t="s">
        <v>19</v>
      </c>
      <c r="G302" s="91" t="s">
        <v>1174</v>
      </c>
      <c r="H302" s="91" t="s">
        <v>1174</v>
      </c>
      <c r="I302" s="91" t="s">
        <v>1257</v>
      </c>
      <c r="J302" s="91">
        <v>6199</v>
      </c>
      <c r="K302" s="91">
        <f>6278+4484+6995+2332+2332+2332+3000+3000+6995+3228+2332+2332+2243+2332+2332+2332+4484+4484+2332+4484</f>
        <v>70663</v>
      </c>
      <c r="L302" s="91">
        <v>20807</v>
      </c>
      <c r="M302" s="91">
        <v>0</v>
      </c>
      <c r="N302" s="91">
        <f>1793+1681</f>
        <v>3474</v>
      </c>
      <c r="O302" s="91">
        <v>0</v>
      </c>
      <c r="P302" s="91">
        <f>624+112</f>
        <v>736</v>
      </c>
      <c r="Q302" s="101">
        <f t="shared" si="8"/>
        <v>101879</v>
      </c>
      <c r="R302" s="95">
        <f t="shared" si="9"/>
        <v>86597.15</v>
      </c>
    </row>
    <row r="303" spans="1:18" ht="34.049999999999997" customHeight="1" x14ac:dyDescent="0.3">
      <c r="A303" s="90">
        <v>292</v>
      </c>
      <c r="B303" s="91" t="s">
        <v>1085</v>
      </c>
      <c r="C303" s="91" t="s">
        <v>1096</v>
      </c>
      <c r="D303" s="91" t="s">
        <v>1097</v>
      </c>
      <c r="E303" s="91">
        <v>1994</v>
      </c>
      <c r="F303" s="91" t="s">
        <v>18</v>
      </c>
      <c r="G303" s="91" t="s">
        <v>1175</v>
      </c>
      <c r="H303" s="91" t="s">
        <v>1175</v>
      </c>
      <c r="I303" s="91" t="s">
        <v>1258</v>
      </c>
      <c r="J303" s="91">
        <v>6199</v>
      </c>
      <c r="K303" s="91">
        <f>1346+6278+4484+4484+2332+2332+2332+2332+2332+2332+1346+1346+2332+2332</f>
        <v>37940</v>
      </c>
      <c r="L303" s="91">
        <v>0</v>
      </c>
      <c r="M303" s="91">
        <v>0</v>
      </c>
      <c r="N303" s="91">
        <v>1793</v>
      </c>
      <c r="O303" s="91">
        <v>0</v>
      </c>
      <c r="P303" s="91">
        <v>0</v>
      </c>
      <c r="Q303" s="101">
        <f t="shared" si="8"/>
        <v>45932</v>
      </c>
      <c r="R303" s="95">
        <f t="shared" si="9"/>
        <v>39042.199999999997</v>
      </c>
    </row>
    <row r="304" spans="1:18" ht="34.049999999999997" customHeight="1" x14ac:dyDescent="0.3">
      <c r="A304" s="96">
        <v>293</v>
      </c>
      <c r="B304" s="91" t="s">
        <v>1085</v>
      </c>
      <c r="C304" s="91" t="s">
        <v>1098</v>
      </c>
      <c r="D304" s="91" t="s">
        <v>1099</v>
      </c>
      <c r="E304" s="91">
        <v>1999</v>
      </c>
      <c r="F304" s="91" t="s">
        <v>19</v>
      </c>
      <c r="G304" s="91" t="s">
        <v>1176</v>
      </c>
      <c r="H304" s="91" t="s">
        <v>1176</v>
      </c>
      <c r="I304" s="91" t="s">
        <v>544</v>
      </c>
      <c r="J304" s="91">
        <v>6199</v>
      </c>
      <c r="K304" s="91">
        <f>1166+2801</f>
        <v>3967</v>
      </c>
      <c r="L304" s="91">
        <v>0</v>
      </c>
      <c r="M304" s="91">
        <v>0</v>
      </c>
      <c r="N304" s="91">
        <v>0</v>
      </c>
      <c r="O304" s="91">
        <v>0</v>
      </c>
      <c r="P304" s="91">
        <v>0</v>
      </c>
      <c r="Q304" s="101">
        <f t="shared" si="8"/>
        <v>10166</v>
      </c>
      <c r="R304" s="95">
        <f t="shared" si="9"/>
        <v>8641.1</v>
      </c>
    </row>
    <row r="305" spans="1:23" ht="34.049999999999997" customHeight="1" x14ac:dyDescent="0.3">
      <c r="A305" s="90">
        <v>294</v>
      </c>
      <c r="B305" s="91" t="s">
        <v>1085</v>
      </c>
      <c r="C305" s="91" t="s">
        <v>1100</v>
      </c>
      <c r="D305" s="91" t="s">
        <v>1101</v>
      </c>
      <c r="E305" s="91">
        <v>2025</v>
      </c>
      <c r="F305" s="91" t="s">
        <v>19</v>
      </c>
      <c r="G305" s="91" t="s">
        <v>1177</v>
      </c>
      <c r="H305" s="91" t="s">
        <v>1225</v>
      </c>
      <c r="I305" s="91" t="s">
        <v>544</v>
      </c>
      <c r="J305" s="91">
        <v>6199</v>
      </c>
      <c r="K305" s="91">
        <f>6278+4484+1346</f>
        <v>12108</v>
      </c>
      <c r="L305" s="91">
        <v>0</v>
      </c>
      <c r="M305" s="91">
        <v>0</v>
      </c>
      <c r="N305" s="91">
        <v>3148</v>
      </c>
      <c r="O305" s="91">
        <v>0</v>
      </c>
      <c r="P305" s="91">
        <v>0</v>
      </c>
      <c r="Q305" s="101">
        <f t="shared" si="8"/>
        <v>21455</v>
      </c>
      <c r="R305" s="95">
        <f t="shared" si="9"/>
        <v>18236.75</v>
      </c>
    </row>
    <row r="306" spans="1:23" ht="34.049999999999997" customHeight="1" x14ac:dyDescent="0.3">
      <c r="A306" s="90">
        <v>295</v>
      </c>
      <c r="B306" s="91" t="s">
        <v>1085</v>
      </c>
      <c r="C306" s="91" t="s">
        <v>1102</v>
      </c>
      <c r="D306" s="91" t="s">
        <v>1103</v>
      </c>
      <c r="E306" s="91">
        <v>2012</v>
      </c>
      <c r="F306" s="91" t="s">
        <v>19</v>
      </c>
      <c r="G306" s="91" t="s">
        <v>1178</v>
      </c>
      <c r="H306" s="91" t="s">
        <v>1226</v>
      </c>
      <c r="I306" s="91" t="s">
        <v>268</v>
      </c>
      <c r="J306" s="91">
        <v>6199</v>
      </c>
      <c r="K306" s="91">
        <f>6278+4484+2332+2332+2332+2332+1166+2801+4484+2332</f>
        <v>30873</v>
      </c>
      <c r="L306" s="91">
        <v>13298</v>
      </c>
      <c r="M306" s="91">
        <v>0</v>
      </c>
      <c r="N306" s="91">
        <v>3148</v>
      </c>
      <c r="O306" s="91">
        <v>0</v>
      </c>
      <c r="P306" s="91">
        <v>0</v>
      </c>
      <c r="Q306" s="101">
        <f t="shared" si="8"/>
        <v>53518</v>
      </c>
      <c r="R306" s="95">
        <f t="shared" si="9"/>
        <v>45490.3</v>
      </c>
    </row>
    <row r="307" spans="1:23" ht="34.049999999999997" customHeight="1" x14ac:dyDescent="0.3">
      <c r="A307" s="96">
        <v>296</v>
      </c>
      <c r="B307" s="91" t="s">
        <v>1085</v>
      </c>
      <c r="C307" s="91" t="s">
        <v>1104</v>
      </c>
      <c r="D307" s="91" t="s">
        <v>1105</v>
      </c>
      <c r="E307" s="91">
        <v>2009</v>
      </c>
      <c r="F307" s="91" t="s">
        <v>18</v>
      </c>
      <c r="G307" s="91" t="s">
        <v>1179</v>
      </c>
      <c r="H307" s="91" t="s">
        <v>1227</v>
      </c>
      <c r="I307" s="91" t="s">
        <v>1259</v>
      </c>
      <c r="J307" s="91">
        <v>6199</v>
      </c>
      <c r="K307" s="91">
        <v>0</v>
      </c>
      <c r="L307" s="91">
        <v>0</v>
      </c>
      <c r="M307" s="91">
        <v>0</v>
      </c>
      <c r="N307" s="91">
        <v>0</v>
      </c>
      <c r="O307" s="91">
        <v>0</v>
      </c>
      <c r="P307" s="91">
        <v>0</v>
      </c>
      <c r="Q307" s="101">
        <f t="shared" si="8"/>
        <v>6199</v>
      </c>
      <c r="R307" s="95">
        <f t="shared" si="9"/>
        <v>5269.15</v>
      </c>
    </row>
    <row r="308" spans="1:23" ht="34.049999999999997" customHeight="1" x14ac:dyDescent="0.3">
      <c r="A308" s="90">
        <v>297</v>
      </c>
      <c r="B308" s="98" t="s">
        <v>1085</v>
      </c>
      <c r="C308" s="98" t="s">
        <v>1106</v>
      </c>
      <c r="D308" s="98" t="s">
        <v>1107</v>
      </c>
      <c r="E308" s="98">
        <v>2022</v>
      </c>
      <c r="F308" s="98" t="s">
        <v>18</v>
      </c>
      <c r="G308" s="98" t="s">
        <v>1180</v>
      </c>
      <c r="H308" s="98" t="s">
        <v>1228</v>
      </c>
      <c r="I308" s="98" t="s">
        <v>1260</v>
      </c>
      <c r="J308" s="98">
        <v>6199</v>
      </c>
      <c r="K308" s="98">
        <v>0</v>
      </c>
      <c r="L308" s="98">
        <v>0</v>
      </c>
      <c r="M308" s="98">
        <v>0</v>
      </c>
      <c r="N308" s="98">
        <f>1178+4053</f>
        <v>5231</v>
      </c>
      <c r="O308" s="98">
        <v>0</v>
      </c>
      <c r="P308" s="98">
        <v>720</v>
      </c>
      <c r="Q308" s="101">
        <f t="shared" si="8"/>
        <v>12150</v>
      </c>
      <c r="R308" s="95">
        <f t="shared" si="9"/>
        <v>10327.5</v>
      </c>
      <c r="S308" s="41"/>
      <c r="T308" s="41"/>
      <c r="U308" s="41"/>
      <c r="V308" s="41"/>
      <c r="W308" s="41"/>
    </row>
    <row r="309" spans="1:23" ht="34.049999999999997" customHeight="1" x14ac:dyDescent="0.3">
      <c r="A309" s="90">
        <v>298</v>
      </c>
      <c r="B309" s="91" t="s">
        <v>1085</v>
      </c>
      <c r="C309" s="91" t="s">
        <v>1108</v>
      </c>
      <c r="D309" s="91" t="s">
        <v>1109</v>
      </c>
      <c r="E309" s="91">
        <v>2013</v>
      </c>
      <c r="F309" s="91" t="s">
        <v>18</v>
      </c>
      <c r="G309" s="91" t="s">
        <v>1181</v>
      </c>
      <c r="H309" s="91" t="s">
        <v>1229</v>
      </c>
      <c r="I309" s="91" t="s">
        <v>1063</v>
      </c>
      <c r="J309" s="91">
        <v>3582</v>
      </c>
      <c r="K309" s="91">
        <v>0</v>
      </c>
      <c r="L309" s="91">
        <v>0</v>
      </c>
      <c r="M309" s="91">
        <v>0</v>
      </c>
      <c r="N309" s="91">
        <f>15443+17918</f>
        <v>33361</v>
      </c>
      <c r="O309" s="91">
        <v>0</v>
      </c>
      <c r="P309" s="91">
        <v>0</v>
      </c>
      <c r="Q309" s="101">
        <f t="shared" si="8"/>
        <v>36943</v>
      </c>
      <c r="R309" s="95">
        <f t="shared" si="9"/>
        <v>31401.55</v>
      </c>
    </row>
    <row r="310" spans="1:23" ht="34.049999999999997" customHeight="1" x14ac:dyDescent="0.3">
      <c r="A310" s="96">
        <v>299</v>
      </c>
      <c r="B310" s="91" t="s">
        <v>1085</v>
      </c>
      <c r="C310" s="91" t="s">
        <v>1110</v>
      </c>
      <c r="D310" s="91" t="s">
        <v>1111</v>
      </c>
      <c r="E310" s="91">
        <v>2021</v>
      </c>
      <c r="F310" s="91" t="s">
        <v>19</v>
      </c>
      <c r="G310" s="91" t="s">
        <v>1182</v>
      </c>
      <c r="H310" s="91" t="s">
        <v>1230</v>
      </c>
      <c r="I310" s="91" t="s">
        <v>1261</v>
      </c>
      <c r="J310" s="91">
        <v>6199</v>
      </c>
      <c r="K310" s="91">
        <v>0</v>
      </c>
      <c r="L310" s="91">
        <f>13526+13298</f>
        <v>26824</v>
      </c>
      <c r="M310" s="91">
        <v>0</v>
      </c>
      <c r="N310" s="91">
        <v>33882</v>
      </c>
      <c r="O310" s="91">
        <v>0</v>
      </c>
      <c r="P310" s="91">
        <v>0</v>
      </c>
      <c r="Q310" s="101">
        <f t="shared" si="8"/>
        <v>66905</v>
      </c>
      <c r="R310" s="95">
        <f t="shared" si="9"/>
        <v>56869.25</v>
      </c>
    </row>
    <row r="311" spans="1:23" ht="34.049999999999997" customHeight="1" x14ac:dyDescent="0.3">
      <c r="A311" s="90">
        <v>300</v>
      </c>
      <c r="B311" s="91" t="s">
        <v>1085</v>
      </c>
      <c r="C311" s="91" t="s">
        <v>1112</v>
      </c>
      <c r="D311" s="91" t="s">
        <v>1113</v>
      </c>
      <c r="E311" s="91">
        <v>1956</v>
      </c>
      <c r="F311" s="91" t="s">
        <v>19</v>
      </c>
      <c r="G311" s="91" t="s">
        <v>1183</v>
      </c>
      <c r="H311" s="91" t="s">
        <v>1183</v>
      </c>
      <c r="I311" s="91" t="s">
        <v>824</v>
      </c>
      <c r="J311" s="91">
        <v>6199</v>
      </c>
      <c r="K311" s="91">
        <v>0</v>
      </c>
      <c r="L311" s="91">
        <v>0</v>
      </c>
      <c r="M311" s="91">
        <v>0</v>
      </c>
      <c r="N311" s="91">
        <v>0</v>
      </c>
      <c r="O311" s="91">
        <v>0</v>
      </c>
      <c r="P311" s="91">
        <v>0</v>
      </c>
      <c r="Q311" s="101">
        <f t="shared" si="8"/>
        <v>6199</v>
      </c>
      <c r="R311" s="95">
        <f t="shared" si="9"/>
        <v>5269.15</v>
      </c>
    </row>
    <row r="312" spans="1:23" ht="34.049999999999997" customHeight="1" x14ac:dyDescent="0.3">
      <c r="A312" s="90">
        <v>301</v>
      </c>
      <c r="B312" s="91" t="s">
        <v>1085</v>
      </c>
      <c r="C312" s="91" t="s">
        <v>1114</v>
      </c>
      <c r="D312" s="91" t="s">
        <v>1115</v>
      </c>
      <c r="E312" s="91">
        <v>1999</v>
      </c>
      <c r="F312" s="91" t="s">
        <v>18</v>
      </c>
      <c r="G312" s="91" t="s">
        <v>1184</v>
      </c>
      <c r="H312" s="91" t="s">
        <v>1231</v>
      </c>
      <c r="I312" s="91" t="s">
        <v>1262</v>
      </c>
      <c r="J312" s="91">
        <v>6199</v>
      </c>
      <c r="K312" s="91">
        <v>13452</v>
      </c>
      <c r="L312" s="91">
        <v>0</v>
      </c>
      <c r="M312" s="91">
        <v>0</v>
      </c>
      <c r="N312" s="91">
        <v>1793</v>
      </c>
      <c r="O312" s="91">
        <v>0</v>
      </c>
      <c r="P312" s="91">
        <v>0</v>
      </c>
      <c r="Q312" s="101">
        <f t="shared" si="8"/>
        <v>21444</v>
      </c>
      <c r="R312" s="95">
        <f t="shared" si="9"/>
        <v>18227.400000000001</v>
      </c>
    </row>
    <row r="313" spans="1:23" ht="34.049999999999997" customHeight="1" x14ac:dyDescent="0.3">
      <c r="A313" s="96">
        <v>302</v>
      </c>
      <c r="B313" s="91" t="s">
        <v>1085</v>
      </c>
      <c r="C313" s="91" t="s">
        <v>1116</v>
      </c>
      <c r="D313" s="91" t="s">
        <v>1117</v>
      </c>
      <c r="E313" s="91">
        <v>1995</v>
      </c>
      <c r="F313" s="91" t="s">
        <v>18</v>
      </c>
      <c r="G313" s="91" t="s">
        <v>1185</v>
      </c>
      <c r="H313" s="91" t="s">
        <v>1185</v>
      </c>
      <c r="I313" s="91" t="s">
        <v>1263</v>
      </c>
      <c r="J313" s="91">
        <v>6199</v>
      </c>
      <c r="K313" s="91">
        <v>0</v>
      </c>
      <c r="L313" s="91">
        <v>0</v>
      </c>
      <c r="M313" s="91">
        <v>0</v>
      </c>
      <c r="N313" s="91">
        <v>0</v>
      </c>
      <c r="O313" s="91">
        <v>0</v>
      </c>
      <c r="P313" s="91">
        <v>0</v>
      </c>
      <c r="Q313" s="101">
        <f t="shared" si="8"/>
        <v>6199</v>
      </c>
      <c r="R313" s="95">
        <f t="shared" si="9"/>
        <v>5269.15</v>
      </c>
    </row>
    <row r="314" spans="1:23" ht="34.049999999999997" customHeight="1" x14ac:dyDescent="0.3">
      <c r="A314" s="90">
        <v>303</v>
      </c>
      <c r="B314" s="91" t="s">
        <v>1085</v>
      </c>
      <c r="C314" s="91" t="s">
        <v>1118</v>
      </c>
      <c r="D314" s="91" t="s">
        <v>1119</v>
      </c>
      <c r="E314" s="91">
        <v>2022</v>
      </c>
      <c r="F314" s="91" t="s">
        <v>18</v>
      </c>
      <c r="G314" s="91" t="s">
        <v>1186</v>
      </c>
      <c r="H314" s="91" t="s">
        <v>1187</v>
      </c>
      <c r="I314" s="91" t="s">
        <v>1264</v>
      </c>
      <c r="J314" s="91">
        <v>6199</v>
      </c>
      <c r="K314" s="91">
        <f>6278+4484+4484+2332+2332+1346+2332+2332+2332+2332+6995+6995+2332+6995</f>
        <v>53901</v>
      </c>
      <c r="L314" s="91">
        <v>0</v>
      </c>
      <c r="M314" s="91">
        <v>0</v>
      </c>
      <c r="N314" s="91">
        <v>3148</v>
      </c>
      <c r="O314" s="91">
        <v>0</v>
      </c>
      <c r="P314" s="91">
        <v>0</v>
      </c>
      <c r="Q314" s="101">
        <f t="shared" si="8"/>
        <v>63248</v>
      </c>
      <c r="R314" s="95">
        <f t="shared" si="9"/>
        <v>53760.800000000003</v>
      </c>
    </row>
    <row r="315" spans="1:23" ht="34.049999999999997" customHeight="1" x14ac:dyDescent="0.3">
      <c r="A315" s="90">
        <v>304</v>
      </c>
      <c r="B315" s="91" t="s">
        <v>1085</v>
      </c>
      <c r="C315" s="91" t="s">
        <v>1120</v>
      </c>
      <c r="D315" s="91" t="s">
        <v>1121</v>
      </c>
      <c r="E315" s="91">
        <v>1989</v>
      </c>
      <c r="F315" s="91" t="s">
        <v>19</v>
      </c>
      <c r="G315" s="91" t="s">
        <v>1187</v>
      </c>
      <c r="H315" s="91" t="s">
        <v>1187</v>
      </c>
      <c r="I315" s="91" t="s">
        <v>1265</v>
      </c>
      <c r="J315" s="91">
        <v>3582</v>
      </c>
      <c r="K315" s="91">
        <v>0</v>
      </c>
      <c r="L315" s="91">
        <v>0</v>
      </c>
      <c r="M315" s="91">
        <v>0</v>
      </c>
      <c r="N315" s="91">
        <f>34016+27380</f>
        <v>61396</v>
      </c>
      <c r="O315" s="91">
        <v>0</v>
      </c>
      <c r="P315" s="91">
        <v>0</v>
      </c>
      <c r="Q315" s="101">
        <f t="shared" si="8"/>
        <v>64978</v>
      </c>
      <c r="R315" s="95">
        <f t="shared" si="9"/>
        <v>55231.3</v>
      </c>
    </row>
    <row r="316" spans="1:23" ht="34.049999999999997" customHeight="1" x14ac:dyDescent="0.3">
      <c r="A316" s="96">
        <v>305</v>
      </c>
      <c r="B316" s="91" t="s">
        <v>1085</v>
      </c>
      <c r="C316" s="91" t="s">
        <v>1122</v>
      </c>
      <c r="D316" s="91" t="s">
        <v>1123</v>
      </c>
      <c r="E316" s="91">
        <v>2022</v>
      </c>
      <c r="F316" s="91" t="s">
        <v>19</v>
      </c>
      <c r="G316" s="91" t="s">
        <v>1188</v>
      </c>
      <c r="H316" s="91" t="s">
        <v>1232</v>
      </c>
      <c r="I316" s="91" t="s">
        <v>1266</v>
      </c>
      <c r="J316" s="91">
        <v>6199</v>
      </c>
      <c r="K316" s="91">
        <f>1346+6278+4484+1166</f>
        <v>13274</v>
      </c>
      <c r="L316" s="91">
        <v>0</v>
      </c>
      <c r="M316" s="91">
        <v>0</v>
      </c>
      <c r="N316" s="91">
        <v>3148</v>
      </c>
      <c r="O316" s="91">
        <v>0</v>
      </c>
      <c r="P316" s="91">
        <v>0</v>
      </c>
      <c r="Q316" s="101">
        <f t="shared" si="8"/>
        <v>22621</v>
      </c>
      <c r="R316" s="95">
        <f t="shared" si="9"/>
        <v>19227.849999999999</v>
      </c>
    </row>
    <row r="317" spans="1:23" ht="34.049999999999997" customHeight="1" x14ac:dyDescent="0.3">
      <c r="A317" s="90">
        <v>306</v>
      </c>
      <c r="B317" s="91" t="s">
        <v>1085</v>
      </c>
      <c r="C317" s="91" t="s">
        <v>1124</v>
      </c>
      <c r="D317" s="91" t="s">
        <v>1125</v>
      </c>
      <c r="E317" s="91">
        <v>2015</v>
      </c>
      <c r="F317" s="91" t="s">
        <v>19</v>
      </c>
      <c r="G317" s="91" t="s">
        <v>1189</v>
      </c>
      <c r="H317" s="91" t="s">
        <v>1233</v>
      </c>
      <c r="I317" s="91" t="s">
        <v>1267</v>
      </c>
      <c r="J317" s="91">
        <v>6199</v>
      </c>
      <c r="K317" s="91">
        <f>1346+6278+4484+4484</f>
        <v>16592</v>
      </c>
      <c r="L317" s="91">
        <v>0</v>
      </c>
      <c r="M317" s="91">
        <v>0</v>
      </c>
      <c r="N317" s="91">
        <v>3148</v>
      </c>
      <c r="O317" s="91">
        <v>0</v>
      </c>
      <c r="P317" s="91">
        <v>0</v>
      </c>
      <c r="Q317" s="101">
        <f t="shared" si="8"/>
        <v>25939</v>
      </c>
      <c r="R317" s="95">
        <f t="shared" si="9"/>
        <v>22048.15</v>
      </c>
    </row>
    <row r="318" spans="1:23" ht="34.049999999999997" customHeight="1" x14ac:dyDescent="0.3">
      <c r="A318" s="90">
        <v>307</v>
      </c>
      <c r="B318" s="91" t="s">
        <v>1085</v>
      </c>
      <c r="C318" s="91" t="s">
        <v>1126</v>
      </c>
      <c r="D318" s="91" t="s">
        <v>1127</v>
      </c>
      <c r="E318" s="91">
        <v>1972</v>
      </c>
      <c r="F318" s="91" t="s">
        <v>19</v>
      </c>
      <c r="G318" s="91" t="s">
        <v>1190</v>
      </c>
      <c r="H318" s="91" t="s">
        <v>1190</v>
      </c>
      <c r="I318" s="91" t="s">
        <v>253</v>
      </c>
      <c r="J318" s="91">
        <v>6199</v>
      </c>
      <c r="K318" s="91">
        <v>0</v>
      </c>
      <c r="L318" s="91">
        <v>0</v>
      </c>
      <c r="M318" s="91">
        <v>0</v>
      </c>
      <c r="N318" s="91">
        <v>0</v>
      </c>
      <c r="O318" s="91">
        <v>0</v>
      </c>
      <c r="P318" s="91">
        <v>0</v>
      </c>
      <c r="Q318" s="101">
        <f t="shared" si="8"/>
        <v>6199</v>
      </c>
      <c r="R318" s="95">
        <f t="shared" si="9"/>
        <v>5269.15</v>
      </c>
    </row>
    <row r="319" spans="1:23" ht="34.049999999999997" customHeight="1" x14ac:dyDescent="0.3">
      <c r="A319" s="96">
        <v>308</v>
      </c>
      <c r="B319" s="91" t="s">
        <v>1085</v>
      </c>
      <c r="C319" s="91" t="s">
        <v>1128</v>
      </c>
      <c r="D319" s="91" t="s">
        <v>1129</v>
      </c>
      <c r="E319" s="91">
        <v>2015</v>
      </c>
      <c r="F319" s="91" t="s">
        <v>18</v>
      </c>
      <c r="G319" s="91" t="s">
        <v>1191</v>
      </c>
      <c r="H319" s="91" t="s">
        <v>1234</v>
      </c>
      <c r="I319" s="91" t="s">
        <v>1268</v>
      </c>
      <c r="J319" s="91">
        <v>6199</v>
      </c>
      <c r="K319" s="91">
        <v>1166</v>
      </c>
      <c r="L319" s="91">
        <v>17620</v>
      </c>
      <c r="M319" s="91">
        <v>0</v>
      </c>
      <c r="N319" s="91">
        <v>0</v>
      </c>
      <c r="O319" s="91">
        <v>0</v>
      </c>
      <c r="P319" s="91">
        <v>0</v>
      </c>
      <c r="Q319" s="101">
        <f t="shared" si="8"/>
        <v>24985</v>
      </c>
      <c r="R319" s="95">
        <f t="shared" si="9"/>
        <v>21237.25</v>
      </c>
    </row>
    <row r="320" spans="1:23" ht="34.049999999999997" customHeight="1" x14ac:dyDescent="0.3">
      <c r="A320" s="90">
        <v>309</v>
      </c>
      <c r="B320" s="91" t="s">
        <v>1085</v>
      </c>
      <c r="C320" s="91" t="s">
        <v>1130</v>
      </c>
      <c r="D320" s="91" t="s">
        <v>1131</v>
      </c>
      <c r="E320" s="91">
        <v>2004</v>
      </c>
      <c r="F320" s="91" t="s">
        <v>18</v>
      </c>
      <c r="G320" s="91" t="s">
        <v>1192</v>
      </c>
      <c r="H320" s="91" t="s">
        <v>1235</v>
      </c>
      <c r="I320" s="91" t="s">
        <v>1269</v>
      </c>
      <c r="J320" s="91">
        <v>6199</v>
      </c>
      <c r="K320" s="91">
        <f>6278+4484+4484+6995+2332+2332+2332+2332+2332+2332+2332+2332+1346+1346+3228</f>
        <v>46817</v>
      </c>
      <c r="L320" s="91">
        <v>20807</v>
      </c>
      <c r="M320" s="91">
        <v>0</v>
      </c>
      <c r="N320" s="91">
        <v>1793</v>
      </c>
      <c r="O320" s="91">
        <v>0</v>
      </c>
      <c r="P320" s="91">
        <v>0</v>
      </c>
      <c r="Q320" s="101">
        <f t="shared" si="8"/>
        <v>75616</v>
      </c>
      <c r="R320" s="95">
        <f t="shared" si="9"/>
        <v>64273.599999999999</v>
      </c>
    </row>
    <row r="321" spans="1:23" ht="34.049999999999997" customHeight="1" x14ac:dyDescent="0.3">
      <c r="A321" s="90">
        <v>310</v>
      </c>
      <c r="B321" s="91" t="s">
        <v>1085</v>
      </c>
      <c r="C321" s="91" t="s">
        <v>1132</v>
      </c>
      <c r="D321" s="91" t="s">
        <v>1133</v>
      </c>
      <c r="E321" s="91">
        <v>1997</v>
      </c>
      <c r="F321" s="91" t="s">
        <v>19</v>
      </c>
      <c r="G321" s="91" t="s">
        <v>1193</v>
      </c>
      <c r="H321" s="91" t="s">
        <v>1193</v>
      </c>
      <c r="I321" s="91" t="s">
        <v>279</v>
      </c>
      <c r="J321" s="91">
        <v>6199</v>
      </c>
      <c r="K321" s="91">
        <f>1346+6278+4484+6995+3228+3000+3000+3587+2332+2332+2332+2332+2332+2332+6995+6995+6995+2332+1166+2801+2332+2332</f>
        <v>77858</v>
      </c>
      <c r="L321" s="91">
        <v>0</v>
      </c>
      <c r="M321" s="91">
        <v>0</v>
      </c>
      <c r="N321" s="91">
        <f>1793+3179</f>
        <v>4972</v>
      </c>
      <c r="O321" s="91">
        <v>0</v>
      </c>
      <c r="P321" s="91">
        <f>1440+374</f>
        <v>1814</v>
      </c>
      <c r="Q321" s="101">
        <f t="shared" si="8"/>
        <v>90843</v>
      </c>
      <c r="R321" s="95">
        <f t="shared" si="9"/>
        <v>77216.55</v>
      </c>
    </row>
    <row r="322" spans="1:23" ht="34.049999999999997" customHeight="1" x14ac:dyDescent="0.3">
      <c r="A322" s="96">
        <v>311</v>
      </c>
      <c r="B322" s="91" t="s">
        <v>1085</v>
      </c>
      <c r="C322" s="91" t="s">
        <v>1134</v>
      </c>
      <c r="D322" s="91" t="s">
        <v>1135</v>
      </c>
      <c r="E322" s="91">
        <v>2006</v>
      </c>
      <c r="F322" s="91" t="s">
        <v>19</v>
      </c>
      <c r="G322" s="91" t="s">
        <v>1194</v>
      </c>
      <c r="H322" s="91" t="s">
        <v>1236</v>
      </c>
      <c r="I322" s="91" t="s">
        <v>1270</v>
      </c>
      <c r="J322" s="91">
        <v>3582</v>
      </c>
      <c r="K322" s="91">
        <v>0</v>
      </c>
      <c r="L322" s="91">
        <v>0</v>
      </c>
      <c r="M322" s="91">
        <v>0</v>
      </c>
      <c r="N322" s="91">
        <v>15443</v>
      </c>
      <c r="O322" s="91">
        <v>0</v>
      </c>
      <c r="P322" s="91">
        <v>0</v>
      </c>
      <c r="Q322" s="101">
        <f t="shared" si="8"/>
        <v>19025</v>
      </c>
      <c r="R322" s="95">
        <f t="shared" si="9"/>
        <v>16171.25</v>
      </c>
    </row>
    <row r="323" spans="1:23" ht="34.049999999999997" customHeight="1" x14ac:dyDescent="0.3">
      <c r="A323" s="90">
        <v>312</v>
      </c>
      <c r="B323" s="91" t="s">
        <v>1085</v>
      </c>
      <c r="C323" s="91" t="s">
        <v>1136</v>
      </c>
      <c r="D323" s="91" t="s">
        <v>1137</v>
      </c>
      <c r="E323" s="91">
        <v>2021</v>
      </c>
      <c r="F323" s="91" t="s">
        <v>18</v>
      </c>
      <c r="G323" s="91" t="s">
        <v>1195</v>
      </c>
      <c r="H323" s="91" t="s">
        <v>1237</v>
      </c>
      <c r="I323" s="91" t="s">
        <v>1271</v>
      </c>
      <c r="J323" s="91">
        <v>6199</v>
      </c>
      <c r="K323" s="91">
        <f>6278+4484+1346+4484+2332+2332+2332+2332+2332+2332+6995+6995+2332+6995+1166</f>
        <v>55067</v>
      </c>
      <c r="L323" s="91">
        <v>0</v>
      </c>
      <c r="M323" s="91">
        <v>0</v>
      </c>
      <c r="N323" s="91">
        <v>3148</v>
      </c>
      <c r="O323" s="91">
        <v>0</v>
      </c>
      <c r="P323" s="91">
        <v>0</v>
      </c>
      <c r="Q323" s="101">
        <f t="shared" si="8"/>
        <v>64414</v>
      </c>
      <c r="R323" s="95">
        <f t="shared" si="9"/>
        <v>54751.9</v>
      </c>
    </row>
    <row r="324" spans="1:23" ht="34.049999999999997" customHeight="1" x14ac:dyDescent="0.3">
      <c r="A324" s="90">
        <v>313</v>
      </c>
      <c r="B324" s="91" t="s">
        <v>1085</v>
      </c>
      <c r="C324" s="91" t="s">
        <v>1138</v>
      </c>
      <c r="D324" s="91" t="s">
        <v>1139</v>
      </c>
      <c r="E324" s="91">
        <v>1989</v>
      </c>
      <c r="F324" s="91" t="s">
        <v>19</v>
      </c>
      <c r="G324" s="91" t="s">
        <v>1196</v>
      </c>
      <c r="H324" s="91" t="s">
        <v>817</v>
      </c>
      <c r="I324" s="91" t="s">
        <v>1272</v>
      </c>
      <c r="J324" s="91">
        <v>6199</v>
      </c>
      <c r="K324" s="91">
        <v>0</v>
      </c>
      <c r="L324" s="91">
        <v>9422</v>
      </c>
      <c r="M324" s="91">
        <v>0</v>
      </c>
      <c r="N324" s="91">
        <v>0</v>
      </c>
      <c r="O324" s="91">
        <v>0</v>
      </c>
      <c r="P324" s="91">
        <v>0</v>
      </c>
      <c r="Q324" s="101">
        <f t="shared" si="8"/>
        <v>15621</v>
      </c>
      <c r="R324" s="95">
        <f t="shared" si="9"/>
        <v>13277.85</v>
      </c>
    </row>
    <row r="325" spans="1:23" ht="34.049999999999997" customHeight="1" x14ac:dyDescent="0.3">
      <c r="A325" s="96">
        <v>314</v>
      </c>
      <c r="B325" s="91" t="s">
        <v>1085</v>
      </c>
      <c r="C325" s="91" t="s">
        <v>1140</v>
      </c>
      <c r="D325" s="91" t="s">
        <v>1141</v>
      </c>
      <c r="E325" s="91">
        <v>1993</v>
      </c>
      <c r="F325" s="91" t="s">
        <v>18</v>
      </c>
      <c r="G325" s="91" t="s">
        <v>1197</v>
      </c>
      <c r="H325" s="91" t="s">
        <v>1197</v>
      </c>
      <c r="I325" s="91" t="s">
        <v>1058</v>
      </c>
      <c r="J325" s="91">
        <v>6199</v>
      </c>
      <c r="K325" s="91">
        <f>1346+6278+4484+2332+2332+2332</f>
        <v>19104</v>
      </c>
      <c r="L325" s="91">
        <v>0</v>
      </c>
      <c r="M325" s="91">
        <v>0</v>
      </c>
      <c r="N325" s="91">
        <v>3148</v>
      </c>
      <c r="O325" s="91">
        <v>0</v>
      </c>
      <c r="P325" s="91">
        <v>0</v>
      </c>
      <c r="Q325" s="101">
        <f t="shared" si="8"/>
        <v>28451</v>
      </c>
      <c r="R325" s="95">
        <f t="shared" si="9"/>
        <v>24183.35</v>
      </c>
    </row>
    <row r="326" spans="1:23" ht="34.049999999999997" customHeight="1" x14ac:dyDescent="0.3">
      <c r="A326" s="90">
        <v>315</v>
      </c>
      <c r="B326" s="98" t="s">
        <v>1085</v>
      </c>
      <c r="C326" s="98" t="s">
        <v>1142</v>
      </c>
      <c r="D326" s="98" t="s">
        <v>1143</v>
      </c>
      <c r="E326" s="98">
        <v>2019</v>
      </c>
      <c r="F326" s="98" t="s">
        <v>18</v>
      </c>
      <c r="G326" s="98" t="s">
        <v>1198</v>
      </c>
      <c r="H326" s="98" t="s">
        <v>1238</v>
      </c>
      <c r="I326" s="98" t="s">
        <v>1066</v>
      </c>
      <c r="J326" s="98">
        <v>6199</v>
      </c>
      <c r="K326" s="98">
        <f>1346+6278+4484+4484+2332+2332+2332+2332+2332+2332+6995+6995+2332+6995</f>
        <v>53901</v>
      </c>
      <c r="L326" s="98">
        <v>0</v>
      </c>
      <c r="M326" s="98">
        <v>0</v>
      </c>
      <c r="N326" s="98">
        <f>3148+1178+4053</f>
        <v>8379</v>
      </c>
      <c r="O326" s="98">
        <v>0</v>
      </c>
      <c r="P326" s="98">
        <f>720+120+1080</f>
        <v>1920</v>
      </c>
      <c r="Q326" s="101">
        <f t="shared" si="8"/>
        <v>70399</v>
      </c>
      <c r="R326" s="95">
        <f t="shared" si="9"/>
        <v>59839.15</v>
      </c>
      <c r="S326" s="41"/>
      <c r="T326" s="41"/>
      <c r="U326" s="41"/>
      <c r="V326" s="41"/>
      <c r="W326" s="41"/>
    </row>
    <row r="327" spans="1:23" ht="34.049999999999997" customHeight="1" x14ac:dyDescent="0.3">
      <c r="A327" s="90">
        <v>316</v>
      </c>
      <c r="B327" s="98" t="s">
        <v>1085</v>
      </c>
      <c r="C327" s="98" t="s">
        <v>1142</v>
      </c>
      <c r="D327" s="98" t="s">
        <v>1143</v>
      </c>
      <c r="E327" s="98">
        <v>2019</v>
      </c>
      <c r="F327" s="98" t="s">
        <v>18</v>
      </c>
      <c r="G327" s="98" t="s">
        <v>1198</v>
      </c>
      <c r="H327" s="98" t="s">
        <v>1238</v>
      </c>
      <c r="I327" s="98" t="s">
        <v>1066</v>
      </c>
      <c r="J327" s="98">
        <v>0</v>
      </c>
      <c r="K327" s="98">
        <v>0</v>
      </c>
      <c r="L327" s="98">
        <v>0</v>
      </c>
      <c r="M327" s="98">
        <v>17688</v>
      </c>
      <c r="N327" s="98">
        <v>2088</v>
      </c>
      <c r="O327" s="98">
        <v>0</v>
      </c>
      <c r="P327" s="98">
        <f>720+112</f>
        <v>832</v>
      </c>
      <c r="Q327" s="101">
        <f t="shared" si="8"/>
        <v>20608</v>
      </c>
      <c r="R327" s="95">
        <f t="shared" si="9"/>
        <v>17516.8</v>
      </c>
      <c r="S327" s="41"/>
      <c r="T327" s="41"/>
      <c r="U327" s="41"/>
      <c r="V327" s="41"/>
      <c r="W327" s="41"/>
    </row>
    <row r="328" spans="1:23" ht="34.049999999999997" customHeight="1" x14ac:dyDescent="0.3">
      <c r="A328" s="96">
        <v>317</v>
      </c>
      <c r="B328" s="91" t="s">
        <v>1085</v>
      </c>
      <c r="C328" s="91" t="s">
        <v>1144</v>
      </c>
      <c r="D328" s="91" t="s">
        <v>1145</v>
      </c>
      <c r="E328" s="91">
        <v>2020</v>
      </c>
      <c r="F328" s="91" t="s">
        <v>19</v>
      </c>
      <c r="G328" s="91" t="s">
        <v>1199</v>
      </c>
      <c r="H328" s="91" t="s">
        <v>1239</v>
      </c>
      <c r="I328" s="91" t="s">
        <v>1273</v>
      </c>
      <c r="J328" s="91">
        <v>6199</v>
      </c>
      <c r="K328" s="91">
        <v>0</v>
      </c>
      <c r="L328" s="91">
        <v>13298</v>
      </c>
      <c r="M328" s="91">
        <v>0</v>
      </c>
      <c r="N328" s="91">
        <v>0</v>
      </c>
      <c r="O328" s="91">
        <v>0</v>
      </c>
      <c r="P328" s="91">
        <v>0</v>
      </c>
      <c r="Q328" s="101">
        <f t="shared" si="8"/>
        <v>19497</v>
      </c>
      <c r="R328" s="95">
        <f t="shared" si="9"/>
        <v>16572.45</v>
      </c>
    </row>
    <row r="329" spans="1:23" ht="34.049999999999997" customHeight="1" x14ac:dyDescent="0.3">
      <c r="A329" s="90">
        <v>318</v>
      </c>
      <c r="B329" s="91" t="s">
        <v>1085</v>
      </c>
      <c r="C329" s="91" t="s">
        <v>7187</v>
      </c>
      <c r="D329" s="91" t="s">
        <v>1146</v>
      </c>
      <c r="E329" s="91">
        <v>2024</v>
      </c>
      <c r="F329" s="91" t="s">
        <v>18</v>
      </c>
      <c r="G329" s="91" t="s">
        <v>1200</v>
      </c>
      <c r="H329" s="91" t="s">
        <v>1241</v>
      </c>
      <c r="I329" s="91" t="s">
        <v>1275</v>
      </c>
      <c r="J329" s="91">
        <v>6199</v>
      </c>
      <c r="K329" s="91">
        <f>6278+4484</f>
        <v>10762</v>
      </c>
      <c r="L329" s="91">
        <v>0</v>
      </c>
      <c r="M329" s="91">
        <v>0</v>
      </c>
      <c r="N329" s="91">
        <v>3148</v>
      </c>
      <c r="O329" s="91">
        <v>0</v>
      </c>
      <c r="P329" s="91">
        <v>0</v>
      </c>
      <c r="Q329" s="101">
        <f t="shared" si="8"/>
        <v>20109</v>
      </c>
      <c r="R329" s="95">
        <f t="shared" si="9"/>
        <v>17092.650000000001</v>
      </c>
    </row>
    <row r="330" spans="1:23" ht="34.049999999999997" customHeight="1" x14ac:dyDescent="0.3">
      <c r="A330" s="90">
        <v>319</v>
      </c>
      <c r="B330" s="91" t="s">
        <v>1085</v>
      </c>
      <c r="C330" s="91" t="s">
        <v>7188</v>
      </c>
      <c r="D330" s="91" t="s">
        <v>1147</v>
      </c>
      <c r="E330" s="91">
        <v>2000</v>
      </c>
      <c r="F330" s="91" t="s">
        <v>19</v>
      </c>
      <c r="G330" s="91" t="s">
        <v>1201</v>
      </c>
      <c r="H330" s="91" t="s">
        <v>1242</v>
      </c>
      <c r="I330" s="91" t="s">
        <v>32</v>
      </c>
      <c r="J330" s="91">
        <v>3793</v>
      </c>
      <c r="K330" s="91">
        <f>6278+4484+1346+4484+2332</f>
        <v>18924</v>
      </c>
      <c r="L330" s="91">
        <v>0</v>
      </c>
      <c r="M330" s="91">
        <v>0</v>
      </c>
      <c r="N330" s="91">
        <v>1793</v>
      </c>
      <c r="O330" s="91">
        <v>0</v>
      </c>
      <c r="P330" s="91">
        <v>0</v>
      </c>
      <c r="Q330" s="101">
        <f t="shared" si="8"/>
        <v>24510</v>
      </c>
      <c r="R330" s="95">
        <f t="shared" si="9"/>
        <v>20833.5</v>
      </c>
    </row>
    <row r="331" spans="1:23" ht="34.049999999999997" customHeight="1" x14ac:dyDescent="0.3">
      <c r="A331" s="96">
        <v>320</v>
      </c>
      <c r="B331" s="91" t="s">
        <v>1085</v>
      </c>
      <c r="C331" s="91" t="s">
        <v>7189</v>
      </c>
      <c r="D331" s="91" t="s">
        <v>1148</v>
      </c>
      <c r="E331" s="91">
        <v>1985</v>
      </c>
      <c r="F331" s="91" t="s">
        <v>19</v>
      </c>
      <c r="G331" s="91" t="s">
        <v>1202</v>
      </c>
      <c r="H331" s="91" t="s">
        <v>1202</v>
      </c>
      <c r="I331" s="91" t="s">
        <v>1276</v>
      </c>
      <c r="J331" s="91">
        <v>6199</v>
      </c>
      <c r="K331" s="91">
        <v>0</v>
      </c>
      <c r="L331" s="91">
        <v>0</v>
      </c>
      <c r="M331" s="91">
        <v>0</v>
      </c>
      <c r="N331" s="91">
        <v>0</v>
      </c>
      <c r="O331" s="91">
        <v>0</v>
      </c>
      <c r="P331" s="91">
        <v>0</v>
      </c>
      <c r="Q331" s="101">
        <f t="shared" si="8"/>
        <v>6199</v>
      </c>
      <c r="R331" s="95">
        <f t="shared" si="9"/>
        <v>5269.15</v>
      </c>
    </row>
    <row r="332" spans="1:23" ht="34.049999999999997" customHeight="1" x14ac:dyDescent="0.3">
      <c r="A332" s="90">
        <v>321</v>
      </c>
      <c r="B332" s="91" t="s">
        <v>1085</v>
      </c>
      <c r="C332" s="91" t="s">
        <v>7190</v>
      </c>
      <c r="D332" s="91" t="s">
        <v>1149</v>
      </c>
      <c r="E332" s="91">
        <v>2002</v>
      </c>
      <c r="F332" s="91" t="s">
        <v>18</v>
      </c>
      <c r="G332" s="91" t="s">
        <v>1203</v>
      </c>
      <c r="H332" s="91" t="s">
        <v>1203</v>
      </c>
      <c r="I332" s="91" t="s">
        <v>1257</v>
      </c>
      <c r="J332" s="91">
        <v>6199</v>
      </c>
      <c r="K332" s="91">
        <v>0</v>
      </c>
      <c r="L332" s="91">
        <v>0</v>
      </c>
      <c r="M332" s="91">
        <v>0</v>
      </c>
      <c r="N332" s="91">
        <v>30758</v>
      </c>
      <c r="O332" s="91">
        <v>0</v>
      </c>
      <c r="P332" s="91">
        <v>0</v>
      </c>
      <c r="Q332" s="101">
        <f t="shared" ref="Q332:Q395" si="10">SUM(J332:P332)</f>
        <v>36957</v>
      </c>
      <c r="R332" s="95">
        <f t="shared" si="9"/>
        <v>31413.45</v>
      </c>
    </row>
    <row r="333" spans="1:23" ht="34.049999999999997" customHeight="1" x14ac:dyDescent="0.3">
      <c r="A333" s="90">
        <v>322</v>
      </c>
      <c r="B333" s="91" t="s">
        <v>1085</v>
      </c>
      <c r="C333" s="91" t="s">
        <v>7191</v>
      </c>
      <c r="D333" s="91" t="s">
        <v>1150</v>
      </c>
      <c r="E333" s="91">
        <v>2018</v>
      </c>
      <c r="F333" s="91" t="s">
        <v>18</v>
      </c>
      <c r="G333" s="91" t="s">
        <v>1204</v>
      </c>
      <c r="H333" s="91" t="s">
        <v>1243</v>
      </c>
      <c r="I333" s="91" t="s">
        <v>1277</v>
      </c>
      <c r="J333" s="91">
        <v>6199</v>
      </c>
      <c r="K333" s="91">
        <v>0</v>
      </c>
      <c r="L333" s="91">
        <v>0</v>
      </c>
      <c r="M333" s="91">
        <v>0</v>
      </c>
      <c r="N333" s="91">
        <v>0</v>
      </c>
      <c r="O333" s="91">
        <v>0</v>
      </c>
      <c r="P333" s="91">
        <v>0</v>
      </c>
      <c r="Q333" s="101">
        <f t="shared" si="10"/>
        <v>6199</v>
      </c>
      <c r="R333" s="95">
        <f t="shared" ref="R333:R396" si="11">Q333*85/100</f>
        <v>5269.15</v>
      </c>
    </row>
    <row r="334" spans="1:23" ht="34.049999999999997" customHeight="1" x14ac:dyDescent="0.3">
      <c r="A334" s="96">
        <v>323</v>
      </c>
      <c r="B334" s="91" t="s">
        <v>1085</v>
      </c>
      <c r="C334" s="91" t="s">
        <v>7192</v>
      </c>
      <c r="D334" s="91" t="s">
        <v>1151</v>
      </c>
      <c r="E334" s="91">
        <v>2021</v>
      </c>
      <c r="F334" s="91" t="s">
        <v>19</v>
      </c>
      <c r="G334" s="91" t="s">
        <v>1205</v>
      </c>
      <c r="H334" s="91" t="s">
        <v>1207</v>
      </c>
      <c r="I334" s="91" t="s">
        <v>1278</v>
      </c>
      <c r="J334" s="91">
        <v>3793</v>
      </c>
      <c r="K334" s="91">
        <v>0</v>
      </c>
      <c r="L334" s="91">
        <v>0</v>
      </c>
      <c r="M334" s="91">
        <v>0</v>
      </c>
      <c r="N334" s="91">
        <v>0</v>
      </c>
      <c r="O334" s="91">
        <v>0</v>
      </c>
      <c r="P334" s="91">
        <v>0</v>
      </c>
      <c r="Q334" s="101">
        <f t="shared" si="10"/>
        <v>3793</v>
      </c>
      <c r="R334" s="95">
        <f t="shared" si="11"/>
        <v>3224.05</v>
      </c>
    </row>
    <row r="335" spans="1:23" ht="34.049999999999997" customHeight="1" x14ac:dyDescent="0.3">
      <c r="A335" s="90">
        <v>324</v>
      </c>
      <c r="B335" s="91" t="s">
        <v>1085</v>
      </c>
      <c r="C335" s="91" t="s">
        <v>7193</v>
      </c>
      <c r="D335" s="91" t="s">
        <v>1152</v>
      </c>
      <c r="E335" s="91">
        <v>2017</v>
      </c>
      <c r="F335" s="91" t="s">
        <v>18</v>
      </c>
      <c r="G335" s="91" t="s">
        <v>1206</v>
      </c>
      <c r="H335" s="91" t="s">
        <v>1244</v>
      </c>
      <c r="I335" s="91" t="s">
        <v>546</v>
      </c>
      <c r="J335" s="91">
        <v>6199</v>
      </c>
      <c r="K335" s="91">
        <f>6278+4484+1346</f>
        <v>12108</v>
      </c>
      <c r="L335" s="91">
        <v>0</v>
      </c>
      <c r="M335" s="91">
        <v>0</v>
      </c>
      <c r="N335" s="91">
        <v>3148</v>
      </c>
      <c r="O335" s="91">
        <v>0</v>
      </c>
      <c r="P335" s="91">
        <v>0</v>
      </c>
      <c r="Q335" s="101">
        <f t="shared" si="10"/>
        <v>21455</v>
      </c>
      <c r="R335" s="95">
        <f t="shared" si="11"/>
        <v>18236.75</v>
      </c>
    </row>
    <row r="336" spans="1:23" ht="34.049999999999997" customHeight="1" x14ac:dyDescent="0.3">
      <c r="A336" s="90">
        <v>325</v>
      </c>
      <c r="B336" s="91" t="s">
        <v>1085</v>
      </c>
      <c r="C336" s="91" t="s">
        <v>7194</v>
      </c>
      <c r="D336" s="91" t="s">
        <v>1153</v>
      </c>
      <c r="E336" s="91">
        <v>1989</v>
      </c>
      <c r="F336" s="91" t="s">
        <v>19</v>
      </c>
      <c r="G336" s="91" t="s">
        <v>1207</v>
      </c>
      <c r="H336" s="91" t="s">
        <v>1207</v>
      </c>
      <c r="I336" s="91" t="s">
        <v>1278</v>
      </c>
      <c r="J336" s="91">
        <v>6199</v>
      </c>
      <c r="K336" s="91">
        <f>6278+4484+1346+2332+4484+2332+2332+2332+2332</f>
        <v>28252</v>
      </c>
      <c r="L336" s="91">
        <v>0</v>
      </c>
      <c r="M336" s="91">
        <v>0</v>
      </c>
      <c r="N336" s="91">
        <v>1793</v>
      </c>
      <c r="O336" s="91">
        <v>0</v>
      </c>
      <c r="P336" s="91">
        <v>0</v>
      </c>
      <c r="Q336" s="101">
        <f t="shared" si="10"/>
        <v>36244</v>
      </c>
      <c r="R336" s="95">
        <f t="shared" si="11"/>
        <v>30807.4</v>
      </c>
    </row>
    <row r="337" spans="1:23" ht="34.049999999999997" customHeight="1" x14ac:dyDescent="0.3">
      <c r="A337" s="96">
        <v>326</v>
      </c>
      <c r="B337" s="91" t="s">
        <v>1085</v>
      </c>
      <c r="C337" s="91" t="s">
        <v>7195</v>
      </c>
      <c r="D337" s="91" t="s">
        <v>1154</v>
      </c>
      <c r="E337" s="91">
        <v>2022</v>
      </c>
      <c r="F337" s="91" t="s">
        <v>18</v>
      </c>
      <c r="G337" s="91" t="s">
        <v>1208</v>
      </c>
      <c r="H337" s="91" t="s">
        <v>1245</v>
      </c>
      <c r="I337" s="91" t="s">
        <v>1267</v>
      </c>
      <c r="J337" s="91">
        <v>6199</v>
      </c>
      <c r="K337" s="91">
        <f>6278+4484+4484+2332+2332+2332+2332+2332+1346</f>
        <v>28252</v>
      </c>
      <c r="L337" s="91">
        <v>0</v>
      </c>
      <c r="M337" s="91">
        <v>0</v>
      </c>
      <c r="N337" s="91">
        <v>3148</v>
      </c>
      <c r="O337" s="91">
        <v>0</v>
      </c>
      <c r="P337" s="91">
        <v>0</v>
      </c>
      <c r="Q337" s="101">
        <f t="shared" si="10"/>
        <v>37599</v>
      </c>
      <c r="R337" s="95">
        <f t="shared" si="11"/>
        <v>31959.15</v>
      </c>
    </row>
    <row r="338" spans="1:23" ht="34.049999999999997" customHeight="1" x14ac:dyDescent="0.3">
      <c r="A338" s="90">
        <v>327</v>
      </c>
      <c r="B338" s="98" t="s">
        <v>1085</v>
      </c>
      <c r="C338" s="98" t="s">
        <v>7196</v>
      </c>
      <c r="D338" s="98" t="s">
        <v>1155</v>
      </c>
      <c r="E338" s="98">
        <v>2018</v>
      </c>
      <c r="F338" s="98" t="s">
        <v>18</v>
      </c>
      <c r="G338" s="98" t="s">
        <v>1209</v>
      </c>
      <c r="H338" s="98" t="s">
        <v>1246</v>
      </c>
      <c r="I338" s="98" t="s">
        <v>1279</v>
      </c>
      <c r="J338" s="98">
        <v>3582</v>
      </c>
      <c r="K338" s="98">
        <v>0</v>
      </c>
      <c r="L338" s="98">
        <v>0</v>
      </c>
      <c r="M338" s="98">
        <v>0</v>
      </c>
      <c r="N338" s="98">
        <v>35836</v>
      </c>
      <c r="O338" s="98">
        <v>0</v>
      </c>
      <c r="P338" s="98">
        <v>0</v>
      </c>
      <c r="Q338" s="101">
        <f t="shared" si="10"/>
        <v>39418</v>
      </c>
      <c r="R338" s="95">
        <f t="shared" si="11"/>
        <v>33505.300000000003</v>
      </c>
      <c r="S338" s="41"/>
      <c r="T338" s="41"/>
      <c r="U338" s="41"/>
      <c r="V338" s="41"/>
      <c r="W338" s="41"/>
    </row>
    <row r="339" spans="1:23" ht="34.049999999999997" customHeight="1" x14ac:dyDescent="0.3">
      <c r="A339" s="90">
        <v>328</v>
      </c>
      <c r="B339" s="98" t="s">
        <v>1085</v>
      </c>
      <c r="C339" s="98" t="s">
        <v>7197</v>
      </c>
      <c r="D339" s="98" t="s">
        <v>1156</v>
      </c>
      <c r="E339" s="98">
        <v>2021</v>
      </c>
      <c r="F339" s="98" t="s">
        <v>19</v>
      </c>
      <c r="G339" s="98" t="s">
        <v>1210</v>
      </c>
      <c r="H339" s="98" t="s">
        <v>1247</v>
      </c>
      <c r="I339" s="98" t="s">
        <v>1279</v>
      </c>
      <c r="J339" s="98">
        <v>6199</v>
      </c>
      <c r="K339" s="98">
        <v>0</v>
      </c>
      <c r="L339" s="98">
        <v>13298</v>
      </c>
      <c r="M339" s="98">
        <v>0</v>
      </c>
      <c r="N339" s="98">
        <v>0</v>
      </c>
      <c r="O339" s="98">
        <v>0</v>
      </c>
      <c r="P339" s="98">
        <v>63</v>
      </c>
      <c r="Q339" s="101">
        <f t="shared" si="10"/>
        <v>19560</v>
      </c>
      <c r="R339" s="95">
        <f t="shared" si="11"/>
        <v>16626</v>
      </c>
      <c r="S339" s="41"/>
      <c r="T339" s="41"/>
      <c r="U339" s="41"/>
      <c r="V339" s="41"/>
      <c r="W339" s="41"/>
    </row>
    <row r="340" spans="1:23" ht="34.049999999999997" customHeight="1" x14ac:dyDescent="0.3">
      <c r="A340" s="96">
        <v>329</v>
      </c>
      <c r="B340" s="91" t="s">
        <v>1085</v>
      </c>
      <c r="C340" s="91" t="s">
        <v>7198</v>
      </c>
      <c r="D340" s="91" t="s">
        <v>1157</v>
      </c>
      <c r="E340" s="91">
        <v>2021</v>
      </c>
      <c r="F340" s="91" t="s">
        <v>19</v>
      </c>
      <c r="G340" s="91" t="s">
        <v>1211</v>
      </c>
      <c r="H340" s="91" t="s">
        <v>1248</v>
      </c>
      <c r="I340" s="91" t="s">
        <v>1280</v>
      </c>
      <c r="J340" s="91">
        <v>6199</v>
      </c>
      <c r="K340" s="91">
        <f>1346+6278+4484+4484+2332+2332+2332+2332+2332+2332+6995+6995+2332+6995+1166</f>
        <v>55067</v>
      </c>
      <c r="L340" s="91">
        <v>0</v>
      </c>
      <c r="M340" s="91">
        <v>0</v>
      </c>
      <c r="N340" s="91">
        <v>3148</v>
      </c>
      <c r="O340" s="91">
        <v>0</v>
      </c>
      <c r="P340" s="91">
        <v>0</v>
      </c>
      <c r="Q340" s="101">
        <f t="shared" si="10"/>
        <v>64414</v>
      </c>
      <c r="R340" s="95">
        <f t="shared" si="11"/>
        <v>54751.9</v>
      </c>
    </row>
    <row r="341" spans="1:23" ht="34.049999999999997" customHeight="1" x14ac:dyDescent="0.3">
      <c r="A341" s="90">
        <v>330</v>
      </c>
      <c r="B341" s="91" t="s">
        <v>1085</v>
      </c>
      <c r="C341" s="91" t="s">
        <v>7199</v>
      </c>
      <c r="D341" s="91" t="s">
        <v>1158</v>
      </c>
      <c r="E341" s="91">
        <v>2020</v>
      </c>
      <c r="F341" s="91" t="s">
        <v>18</v>
      </c>
      <c r="G341" s="91" t="s">
        <v>1212</v>
      </c>
      <c r="H341" s="91" t="s">
        <v>1249</v>
      </c>
      <c r="I341" s="91" t="s">
        <v>1281</v>
      </c>
      <c r="J341" s="91">
        <v>6199</v>
      </c>
      <c r="K341" s="91">
        <f>1346+6278+4484+4484+2332+2332+2332+2332+2332+2332+6995+6995+2332+6995</f>
        <v>53901</v>
      </c>
      <c r="L341" s="91">
        <v>0</v>
      </c>
      <c r="M341" s="91">
        <v>0</v>
      </c>
      <c r="N341" s="91">
        <v>3148</v>
      </c>
      <c r="O341" s="91">
        <v>0</v>
      </c>
      <c r="P341" s="91">
        <v>0</v>
      </c>
      <c r="Q341" s="101">
        <f t="shared" si="10"/>
        <v>63248</v>
      </c>
      <c r="R341" s="95">
        <f t="shared" si="11"/>
        <v>53760.800000000003</v>
      </c>
    </row>
    <row r="342" spans="1:23" ht="34.049999999999997" customHeight="1" x14ac:dyDescent="0.3">
      <c r="A342" s="90">
        <v>331</v>
      </c>
      <c r="B342" s="91" t="s">
        <v>1085</v>
      </c>
      <c r="C342" s="91" t="s">
        <v>7199</v>
      </c>
      <c r="D342" s="91" t="s">
        <v>1158</v>
      </c>
      <c r="E342" s="91">
        <v>2020</v>
      </c>
      <c r="F342" s="91" t="s">
        <v>18</v>
      </c>
      <c r="G342" s="91" t="s">
        <v>1212</v>
      </c>
      <c r="H342" s="91" t="s">
        <v>1249</v>
      </c>
      <c r="I342" s="91" t="s">
        <v>1281</v>
      </c>
      <c r="J342" s="91">
        <v>0</v>
      </c>
      <c r="K342" s="91">
        <v>0</v>
      </c>
      <c r="L342" s="91">
        <v>0</v>
      </c>
      <c r="M342" s="91">
        <v>17688</v>
      </c>
      <c r="N342" s="91">
        <f>4053+2088</f>
        <v>6141</v>
      </c>
      <c r="O342" s="91">
        <v>0</v>
      </c>
      <c r="P342" s="91">
        <f>360+56+720+1080+1200</f>
        <v>3416</v>
      </c>
      <c r="Q342" s="101">
        <f t="shared" si="10"/>
        <v>27245</v>
      </c>
      <c r="R342" s="95">
        <f t="shared" si="11"/>
        <v>23158.25</v>
      </c>
    </row>
    <row r="343" spans="1:23" ht="34.049999999999997" customHeight="1" x14ac:dyDescent="0.3">
      <c r="A343" s="96">
        <v>332</v>
      </c>
      <c r="B343" s="91"/>
      <c r="C343" s="91" t="s">
        <v>7200</v>
      </c>
      <c r="D343" s="91" t="s">
        <v>1159</v>
      </c>
      <c r="E343" s="91">
        <v>1980</v>
      </c>
      <c r="F343" s="91" t="s">
        <v>19</v>
      </c>
      <c r="G343" s="91" t="s">
        <v>1213</v>
      </c>
      <c r="H343" s="91" t="s">
        <v>1250</v>
      </c>
      <c r="I343" s="91" t="s">
        <v>1282</v>
      </c>
      <c r="J343" s="91">
        <v>6199</v>
      </c>
      <c r="K343" s="91">
        <f>6278+4484+2332+2332+2332+1346+1346+2332+2332+4484</f>
        <v>29598</v>
      </c>
      <c r="L343" s="91">
        <v>0</v>
      </c>
      <c r="M343" s="91">
        <v>0</v>
      </c>
      <c r="N343" s="91">
        <v>1793</v>
      </c>
      <c r="O343" s="91">
        <v>0</v>
      </c>
      <c r="P343" s="91">
        <v>0</v>
      </c>
      <c r="Q343" s="101">
        <f t="shared" si="10"/>
        <v>37590</v>
      </c>
      <c r="R343" s="95">
        <f t="shared" si="11"/>
        <v>31951.5</v>
      </c>
      <c r="S343" s="41"/>
    </row>
    <row r="344" spans="1:23" ht="34.049999999999997" customHeight="1" x14ac:dyDescent="0.3">
      <c r="A344" s="90">
        <v>333</v>
      </c>
      <c r="B344" s="91" t="s">
        <v>1085</v>
      </c>
      <c r="C344" s="91" t="s">
        <v>7201</v>
      </c>
      <c r="D344" s="91" t="s">
        <v>1160</v>
      </c>
      <c r="E344" s="91">
        <v>2024</v>
      </c>
      <c r="F344" s="91" t="s">
        <v>19</v>
      </c>
      <c r="G344" s="91" t="s">
        <v>1214</v>
      </c>
      <c r="H344" s="91" t="s">
        <v>1251</v>
      </c>
      <c r="I344" s="91" t="s">
        <v>576</v>
      </c>
      <c r="J344" s="91">
        <v>6199</v>
      </c>
      <c r="K344" s="91">
        <f>1346+6278+4484+4484+2332+2332+2332+6995+6995+2332+6995+2332+2332+2332</f>
        <v>53901</v>
      </c>
      <c r="L344" s="91">
        <v>0</v>
      </c>
      <c r="M344" s="91">
        <v>0</v>
      </c>
      <c r="N344" s="91">
        <v>3148</v>
      </c>
      <c r="O344" s="91">
        <v>0</v>
      </c>
      <c r="P344" s="91">
        <v>0</v>
      </c>
      <c r="Q344" s="101">
        <f t="shared" si="10"/>
        <v>63248</v>
      </c>
      <c r="R344" s="95">
        <f t="shared" si="11"/>
        <v>53760.800000000003</v>
      </c>
    </row>
    <row r="345" spans="1:23" ht="34.049999999999997" customHeight="1" x14ac:dyDescent="0.3">
      <c r="A345" s="90">
        <v>334</v>
      </c>
      <c r="B345" s="91" t="s">
        <v>1085</v>
      </c>
      <c r="C345" s="91" t="s">
        <v>7202</v>
      </c>
      <c r="D345" s="91" t="s">
        <v>1161</v>
      </c>
      <c r="E345" s="91">
        <v>1986</v>
      </c>
      <c r="F345" s="91" t="s">
        <v>19</v>
      </c>
      <c r="G345" s="91" t="s">
        <v>1215</v>
      </c>
      <c r="H345" s="91" t="s">
        <v>1215</v>
      </c>
      <c r="I345" s="91" t="s">
        <v>27</v>
      </c>
      <c r="J345" s="91">
        <v>6199</v>
      </c>
      <c r="K345" s="91">
        <v>0</v>
      </c>
      <c r="L345" s="91">
        <v>0</v>
      </c>
      <c r="M345" s="91">
        <v>0</v>
      </c>
      <c r="N345" s="91">
        <v>0</v>
      </c>
      <c r="O345" s="91">
        <v>0</v>
      </c>
      <c r="P345" s="91">
        <v>0</v>
      </c>
      <c r="Q345" s="101">
        <f t="shared" si="10"/>
        <v>6199</v>
      </c>
      <c r="R345" s="95">
        <f t="shared" si="11"/>
        <v>5269.15</v>
      </c>
    </row>
    <row r="346" spans="1:23" ht="34.049999999999997" customHeight="1" x14ac:dyDescent="0.3">
      <c r="A346" s="96">
        <v>335</v>
      </c>
      <c r="B346" s="91" t="s">
        <v>1085</v>
      </c>
      <c r="C346" s="91" t="s">
        <v>7203</v>
      </c>
      <c r="D346" s="91" t="s">
        <v>406</v>
      </c>
      <c r="E346" s="91">
        <v>2018</v>
      </c>
      <c r="F346" s="91" t="s">
        <v>18</v>
      </c>
      <c r="G346" s="91" t="s">
        <v>482</v>
      </c>
      <c r="H346" s="91" t="s">
        <v>523</v>
      </c>
      <c r="I346" s="91" t="s">
        <v>268</v>
      </c>
      <c r="J346" s="91">
        <v>3793</v>
      </c>
      <c r="K346" s="91">
        <f>1346+6278+4484+2332+2332+2332+2332+2332+2332+6995+6995+2332+6995+4484</f>
        <v>53901</v>
      </c>
      <c r="L346" s="91">
        <v>0</v>
      </c>
      <c r="M346" s="91">
        <v>0</v>
      </c>
      <c r="N346" s="91">
        <v>3148</v>
      </c>
      <c r="O346" s="91">
        <v>0</v>
      </c>
      <c r="P346" s="91">
        <v>0</v>
      </c>
      <c r="Q346" s="101">
        <f t="shared" si="10"/>
        <v>60842</v>
      </c>
      <c r="R346" s="95">
        <f t="shared" si="11"/>
        <v>51715.7</v>
      </c>
    </row>
    <row r="347" spans="1:23" ht="34.049999999999997" customHeight="1" x14ac:dyDescent="0.3">
      <c r="A347" s="90">
        <v>336</v>
      </c>
      <c r="B347" s="91" t="s">
        <v>1085</v>
      </c>
      <c r="C347" s="91" t="s">
        <v>7203</v>
      </c>
      <c r="D347" s="91" t="s">
        <v>406</v>
      </c>
      <c r="E347" s="91">
        <v>2018</v>
      </c>
      <c r="F347" s="91" t="s">
        <v>18</v>
      </c>
      <c r="G347" s="91" t="s">
        <v>482</v>
      </c>
      <c r="H347" s="91" t="s">
        <v>523</v>
      </c>
      <c r="I347" s="91" t="s">
        <v>268</v>
      </c>
      <c r="J347" s="91">
        <v>0</v>
      </c>
      <c r="K347" s="91">
        <v>0</v>
      </c>
      <c r="L347" s="91">
        <v>0</v>
      </c>
      <c r="M347" s="91">
        <v>17688</v>
      </c>
      <c r="N347" s="91">
        <f>4053+2088</f>
        <v>6141</v>
      </c>
      <c r="O347" s="91">
        <v>0</v>
      </c>
      <c r="P347" s="91">
        <f>720+1080+374+360+56</f>
        <v>2590</v>
      </c>
      <c r="Q347" s="101">
        <f t="shared" si="10"/>
        <v>26419</v>
      </c>
      <c r="R347" s="95">
        <f t="shared" si="11"/>
        <v>22456.15</v>
      </c>
    </row>
    <row r="348" spans="1:23" ht="34.049999999999997" customHeight="1" x14ac:dyDescent="0.3">
      <c r="A348" s="90">
        <v>337</v>
      </c>
      <c r="B348" s="91" t="s">
        <v>1085</v>
      </c>
      <c r="C348" s="91" t="s">
        <v>7204</v>
      </c>
      <c r="D348" s="91" t="s">
        <v>1162</v>
      </c>
      <c r="E348" s="91">
        <v>1996</v>
      </c>
      <c r="F348" s="91" t="s">
        <v>18</v>
      </c>
      <c r="G348" s="91" t="s">
        <v>1216</v>
      </c>
      <c r="H348" s="91" t="s">
        <v>1216</v>
      </c>
      <c r="I348" s="91" t="s">
        <v>289</v>
      </c>
      <c r="J348" s="91">
        <v>6199</v>
      </c>
      <c r="K348" s="91">
        <v>0</v>
      </c>
      <c r="L348" s="91">
        <v>0</v>
      </c>
      <c r="M348" s="91">
        <v>0</v>
      </c>
      <c r="N348" s="91">
        <v>0</v>
      </c>
      <c r="O348" s="91">
        <v>0</v>
      </c>
      <c r="P348" s="91">
        <v>0</v>
      </c>
      <c r="Q348" s="101">
        <f t="shared" si="10"/>
        <v>6199</v>
      </c>
      <c r="R348" s="95">
        <f t="shared" si="11"/>
        <v>5269.15</v>
      </c>
    </row>
    <row r="349" spans="1:23" ht="34.049999999999997" customHeight="1" x14ac:dyDescent="0.3">
      <c r="A349" s="96">
        <v>338</v>
      </c>
      <c r="B349" s="91" t="s">
        <v>1085</v>
      </c>
      <c r="C349" s="91" t="s">
        <v>7205</v>
      </c>
      <c r="D349" s="91" t="s">
        <v>1163</v>
      </c>
      <c r="E349" s="91">
        <v>1985</v>
      </c>
      <c r="F349" s="91" t="s">
        <v>18</v>
      </c>
      <c r="G349" s="91" t="s">
        <v>1217</v>
      </c>
      <c r="H349" s="91" t="s">
        <v>1217</v>
      </c>
      <c r="I349" s="91" t="s">
        <v>300</v>
      </c>
      <c r="J349" s="91">
        <v>6199</v>
      </c>
      <c r="K349" s="91">
        <v>0</v>
      </c>
      <c r="L349" s="91">
        <v>0</v>
      </c>
      <c r="M349" s="91">
        <v>0</v>
      </c>
      <c r="N349" s="91">
        <v>0</v>
      </c>
      <c r="O349" s="91">
        <v>0</v>
      </c>
      <c r="P349" s="91">
        <v>0</v>
      </c>
      <c r="Q349" s="101">
        <f t="shared" si="10"/>
        <v>6199</v>
      </c>
      <c r="R349" s="95">
        <f t="shared" si="11"/>
        <v>5269.15</v>
      </c>
    </row>
    <row r="350" spans="1:23" ht="34.049999999999997" customHeight="1" x14ac:dyDescent="0.3">
      <c r="A350" s="90">
        <v>339</v>
      </c>
      <c r="B350" s="91" t="s">
        <v>1085</v>
      </c>
      <c r="C350" s="91" t="s">
        <v>7206</v>
      </c>
      <c r="D350" s="91" t="s">
        <v>1164</v>
      </c>
      <c r="E350" s="91">
        <v>1995</v>
      </c>
      <c r="F350" s="91" t="s">
        <v>19</v>
      </c>
      <c r="G350" s="91" t="s">
        <v>1218</v>
      </c>
      <c r="H350" s="91" t="s">
        <v>1218</v>
      </c>
      <c r="I350" s="91" t="s">
        <v>848</v>
      </c>
      <c r="J350" s="91">
        <v>6199</v>
      </c>
      <c r="K350" s="91">
        <f>6278+4484+2332+2332+2332+2332+2332</f>
        <v>22422</v>
      </c>
      <c r="L350" s="91">
        <v>0</v>
      </c>
      <c r="M350" s="91">
        <v>0</v>
      </c>
      <c r="N350" s="91">
        <v>1793</v>
      </c>
      <c r="O350" s="91">
        <v>0</v>
      </c>
      <c r="P350" s="91">
        <v>0</v>
      </c>
      <c r="Q350" s="101">
        <f t="shared" si="10"/>
        <v>30414</v>
      </c>
      <c r="R350" s="95">
        <f t="shared" si="11"/>
        <v>25851.9</v>
      </c>
    </row>
    <row r="351" spans="1:23" ht="34.049999999999997" customHeight="1" x14ac:dyDescent="0.3">
      <c r="A351" s="90">
        <v>340</v>
      </c>
      <c r="B351" s="91" t="s">
        <v>1085</v>
      </c>
      <c r="C351" s="91" t="s">
        <v>7207</v>
      </c>
      <c r="D351" s="91" t="s">
        <v>1165</v>
      </c>
      <c r="E351" s="91">
        <v>1999</v>
      </c>
      <c r="F351" s="91" t="s">
        <v>19</v>
      </c>
      <c r="G351" s="91" t="s">
        <v>1219</v>
      </c>
      <c r="H351" s="91" t="s">
        <v>1219</v>
      </c>
      <c r="I351" s="91" t="s">
        <v>1283</v>
      </c>
      <c r="J351" s="91">
        <v>6199</v>
      </c>
      <c r="K351" s="91">
        <v>0</v>
      </c>
      <c r="L351" s="91">
        <v>0</v>
      </c>
      <c r="M351" s="91">
        <v>0</v>
      </c>
      <c r="N351" s="91">
        <v>0</v>
      </c>
      <c r="O351" s="91">
        <v>0</v>
      </c>
      <c r="P351" s="91">
        <v>0</v>
      </c>
      <c r="Q351" s="101">
        <f t="shared" si="10"/>
        <v>6199</v>
      </c>
      <c r="R351" s="95">
        <f t="shared" si="11"/>
        <v>5269.15</v>
      </c>
    </row>
    <row r="352" spans="1:23" ht="34.049999999999997" customHeight="1" x14ac:dyDescent="0.3">
      <c r="A352" s="96">
        <v>341</v>
      </c>
      <c r="B352" s="91" t="s">
        <v>1085</v>
      </c>
      <c r="C352" s="91" t="s">
        <v>7208</v>
      </c>
      <c r="D352" s="91" t="s">
        <v>1166</v>
      </c>
      <c r="E352" s="91">
        <v>2015</v>
      </c>
      <c r="F352" s="91" t="s">
        <v>19</v>
      </c>
      <c r="G352" s="91" t="s">
        <v>1220</v>
      </c>
      <c r="H352" s="91" t="s">
        <v>1252</v>
      </c>
      <c r="I352" s="91" t="s">
        <v>1280</v>
      </c>
      <c r="J352" s="91">
        <v>3793</v>
      </c>
      <c r="K352" s="91">
        <v>0</v>
      </c>
      <c r="L352" s="91">
        <v>0</v>
      </c>
      <c r="M352" s="91">
        <v>0</v>
      </c>
      <c r="N352" s="91">
        <v>0</v>
      </c>
      <c r="O352" s="91">
        <v>0</v>
      </c>
      <c r="P352" s="91">
        <v>0</v>
      </c>
      <c r="Q352" s="101">
        <f t="shared" si="10"/>
        <v>3793</v>
      </c>
      <c r="R352" s="95">
        <f t="shared" si="11"/>
        <v>3224.05</v>
      </c>
    </row>
    <row r="353" spans="1:18" ht="34.049999999999997" customHeight="1" x14ac:dyDescent="0.3">
      <c r="A353" s="90">
        <v>342</v>
      </c>
      <c r="B353" s="91" t="s">
        <v>1085</v>
      </c>
      <c r="C353" s="91" t="s">
        <v>7209</v>
      </c>
      <c r="D353" s="91" t="s">
        <v>1167</v>
      </c>
      <c r="E353" s="91">
        <v>2017</v>
      </c>
      <c r="F353" s="91" t="s">
        <v>18</v>
      </c>
      <c r="G353" s="91" t="s">
        <v>1221</v>
      </c>
      <c r="H353" s="91" t="s">
        <v>1253</v>
      </c>
      <c r="I353" s="91" t="s">
        <v>1284</v>
      </c>
      <c r="J353" s="91">
        <v>6199</v>
      </c>
      <c r="K353" s="91">
        <v>0</v>
      </c>
      <c r="L353" s="91">
        <v>0</v>
      </c>
      <c r="M353" s="91">
        <v>0</v>
      </c>
      <c r="N353" s="91">
        <v>0</v>
      </c>
      <c r="O353" s="91">
        <v>0</v>
      </c>
      <c r="P353" s="91">
        <v>0</v>
      </c>
      <c r="Q353" s="101">
        <f t="shared" si="10"/>
        <v>6199</v>
      </c>
      <c r="R353" s="95">
        <f t="shared" si="11"/>
        <v>5269.15</v>
      </c>
    </row>
    <row r="354" spans="1:18" ht="34.049999999999997" customHeight="1" x14ac:dyDescent="0.3">
      <c r="A354" s="90">
        <v>343</v>
      </c>
      <c r="B354" s="91" t="s">
        <v>1085</v>
      </c>
      <c r="C354" s="91" t="s">
        <v>7210</v>
      </c>
      <c r="D354" s="91" t="s">
        <v>1168</v>
      </c>
      <c r="E354" s="91">
        <v>1989</v>
      </c>
      <c r="F354" s="91" t="s">
        <v>19</v>
      </c>
      <c r="G354" s="91" t="s">
        <v>1222</v>
      </c>
      <c r="H354" s="91" t="s">
        <v>1222</v>
      </c>
      <c r="I354" s="91" t="s">
        <v>1285</v>
      </c>
      <c r="J354" s="91">
        <v>6199</v>
      </c>
      <c r="K354" s="91">
        <v>0</v>
      </c>
      <c r="L354" s="91">
        <v>9422</v>
      </c>
      <c r="M354" s="91">
        <v>0</v>
      </c>
      <c r="N354" s="91">
        <v>0</v>
      </c>
      <c r="O354" s="91">
        <v>0</v>
      </c>
      <c r="P354" s="91">
        <v>0</v>
      </c>
      <c r="Q354" s="101">
        <f t="shared" si="10"/>
        <v>15621</v>
      </c>
      <c r="R354" s="95">
        <f t="shared" si="11"/>
        <v>13277.85</v>
      </c>
    </row>
    <row r="355" spans="1:18" ht="34.049999999999997" customHeight="1" x14ac:dyDescent="0.3">
      <c r="A355" s="96">
        <v>344</v>
      </c>
      <c r="B355" s="91" t="s">
        <v>1085</v>
      </c>
      <c r="C355" s="91" t="s">
        <v>7211</v>
      </c>
      <c r="D355" s="91" t="s">
        <v>1169</v>
      </c>
      <c r="E355" s="91">
        <v>1992</v>
      </c>
      <c r="F355" s="91" t="s">
        <v>18</v>
      </c>
      <c r="G355" s="91" t="s">
        <v>1223</v>
      </c>
      <c r="H355" s="91" t="s">
        <v>1223</v>
      </c>
      <c r="I355" s="91" t="s">
        <v>1066</v>
      </c>
      <c r="J355" s="91">
        <v>6199</v>
      </c>
      <c r="K355" s="91">
        <v>0</v>
      </c>
      <c r="L355" s="91">
        <v>0</v>
      </c>
      <c r="M355" s="91">
        <v>0</v>
      </c>
      <c r="N355" s="91">
        <v>1681</v>
      </c>
      <c r="O355" s="91">
        <v>0</v>
      </c>
      <c r="P355" s="91">
        <v>200</v>
      </c>
      <c r="Q355" s="101">
        <f t="shared" si="10"/>
        <v>8080</v>
      </c>
      <c r="R355" s="95">
        <f t="shared" si="11"/>
        <v>6868</v>
      </c>
    </row>
    <row r="356" spans="1:18" ht="34.049999999999997" customHeight="1" x14ac:dyDescent="0.3">
      <c r="A356" s="90">
        <v>345</v>
      </c>
      <c r="B356" s="91" t="s">
        <v>1085</v>
      </c>
      <c r="C356" s="91" t="s">
        <v>7212</v>
      </c>
      <c r="D356" s="91" t="s">
        <v>2647</v>
      </c>
      <c r="E356" s="91">
        <v>1979</v>
      </c>
      <c r="F356" s="91" t="s">
        <v>18</v>
      </c>
      <c r="G356" s="91" t="s">
        <v>2648</v>
      </c>
      <c r="H356" s="91" t="s">
        <v>2649</v>
      </c>
      <c r="I356" s="91" t="s">
        <v>34</v>
      </c>
      <c r="J356" s="91">
        <v>6199</v>
      </c>
      <c r="K356" s="91">
        <f>1346+6278+4484+6995+2332+2332+2332+3000+3000+2801+2332+2332+2332+4484+3228+4484+4484+2332+4484+6995+6995+6995+2332</f>
        <v>88709</v>
      </c>
      <c r="L356" s="91">
        <v>0</v>
      </c>
      <c r="M356" s="91">
        <v>0</v>
      </c>
      <c r="N356" s="91">
        <f>1178+3179+1793+1681</f>
        <v>7831</v>
      </c>
      <c r="O356" s="91">
        <v>0</v>
      </c>
      <c r="P356" s="91">
        <f>720+660+720+288+312+56</f>
        <v>2756</v>
      </c>
      <c r="Q356" s="97">
        <f t="shared" si="10"/>
        <v>105495</v>
      </c>
      <c r="R356" s="95">
        <f t="shared" si="11"/>
        <v>89670.75</v>
      </c>
    </row>
    <row r="357" spans="1:18" ht="34.049999999999997" customHeight="1" x14ac:dyDescent="0.3">
      <c r="A357" s="90">
        <v>346</v>
      </c>
      <c r="B357" s="91" t="s">
        <v>1085</v>
      </c>
      <c r="C357" s="91" t="s">
        <v>7212</v>
      </c>
      <c r="D357" s="91" t="s">
        <v>2647</v>
      </c>
      <c r="E357" s="91">
        <v>1979</v>
      </c>
      <c r="F357" s="91" t="s">
        <v>18</v>
      </c>
      <c r="G357" s="91" t="s">
        <v>2648</v>
      </c>
      <c r="H357" s="91" t="s">
        <v>2649</v>
      </c>
      <c r="I357" s="91" t="s">
        <v>34</v>
      </c>
      <c r="J357" s="91">
        <v>0</v>
      </c>
      <c r="K357" s="91">
        <v>0</v>
      </c>
      <c r="L357" s="91">
        <v>0</v>
      </c>
      <c r="M357" s="91">
        <v>17688</v>
      </c>
      <c r="N357" s="91">
        <v>0</v>
      </c>
      <c r="O357" s="91">
        <v>0</v>
      </c>
      <c r="P357" s="91">
        <f>312+56+144+720+720</f>
        <v>1952</v>
      </c>
      <c r="Q357" s="97">
        <f t="shared" si="10"/>
        <v>19640</v>
      </c>
      <c r="R357" s="95">
        <f t="shared" si="11"/>
        <v>16694</v>
      </c>
    </row>
    <row r="358" spans="1:18" ht="34.049999999999997" customHeight="1" x14ac:dyDescent="0.3">
      <c r="A358" s="96">
        <v>347</v>
      </c>
      <c r="B358" s="91" t="s">
        <v>1085</v>
      </c>
      <c r="C358" s="91" t="s">
        <v>7361</v>
      </c>
      <c r="D358" s="93" t="s">
        <v>2651</v>
      </c>
      <c r="E358" s="91">
        <v>2012</v>
      </c>
      <c r="F358" s="91" t="s">
        <v>19</v>
      </c>
      <c r="G358" s="91" t="s">
        <v>2652</v>
      </c>
      <c r="H358" s="91" t="s">
        <v>2653</v>
      </c>
      <c r="I358" s="91" t="s">
        <v>299</v>
      </c>
      <c r="J358" s="91">
        <v>0</v>
      </c>
      <c r="K358" s="91">
        <v>0</v>
      </c>
      <c r="L358" s="91">
        <v>0</v>
      </c>
      <c r="M358" s="91">
        <v>17688</v>
      </c>
      <c r="N358" s="91">
        <v>0</v>
      </c>
      <c r="O358" s="91">
        <v>0</v>
      </c>
      <c r="P358" s="91">
        <f>1440+1320</f>
        <v>2760</v>
      </c>
      <c r="Q358" s="97">
        <f t="shared" si="10"/>
        <v>20448</v>
      </c>
      <c r="R358" s="95">
        <f t="shared" si="11"/>
        <v>17380.8</v>
      </c>
    </row>
    <row r="359" spans="1:18" ht="34.049999999999997" customHeight="1" x14ac:dyDescent="0.3">
      <c r="A359" s="90">
        <v>348</v>
      </c>
      <c r="B359" s="91" t="s">
        <v>1085</v>
      </c>
      <c r="C359" s="91" t="s">
        <v>7362</v>
      </c>
      <c r="D359" s="93" t="s">
        <v>404</v>
      </c>
      <c r="E359" s="91">
        <v>2022</v>
      </c>
      <c r="F359" s="91" t="s">
        <v>18</v>
      </c>
      <c r="G359" s="91" t="s">
        <v>481</v>
      </c>
      <c r="H359" s="91" t="s">
        <v>523</v>
      </c>
      <c r="I359" s="91" t="s">
        <v>268</v>
      </c>
      <c r="J359" s="91">
        <v>2900</v>
      </c>
      <c r="K359" s="91">
        <v>0</v>
      </c>
      <c r="L359" s="91">
        <v>0</v>
      </c>
      <c r="M359" s="91">
        <v>17688</v>
      </c>
      <c r="N359" s="91">
        <v>2088</v>
      </c>
      <c r="O359" s="91">
        <v>0</v>
      </c>
      <c r="P359" s="91">
        <f>1080+168</f>
        <v>1248</v>
      </c>
      <c r="Q359" s="97">
        <f t="shared" si="10"/>
        <v>23924</v>
      </c>
      <c r="R359" s="95">
        <f t="shared" si="11"/>
        <v>20335.400000000001</v>
      </c>
    </row>
    <row r="360" spans="1:18" ht="34.049999999999997" customHeight="1" x14ac:dyDescent="0.3">
      <c r="A360" s="90">
        <v>349</v>
      </c>
      <c r="B360" s="91" t="s">
        <v>1085</v>
      </c>
      <c r="C360" s="91" t="s">
        <v>7363</v>
      </c>
      <c r="D360" s="93" t="s">
        <v>2641</v>
      </c>
      <c r="E360" s="91">
        <v>2023</v>
      </c>
      <c r="F360" s="91" t="s">
        <v>19</v>
      </c>
      <c r="G360" s="91" t="s">
        <v>2642</v>
      </c>
      <c r="H360" s="91" t="s">
        <v>2643</v>
      </c>
      <c r="I360" s="91" t="s">
        <v>1460</v>
      </c>
      <c r="J360" s="91">
        <v>2900</v>
      </c>
      <c r="K360" s="91">
        <v>0</v>
      </c>
      <c r="L360" s="91">
        <v>0</v>
      </c>
      <c r="M360" s="91">
        <v>17688</v>
      </c>
      <c r="N360" s="91">
        <v>2088</v>
      </c>
      <c r="O360" s="91">
        <v>0</v>
      </c>
      <c r="P360" s="91">
        <f>1440+224+720+1080+374</f>
        <v>3838</v>
      </c>
      <c r="Q360" s="97">
        <f t="shared" si="10"/>
        <v>26514</v>
      </c>
      <c r="R360" s="95">
        <f t="shared" si="11"/>
        <v>22536.9</v>
      </c>
    </row>
    <row r="361" spans="1:18" ht="34.049999999999997" customHeight="1" x14ac:dyDescent="0.3">
      <c r="A361" s="96">
        <v>350</v>
      </c>
      <c r="B361" s="91" t="s">
        <v>1286</v>
      </c>
      <c r="C361" s="91" t="s">
        <v>1287</v>
      </c>
      <c r="D361" s="91" t="s">
        <v>1288</v>
      </c>
      <c r="E361" s="91">
        <v>2011</v>
      </c>
      <c r="F361" s="91" t="s">
        <v>19</v>
      </c>
      <c r="G361" s="91" t="s">
        <v>1383</v>
      </c>
      <c r="H361" s="91" t="s">
        <v>1433</v>
      </c>
      <c r="I361" s="91" t="s">
        <v>1460</v>
      </c>
      <c r="J361" s="91">
        <v>6199</v>
      </c>
      <c r="K361" s="91">
        <f>2801+1166</f>
        <v>3967</v>
      </c>
      <c r="L361" s="91">
        <v>0</v>
      </c>
      <c r="M361" s="91">
        <v>0</v>
      </c>
      <c r="N361" s="91">
        <v>0</v>
      </c>
      <c r="O361" s="91">
        <v>0</v>
      </c>
      <c r="P361" s="91">
        <v>0</v>
      </c>
      <c r="Q361" s="97">
        <f t="shared" si="10"/>
        <v>10166</v>
      </c>
      <c r="R361" s="95">
        <f t="shared" si="11"/>
        <v>8641.1</v>
      </c>
    </row>
    <row r="362" spans="1:18" ht="34.049999999999997" customHeight="1" x14ac:dyDescent="0.3">
      <c r="A362" s="90">
        <v>351</v>
      </c>
      <c r="B362" s="91" t="s">
        <v>1286</v>
      </c>
      <c r="C362" s="91" t="s">
        <v>1289</v>
      </c>
      <c r="D362" s="91" t="s">
        <v>1290</v>
      </c>
      <c r="E362" s="91">
        <v>2009</v>
      </c>
      <c r="F362" s="91" t="s">
        <v>19</v>
      </c>
      <c r="G362" s="91" t="s">
        <v>1384</v>
      </c>
      <c r="H362" s="91" t="s">
        <v>1434</v>
      </c>
      <c r="I362" s="91" t="s">
        <v>1268</v>
      </c>
      <c r="J362" s="91">
        <v>6199</v>
      </c>
      <c r="K362" s="91">
        <f>1166+2801</f>
        <v>3967</v>
      </c>
      <c r="L362" s="91">
        <v>0</v>
      </c>
      <c r="M362" s="91">
        <v>0</v>
      </c>
      <c r="N362" s="91">
        <v>0</v>
      </c>
      <c r="O362" s="91">
        <v>0</v>
      </c>
      <c r="P362" s="91">
        <v>0</v>
      </c>
      <c r="Q362" s="97">
        <f t="shared" si="10"/>
        <v>10166</v>
      </c>
      <c r="R362" s="95">
        <f t="shared" si="11"/>
        <v>8641.1</v>
      </c>
    </row>
    <row r="363" spans="1:18" ht="34.049999999999997" customHeight="1" x14ac:dyDescent="0.3">
      <c r="A363" s="90">
        <v>352</v>
      </c>
      <c r="B363" s="91" t="s">
        <v>1286</v>
      </c>
      <c r="C363" s="91" t="s">
        <v>1291</v>
      </c>
      <c r="D363" s="91" t="s">
        <v>1292</v>
      </c>
      <c r="E363" s="91">
        <v>1986</v>
      </c>
      <c r="F363" s="91" t="s">
        <v>19</v>
      </c>
      <c r="G363" s="91" t="s">
        <v>1385</v>
      </c>
      <c r="H363" s="91" t="s">
        <v>1385</v>
      </c>
      <c r="I363" s="91" t="s">
        <v>1268</v>
      </c>
      <c r="J363" s="91">
        <v>3582</v>
      </c>
      <c r="K363" s="91">
        <v>0</v>
      </c>
      <c r="L363" s="91">
        <v>0</v>
      </c>
      <c r="M363" s="91">
        <v>0</v>
      </c>
      <c r="N363" s="91">
        <f>34016+27380</f>
        <v>61396</v>
      </c>
      <c r="O363" s="91">
        <v>0</v>
      </c>
      <c r="P363" s="91">
        <v>0</v>
      </c>
      <c r="Q363" s="101">
        <f t="shared" si="10"/>
        <v>64978</v>
      </c>
      <c r="R363" s="95">
        <f t="shared" si="11"/>
        <v>55231.3</v>
      </c>
    </row>
    <row r="364" spans="1:18" ht="34.049999999999997" customHeight="1" x14ac:dyDescent="0.3">
      <c r="A364" s="96">
        <v>353</v>
      </c>
      <c r="B364" s="91" t="s">
        <v>1286</v>
      </c>
      <c r="C364" s="91" t="s">
        <v>1293</v>
      </c>
      <c r="D364" s="91" t="s">
        <v>1294</v>
      </c>
      <c r="E364" s="91">
        <v>2022</v>
      </c>
      <c r="F364" s="91" t="s">
        <v>19</v>
      </c>
      <c r="G364" s="91" t="s">
        <v>1386</v>
      </c>
      <c r="H364" s="91" t="s">
        <v>1435</v>
      </c>
      <c r="I364" s="91" t="s">
        <v>1461</v>
      </c>
      <c r="J364" s="91">
        <v>6199</v>
      </c>
      <c r="K364" s="91">
        <f>1346+6278+4484+4484+2332+2332+2332+2332+2332+2332+6995+6995+2332+6995</f>
        <v>53901</v>
      </c>
      <c r="L364" s="91">
        <v>0</v>
      </c>
      <c r="M364" s="91">
        <v>0</v>
      </c>
      <c r="N364" s="91">
        <v>3148</v>
      </c>
      <c r="O364" s="91">
        <v>0</v>
      </c>
      <c r="P364" s="91">
        <v>0</v>
      </c>
      <c r="Q364" s="101">
        <f t="shared" si="10"/>
        <v>63248</v>
      </c>
      <c r="R364" s="95">
        <f t="shared" si="11"/>
        <v>53760.800000000003</v>
      </c>
    </row>
    <row r="365" spans="1:18" ht="34.049999999999997" customHeight="1" x14ac:dyDescent="0.3">
      <c r="A365" s="90">
        <v>354</v>
      </c>
      <c r="B365" s="91" t="s">
        <v>1286</v>
      </c>
      <c r="C365" s="91" t="s">
        <v>1295</v>
      </c>
      <c r="D365" s="91" t="s">
        <v>1296</v>
      </c>
      <c r="E365" s="91">
        <v>1997</v>
      </c>
      <c r="F365" s="91" t="s">
        <v>19</v>
      </c>
      <c r="G365" s="91" t="s">
        <v>1387</v>
      </c>
      <c r="H365" s="91" t="s">
        <v>1387</v>
      </c>
      <c r="I365" s="91" t="s">
        <v>1462</v>
      </c>
      <c r="J365" s="91">
        <v>6199</v>
      </c>
      <c r="K365" s="91">
        <f>2332+2332+2243</f>
        <v>6907</v>
      </c>
      <c r="L365" s="91">
        <v>0</v>
      </c>
      <c r="M365" s="91">
        <v>0</v>
      </c>
      <c r="N365" s="91">
        <v>0</v>
      </c>
      <c r="O365" s="91">
        <v>0</v>
      </c>
      <c r="P365" s="91">
        <v>0</v>
      </c>
      <c r="Q365" s="101">
        <f t="shared" si="10"/>
        <v>13106</v>
      </c>
      <c r="R365" s="95">
        <f t="shared" si="11"/>
        <v>11140.1</v>
      </c>
    </row>
    <row r="366" spans="1:18" ht="34.049999999999997" customHeight="1" x14ac:dyDescent="0.3">
      <c r="A366" s="90">
        <v>355</v>
      </c>
      <c r="B366" s="91" t="s">
        <v>1286</v>
      </c>
      <c r="C366" s="91" t="s">
        <v>1297</v>
      </c>
      <c r="D366" s="91" t="s">
        <v>1298</v>
      </c>
      <c r="E366" s="91">
        <v>2022</v>
      </c>
      <c r="F366" s="91" t="s">
        <v>19</v>
      </c>
      <c r="G366" s="91" t="s">
        <v>1388</v>
      </c>
      <c r="H366" s="91" t="s">
        <v>1387</v>
      </c>
      <c r="I366" s="91" t="s">
        <v>1462</v>
      </c>
      <c r="J366" s="91">
        <v>6199</v>
      </c>
      <c r="K366" s="91">
        <f>1346+6278+4484+4484+2332+2332+2332+2332+2332+2332+6995+6995+2332+6995</f>
        <v>53901</v>
      </c>
      <c r="L366" s="91">
        <v>0</v>
      </c>
      <c r="M366" s="91">
        <v>0</v>
      </c>
      <c r="N366" s="91">
        <v>3148</v>
      </c>
      <c r="O366" s="91">
        <v>0</v>
      </c>
      <c r="P366" s="91">
        <v>0</v>
      </c>
      <c r="Q366" s="101">
        <f t="shared" si="10"/>
        <v>63248</v>
      </c>
      <c r="R366" s="95">
        <f t="shared" si="11"/>
        <v>53760.800000000003</v>
      </c>
    </row>
    <row r="367" spans="1:18" ht="34.049999999999997" customHeight="1" x14ac:dyDescent="0.3">
      <c r="A367" s="96">
        <v>356</v>
      </c>
      <c r="B367" s="91" t="s">
        <v>1286</v>
      </c>
      <c r="C367" s="91" t="s">
        <v>1299</v>
      </c>
      <c r="D367" s="91" t="s">
        <v>1300</v>
      </c>
      <c r="E367" s="91">
        <v>1984</v>
      </c>
      <c r="F367" s="91" t="s">
        <v>18</v>
      </c>
      <c r="G367" s="91" t="s">
        <v>1389</v>
      </c>
      <c r="H367" s="91" t="s">
        <v>1389</v>
      </c>
      <c r="I367" s="91" t="s">
        <v>1463</v>
      </c>
      <c r="J367" s="91">
        <v>6199</v>
      </c>
      <c r="K367" s="91">
        <f>6278+4484+2332+1346+2332+2332+2332+2332+6995+6995+2332+6995+6995+2332+4484+2332+2332+3000+3000+3228+1166+2801</f>
        <v>78755</v>
      </c>
      <c r="L367" s="91">
        <v>0</v>
      </c>
      <c r="M367" s="91">
        <v>0</v>
      </c>
      <c r="N367" s="91">
        <v>1793</v>
      </c>
      <c r="O367" s="91">
        <v>0</v>
      </c>
      <c r="P367" s="91">
        <v>0</v>
      </c>
      <c r="Q367" s="101">
        <f t="shared" si="10"/>
        <v>86747</v>
      </c>
      <c r="R367" s="95">
        <f t="shared" si="11"/>
        <v>73734.95</v>
      </c>
    </row>
    <row r="368" spans="1:18" ht="34.049999999999997" customHeight="1" x14ac:dyDescent="0.3">
      <c r="A368" s="90">
        <v>357</v>
      </c>
      <c r="B368" s="91" t="s">
        <v>1286</v>
      </c>
      <c r="C368" s="91" t="s">
        <v>1301</v>
      </c>
      <c r="D368" s="91" t="s">
        <v>1302</v>
      </c>
      <c r="E368" s="91">
        <v>2017</v>
      </c>
      <c r="F368" s="91" t="s">
        <v>19</v>
      </c>
      <c r="G368" s="91" t="s">
        <v>1390</v>
      </c>
      <c r="H368" s="91" t="s">
        <v>1436</v>
      </c>
      <c r="I368" s="91" t="s">
        <v>1464</v>
      </c>
      <c r="J368" s="91">
        <v>6199</v>
      </c>
      <c r="K368" s="91">
        <f>6278+4484+2332+1346+2332+2332+2332+2332+6995+6995+2332+6995+2332+4484+1166+2801</f>
        <v>57868</v>
      </c>
      <c r="L368" s="91">
        <v>0</v>
      </c>
      <c r="M368" s="91">
        <v>0</v>
      </c>
      <c r="N368" s="91">
        <v>3148</v>
      </c>
      <c r="O368" s="91">
        <v>0</v>
      </c>
      <c r="P368" s="91">
        <v>0</v>
      </c>
      <c r="Q368" s="101">
        <f t="shared" si="10"/>
        <v>67215</v>
      </c>
      <c r="R368" s="95">
        <f t="shared" si="11"/>
        <v>57132.75</v>
      </c>
    </row>
    <row r="369" spans="1:18" ht="34.049999999999997" customHeight="1" x14ac:dyDescent="0.3">
      <c r="A369" s="90">
        <v>358</v>
      </c>
      <c r="B369" s="91" t="s">
        <v>1286</v>
      </c>
      <c r="C369" s="91" t="s">
        <v>1303</v>
      </c>
      <c r="D369" s="91" t="s">
        <v>1296</v>
      </c>
      <c r="E369" s="91">
        <v>1997</v>
      </c>
      <c r="F369" s="91" t="s">
        <v>19</v>
      </c>
      <c r="G369" s="91" t="s">
        <v>1387</v>
      </c>
      <c r="H369" s="91" t="s">
        <v>1387</v>
      </c>
      <c r="I369" s="91" t="s">
        <v>1462</v>
      </c>
      <c r="J369" s="91">
        <v>3582</v>
      </c>
      <c r="K369" s="91">
        <v>0</v>
      </c>
      <c r="L369" s="91">
        <v>0</v>
      </c>
      <c r="M369" s="91">
        <v>0</v>
      </c>
      <c r="N369" s="91">
        <f>34016+38478</f>
        <v>72494</v>
      </c>
      <c r="O369" s="91">
        <v>0</v>
      </c>
      <c r="P369" s="91">
        <v>0</v>
      </c>
      <c r="Q369" s="101">
        <f t="shared" si="10"/>
        <v>76076</v>
      </c>
      <c r="R369" s="95">
        <f t="shared" si="11"/>
        <v>64664.6</v>
      </c>
    </row>
    <row r="370" spans="1:18" ht="34.049999999999997" customHeight="1" x14ac:dyDescent="0.3">
      <c r="A370" s="96">
        <v>359</v>
      </c>
      <c r="B370" s="91" t="s">
        <v>1286</v>
      </c>
      <c r="C370" s="91" t="s">
        <v>1304</v>
      </c>
      <c r="D370" s="91" t="s">
        <v>1305</v>
      </c>
      <c r="E370" s="91">
        <v>2024</v>
      </c>
      <c r="F370" s="91" t="s">
        <v>18</v>
      </c>
      <c r="G370" s="91" t="s">
        <v>1391</v>
      </c>
      <c r="H370" s="91" t="s">
        <v>1437</v>
      </c>
      <c r="I370" s="91" t="s">
        <v>835</v>
      </c>
      <c r="J370" s="91">
        <v>6199</v>
      </c>
      <c r="K370" s="91">
        <f>1346+6278+4484+4484+2332+2332+2332+2332+2332+2332+6995+6995+2332+6995</f>
        <v>53901</v>
      </c>
      <c r="L370" s="91">
        <v>0</v>
      </c>
      <c r="M370" s="91">
        <v>0</v>
      </c>
      <c r="N370" s="91">
        <v>3148</v>
      </c>
      <c r="O370" s="91">
        <v>0</v>
      </c>
      <c r="P370" s="91">
        <v>0</v>
      </c>
      <c r="Q370" s="101">
        <f t="shared" si="10"/>
        <v>63248</v>
      </c>
      <c r="R370" s="95">
        <f t="shared" si="11"/>
        <v>53760.800000000003</v>
      </c>
    </row>
    <row r="371" spans="1:18" ht="34.049999999999997" customHeight="1" x14ac:dyDescent="0.3">
      <c r="A371" s="90">
        <v>360</v>
      </c>
      <c r="B371" s="91" t="s">
        <v>1286</v>
      </c>
      <c r="C371" s="91" t="s">
        <v>1304</v>
      </c>
      <c r="D371" s="91" t="s">
        <v>1305</v>
      </c>
      <c r="E371" s="91">
        <v>2024</v>
      </c>
      <c r="F371" s="91" t="s">
        <v>18</v>
      </c>
      <c r="G371" s="91" t="s">
        <v>1391</v>
      </c>
      <c r="H371" s="91" t="s">
        <v>1437</v>
      </c>
      <c r="I371" s="91" t="s">
        <v>835</v>
      </c>
      <c r="J371" s="91">
        <v>0</v>
      </c>
      <c r="K371" s="91">
        <v>0</v>
      </c>
      <c r="L371" s="91">
        <v>0</v>
      </c>
      <c r="M371" s="91">
        <v>0</v>
      </c>
      <c r="N371" s="91">
        <f>4053+1178+1681</f>
        <v>6912</v>
      </c>
      <c r="O371" s="91">
        <v>0</v>
      </c>
      <c r="P371" s="91">
        <f>720+360+1080</f>
        <v>2160</v>
      </c>
      <c r="Q371" s="101">
        <f t="shared" si="10"/>
        <v>9072</v>
      </c>
      <c r="R371" s="95">
        <f t="shared" si="11"/>
        <v>7711.2</v>
      </c>
    </row>
    <row r="372" spans="1:18" ht="34.049999999999997" customHeight="1" x14ac:dyDescent="0.3">
      <c r="A372" s="90">
        <v>361</v>
      </c>
      <c r="B372" s="91" t="s">
        <v>1286</v>
      </c>
      <c r="C372" s="91" t="s">
        <v>1304</v>
      </c>
      <c r="D372" s="91" t="s">
        <v>1305</v>
      </c>
      <c r="E372" s="91">
        <v>2024</v>
      </c>
      <c r="F372" s="91" t="s">
        <v>18</v>
      </c>
      <c r="G372" s="91" t="s">
        <v>1391</v>
      </c>
      <c r="H372" s="91" t="s">
        <v>1437</v>
      </c>
      <c r="I372" s="91" t="s">
        <v>835</v>
      </c>
      <c r="J372" s="91">
        <v>0</v>
      </c>
      <c r="K372" s="91">
        <v>0</v>
      </c>
      <c r="L372" s="91">
        <v>0</v>
      </c>
      <c r="M372" s="91">
        <v>17688</v>
      </c>
      <c r="N372" s="91">
        <v>0</v>
      </c>
      <c r="O372" s="91">
        <v>0</v>
      </c>
      <c r="P372" s="91">
        <f>60+360+56</f>
        <v>476</v>
      </c>
      <c r="Q372" s="101">
        <f t="shared" si="10"/>
        <v>18164</v>
      </c>
      <c r="R372" s="95">
        <f t="shared" si="11"/>
        <v>15439.4</v>
      </c>
    </row>
    <row r="373" spans="1:18" ht="34.049999999999997" customHeight="1" x14ac:dyDescent="0.3">
      <c r="A373" s="96">
        <v>362</v>
      </c>
      <c r="B373" s="91" t="s">
        <v>1286</v>
      </c>
      <c r="C373" s="91" t="s">
        <v>1306</v>
      </c>
      <c r="D373" s="91" t="s">
        <v>1307</v>
      </c>
      <c r="E373" s="91">
        <v>2019</v>
      </c>
      <c r="F373" s="91" t="s">
        <v>19</v>
      </c>
      <c r="G373" s="91" t="s">
        <v>1392</v>
      </c>
      <c r="H373" s="91" t="s">
        <v>1438</v>
      </c>
      <c r="I373" s="91" t="s">
        <v>1465</v>
      </c>
      <c r="J373" s="91">
        <v>6199</v>
      </c>
      <c r="K373" s="91">
        <v>0</v>
      </c>
      <c r="L373" s="91">
        <v>0</v>
      </c>
      <c r="M373" s="91">
        <v>0</v>
      </c>
      <c r="N373" s="91">
        <v>0</v>
      </c>
      <c r="O373" s="91">
        <v>0</v>
      </c>
      <c r="P373" s="91">
        <v>0</v>
      </c>
      <c r="Q373" s="101">
        <f t="shared" si="10"/>
        <v>6199</v>
      </c>
      <c r="R373" s="95">
        <f t="shared" si="11"/>
        <v>5269.15</v>
      </c>
    </row>
    <row r="374" spans="1:18" ht="34.049999999999997" customHeight="1" x14ac:dyDescent="0.3">
      <c r="A374" s="90">
        <v>363</v>
      </c>
      <c r="B374" s="91" t="s">
        <v>1286</v>
      </c>
      <c r="C374" s="91" t="s">
        <v>1308</v>
      </c>
      <c r="D374" s="91" t="s">
        <v>1309</v>
      </c>
      <c r="E374" s="91">
        <v>1991</v>
      </c>
      <c r="F374" s="91" t="s">
        <v>19</v>
      </c>
      <c r="G374" s="91" t="s">
        <v>1393</v>
      </c>
      <c r="H374" s="91" t="s">
        <v>1393</v>
      </c>
      <c r="I374" s="91" t="s">
        <v>1466</v>
      </c>
      <c r="J374" s="91">
        <v>6199</v>
      </c>
      <c r="K374" s="91">
        <f>6278+2332</f>
        <v>8610</v>
      </c>
      <c r="L374" s="91">
        <v>18406</v>
      </c>
      <c r="M374" s="91">
        <v>0</v>
      </c>
      <c r="N374" s="91">
        <v>1793</v>
      </c>
      <c r="O374" s="91">
        <v>0</v>
      </c>
      <c r="P374" s="91">
        <v>0</v>
      </c>
      <c r="Q374" s="101">
        <f t="shared" si="10"/>
        <v>35008</v>
      </c>
      <c r="R374" s="95">
        <f t="shared" si="11"/>
        <v>29756.799999999999</v>
      </c>
    </row>
    <row r="375" spans="1:18" ht="34.049999999999997" customHeight="1" x14ac:dyDescent="0.3">
      <c r="A375" s="90">
        <v>364</v>
      </c>
      <c r="B375" s="91" t="s">
        <v>1286</v>
      </c>
      <c r="C375" s="91" t="s">
        <v>1310</v>
      </c>
      <c r="D375" s="91" t="s">
        <v>1311</v>
      </c>
      <c r="E375" s="91">
        <v>1995</v>
      </c>
      <c r="F375" s="91" t="s">
        <v>19</v>
      </c>
      <c r="G375" s="91" t="s">
        <v>1394</v>
      </c>
      <c r="H375" s="91" t="s">
        <v>1394</v>
      </c>
      <c r="I375" s="91" t="s">
        <v>1467</v>
      </c>
      <c r="J375" s="91">
        <v>6199</v>
      </c>
      <c r="K375" s="91">
        <f>6278+2332</f>
        <v>8610</v>
      </c>
      <c r="L375" s="91">
        <v>0</v>
      </c>
      <c r="M375" s="91">
        <v>0</v>
      </c>
      <c r="N375" s="91">
        <v>1793</v>
      </c>
      <c r="O375" s="91">
        <v>0</v>
      </c>
      <c r="P375" s="91">
        <v>0</v>
      </c>
      <c r="Q375" s="101">
        <f t="shared" si="10"/>
        <v>16602</v>
      </c>
      <c r="R375" s="95">
        <f t="shared" si="11"/>
        <v>14111.7</v>
      </c>
    </row>
    <row r="376" spans="1:18" ht="34.049999999999997" customHeight="1" x14ac:dyDescent="0.3">
      <c r="A376" s="96">
        <v>365</v>
      </c>
      <c r="B376" s="91" t="s">
        <v>1286</v>
      </c>
      <c r="C376" s="91" t="s">
        <v>1312</v>
      </c>
      <c r="D376" s="91" t="s">
        <v>1313</v>
      </c>
      <c r="E376" s="91">
        <v>2022</v>
      </c>
      <c r="F376" s="91" t="s">
        <v>18</v>
      </c>
      <c r="G376" s="91" t="s">
        <v>1395</v>
      </c>
      <c r="H376" s="91" t="s">
        <v>1439</v>
      </c>
      <c r="I376" s="91" t="s">
        <v>292</v>
      </c>
      <c r="J376" s="91">
        <v>6199</v>
      </c>
      <c r="K376" s="91">
        <v>0</v>
      </c>
      <c r="L376" s="91">
        <v>0</v>
      </c>
      <c r="M376" s="91">
        <v>0</v>
      </c>
      <c r="N376" s="91">
        <v>0</v>
      </c>
      <c r="O376" s="91">
        <v>0</v>
      </c>
      <c r="P376" s="91">
        <v>0</v>
      </c>
      <c r="Q376" s="101">
        <f t="shared" si="10"/>
        <v>6199</v>
      </c>
      <c r="R376" s="95">
        <f t="shared" si="11"/>
        <v>5269.15</v>
      </c>
    </row>
    <row r="377" spans="1:18" ht="34.049999999999997" customHeight="1" x14ac:dyDescent="0.3">
      <c r="A377" s="90">
        <v>366</v>
      </c>
      <c r="B377" s="91" t="s">
        <v>1286</v>
      </c>
      <c r="C377" s="91" t="s">
        <v>1314</v>
      </c>
      <c r="D377" s="91" t="s">
        <v>1315</v>
      </c>
      <c r="E377" s="91">
        <v>2012</v>
      </c>
      <c r="F377" s="91" t="s">
        <v>18</v>
      </c>
      <c r="G377" s="91" t="s">
        <v>1396</v>
      </c>
      <c r="H377" s="91" t="s">
        <v>1440</v>
      </c>
      <c r="I377" s="91" t="s">
        <v>1468</v>
      </c>
      <c r="J377" s="91">
        <v>6199</v>
      </c>
      <c r="K377" s="91">
        <v>0</v>
      </c>
      <c r="L377" s="91">
        <v>0</v>
      </c>
      <c r="M377" s="91">
        <v>0</v>
      </c>
      <c r="N377" s="91">
        <f>34016+27380</f>
        <v>61396</v>
      </c>
      <c r="O377" s="91">
        <v>0</v>
      </c>
      <c r="P377" s="91">
        <v>0</v>
      </c>
      <c r="Q377" s="101">
        <f t="shared" si="10"/>
        <v>67595</v>
      </c>
      <c r="R377" s="95">
        <f t="shared" si="11"/>
        <v>57455.75</v>
      </c>
    </row>
    <row r="378" spans="1:18" ht="34.049999999999997" customHeight="1" x14ac:dyDescent="0.3">
      <c r="A378" s="90">
        <v>367</v>
      </c>
      <c r="B378" s="91" t="s">
        <v>1286</v>
      </c>
      <c r="C378" s="91" t="s">
        <v>1316</v>
      </c>
      <c r="D378" s="93">
        <v>10106381</v>
      </c>
      <c r="E378" s="91">
        <v>1968</v>
      </c>
      <c r="F378" s="91" t="s">
        <v>18</v>
      </c>
      <c r="G378" s="91" t="s">
        <v>1397</v>
      </c>
      <c r="H378" s="91" t="s">
        <v>1397</v>
      </c>
      <c r="I378" s="91" t="s">
        <v>1469</v>
      </c>
      <c r="J378" s="91">
        <v>6199</v>
      </c>
      <c r="K378" s="91">
        <f>2332+6278+2332+2332+2332+2332+1346+4484+6995+4484+4484+4484+2332+4484+2332+4484+6995+1346+2332+2332</f>
        <v>70852</v>
      </c>
      <c r="L378" s="91">
        <v>0</v>
      </c>
      <c r="M378" s="91">
        <v>0</v>
      </c>
      <c r="N378" s="91">
        <v>1793</v>
      </c>
      <c r="O378" s="91">
        <v>0</v>
      </c>
      <c r="P378" s="91">
        <v>0</v>
      </c>
      <c r="Q378" s="101">
        <f t="shared" si="10"/>
        <v>78844</v>
      </c>
      <c r="R378" s="95">
        <f t="shared" si="11"/>
        <v>67017.399999999994</v>
      </c>
    </row>
    <row r="379" spans="1:18" ht="34.049999999999997" customHeight="1" x14ac:dyDescent="0.3">
      <c r="A379" s="96">
        <v>368</v>
      </c>
      <c r="B379" s="91" t="s">
        <v>1286</v>
      </c>
      <c r="C379" s="91" t="s">
        <v>1317</v>
      </c>
      <c r="D379" s="91" t="s">
        <v>1089</v>
      </c>
      <c r="E379" s="91">
        <v>1994</v>
      </c>
      <c r="F379" s="91" t="s">
        <v>19</v>
      </c>
      <c r="G379" s="91" t="s">
        <v>1171</v>
      </c>
      <c r="H379" s="91" t="s">
        <v>1171</v>
      </c>
      <c r="I379" s="91" t="s">
        <v>1255</v>
      </c>
      <c r="J379" s="91">
        <v>0</v>
      </c>
      <c r="K379" s="91">
        <v>0</v>
      </c>
      <c r="L379" s="91">
        <v>17279</v>
      </c>
      <c r="M379" s="91">
        <v>0</v>
      </c>
      <c r="N379" s="91">
        <v>0</v>
      </c>
      <c r="O379" s="91">
        <v>0</v>
      </c>
      <c r="P379" s="91">
        <v>0</v>
      </c>
      <c r="Q379" s="101">
        <f t="shared" si="10"/>
        <v>17279</v>
      </c>
      <c r="R379" s="95">
        <f t="shared" si="11"/>
        <v>14687.15</v>
      </c>
    </row>
    <row r="380" spans="1:18" ht="34.049999999999997" customHeight="1" x14ac:dyDescent="0.3">
      <c r="A380" s="90">
        <v>369</v>
      </c>
      <c r="B380" s="91" t="s">
        <v>1286</v>
      </c>
      <c r="C380" s="91" t="s">
        <v>1318</v>
      </c>
      <c r="D380" s="91" t="s">
        <v>1319</v>
      </c>
      <c r="E380" s="91">
        <v>2018</v>
      </c>
      <c r="F380" s="91" t="s">
        <v>18</v>
      </c>
      <c r="G380" s="91" t="s">
        <v>1398</v>
      </c>
      <c r="H380" s="91" t="s">
        <v>1441</v>
      </c>
      <c r="I380" s="91" t="s">
        <v>1470</v>
      </c>
      <c r="J380" s="91">
        <v>6199</v>
      </c>
      <c r="K380" s="91">
        <v>0</v>
      </c>
      <c r="L380" s="91">
        <v>0</v>
      </c>
      <c r="M380" s="91">
        <v>0</v>
      </c>
      <c r="N380" s="91">
        <v>0</v>
      </c>
      <c r="O380" s="91">
        <v>0</v>
      </c>
      <c r="P380" s="91">
        <v>0</v>
      </c>
      <c r="Q380" s="101">
        <f t="shared" si="10"/>
        <v>6199</v>
      </c>
      <c r="R380" s="95">
        <f t="shared" si="11"/>
        <v>5269.15</v>
      </c>
    </row>
    <row r="381" spans="1:18" ht="34.049999999999997" customHeight="1" x14ac:dyDescent="0.3">
      <c r="A381" s="90">
        <v>370</v>
      </c>
      <c r="B381" s="91" t="s">
        <v>1286</v>
      </c>
      <c r="C381" s="91" t="s">
        <v>1320</v>
      </c>
      <c r="D381" s="91" t="s">
        <v>1321</v>
      </c>
      <c r="E381" s="91">
        <v>1992</v>
      </c>
      <c r="F381" s="91" t="s">
        <v>18</v>
      </c>
      <c r="G381" s="91" t="s">
        <v>1399</v>
      </c>
      <c r="H381" s="91" t="s">
        <v>1399</v>
      </c>
      <c r="I381" s="91" t="s">
        <v>1471</v>
      </c>
      <c r="J381" s="91">
        <v>6199</v>
      </c>
      <c r="K381" s="91">
        <f>2801+1166</f>
        <v>3967</v>
      </c>
      <c r="L381" s="91">
        <v>0</v>
      </c>
      <c r="M381" s="91">
        <v>0</v>
      </c>
      <c r="N381" s="91">
        <v>0</v>
      </c>
      <c r="O381" s="91">
        <v>0</v>
      </c>
      <c r="P381" s="91">
        <v>0</v>
      </c>
      <c r="Q381" s="101">
        <f t="shared" si="10"/>
        <v>10166</v>
      </c>
      <c r="R381" s="95">
        <f t="shared" si="11"/>
        <v>8641.1</v>
      </c>
    </row>
    <row r="382" spans="1:18" ht="34.049999999999997" customHeight="1" x14ac:dyDescent="0.3">
      <c r="A382" s="96">
        <v>371</v>
      </c>
      <c r="B382" s="91" t="s">
        <v>1286</v>
      </c>
      <c r="C382" s="91" t="s">
        <v>1322</v>
      </c>
      <c r="D382" s="91" t="s">
        <v>1323</v>
      </c>
      <c r="E382" s="91">
        <v>1981</v>
      </c>
      <c r="F382" s="91" t="s">
        <v>19</v>
      </c>
      <c r="G382" s="91" t="s">
        <v>1400</v>
      </c>
      <c r="H382" s="91" t="s">
        <v>1442</v>
      </c>
      <c r="I382" s="91" t="s">
        <v>292</v>
      </c>
      <c r="J382" s="91">
        <v>6199</v>
      </c>
      <c r="K382" s="91">
        <f>6278+4484+2332+1166</f>
        <v>14260</v>
      </c>
      <c r="L382" s="91">
        <v>13298</v>
      </c>
      <c r="M382" s="91">
        <v>0</v>
      </c>
      <c r="N382" s="91">
        <v>1793</v>
      </c>
      <c r="O382" s="91">
        <v>0</v>
      </c>
      <c r="P382" s="91">
        <v>0</v>
      </c>
      <c r="Q382" s="101">
        <f t="shared" si="10"/>
        <v>35550</v>
      </c>
      <c r="R382" s="95">
        <f t="shared" si="11"/>
        <v>30217.5</v>
      </c>
    </row>
    <row r="383" spans="1:18" ht="34.049999999999997" customHeight="1" x14ac:dyDescent="0.3">
      <c r="A383" s="90">
        <v>372</v>
      </c>
      <c r="B383" s="91" t="s">
        <v>1286</v>
      </c>
      <c r="C383" s="91" t="s">
        <v>1324</v>
      </c>
      <c r="D383" s="91" t="s">
        <v>1325</v>
      </c>
      <c r="E383" s="91">
        <v>2022</v>
      </c>
      <c r="F383" s="91" t="s">
        <v>19</v>
      </c>
      <c r="G383" s="91" t="s">
        <v>1401</v>
      </c>
      <c r="H383" s="91" t="s">
        <v>1443</v>
      </c>
      <c r="I383" s="91" t="s">
        <v>1472</v>
      </c>
      <c r="J383" s="91">
        <v>6199</v>
      </c>
      <c r="K383" s="91">
        <v>0</v>
      </c>
      <c r="L383" s="91">
        <v>0</v>
      </c>
      <c r="M383" s="91">
        <v>0</v>
      </c>
      <c r="N383" s="91">
        <v>0</v>
      </c>
      <c r="O383" s="91">
        <v>0</v>
      </c>
      <c r="P383" s="91">
        <v>0</v>
      </c>
      <c r="Q383" s="101">
        <f t="shared" si="10"/>
        <v>6199</v>
      </c>
      <c r="R383" s="95">
        <f t="shared" si="11"/>
        <v>5269.15</v>
      </c>
    </row>
    <row r="384" spans="1:18" ht="34.049999999999997" customHeight="1" x14ac:dyDescent="0.3">
      <c r="A384" s="90">
        <v>373</v>
      </c>
      <c r="B384" s="91" t="s">
        <v>1286</v>
      </c>
      <c r="C384" s="91" t="s">
        <v>1326</v>
      </c>
      <c r="D384" s="91" t="s">
        <v>1327</v>
      </c>
      <c r="E384" s="91">
        <v>1959</v>
      </c>
      <c r="F384" s="91" t="s">
        <v>18</v>
      </c>
      <c r="G384" s="91" t="s">
        <v>1402</v>
      </c>
      <c r="H384" s="91" t="s">
        <v>1402</v>
      </c>
      <c r="I384" s="91" t="s">
        <v>253</v>
      </c>
      <c r="J384" s="91">
        <v>6199</v>
      </c>
      <c r="K384" s="91">
        <v>0</v>
      </c>
      <c r="L384" s="91">
        <v>0</v>
      </c>
      <c r="M384" s="91">
        <v>0</v>
      </c>
      <c r="N384" s="91">
        <v>0</v>
      </c>
      <c r="O384" s="91">
        <v>0</v>
      </c>
      <c r="P384" s="91">
        <v>0</v>
      </c>
      <c r="Q384" s="101">
        <f t="shared" si="10"/>
        <v>6199</v>
      </c>
      <c r="R384" s="95">
        <f t="shared" si="11"/>
        <v>5269.15</v>
      </c>
    </row>
    <row r="385" spans="1:23" ht="34.049999999999997" customHeight="1" x14ac:dyDescent="0.3">
      <c r="A385" s="96">
        <v>374</v>
      </c>
      <c r="B385" s="98" t="s">
        <v>1286</v>
      </c>
      <c r="C385" s="98" t="s">
        <v>1328</v>
      </c>
      <c r="D385" s="98" t="s">
        <v>1329</v>
      </c>
      <c r="E385" s="98">
        <v>1970</v>
      </c>
      <c r="F385" s="98" t="s">
        <v>19</v>
      </c>
      <c r="G385" s="98" t="s">
        <v>1403</v>
      </c>
      <c r="H385" s="98" t="s">
        <v>1403</v>
      </c>
      <c r="I385" s="98" t="s">
        <v>1257</v>
      </c>
      <c r="J385" s="98">
        <v>6199</v>
      </c>
      <c r="K385" s="98">
        <f>6278+2332+1346+4484+2332+2332+2243</f>
        <v>21347</v>
      </c>
      <c r="L385" s="98">
        <v>18406</v>
      </c>
      <c r="M385" s="98">
        <v>0</v>
      </c>
      <c r="N385" s="98">
        <v>1793</v>
      </c>
      <c r="O385" s="98">
        <v>0</v>
      </c>
      <c r="P385" s="98">
        <v>0</v>
      </c>
      <c r="Q385" s="101">
        <f t="shared" si="10"/>
        <v>47745</v>
      </c>
      <c r="R385" s="95">
        <f t="shared" si="11"/>
        <v>40583.25</v>
      </c>
      <c r="S385" s="41"/>
      <c r="T385" s="41"/>
      <c r="U385" s="41"/>
      <c r="V385" s="41"/>
      <c r="W385" s="41"/>
    </row>
    <row r="386" spans="1:23" ht="34.049999999999997" customHeight="1" x14ac:dyDescent="0.3">
      <c r="A386" s="90">
        <v>375</v>
      </c>
      <c r="B386" s="91" t="s">
        <v>1286</v>
      </c>
      <c r="C386" s="91" t="s">
        <v>1330</v>
      </c>
      <c r="D386" s="91" t="s">
        <v>1331</v>
      </c>
      <c r="E386" s="91">
        <v>1974</v>
      </c>
      <c r="F386" s="91" t="s">
        <v>19</v>
      </c>
      <c r="G386" s="91" t="s">
        <v>1404</v>
      </c>
      <c r="H386" s="91" t="s">
        <v>1404</v>
      </c>
      <c r="I386" s="91" t="s">
        <v>1473</v>
      </c>
      <c r="J386" s="91">
        <v>6199</v>
      </c>
      <c r="K386" s="91">
        <f>2332+2332+2243+3228</f>
        <v>10135</v>
      </c>
      <c r="L386" s="91">
        <v>0</v>
      </c>
      <c r="M386" s="91">
        <v>0</v>
      </c>
      <c r="N386" s="91">
        <v>1793</v>
      </c>
      <c r="O386" s="91">
        <v>0</v>
      </c>
      <c r="P386" s="91">
        <v>0</v>
      </c>
      <c r="Q386" s="101">
        <f t="shared" si="10"/>
        <v>18127</v>
      </c>
      <c r="R386" s="95">
        <f t="shared" si="11"/>
        <v>15407.95</v>
      </c>
    </row>
    <row r="387" spans="1:23" ht="34.049999999999997" customHeight="1" x14ac:dyDescent="0.3">
      <c r="A387" s="90">
        <v>376</v>
      </c>
      <c r="B387" s="91" t="s">
        <v>1286</v>
      </c>
      <c r="C387" s="91" t="s">
        <v>1332</v>
      </c>
      <c r="D387" s="91" t="s">
        <v>1333</v>
      </c>
      <c r="E387" s="91">
        <v>1993</v>
      </c>
      <c r="F387" s="91" t="s">
        <v>19</v>
      </c>
      <c r="G387" s="91" t="s">
        <v>1405</v>
      </c>
      <c r="H387" s="91" t="s">
        <v>1405</v>
      </c>
      <c r="I387" s="91" t="s">
        <v>1474</v>
      </c>
      <c r="J387" s="91">
        <v>3793</v>
      </c>
      <c r="K387" s="91">
        <v>0</v>
      </c>
      <c r="L387" s="91">
        <v>0</v>
      </c>
      <c r="M387" s="91">
        <v>0</v>
      </c>
      <c r="N387" s="91">
        <v>0</v>
      </c>
      <c r="O387" s="91">
        <v>0</v>
      </c>
      <c r="P387" s="91">
        <v>0</v>
      </c>
      <c r="Q387" s="101">
        <f t="shared" si="10"/>
        <v>3793</v>
      </c>
      <c r="R387" s="95">
        <f t="shared" si="11"/>
        <v>3224.05</v>
      </c>
    </row>
    <row r="388" spans="1:23" ht="34.049999999999997" customHeight="1" x14ac:dyDescent="0.3">
      <c r="A388" s="96">
        <v>377</v>
      </c>
      <c r="B388" s="91" t="s">
        <v>1286</v>
      </c>
      <c r="C388" s="91" t="s">
        <v>1334</v>
      </c>
      <c r="D388" s="91" t="s">
        <v>1315</v>
      </c>
      <c r="E388" s="91">
        <v>2012</v>
      </c>
      <c r="F388" s="91" t="s">
        <v>18</v>
      </c>
      <c r="G388" s="91" t="s">
        <v>1396</v>
      </c>
      <c r="H388" s="91" t="s">
        <v>1440</v>
      </c>
      <c r="I388" s="91" t="s">
        <v>1468</v>
      </c>
      <c r="J388" s="91">
        <v>6199</v>
      </c>
      <c r="K388" s="91">
        <v>0</v>
      </c>
      <c r="L388" s="91">
        <v>0</v>
      </c>
      <c r="M388" s="91">
        <v>0</v>
      </c>
      <c r="N388" s="91">
        <v>0</v>
      </c>
      <c r="O388" s="91">
        <v>0</v>
      </c>
      <c r="P388" s="91">
        <v>0</v>
      </c>
      <c r="Q388" s="101">
        <f t="shared" si="10"/>
        <v>6199</v>
      </c>
      <c r="R388" s="95">
        <f t="shared" si="11"/>
        <v>5269.15</v>
      </c>
    </row>
    <row r="389" spans="1:23" ht="34.049999999999997" customHeight="1" x14ac:dyDescent="0.3">
      <c r="A389" s="90">
        <v>378</v>
      </c>
      <c r="B389" s="91" t="s">
        <v>1286</v>
      </c>
      <c r="C389" s="91" t="s">
        <v>1335</v>
      </c>
      <c r="D389" s="91" t="s">
        <v>1336</v>
      </c>
      <c r="E389" s="91">
        <v>1960</v>
      </c>
      <c r="F389" s="91" t="s">
        <v>18</v>
      </c>
      <c r="G389" s="91" t="s">
        <v>1406</v>
      </c>
      <c r="H389" s="91" t="s">
        <v>1444</v>
      </c>
      <c r="I389" s="91" t="s">
        <v>573</v>
      </c>
      <c r="J389" s="91">
        <v>6199</v>
      </c>
      <c r="K389" s="91">
        <v>0</v>
      </c>
      <c r="L389" s="91">
        <v>0</v>
      </c>
      <c r="M389" s="91">
        <v>0</v>
      </c>
      <c r="N389" s="91">
        <v>0</v>
      </c>
      <c r="O389" s="91">
        <v>0</v>
      </c>
      <c r="P389" s="91">
        <v>0</v>
      </c>
      <c r="Q389" s="101">
        <f t="shared" si="10"/>
        <v>6199</v>
      </c>
      <c r="R389" s="95">
        <f t="shared" si="11"/>
        <v>5269.15</v>
      </c>
    </row>
    <row r="390" spans="1:23" ht="34.049999999999997" customHeight="1" x14ac:dyDescent="0.3">
      <c r="A390" s="90">
        <v>379</v>
      </c>
      <c r="B390" s="91" t="s">
        <v>1286</v>
      </c>
      <c r="C390" s="91" t="s">
        <v>1337</v>
      </c>
      <c r="D390" s="91" t="s">
        <v>1338</v>
      </c>
      <c r="E390" s="91">
        <v>2024</v>
      </c>
      <c r="F390" s="91" t="s">
        <v>18</v>
      </c>
      <c r="G390" s="91" t="s">
        <v>1407</v>
      </c>
      <c r="H390" s="91" t="s">
        <v>1445</v>
      </c>
      <c r="I390" s="91" t="s">
        <v>274</v>
      </c>
      <c r="J390" s="91">
        <v>6199</v>
      </c>
      <c r="K390" s="91">
        <v>0</v>
      </c>
      <c r="L390" s="91">
        <v>0</v>
      </c>
      <c r="M390" s="91">
        <v>0</v>
      </c>
      <c r="N390" s="91">
        <v>0</v>
      </c>
      <c r="O390" s="91">
        <v>0</v>
      </c>
      <c r="P390" s="91">
        <v>0</v>
      </c>
      <c r="Q390" s="101">
        <f t="shared" si="10"/>
        <v>6199</v>
      </c>
      <c r="R390" s="95">
        <f t="shared" si="11"/>
        <v>5269.15</v>
      </c>
    </row>
    <row r="391" spans="1:23" ht="34.049999999999997" customHeight="1" x14ac:dyDescent="0.3">
      <c r="A391" s="96">
        <v>380</v>
      </c>
      <c r="B391" s="91" t="s">
        <v>1286</v>
      </c>
      <c r="C391" s="91" t="s">
        <v>1339</v>
      </c>
      <c r="D391" s="91" t="s">
        <v>1340</v>
      </c>
      <c r="E391" s="91">
        <v>2020</v>
      </c>
      <c r="F391" s="91" t="s">
        <v>18</v>
      </c>
      <c r="G391" s="91" t="s">
        <v>1408</v>
      </c>
      <c r="H391" s="91" t="s">
        <v>1446</v>
      </c>
      <c r="I391" s="91" t="s">
        <v>274</v>
      </c>
      <c r="J391" s="91">
        <v>6199</v>
      </c>
      <c r="K391" s="91">
        <v>0</v>
      </c>
      <c r="L391" s="91">
        <v>0</v>
      </c>
      <c r="M391" s="91">
        <v>0</v>
      </c>
      <c r="N391" s="91">
        <v>0</v>
      </c>
      <c r="O391" s="91">
        <v>0</v>
      </c>
      <c r="P391" s="91">
        <v>0</v>
      </c>
      <c r="Q391" s="101">
        <f t="shared" si="10"/>
        <v>6199</v>
      </c>
      <c r="R391" s="95">
        <f t="shared" si="11"/>
        <v>5269.15</v>
      </c>
    </row>
    <row r="392" spans="1:23" ht="34.049999999999997" customHeight="1" x14ac:dyDescent="0.3">
      <c r="A392" s="90">
        <v>381</v>
      </c>
      <c r="B392" s="91" t="s">
        <v>1286</v>
      </c>
      <c r="C392" s="91" t="s">
        <v>1341</v>
      </c>
      <c r="D392" s="91" t="s">
        <v>1342</v>
      </c>
      <c r="E392" s="91">
        <v>1989</v>
      </c>
      <c r="F392" s="91" t="s">
        <v>19</v>
      </c>
      <c r="G392" s="91" t="s">
        <v>1409</v>
      </c>
      <c r="H392" s="91" t="s">
        <v>1409</v>
      </c>
      <c r="I392" s="91" t="s">
        <v>1475</v>
      </c>
      <c r="J392" s="91">
        <v>6199</v>
      </c>
      <c r="K392" s="91">
        <v>0</v>
      </c>
      <c r="L392" s="91">
        <v>18406</v>
      </c>
      <c r="M392" s="91">
        <v>0</v>
      </c>
      <c r="N392" s="91">
        <v>0</v>
      </c>
      <c r="O392" s="91">
        <v>0</v>
      </c>
      <c r="P392" s="91">
        <v>0</v>
      </c>
      <c r="Q392" s="101">
        <f t="shared" si="10"/>
        <v>24605</v>
      </c>
      <c r="R392" s="95">
        <f t="shared" si="11"/>
        <v>20914.25</v>
      </c>
    </row>
    <row r="393" spans="1:23" ht="34.049999999999997" customHeight="1" x14ac:dyDescent="0.3">
      <c r="A393" s="90">
        <v>382</v>
      </c>
      <c r="B393" s="91" t="s">
        <v>1286</v>
      </c>
      <c r="C393" s="91" t="s">
        <v>1343</v>
      </c>
      <c r="D393" s="91" t="s">
        <v>1344</v>
      </c>
      <c r="E393" s="91">
        <v>1979</v>
      </c>
      <c r="F393" s="91" t="s">
        <v>19</v>
      </c>
      <c r="G393" s="91" t="s">
        <v>1410</v>
      </c>
      <c r="H393" s="91" t="s">
        <v>1447</v>
      </c>
      <c r="I393" s="91" t="s">
        <v>1460</v>
      </c>
      <c r="J393" s="91">
        <v>6199</v>
      </c>
      <c r="K393" s="91">
        <f>2332+2332+2243+6278+4484</f>
        <v>17669</v>
      </c>
      <c r="L393" s="91">
        <v>0</v>
      </c>
      <c r="M393" s="91">
        <v>0</v>
      </c>
      <c r="N393" s="91">
        <v>1793</v>
      </c>
      <c r="O393" s="91">
        <v>0</v>
      </c>
      <c r="P393" s="91">
        <v>0</v>
      </c>
      <c r="Q393" s="101">
        <f t="shared" si="10"/>
        <v>25661</v>
      </c>
      <c r="R393" s="95">
        <f t="shared" si="11"/>
        <v>21811.85</v>
      </c>
    </row>
    <row r="394" spans="1:23" ht="34.049999999999997" customHeight="1" x14ac:dyDescent="0.3">
      <c r="A394" s="96">
        <v>383</v>
      </c>
      <c r="B394" s="91" t="s">
        <v>1286</v>
      </c>
      <c r="C394" s="91" t="s">
        <v>1345</v>
      </c>
      <c r="D394" s="91" t="s">
        <v>1346</v>
      </c>
      <c r="E394" s="91">
        <v>1976</v>
      </c>
      <c r="F394" s="91" t="s">
        <v>18</v>
      </c>
      <c r="G394" s="91" t="s">
        <v>1411</v>
      </c>
      <c r="H394" s="91" t="s">
        <v>1448</v>
      </c>
      <c r="I394" s="91" t="s">
        <v>541</v>
      </c>
      <c r="J394" s="91">
        <v>6199</v>
      </c>
      <c r="K394" s="91">
        <v>0</v>
      </c>
      <c r="L394" s="91">
        <v>13298</v>
      </c>
      <c r="M394" s="91">
        <v>0</v>
      </c>
      <c r="N394" s="91">
        <v>33882</v>
      </c>
      <c r="O394" s="91">
        <v>0</v>
      </c>
      <c r="P394" s="91">
        <v>0</v>
      </c>
      <c r="Q394" s="101">
        <f t="shared" si="10"/>
        <v>53379</v>
      </c>
      <c r="R394" s="95">
        <f t="shared" si="11"/>
        <v>45372.15</v>
      </c>
    </row>
    <row r="395" spans="1:23" ht="34.049999999999997" customHeight="1" x14ac:dyDescent="0.3">
      <c r="A395" s="90">
        <v>384</v>
      </c>
      <c r="B395" s="91" t="s">
        <v>1286</v>
      </c>
      <c r="C395" s="91" t="s">
        <v>1347</v>
      </c>
      <c r="D395" s="91" t="s">
        <v>1348</v>
      </c>
      <c r="E395" s="91">
        <v>2001</v>
      </c>
      <c r="F395" s="91" t="s">
        <v>19</v>
      </c>
      <c r="G395" s="91" t="s">
        <v>1412</v>
      </c>
      <c r="H395" s="91" t="s">
        <v>1412</v>
      </c>
      <c r="I395" s="91" t="s">
        <v>300</v>
      </c>
      <c r="J395" s="91">
        <v>6199</v>
      </c>
      <c r="K395" s="91">
        <v>0</v>
      </c>
      <c r="L395" s="91">
        <v>0</v>
      </c>
      <c r="M395" s="91">
        <v>0</v>
      </c>
      <c r="N395" s="91">
        <v>0</v>
      </c>
      <c r="O395" s="91">
        <v>0</v>
      </c>
      <c r="P395" s="91">
        <v>0</v>
      </c>
      <c r="Q395" s="101">
        <f t="shared" si="10"/>
        <v>6199</v>
      </c>
      <c r="R395" s="95">
        <f t="shared" si="11"/>
        <v>5269.15</v>
      </c>
    </row>
    <row r="396" spans="1:23" ht="34.049999999999997" customHeight="1" x14ac:dyDescent="0.3">
      <c r="A396" s="90">
        <v>385</v>
      </c>
      <c r="B396" s="91" t="s">
        <v>1286</v>
      </c>
      <c r="C396" s="91" t="s">
        <v>1349</v>
      </c>
      <c r="D396" s="91" t="s">
        <v>1350</v>
      </c>
      <c r="E396" s="91">
        <v>1976</v>
      </c>
      <c r="F396" s="91" t="s">
        <v>19</v>
      </c>
      <c r="G396" s="91" t="s">
        <v>1413</v>
      </c>
      <c r="H396" s="91" t="s">
        <v>1413</v>
      </c>
      <c r="I396" s="91" t="s">
        <v>1476</v>
      </c>
      <c r="J396" s="91">
        <v>0</v>
      </c>
      <c r="K396" s="91">
        <v>0</v>
      </c>
      <c r="L396" s="91">
        <v>0</v>
      </c>
      <c r="M396" s="91">
        <v>0</v>
      </c>
      <c r="N396" s="91">
        <v>33601</v>
      </c>
      <c r="O396" s="91">
        <v>0</v>
      </c>
      <c r="P396" s="91">
        <v>0</v>
      </c>
      <c r="Q396" s="101">
        <f t="shared" ref="Q396:Q459" si="12">SUM(J396:P396)</f>
        <v>33601</v>
      </c>
      <c r="R396" s="95">
        <f t="shared" si="11"/>
        <v>28560.85</v>
      </c>
    </row>
    <row r="397" spans="1:23" ht="34.049999999999997" customHeight="1" x14ac:dyDescent="0.3">
      <c r="A397" s="96">
        <v>386</v>
      </c>
      <c r="B397" s="91" t="s">
        <v>1286</v>
      </c>
      <c r="C397" s="91" t="s">
        <v>1351</v>
      </c>
      <c r="D397" s="91" t="s">
        <v>1352</v>
      </c>
      <c r="E397" s="91">
        <v>2023</v>
      </c>
      <c r="F397" s="91" t="s">
        <v>19</v>
      </c>
      <c r="G397" s="91" t="s">
        <v>1414</v>
      </c>
      <c r="H397" s="91" t="s">
        <v>1449</v>
      </c>
      <c r="I397" s="91" t="s">
        <v>1477</v>
      </c>
      <c r="J397" s="91">
        <v>6199</v>
      </c>
      <c r="K397" s="91">
        <v>0</v>
      </c>
      <c r="L397" s="91">
        <v>0</v>
      </c>
      <c r="M397" s="91">
        <v>0</v>
      </c>
      <c r="N397" s="91">
        <v>0</v>
      </c>
      <c r="O397" s="91">
        <v>0</v>
      </c>
      <c r="P397" s="91">
        <v>0</v>
      </c>
      <c r="Q397" s="101">
        <f t="shared" si="12"/>
        <v>6199</v>
      </c>
      <c r="R397" s="95">
        <f t="shared" ref="R397:R460" si="13">Q397*85/100</f>
        <v>5269.15</v>
      </c>
    </row>
    <row r="398" spans="1:23" ht="34.049999999999997" customHeight="1" x14ac:dyDescent="0.3">
      <c r="A398" s="90">
        <v>387</v>
      </c>
      <c r="B398" s="91" t="s">
        <v>1286</v>
      </c>
      <c r="C398" s="91" t="s">
        <v>1353</v>
      </c>
      <c r="D398" s="91" t="s">
        <v>1354</v>
      </c>
      <c r="E398" s="91">
        <v>2023</v>
      </c>
      <c r="F398" s="91" t="s">
        <v>19</v>
      </c>
      <c r="G398" s="91" t="s">
        <v>1415</v>
      </c>
      <c r="H398" s="91" t="s">
        <v>1450</v>
      </c>
      <c r="I398" s="91" t="s">
        <v>1478</v>
      </c>
      <c r="J398" s="91">
        <v>6199</v>
      </c>
      <c r="K398" s="91">
        <v>0</v>
      </c>
      <c r="L398" s="91">
        <v>0</v>
      </c>
      <c r="M398" s="91">
        <v>0</v>
      </c>
      <c r="N398" s="91">
        <v>0</v>
      </c>
      <c r="O398" s="91">
        <v>0</v>
      </c>
      <c r="P398" s="91">
        <v>0</v>
      </c>
      <c r="Q398" s="101">
        <f t="shared" si="12"/>
        <v>6199</v>
      </c>
      <c r="R398" s="95">
        <f t="shared" si="13"/>
        <v>5269.15</v>
      </c>
    </row>
    <row r="399" spans="1:23" ht="34.049999999999997" customHeight="1" x14ac:dyDescent="0.3">
      <c r="A399" s="90">
        <v>388</v>
      </c>
      <c r="B399" s="91" t="s">
        <v>1286</v>
      </c>
      <c r="C399" s="91" t="s">
        <v>1355</v>
      </c>
      <c r="D399" s="91" t="s">
        <v>1356</v>
      </c>
      <c r="E399" s="91">
        <v>2025</v>
      </c>
      <c r="F399" s="91" t="s">
        <v>19</v>
      </c>
      <c r="G399" s="91" t="s">
        <v>1416</v>
      </c>
      <c r="H399" s="91" t="s">
        <v>1451</v>
      </c>
      <c r="I399" s="91" t="s">
        <v>1479</v>
      </c>
      <c r="J399" s="91">
        <v>6199</v>
      </c>
      <c r="K399" s="91">
        <v>0</v>
      </c>
      <c r="L399" s="91">
        <v>0</v>
      </c>
      <c r="M399" s="91">
        <v>0</v>
      </c>
      <c r="N399" s="91">
        <v>0</v>
      </c>
      <c r="O399" s="91">
        <v>0</v>
      </c>
      <c r="P399" s="91">
        <v>0</v>
      </c>
      <c r="Q399" s="101">
        <f t="shared" si="12"/>
        <v>6199</v>
      </c>
      <c r="R399" s="95">
        <f t="shared" si="13"/>
        <v>5269.15</v>
      </c>
    </row>
    <row r="400" spans="1:23" ht="34.049999999999997" customHeight="1" x14ac:dyDescent="0.3">
      <c r="A400" s="96">
        <v>389</v>
      </c>
      <c r="B400" s="91" t="s">
        <v>1286</v>
      </c>
      <c r="C400" s="91" t="s">
        <v>1357</v>
      </c>
      <c r="D400" s="91" t="s">
        <v>1358</v>
      </c>
      <c r="E400" s="91">
        <v>1992</v>
      </c>
      <c r="F400" s="91" t="s">
        <v>19</v>
      </c>
      <c r="G400" s="91" t="s">
        <v>1417</v>
      </c>
      <c r="H400" s="91" t="s">
        <v>1452</v>
      </c>
      <c r="I400" s="91" t="s">
        <v>282</v>
      </c>
      <c r="J400" s="91">
        <v>6199</v>
      </c>
      <c r="K400" s="91">
        <f>2332+2332+2243</f>
        <v>6907</v>
      </c>
      <c r="L400" s="91">
        <v>0</v>
      </c>
      <c r="M400" s="91">
        <v>0</v>
      </c>
      <c r="N400" s="91">
        <v>0</v>
      </c>
      <c r="O400" s="91">
        <v>0</v>
      </c>
      <c r="P400" s="91">
        <v>0</v>
      </c>
      <c r="Q400" s="101">
        <f t="shared" si="12"/>
        <v>13106</v>
      </c>
      <c r="R400" s="95">
        <f t="shared" si="13"/>
        <v>11140.1</v>
      </c>
    </row>
    <row r="401" spans="1:18" ht="34.049999999999997" customHeight="1" x14ac:dyDescent="0.3">
      <c r="A401" s="90">
        <v>390</v>
      </c>
      <c r="B401" s="91" t="s">
        <v>1286</v>
      </c>
      <c r="C401" s="91" t="s">
        <v>1359</v>
      </c>
      <c r="D401" s="91" t="s">
        <v>1360</v>
      </c>
      <c r="E401" s="91">
        <v>1995</v>
      </c>
      <c r="F401" s="91" t="s">
        <v>19</v>
      </c>
      <c r="G401" s="91" t="s">
        <v>1418</v>
      </c>
      <c r="H401" s="91" t="s">
        <v>1418</v>
      </c>
      <c r="I401" s="91" t="s">
        <v>1480</v>
      </c>
      <c r="J401" s="91">
        <v>3582</v>
      </c>
      <c r="K401" s="91">
        <v>0</v>
      </c>
      <c r="L401" s="91">
        <v>0</v>
      </c>
      <c r="M401" s="91">
        <v>0</v>
      </c>
      <c r="N401" s="91">
        <v>0</v>
      </c>
      <c r="O401" s="91">
        <v>0</v>
      </c>
      <c r="P401" s="91">
        <v>0</v>
      </c>
      <c r="Q401" s="101">
        <f t="shared" si="12"/>
        <v>3582</v>
      </c>
      <c r="R401" s="95">
        <f t="shared" si="13"/>
        <v>3044.7</v>
      </c>
    </row>
    <row r="402" spans="1:18" ht="34.049999999999997" customHeight="1" x14ac:dyDescent="0.3">
      <c r="A402" s="90">
        <v>391</v>
      </c>
      <c r="B402" s="91" t="s">
        <v>1286</v>
      </c>
      <c r="C402" s="91" t="s">
        <v>1361</v>
      </c>
      <c r="D402" s="91" t="s">
        <v>1362</v>
      </c>
      <c r="E402" s="91">
        <v>1991</v>
      </c>
      <c r="F402" s="91" t="s">
        <v>19</v>
      </c>
      <c r="G402" s="91" t="s">
        <v>1419</v>
      </c>
      <c r="H402" s="91" t="s">
        <v>1419</v>
      </c>
      <c r="I402" s="91" t="s">
        <v>290</v>
      </c>
      <c r="J402" s="91">
        <v>6199</v>
      </c>
      <c r="K402" s="91">
        <v>0</v>
      </c>
      <c r="L402" s="91">
        <v>0</v>
      </c>
      <c r="M402" s="91">
        <v>0</v>
      </c>
      <c r="N402" s="91">
        <v>0</v>
      </c>
      <c r="O402" s="91">
        <v>0</v>
      </c>
      <c r="P402" s="91">
        <v>0</v>
      </c>
      <c r="Q402" s="101">
        <f t="shared" si="12"/>
        <v>6199</v>
      </c>
      <c r="R402" s="95">
        <f t="shared" si="13"/>
        <v>5269.15</v>
      </c>
    </row>
    <row r="403" spans="1:18" ht="34.049999999999997" customHeight="1" x14ac:dyDescent="0.3">
      <c r="A403" s="96">
        <v>392</v>
      </c>
      <c r="B403" s="91" t="s">
        <v>1286</v>
      </c>
      <c r="C403" s="91" t="s">
        <v>1363</v>
      </c>
      <c r="D403" s="91" t="s">
        <v>1364</v>
      </c>
      <c r="E403" s="91">
        <v>1977</v>
      </c>
      <c r="F403" s="91" t="s">
        <v>18</v>
      </c>
      <c r="G403" s="91" t="s">
        <v>1420</v>
      </c>
      <c r="H403" s="91" t="s">
        <v>1453</v>
      </c>
      <c r="I403" s="91" t="s">
        <v>1481</v>
      </c>
      <c r="J403" s="91">
        <v>3793</v>
      </c>
      <c r="K403" s="91">
        <v>0</v>
      </c>
      <c r="L403" s="91">
        <v>0</v>
      </c>
      <c r="M403" s="91">
        <v>0</v>
      </c>
      <c r="N403" s="91">
        <v>1681</v>
      </c>
      <c r="O403" s="91">
        <v>0</v>
      </c>
      <c r="P403" s="91">
        <f>240+56</f>
        <v>296</v>
      </c>
      <c r="Q403" s="101">
        <f t="shared" si="12"/>
        <v>5770</v>
      </c>
      <c r="R403" s="95">
        <f t="shared" si="13"/>
        <v>4904.5</v>
      </c>
    </row>
    <row r="404" spans="1:18" ht="34.049999999999997" customHeight="1" x14ac:dyDescent="0.3">
      <c r="A404" s="90">
        <v>393</v>
      </c>
      <c r="B404" s="91" t="s">
        <v>1286</v>
      </c>
      <c r="C404" s="91" t="s">
        <v>1365</v>
      </c>
      <c r="D404" s="91" t="s">
        <v>1366</v>
      </c>
      <c r="E404" s="91">
        <v>2016</v>
      </c>
      <c r="F404" s="91" t="s">
        <v>19</v>
      </c>
      <c r="G404" s="91" t="s">
        <v>1421</v>
      </c>
      <c r="H404" s="91" t="s">
        <v>1454</v>
      </c>
      <c r="I404" s="91" t="s">
        <v>296</v>
      </c>
      <c r="J404" s="91">
        <v>6199</v>
      </c>
      <c r="K404" s="91">
        <f>1346+6278+4484</f>
        <v>12108</v>
      </c>
      <c r="L404" s="91">
        <v>0</v>
      </c>
      <c r="M404" s="91">
        <v>0</v>
      </c>
      <c r="N404" s="91">
        <v>3148</v>
      </c>
      <c r="O404" s="91">
        <v>0</v>
      </c>
      <c r="P404" s="91">
        <v>0</v>
      </c>
      <c r="Q404" s="101">
        <f t="shared" si="12"/>
        <v>21455</v>
      </c>
      <c r="R404" s="95">
        <f t="shared" si="13"/>
        <v>18236.75</v>
      </c>
    </row>
    <row r="405" spans="1:18" ht="34.049999999999997" customHeight="1" x14ac:dyDescent="0.3">
      <c r="A405" s="90">
        <v>394</v>
      </c>
      <c r="B405" s="91" t="s">
        <v>1286</v>
      </c>
      <c r="C405" s="91" t="s">
        <v>1367</v>
      </c>
      <c r="D405" s="91" t="s">
        <v>1368</v>
      </c>
      <c r="E405" s="91">
        <v>1995</v>
      </c>
      <c r="F405" s="91" t="s">
        <v>19</v>
      </c>
      <c r="G405" s="91" t="s">
        <v>1422</v>
      </c>
      <c r="H405" s="91" t="s">
        <v>1422</v>
      </c>
      <c r="I405" s="91" t="s">
        <v>1482</v>
      </c>
      <c r="J405" s="91">
        <v>6199</v>
      </c>
      <c r="K405" s="91">
        <f>1346+6278+4484+2332+2332+2332+6995+2332+2332+2332+2332+2332</f>
        <v>37759</v>
      </c>
      <c r="L405" s="91">
        <v>0</v>
      </c>
      <c r="M405" s="91">
        <v>0</v>
      </c>
      <c r="N405" s="91">
        <v>1793</v>
      </c>
      <c r="O405" s="91">
        <v>0</v>
      </c>
      <c r="P405" s="91">
        <v>0</v>
      </c>
      <c r="Q405" s="101">
        <f t="shared" si="12"/>
        <v>45751</v>
      </c>
      <c r="R405" s="95">
        <f t="shared" si="13"/>
        <v>38888.35</v>
      </c>
    </row>
    <row r="406" spans="1:18" ht="34.049999999999997" customHeight="1" x14ac:dyDescent="0.3">
      <c r="A406" s="96">
        <v>395</v>
      </c>
      <c r="B406" s="91" t="s">
        <v>1286</v>
      </c>
      <c r="C406" s="91" t="s">
        <v>1369</v>
      </c>
      <c r="D406" s="91" t="s">
        <v>1370</v>
      </c>
      <c r="E406" s="91">
        <v>2023</v>
      </c>
      <c r="F406" s="91" t="s">
        <v>18</v>
      </c>
      <c r="G406" s="91" t="s">
        <v>1423</v>
      </c>
      <c r="H406" s="91" t="s">
        <v>1455</v>
      </c>
      <c r="I406" s="91" t="s">
        <v>838</v>
      </c>
      <c r="J406" s="91">
        <v>6199</v>
      </c>
      <c r="K406" s="91">
        <f>1346+6278+4484+4484+2332+2332+2332+2332+2332+2332+6995+6995+2332+6995</f>
        <v>53901</v>
      </c>
      <c r="L406" s="91">
        <v>0</v>
      </c>
      <c r="M406" s="91">
        <v>0</v>
      </c>
      <c r="N406" s="91">
        <v>3148</v>
      </c>
      <c r="O406" s="91">
        <v>0</v>
      </c>
      <c r="P406" s="91">
        <v>0</v>
      </c>
      <c r="Q406" s="101">
        <f t="shared" si="12"/>
        <v>63248</v>
      </c>
      <c r="R406" s="95">
        <f t="shared" si="13"/>
        <v>53760.800000000003</v>
      </c>
    </row>
    <row r="407" spans="1:18" ht="34.049999999999997" customHeight="1" x14ac:dyDescent="0.3">
      <c r="A407" s="90">
        <v>396</v>
      </c>
      <c r="B407" s="91" t="s">
        <v>1286</v>
      </c>
      <c r="C407" s="91" t="s">
        <v>1371</v>
      </c>
      <c r="D407" s="91" t="s">
        <v>1372</v>
      </c>
      <c r="E407" s="91">
        <v>1991</v>
      </c>
      <c r="F407" s="91" t="s">
        <v>18</v>
      </c>
      <c r="G407" s="91" t="s">
        <v>1424</v>
      </c>
      <c r="H407" s="91" t="s">
        <v>1424</v>
      </c>
      <c r="I407" s="91" t="s">
        <v>1483</v>
      </c>
      <c r="J407" s="91">
        <v>6199</v>
      </c>
      <c r="K407" s="91">
        <f>6278+4484+2332+2332+2332+2332+2332+2332+1346+1346+2332+2332+3228+4484+3000+3000+1166</f>
        <v>46988</v>
      </c>
      <c r="L407" s="91">
        <v>0</v>
      </c>
      <c r="M407" s="91">
        <v>0</v>
      </c>
      <c r="N407" s="91">
        <f>1793+3179</f>
        <v>4972</v>
      </c>
      <c r="O407" s="91">
        <v>0</v>
      </c>
      <c r="P407" s="91">
        <f>624+112</f>
        <v>736</v>
      </c>
      <c r="Q407" s="101">
        <f t="shared" si="12"/>
        <v>58895</v>
      </c>
      <c r="R407" s="95">
        <f t="shared" si="13"/>
        <v>50060.75</v>
      </c>
    </row>
    <row r="408" spans="1:18" ht="34.049999999999997" customHeight="1" x14ac:dyDescent="0.3">
      <c r="A408" s="90">
        <v>397</v>
      </c>
      <c r="B408" s="91" t="s">
        <v>1286</v>
      </c>
      <c r="C408" s="91" t="s">
        <v>1373</v>
      </c>
      <c r="D408" s="91" t="s">
        <v>1374</v>
      </c>
      <c r="E408" s="91">
        <v>1987</v>
      </c>
      <c r="F408" s="91" t="s">
        <v>19</v>
      </c>
      <c r="G408" s="91" t="s">
        <v>1425</v>
      </c>
      <c r="H408" s="91" t="s">
        <v>1425</v>
      </c>
      <c r="I408" s="91" t="s">
        <v>1484</v>
      </c>
      <c r="J408" s="91">
        <v>6199</v>
      </c>
      <c r="K408" s="91">
        <v>0</v>
      </c>
      <c r="L408" s="91">
        <v>0</v>
      </c>
      <c r="M408" s="91">
        <v>0</v>
      </c>
      <c r="N408" s="91">
        <v>0</v>
      </c>
      <c r="O408" s="91">
        <v>0</v>
      </c>
      <c r="P408" s="91">
        <v>0</v>
      </c>
      <c r="Q408" s="101">
        <f t="shared" si="12"/>
        <v>6199</v>
      </c>
      <c r="R408" s="95">
        <f t="shared" si="13"/>
        <v>5269.15</v>
      </c>
    </row>
    <row r="409" spans="1:18" ht="34.049999999999997" customHeight="1" x14ac:dyDescent="0.3">
      <c r="A409" s="96">
        <v>398</v>
      </c>
      <c r="B409" s="91" t="s">
        <v>1286</v>
      </c>
      <c r="C409" s="91" t="s">
        <v>1375</v>
      </c>
      <c r="D409" s="91" t="s">
        <v>1376</v>
      </c>
      <c r="E409" s="91">
        <v>2013</v>
      </c>
      <c r="F409" s="91" t="s">
        <v>18</v>
      </c>
      <c r="G409" s="91" t="s">
        <v>1426</v>
      </c>
      <c r="H409" s="91" t="s">
        <v>1456</v>
      </c>
      <c r="I409" s="91" t="s">
        <v>1069</v>
      </c>
      <c r="J409" s="91">
        <v>6199</v>
      </c>
      <c r="K409" s="91">
        <f>1346+6278+4484+6995+1166+2801+2332+2332+2332+6995+6995+2332+6995+2332+2332+2332</f>
        <v>60379</v>
      </c>
      <c r="L409" s="91">
        <v>0</v>
      </c>
      <c r="M409" s="91">
        <v>0</v>
      </c>
      <c r="N409" s="91">
        <v>1793</v>
      </c>
      <c r="O409" s="91">
        <v>0</v>
      </c>
      <c r="P409" s="91">
        <v>0</v>
      </c>
      <c r="Q409" s="101">
        <f t="shared" si="12"/>
        <v>68371</v>
      </c>
      <c r="R409" s="95">
        <f t="shared" si="13"/>
        <v>58115.35</v>
      </c>
    </row>
    <row r="410" spans="1:18" ht="34.049999999999997" customHeight="1" x14ac:dyDescent="0.3">
      <c r="A410" s="90">
        <v>399</v>
      </c>
      <c r="B410" s="91" t="s">
        <v>1286</v>
      </c>
      <c r="C410" s="91" t="s">
        <v>7213</v>
      </c>
      <c r="D410" s="91" t="s">
        <v>1377</v>
      </c>
      <c r="E410" s="91">
        <v>1995</v>
      </c>
      <c r="F410" s="91" t="s">
        <v>19</v>
      </c>
      <c r="G410" s="91" t="s">
        <v>1427</v>
      </c>
      <c r="H410" s="91" t="s">
        <v>1427</v>
      </c>
      <c r="I410" s="91" t="s">
        <v>1485</v>
      </c>
      <c r="J410" s="91">
        <v>6199</v>
      </c>
      <c r="K410" s="91">
        <f>2332+2332+2243</f>
        <v>6907</v>
      </c>
      <c r="L410" s="91">
        <v>0</v>
      </c>
      <c r="M410" s="91">
        <v>0</v>
      </c>
      <c r="N410" s="91">
        <v>0</v>
      </c>
      <c r="O410" s="91">
        <v>0</v>
      </c>
      <c r="P410" s="91">
        <v>0</v>
      </c>
      <c r="Q410" s="101">
        <f t="shared" si="12"/>
        <v>13106</v>
      </c>
      <c r="R410" s="95">
        <f t="shared" si="13"/>
        <v>11140.1</v>
      </c>
    </row>
    <row r="411" spans="1:18" ht="34.049999999999997" customHeight="1" x14ac:dyDescent="0.3">
      <c r="A411" s="90">
        <v>400</v>
      </c>
      <c r="B411" s="91" t="s">
        <v>1286</v>
      </c>
      <c r="C411" s="91" t="s">
        <v>7214</v>
      </c>
      <c r="D411" s="91" t="s">
        <v>1378</v>
      </c>
      <c r="E411" s="91">
        <v>2017</v>
      </c>
      <c r="F411" s="91" t="s">
        <v>19</v>
      </c>
      <c r="G411" s="91" t="s">
        <v>1428</v>
      </c>
      <c r="H411" s="91" t="s">
        <v>1427</v>
      </c>
      <c r="I411" s="91" t="s">
        <v>1485</v>
      </c>
      <c r="J411" s="91">
        <v>6199</v>
      </c>
      <c r="K411" s="91">
        <v>1166</v>
      </c>
      <c r="L411" s="91">
        <v>0</v>
      </c>
      <c r="M411" s="91">
        <v>0</v>
      </c>
      <c r="N411" s="91">
        <v>0</v>
      </c>
      <c r="O411" s="91">
        <v>0</v>
      </c>
      <c r="P411" s="91">
        <v>0</v>
      </c>
      <c r="Q411" s="101">
        <f t="shared" si="12"/>
        <v>7365</v>
      </c>
      <c r="R411" s="95">
        <f t="shared" si="13"/>
        <v>6260.25</v>
      </c>
    </row>
    <row r="412" spans="1:18" ht="34.049999999999997" customHeight="1" x14ac:dyDescent="0.3">
      <c r="A412" s="96">
        <v>401</v>
      </c>
      <c r="B412" s="91" t="s">
        <v>1286</v>
      </c>
      <c r="C412" s="91" t="s">
        <v>7215</v>
      </c>
      <c r="D412" s="91" t="s">
        <v>1379</v>
      </c>
      <c r="E412" s="91">
        <v>2021</v>
      </c>
      <c r="F412" s="91" t="s">
        <v>18</v>
      </c>
      <c r="G412" s="91" t="s">
        <v>1429</v>
      </c>
      <c r="H412" s="91" t="s">
        <v>1427</v>
      </c>
      <c r="I412" s="91" t="s">
        <v>1485</v>
      </c>
      <c r="J412" s="91">
        <v>6199</v>
      </c>
      <c r="K412" s="91">
        <f>1346+6278+4484</f>
        <v>12108</v>
      </c>
      <c r="L412" s="91">
        <v>0</v>
      </c>
      <c r="M412" s="91">
        <v>0</v>
      </c>
      <c r="N412" s="91">
        <v>3148</v>
      </c>
      <c r="O412" s="91">
        <v>0</v>
      </c>
      <c r="P412" s="91">
        <v>0</v>
      </c>
      <c r="Q412" s="101">
        <f t="shared" si="12"/>
        <v>21455</v>
      </c>
      <c r="R412" s="95">
        <f t="shared" si="13"/>
        <v>18236.75</v>
      </c>
    </row>
    <row r="413" spans="1:18" ht="34.049999999999997" customHeight="1" x14ac:dyDescent="0.3">
      <c r="A413" s="90">
        <v>402</v>
      </c>
      <c r="B413" s="91" t="s">
        <v>1286</v>
      </c>
      <c r="C413" s="91" t="s">
        <v>7216</v>
      </c>
      <c r="D413" s="91" t="s">
        <v>1380</v>
      </c>
      <c r="E413" s="91">
        <v>1965</v>
      </c>
      <c r="F413" s="91" t="s">
        <v>19</v>
      </c>
      <c r="G413" s="91" t="s">
        <v>1430</v>
      </c>
      <c r="H413" s="91" t="s">
        <v>1457</v>
      </c>
      <c r="I413" s="91" t="s">
        <v>1486</v>
      </c>
      <c r="J413" s="91">
        <v>6199</v>
      </c>
      <c r="K413" s="91">
        <f>1346+6278+4484+6995+6995+3228+2243+2332+2332+2332+2332+2332+2332+2332+2332+3000+3000+1166+2801+6995+6995+2332+6995+4484+4484+2332+4484+4484</f>
        <v>103777</v>
      </c>
      <c r="L413" s="91">
        <v>20807</v>
      </c>
      <c r="M413" s="91">
        <v>0</v>
      </c>
      <c r="N413" s="91">
        <v>1793</v>
      </c>
      <c r="O413" s="91">
        <v>0</v>
      </c>
      <c r="P413" s="91">
        <v>0</v>
      </c>
      <c r="Q413" s="101">
        <f t="shared" si="12"/>
        <v>132576</v>
      </c>
      <c r="R413" s="95">
        <f t="shared" si="13"/>
        <v>112689.60000000001</v>
      </c>
    </row>
    <row r="414" spans="1:18" ht="34.049999999999997" customHeight="1" x14ac:dyDescent="0.3">
      <c r="A414" s="90">
        <v>403</v>
      </c>
      <c r="B414" s="91" t="s">
        <v>1286</v>
      </c>
      <c r="C414" s="91" t="s">
        <v>7217</v>
      </c>
      <c r="D414" s="91" t="s">
        <v>1381</v>
      </c>
      <c r="E414" s="91">
        <v>2021</v>
      </c>
      <c r="F414" s="91" t="s">
        <v>18</v>
      </c>
      <c r="G414" s="91" t="s">
        <v>1431</v>
      </c>
      <c r="H414" s="91" t="s">
        <v>1458</v>
      </c>
      <c r="I414" s="91" t="s">
        <v>24</v>
      </c>
      <c r="J414" s="91">
        <v>6199</v>
      </c>
      <c r="K414" s="91">
        <v>0</v>
      </c>
      <c r="L414" s="91">
        <v>0</v>
      </c>
      <c r="M414" s="91">
        <v>0</v>
      </c>
      <c r="N414" s="91">
        <v>0</v>
      </c>
      <c r="O414" s="91">
        <v>0</v>
      </c>
      <c r="P414" s="91">
        <v>0</v>
      </c>
      <c r="Q414" s="101">
        <f t="shared" si="12"/>
        <v>6199</v>
      </c>
      <c r="R414" s="95">
        <f t="shared" si="13"/>
        <v>5269.15</v>
      </c>
    </row>
    <row r="415" spans="1:18" ht="34.049999999999997" customHeight="1" x14ac:dyDescent="0.3">
      <c r="A415" s="96">
        <v>404</v>
      </c>
      <c r="B415" s="91" t="s">
        <v>1286</v>
      </c>
      <c r="C415" s="91" t="s">
        <v>7218</v>
      </c>
      <c r="D415" s="91" t="s">
        <v>1382</v>
      </c>
      <c r="E415" s="91">
        <v>2018</v>
      </c>
      <c r="F415" s="91" t="s">
        <v>18</v>
      </c>
      <c r="G415" s="91" t="s">
        <v>1432</v>
      </c>
      <c r="H415" s="91" t="s">
        <v>1459</v>
      </c>
      <c r="I415" s="91" t="s">
        <v>1487</v>
      </c>
      <c r="J415" s="91">
        <v>6199</v>
      </c>
      <c r="K415" s="91">
        <v>0</v>
      </c>
      <c r="L415" s="91">
        <v>0</v>
      </c>
      <c r="M415" s="91">
        <v>0</v>
      </c>
      <c r="N415" s="91">
        <v>0</v>
      </c>
      <c r="O415" s="91">
        <v>0</v>
      </c>
      <c r="P415" s="91">
        <v>0</v>
      </c>
      <c r="Q415" s="101">
        <f t="shared" si="12"/>
        <v>6199</v>
      </c>
      <c r="R415" s="95">
        <f t="shared" si="13"/>
        <v>5269.15</v>
      </c>
    </row>
    <row r="416" spans="1:18" ht="34.049999999999997" customHeight="1" x14ac:dyDescent="0.3">
      <c r="A416" s="90">
        <v>405</v>
      </c>
      <c r="B416" s="91" t="s">
        <v>1286</v>
      </c>
      <c r="C416" s="91" t="s">
        <v>2654</v>
      </c>
      <c r="D416" s="93" t="s">
        <v>1158</v>
      </c>
      <c r="E416" s="91">
        <v>2020</v>
      </c>
      <c r="F416" s="91" t="s">
        <v>18</v>
      </c>
      <c r="G416" s="91" t="s">
        <v>1212</v>
      </c>
      <c r="H416" s="91" t="s">
        <v>1249</v>
      </c>
      <c r="I416" s="91" t="s">
        <v>1281</v>
      </c>
      <c r="J416" s="91">
        <v>2900</v>
      </c>
      <c r="K416" s="91">
        <v>0</v>
      </c>
      <c r="L416" s="91">
        <v>0</v>
      </c>
      <c r="M416" s="91">
        <v>17688</v>
      </c>
      <c r="N416" s="91">
        <v>2088</v>
      </c>
      <c r="O416" s="91">
        <v>0</v>
      </c>
      <c r="P416" s="91">
        <f>1080+168</f>
        <v>1248</v>
      </c>
      <c r="Q416" s="101">
        <f t="shared" si="12"/>
        <v>23924</v>
      </c>
      <c r="R416" s="95">
        <f t="shared" si="13"/>
        <v>20335.400000000001</v>
      </c>
    </row>
    <row r="417" spans="1:23" ht="34.049999999999997" customHeight="1" x14ac:dyDescent="0.3">
      <c r="A417" s="90">
        <v>406</v>
      </c>
      <c r="B417" s="91" t="s">
        <v>1286</v>
      </c>
      <c r="C417" s="91" t="s">
        <v>7219</v>
      </c>
      <c r="D417" s="93" t="s">
        <v>2647</v>
      </c>
      <c r="E417" s="91">
        <v>1979</v>
      </c>
      <c r="F417" s="91" t="s">
        <v>18</v>
      </c>
      <c r="G417" s="91" t="s">
        <v>2648</v>
      </c>
      <c r="H417" s="91" t="s">
        <v>2649</v>
      </c>
      <c r="I417" s="91" t="s">
        <v>34</v>
      </c>
      <c r="J417" s="91">
        <v>2900</v>
      </c>
      <c r="K417" s="91">
        <v>0</v>
      </c>
      <c r="L417" s="91">
        <v>0</v>
      </c>
      <c r="M417" s="91">
        <v>17688</v>
      </c>
      <c r="N417" s="91">
        <f>2088+1178</f>
        <v>3266</v>
      </c>
      <c r="O417" s="91">
        <v>0</v>
      </c>
      <c r="P417" s="91">
        <f>624+112+720+144+720</f>
        <v>2320</v>
      </c>
      <c r="Q417" s="101">
        <f t="shared" si="12"/>
        <v>26174</v>
      </c>
      <c r="R417" s="95">
        <f t="shared" si="13"/>
        <v>22247.9</v>
      </c>
    </row>
    <row r="418" spans="1:23" ht="34.049999999999997" customHeight="1" x14ac:dyDescent="0.3">
      <c r="A418" s="96">
        <v>407</v>
      </c>
      <c r="B418" s="91" t="s">
        <v>1286</v>
      </c>
      <c r="C418" s="91" t="s">
        <v>7220</v>
      </c>
      <c r="D418" s="93" t="s">
        <v>1143</v>
      </c>
      <c r="E418" s="91">
        <v>2019</v>
      </c>
      <c r="F418" s="91" t="s">
        <v>18</v>
      </c>
      <c r="G418" s="91" t="s">
        <v>1198</v>
      </c>
      <c r="H418" s="91" t="s">
        <v>1238</v>
      </c>
      <c r="I418" s="91" t="s">
        <v>1460</v>
      </c>
      <c r="J418" s="91">
        <v>2900</v>
      </c>
      <c r="K418" s="91">
        <v>0</v>
      </c>
      <c r="L418" s="91">
        <v>0</v>
      </c>
      <c r="M418" s="91">
        <v>17688</v>
      </c>
      <c r="N418" s="91">
        <v>2088</v>
      </c>
      <c r="O418" s="91">
        <v>0</v>
      </c>
      <c r="P418" s="91">
        <f>1080+168</f>
        <v>1248</v>
      </c>
      <c r="Q418" s="101">
        <f t="shared" si="12"/>
        <v>23924</v>
      </c>
      <c r="R418" s="95">
        <f t="shared" si="13"/>
        <v>20335.400000000001</v>
      </c>
    </row>
    <row r="419" spans="1:23" ht="34.049999999999997" customHeight="1" x14ac:dyDescent="0.3">
      <c r="A419" s="90">
        <v>408</v>
      </c>
      <c r="B419" s="91" t="s">
        <v>1286</v>
      </c>
      <c r="C419" s="91" t="s">
        <v>7221</v>
      </c>
      <c r="D419" s="93" t="s">
        <v>404</v>
      </c>
      <c r="E419" s="91">
        <v>2022</v>
      </c>
      <c r="F419" s="91" t="s">
        <v>18</v>
      </c>
      <c r="G419" s="91" t="s">
        <v>481</v>
      </c>
      <c r="H419" s="91" t="s">
        <v>523</v>
      </c>
      <c r="I419" s="91" t="s">
        <v>268</v>
      </c>
      <c r="J419" s="91">
        <v>2900</v>
      </c>
      <c r="K419" s="91">
        <v>0</v>
      </c>
      <c r="L419" s="91">
        <v>0</v>
      </c>
      <c r="M419" s="91">
        <v>0</v>
      </c>
      <c r="N419" s="91">
        <v>2088</v>
      </c>
      <c r="O419" s="91">
        <v>0</v>
      </c>
      <c r="P419" s="91">
        <f>720+112</f>
        <v>832</v>
      </c>
      <c r="Q419" s="101">
        <f t="shared" si="12"/>
        <v>5820</v>
      </c>
      <c r="R419" s="95">
        <f t="shared" si="13"/>
        <v>4947</v>
      </c>
    </row>
    <row r="420" spans="1:23" ht="34.049999999999997" customHeight="1" x14ac:dyDescent="0.3">
      <c r="A420" s="90">
        <v>409</v>
      </c>
      <c r="B420" s="91" t="s">
        <v>1286</v>
      </c>
      <c r="C420" s="91" t="s">
        <v>7222</v>
      </c>
      <c r="D420" s="93" t="s">
        <v>2651</v>
      </c>
      <c r="E420" s="91">
        <v>2012</v>
      </c>
      <c r="F420" s="91" t="s">
        <v>19</v>
      </c>
      <c r="G420" s="91" t="s">
        <v>2652</v>
      </c>
      <c r="H420" s="91" t="s">
        <v>2653</v>
      </c>
      <c r="I420" s="91" t="s">
        <v>1885</v>
      </c>
      <c r="J420" s="91">
        <v>2900</v>
      </c>
      <c r="K420" s="91">
        <f>2332+2332+2332</f>
        <v>6996</v>
      </c>
      <c r="L420" s="91">
        <v>0</v>
      </c>
      <c r="M420" s="91">
        <v>17688</v>
      </c>
      <c r="N420" s="91">
        <f>1178+3148</f>
        <v>4326</v>
      </c>
      <c r="O420" s="91">
        <v>0</v>
      </c>
      <c r="P420" s="91">
        <f>1440+1320</f>
        <v>2760</v>
      </c>
      <c r="Q420" s="101">
        <f t="shared" si="12"/>
        <v>34670</v>
      </c>
      <c r="R420" s="95">
        <f t="shared" si="13"/>
        <v>29469.5</v>
      </c>
    </row>
    <row r="421" spans="1:23" ht="34.049999999999997" customHeight="1" x14ac:dyDescent="0.3">
      <c r="A421" s="96">
        <v>410</v>
      </c>
      <c r="B421" s="91" t="s">
        <v>1286</v>
      </c>
      <c r="C421" s="91" t="s">
        <v>7223</v>
      </c>
      <c r="D421" s="93" t="s">
        <v>2641</v>
      </c>
      <c r="E421" s="91">
        <v>2023</v>
      </c>
      <c r="F421" s="91" t="s">
        <v>19</v>
      </c>
      <c r="G421" s="91" t="s">
        <v>2642</v>
      </c>
      <c r="H421" s="91" t="s">
        <v>2643</v>
      </c>
      <c r="I421" s="91" t="s">
        <v>1460</v>
      </c>
      <c r="J421" s="91">
        <v>2900</v>
      </c>
      <c r="K421" s="91">
        <v>0</v>
      </c>
      <c r="L421" s="91">
        <v>0</v>
      </c>
      <c r="M421" s="91">
        <v>0</v>
      </c>
      <c r="N421" s="91">
        <v>2088</v>
      </c>
      <c r="O421" s="91">
        <v>0</v>
      </c>
      <c r="P421" s="91">
        <f>720+112</f>
        <v>832</v>
      </c>
      <c r="Q421" s="101">
        <f t="shared" si="12"/>
        <v>5820</v>
      </c>
      <c r="R421" s="95">
        <f t="shared" si="13"/>
        <v>4947</v>
      </c>
    </row>
    <row r="422" spans="1:23" ht="34.049999999999997" customHeight="1" x14ac:dyDescent="0.3">
      <c r="A422" s="90">
        <v>411</v>
      </c>
      <c r="B422" s="98" t="s">
        <v>1286</v>
      </c>
      <c r="C422" s="98" t="s">
        <v>7224</v>
      </c>
      <c r="D422" s="98" t="s">
        <v>406</v>
      </c>
      <c r="E422" s="98">
        <v>2018</v>
      </c>
      <c r="F422" s="98" t="s">
        <v>18</v>
      </c>
      <c r="G422" s="98" t="s">
        <v>482</v>
      </c>
      <c r="H422" s="98" t="s">
        <v>523</v>
      </c>
      <c r="I422" s="98" t="s">
        <v>268</v>
      </c>
      <c r="J422" s="98">
        <v>0</v>
      </c>
      <c r="K422" s="98">
        <v>0</v>
      </c>
      <c r="L422" s="98">
        <v>0</v>
      </c>
      <c r="M422" s="98">
        <v>17688</v>
      </c>
      <c r="N422" s="98">
        <v>1681</v>
      </c>
      <c r="O422" s="98">
        <v>0</v>
      </c>
      <c r="P422" s="98">
        <f>1200+720+112</f>
        <v>2032</v>
      </c>
      <c r="Q422" s="101">
        <f t="shared" si="12"/>
        <v>21401</v>
      </c>
      <c r="R422" s="95">
        <f t="shared" si="13"/>
        <v>18190.849999999999</v>
      </c>
      <c r="S422" s="41"/>
      <c r="T422" s="41"/>
      <c r="U422" s="41"/>
      <c r="V422" s="41"/>
      <c r="W422" s="41"/>
    </row>
    <row r="423" spans="1:23" ht="34.049999999999997" customHeight="1" x14ac:dyDescent="0.3">
      <c r="A423" s="90">
        <v>412</v>
      </c>
      <c r="B423" s="91" t="s">
        <v>1488</v>
      </c>
      <c r="C423" s="91" t="s">
        <v>1489</v>
      </c>
      <c r="D423" s="91" t="s">
        <v>1490</v>
      </c>
      <c r="E423" s="91">
        <v>1986</v>
      </c>
      <c r="F423" s="91" t="s">
        <v>19</v>
      </c>
      <c r="G423" s="91" t="s">
        <v>1601</v>
      </c>
      <c r="H423" s="91" t="s">
        <v>1601</v>
      </c>
      <c r="I423" s="91" t="s">
        <v>1684</v>
      </c>
      <c r="J423" s="91">
        <v>6199</v>
      </c>
      <c r="K423" s="91">
        <f>13452+6278+2332+4484+4484+2332+2332+2332</f>
        <v>38026</v>
      </c>
      <c r="L423" s="91">
        <v>0</v>
      </c>
      <c r="M423" s="91">
        <v>0</v>
      </c>
      <c r="N423" s="91">
        <v>1793</v>
      </c>
      <c r="O423" s="91">
        <v>0</v>
      </c>
      <c r="P423" s="91">
        <v>0</v>
      </c>
      <c r="Q423" s="101">
        <f t="shared" si="12"/>
        <v>46018</v>
      </c>
      <c r="R423" s="95">
        <f t="shared" si="13"/>
        <v>39115.300000000003</v>
      </c>
    </row>
    <row r="424" spans="1:23" ht="34.049999999999997" customHeight="1" x14ac:dyDescent="0.3">
      <c r="A424" s="96">
        <v>413</v>
      </c>
      <c r="B424" s="91" t="s">
        <v>1488</v>
      </c>
      <c r="C424" s="91" t="s">
        <v>1491</v>
      </c>
      <c r="D424" s="91" t="s">
        <v>1492</v>
      </c>
      <c r="E424" s="91">
        <v>1980</v>
      </c>
      <c r="F424" s="91" t="s">
        <v>18</v>
      </c>
      <c r="G424" s="91" t="s">
        <v>1602</v>
      </c>
      <c r="H424" s="91" t="s">
        <v>1602</v>
      </c>
      <c r="I424" s="91" t="s">
        <v>1684</v>
      </c>
      <c r="J424" s="91">
        <v>6199</v>
      </c>
      <c r="K424" s="91">
        <f>6278+13452+2332+4484+4484+2332</f>
        <v>33362</v>
      </c>
      <c r="L424" s="91">
        <v>0</v>
      </c>
      <c r="M424" s="91">
        <v>0</v>
      </c>
      <c r="N424" s="91">
        <v>1793</v>
      </c>
      <c r="O424" s="91">
        <v>0</v>
      </c>
      <c r="P424" s="91">
        <v>0</v>
      </c>
      <c r="Q424" s="101">
        <f t="shared" si="12"/>
        <v>41354</v>
      </c>
      <c r="R424" s="95">
        <f t="shared" si="13"/>
        <v>35150.9</v>
      </c>
    </row>
    <row r="425" spans="1:23" ht="34.049999999999997" customHeight="1" x14ac:dyDescent="0.3">
      <c r="A425" s="90">
        <v>414</v>
      </c>
      <c r="B425" s="91" t="s">
        <v>1488</v>
      </c>
      <c r="C425" s="91" t="s">
        <v>1493</v>
      </c>
      <c r="D425" s="91" t="s">
        <v>1494</v>
      </c>
      <c r="E425" s="91">
        <v>1970</v>
      </c>
      <c r="F425" s="91" t="s">
        <v>19</v>
      </c>
      <c r="G425" s="91" t="s">
        <v>1603</v>
      </c>
      <c r="H425" s="91" t="s">
        <v>1603</v>
      </c>
      <c r="I425" s="91" t="s">
        <v>539</v>
      </c>
      <c r="J425" s="91">
        <v>6199</v>
      </c>
      <c r="K425" s="91">
        <v>0</v>
      </c>
      <c r="L425" s="91">
        <v>0</v>
      </c>
      <c r="M425" s="91">
        <v>0</v>
      </c>
      <c r="N425" s="91">
        <v>0</v>
      </c>
      <c r="O425" s="91">
        <v>0</v>
      </c>
      <c r="P425" s="91">
        <v>0</v>
      </c>
      <c r="Q425" s="101">
        <f t="shared" si="12"/>
        <v>6199</v>
      </c>
      <c r="R425" s="95">
        <f t="shared" si="13"/>
        <v>5269.15</v>
      </c>
    </row>
    <row r="426" spans="1:23" ht="34.049999999999997" customHeight="1" x14ac:dyDescent="0.3">
      <c r="A426" s="90">
        <v>415</v>
      </c>
      <c r="B426" s="98" t="s">
        <v>1488</v>
      </c>
      <c r="C426" s="98" t="s">
        <v>1495</v>
      </c>
      <c r="D426" s="98" t="s">
        <v>1496</v>
      </c>
      <c r="E426" s="98">
        <v>2020</v>
      </c>
      <c r="F426" s="98" t="s">
        <v>19</v>
      </c>
      <c r="G426" s="98" t="s">
        <v>1604</v>
      </c>
      <c r="H426" s="98" t="s">
        <v>1655</v>
      </c>
      <c r="I426" s="98" t="s">
        <v>840</v>
      </c>
      <c r="J426" s="98">
        <v>6199</v>
      </c>
      <c r="K426" s="98">
        <f>6278+4484+2332+1346+2332+2332+2332+2332+2332+4484+6995+6995+2332+6995+1166+2801+4484</f>
        <v>62352</v>
      </c>
      <c r="L426" s="98">
        <v>0</v>
      </c>
      <c r="M426" s="98">
        <v>0</v>
      </c>
      <c r="N426" s="98">
        <f>3148+1178+4053+2088</f>
        <v>10467</v>
      </c>
      <c r="O426" s="98">
        <v>0</v>
      </c>
      <c r="P426" s="98">
        <f>720+360+360+1080+1200+56+660</f>
        <v>4436</v>
      </c>
      <c r="Q426" s="101">
        <f t="shared" si="12"/>
        <v>83454</v>
      </c>
      <c r="R426" s="95">
        <f t="shared" si="13"/>
        <v>70935.899999999994</v>
      </c>
      <c r="S426" s="41"/>
      <c r="T426" s="41"/>
      <c r="U426" s="41"/>
      <c r="V426" s="41"/>
      <c r="W426" s="41"/>
    </row>
    <row r="427" spans="1:23" ht="34.049999999999997" customHeight="1" x14ac:dyDescent="0.3">
      <c r="A427" s="96">
        <v>416</v>
      </c>
      <c r="B427" s="98" t="s">
        <v>1488</v>
      </c>
      <c r="C427" s="98" t="s">
        <v>1495</v>
      </c>
      <c r="D427" s="98" t="s">
        <v>1496</v>
      </c>
      <c r="E427" s="98">
        <v>2020</v>
      </c>
      <c r="F427" s="98" t="s">
        <v>19</v>
      </c>
      <c r="G427" s="98" t="s">
        <v>1604</v>
      </c>
      <c r="H427" s="98" t="s">
        <v>1655</v>
      </c>
      <c r="I427" s="98" t="s">
        <v>840</v>
      </c>
      <c r="J427" s="98">
        <v>0</v>
      </c>
      <c r="K427" s="98">
        <v>0</v>
      </c>
      <c r="L427" s="98">
        <v>0</v>
      </c>
      <c r="M427" s="98">
        <v>17688</v>
      </c>
      <c r="N427" s="98">
        <v>2088</v>
      </c>
      <c r="O427" s="98">
        <v>0</v>
      </c>
      <c r="P427" s="98">
        <f>360+56</f>
        <v>416</v>
      </c>
      <c r="Q427" s="101">
        <f t="shared" si="12"/>
        <v>20192</v>
      </c>
      <c r="R427" s="95">
        <f t="shared" si="13"/>
        <v>17163.2</v>
      </c>
      <c r="S427" s="41"/>
      <c r="T427" s="41"/>
      <c r="U427" s="41"/>
      <c r="V427" s="41"/>
      <c r="W427" s="41"/>
    </row>
    <row r="428" spans="1:23" ht="34.049999999999997" customHeight="1" x14ac:dyDescent="0.3">
      <c r="A428" s="90">
        <v>417</v>
      </c>
      <c r="B428" s="91" t="s">
        <v>1488</v>
      </c>
      <c r="C428" s="91" t="s">
        <v>1497</v>
      </c>
      <c r="D428" s="91" t="s">
        <v>1498</v>
      </c>
      <c r="E428" s="91">
        <v>1981</v>
      </c>
      <c r="F428" s="91" t="s">
        <v>19</v>
      </c>
      <c r="G428" s="91" t="s">
        <v>1605</v>
      </c>
      <c r="H428" s="91" t="s">
        <v>1605</v>
      </c>
      <c r="I428" s="91" t="s">
        <v>1685</v>
      </c>
      <c r="J428" s="91">
        <v>6199</v>
      </c>
      <c r="K428" s="91">
        <v>0</v>
      </c>
      <c r="L428" s="91">
        <v>13298</v>
      </c>
      <c r="M428" s="91">
        <v>0</v>
      </c>
      <c r="N428" s="91">
        <v>0</v>
      </c>
      <c r="O428" s="91">
        <v>0</v>
      </c>
      <c r="P428" s="91">
        <v>0</v>
      </c>
      <c r="Q428" s="101">
        <f t="shared" si="12"/>
        <v>19497</v>
      </c>
      <c r="R428" s="95">
        <f t="shared" si="13"/>
        <v>16572.45</v>
      </c>
    </row>
    <row r="429" spans="1:23" ht="34.049999999999997" customHeight="1" x14ac:dyDescent="0.3">
      <c r="A429" s="90">
        <v>418</v>
      </c>
      <c r="B429" s="91" t="s">
        <v>1488</v>
      </c>
      <c r="C429" s="91" t="s">
        <v>1499</v>
      </c>
      <c r="D429" s="91" t="s">
        <v>1500</v>
      </c>
      <c r="E429" s="91">
        <v>1986</v>
      </c>
      <c r="F429" s="91" t="s">
        <v>18</v>
      </c>
      <c r="G429" s="91" t="s">
        <v>1606</v>
      </c>
      <c r="H429" s="91" t="s">
        <v>1606</v>
      </c>
      <c r="I429" s="91" t="s">
        <v>1464</v>
      </c>
      <c r="J429" s="91">
        <v>6199</v>
      </c>
      <c r="K429" s="91">
        <f>6278+4484+1346+2332+4484+6995+2332+2332+2332+2332+3000+3000+3228+1166+6995+6995+2332+6995</f>
        <v>68958</v>
      </c>
      <c r="L429" s="91">
        <v>0</v>
      </c>
      <c r="M429" s="91">
        <v>0</v>
      </c>
      <c r="N429" s="91">
        <f>1793+3179</f>
        <v>4972</v>
      </c>
      <c r="O429" s="91">
        <v>0</v>
      </c>
      <c r="P429" s="91">
        <f>1440+1320+720</f>
        <v>3480</v>
      </c>
      <c r="Q429" s="101">
        <f t="shared" si="12"/>
        <v>83609</v>
      </c>
      <c r="R429" s="95">
        <f t="shared" si="13"/>
        <v>71067.649999999994</v>
      </c>
    </row>
    <row r="430" spans="1:23" ht="34.049999999999997" customHeight="1" x14ac:dyDescent="0.3">
      <c r="A430" s="96">
        <v>419</v>
      </c>
      <c r="B430" s="91" t="s">
        <v>1488</v>
      </c>
      <c r="C430" s="91" t="s">
        <v>1501</v>
      </c>
      <c r="D430" s="91" t="s">
        <v>1502</v>
      </c>
      <c r="E430" s="91">
        <v>2018</v>
      </c>
      <c r="F430" s="91" t="s">
        <v>19</v>
      </c>
      <c r="G430" s="91" t="s">
        <v>1607</v>
      </c>
      <c r="H430" s="91" t="s">
        <v>1656</v>
      </c>
      <c r="I430" s="91" t="s">
        <v>1686</v>
      </c>
      <c r="J430" s="91">
        <v>6199</v>
      </c>
      <c r="K430" s="91">
        <f>6278+4484+1346+1166+2332+4484+2332+2332+2332+2332+4484+2332+2332</f>
        <v>38566</v>
      </c>
      <c r="L430" s="91">
        <v>0</v>
      </c>
      <c r="M430" s="91">
        <v>0</v>
      </c>
      <c r="N430" s="91">
        <v>3148</v>
      </c>
      <c r="O430" s="91">
        <v>0</v>
      </c>
      <c r="P430" s="91">
        <v>0</v>
      </c>
      <c r="Q430" s="101">
        <f t="shared" si="12"/>
        <v>47913</v>
      </c>
      <c r="R430" s="95">
        <f t="shared" si="13"/>
        <v>40726.050000000003</v>
      </c>
    </row>
    <row r="431" spans="1:23" ht="34.049999999999997" customHeight="1" x14ac:dyDescent="0.3">
      <c r="A431" s="90">
        <v>420</v>
      </c>
      <c r="B431" s="91" t="s">
        <v>1488</v>
      </c>
      <c r="C431" s="91" t="s">
        <v>1503</v>
      </c>
      <c r="D431" s="91" t="s">
        <v>1504</v>
      </c>
      <c r="E431" s="91">
        <v>2007</v>
      </c>
      <c r="F431" s="91" t="s">
        <v>18</v>
      </c>
      <c r="G431" s="91" t="s">
        <v>1608</v>
      </c>
      <c r="H431" s="91" t="s">
        <v>1657</v>
      </c>
      <c r="I431" s="91" t="s">
        <v>1687</v>
      </c>
      <c r="J431" s="91">
        <v>6199</v>
      </c>
      <c r="K431" s="91">
        <v>0</v>
      </c>
      <c r="L431" s="91">
        <v>0</v>
      </c>
      <c r="M431" s="91">
        <v>0</v>
      </c>
      <c r="N431" s="91">
        <f>34016+27380</f>
        <v>61396</v>
      </c>
      <c r="O431" s="91">
        <v>0</v>
      </c>
      <c r="P431" s="91">
        <v>0</v>
      </c>
      <c r="Q431" s="101">
        <f t="shared" si="12"/>
        <v>67595</v>
      </c>
      <c r="R431" s="95">
        <f t="shared" si="13"/>
        <v>57455.75</v>
      </c>
    </row>
    <row r="432" spans="1:23" ht="34.049999999999997" customHeight="1" x14ac:dyDescent="0.3">
      <c r="A432" s="90">
        <v>421</v>
      </c>
      <c r="B432" s="91" t="s">
        <v>1488</v>
      </c>
      <c r="C432" s="91" t="s">
        <v>1505</v>
      </c>
      <c r="D432" s="91" t="s">
        <v>1506</v>
      </c>
      <c r="E432" s="91">
        <v>2020</v>
      </c>
      <c r="F432" s="91" t="s">
        <v>19</v>
      </c>
      <c r="G432" s="91" t="s">
        <v>1609</v>
      </c>
      <c r="H432" s="91" t="s">
        <v>1658</v>
      </c>
      <c r="I432" s="91" t="s">
        <v>1688</v>
      </c>
      <c r="J432" s="91">
        <v>6199</v>
      </c>
      <c r="K432" s="91">
        <f>6278+4484+1346+4484+2332+2332+2332+2332+2332</f>
        <v>28252</v>
      </c>
      <c r="L432" s="91">
        <v>0</v>
      </c>
      <c r="M432" s="91">
        <v>0</v>
      </c>
      <c r="N432" s="91">
        <v>3148</v>
      </c>
      <c r="O432" s="91">
        <v>0</v>
      </c>
      <c r="P432" s="91">
        <v>0</v>
      </c>
      <c r="Q432" s="101">
        <f t="shared" si="12"/>
        <v>37599</v>
      </c>
      <c r="R432" s="95">
        <f t="shared" si="13"/>
        <v>31959.15</v>
      </c>
    </row>
    <row r="433" spans="1:18" ht="34.049999999999997" customHeight="1" x14ac:dyDescent="0.3">
      <c r="A433" s="96">
        <v>422</v>
      </c>
      <c r="B433" s="91" t="s">
        <v>1488</v>
      </c>
      <c r="C433" s="91" t="s">
        <v>1507</v>
      </c>
      <c r="D433" s="91" t="s">
        <v>1508</v>
      </c>
      <c r="E433" s="91">
        <v>1967</v>
      </c>
      <c r="F433" s="91" t="s">
        <v>19</v>
      </c>
      <c r="G433" s="91" t="s">
        <v>1610</v>
      </c>
      <c r="H433" s="91" t="s">
        <v>1659</v>
      </c>
      <c r="I433" s="91" t="s">
        <v>1689</v>
      </c>
      <c r="J433" s="91">
        <v>6199</v>
      </c>
      <c r="K433" s="91">
        <f>2332+4484+4484+2332+2332+2332+2332+2332</f>
        <v>22960</v>
      </c>
      <c r="L433" s="91">
        <v>0</v>
      </c>
      <c r="M433" s="91">
        <v>0</v>
      </c>
      <c r="N433" s="91">
        <v>1793</v>
      </c>
      <c r="O433" s="91">
        <v>0</v>
      </c>
      <c r="P433" s="91">
        <v>0</v>
      </c>
      <c r="Q433" s="101">
        <f t="shared" si="12"/>
        <v>30952</v>
      </c>
      <c r="R433" s="95">
        <f t="shared" si="13"/>
        <v>26309.200000000001</v>
      </c>
    </row>
    <row r="434" spans="1:18" ht="34.049999999999997" customHeight="1" x14ac:dyDescent="0.3">
      <c r="A434" s="90">
        <v>423</v>
      </c>
      <c r="B434" s="91" t="s">
        <v>1488</v>
      </c>
      <c r="C434" s="91" t="s">
        <v>1509</v>
      </c>
      <c r="D434" s="91" t="s">
        <v>1510</v>
      </c>
      <c r="E434" s="91">
        <v>2023</v>
      </c>
      <c r="F434" s="91" t="s">
        <v>19</v>
      </c>
      <c r="G434" s="91" t="s">
        <v>1611</v>
      </c>
      <c r="H434" s="91" t="s">
        <v>1660</v>
      </c>
      <c r="I434" s="91" t="s">
        <v>1690</v>
      </c>
      <c r="J434" s="91">
        <v>6199</v>
      </c>
      <c r="K434" s="91">
        <f>6278+4484+2332+1346+2332+2332+2332+2332+6995+6995+2332+6995+4484+4484+2332</f>
        <v>58385</v>
      </c>
      <c r="L434" s="91">
        <v>0</v>
      </c>
      <c r="M434" s="91">
        <v>0</v>
      </c>
      <c r="N434" s="91">
        <f>3148+1178+4053+2088</f>
        <v>10467</v>
      </c>
      <c r="O434" s="91">
        <v>0</v>
      </c>
      <c r="P434" s="91">
        <f>720+1080+720+112+120</f>
        <v>2752</v>
      </c>
      <c r="Q434" s="101">
        <f t="shared" si="12"/>
        <v>77803</v>
      </c>
      <c r="R434" s="95">
        <f t="shared" si="13"/>
        <v>66132.55</v>
      </c>
    </row>
    <row r="435" spans="1:18" ht="34.049999999999997" customHeight="1" x14ac:dyDescent="0.3">
      <c r="A435" s="90">
        <v>424</v>
      </c>
      <c r="B435" s="91" t="s">
        <v>1488</v>
      </c>
      <c r="C435" s="91" t="s">
        <v>1511</v>
      </c>
      <c r="D435" s="91" t="s">
        <v>100</v>
      </c>
      <c r="E435" s="91">
        <v>2003</v>
      </c>
      <c r="F435" s="91" t="s">
        <v>19</v>
      </c>
      <c r="G435" s="91" t="s">
        <v>179</v>
      </c>
      <c r="H435" s="91" t="s">
        <v>229</v>
      </c>
      <c r="I435" s="91" t="s">
        <v>276</v>
      </c>
      <c r="J435" s="91">
        <v>0</v>
      </c>
      <c r="K435" s="91">
        <v>0</v>
      </c>
      <c r="L435" s="91">
        <v>0</v>
      </c>
      <c r="M435" s="91">
        <v>0</v>
      </c>
      <c r="N435" s="91">
        <v>0</v>
      </c>
      <c r="O435" s="91">
        <v>0</v>
      </c>
      <c r="P435" s="91">
        <v>0</v>
      </c>
      <c r="Q435" s="101">
        <f t="shared" si="12"/>
        <v>0</v>
      </c>
      <c r="R435" s="95">
        <f t="shared" si="13"/>
        <v>0</v>
      </c>
    </row>
    <row r="436" spans="1:18" ht="34.049999999999997" customHeight="1" x14ac:dyDescent="0.3">
      <c r="A436" s="96">
        <v>425</v>
      </c>
      <c r="B436" s="91" t="s">
        <v>1488</v>
      </c>
      <c r="C436" s="91" t="s">
        <v>1512</v>
      </c>
      <c r="D436" s="91" t="s">
        <v>1513</v>
      </c>
      <c r="E436" s="91">
        <v>1979</v>
      </c>
      <c r="F436" s="91" t="s">
        <v>19</v>
      </c>
      <c r="G436" s="91" t="s">
        <v>1612</v>
      </c>
      <c r="H436" s="91" t="s">
        <v>1612</v>
      </c>
      <c r="I436" s="91" t="s">
        <v>1691</v>
      </c>
      <c r="J436" s="91">
        <v>6199</v>
      </c>
      <c r="K436" s="91">
        <v>0</v>
      </c>
      <c r="L436" s="91">
        <v>0</v>
      </c>
      <c r="M436" s="91">
        <v>0</v>
      </c>
      <c r="N436" s="91">
        <v>0</v>
      </c>
      <c r="O436" s="91">
        <v>0</v>
      </c>
      <c r="P436" s="91">
        <v>0</v>
      </c>
      <c r="Q436" s="101">
        <f t="shared" si="12"/>
        <v>6199</v>
      </c>
      <c r="R436" s="95">
        <f t="shared" si="13"/>
        <v>5269.15</v>
      </c>
    </row>
    <row r="437" spans="1:18" ht="34.049999999999997" customHeight="1" x14ac:dyDescent="0.3">
      <c r="A437" s="90">
        <v>426</v>
      </c>
      <c r="B437" s="91" t="s">
        <v>1488</v>
      </c>
      <c r="C437" s="91" t="s">
        <v>1514</v>
      </c>
      <c r="D437" s="91" t="s">
        <v>1515</v>
      </c>
      <c r="E437" s="91">
        <v>2012</v>
      </c>
      <c r="F437" s="91" t="s">
        <v>18</v>
      </c>
      <c r="G437" s="91" t="s">
        <v>1613</v>
      </c>
      <c r="H437" s="91" t="s">
        <v>1034</v>
      </c>
      <c r="I437" s="91" t="s">
        <v>1067</v>
      </c>
      <c r="J437" s="91">
        <v>6199</v>
      </c>
      <c r="K437" s="91">
        <f>1166+2801</f>
        <v>3967</v>
      </c>
      <c r="L437" s="91">
        <v>0</v>
      </c>
      <c r="M437" s="91">
        <v>0</v>
      </c>
      <c r="N437" s="91">
        <v>0</v>
      </c>
      <c r="O437" s="91">
        <v>0</v>
      </c>
      <c r="P437" s="91">
        <v>0</v>
      </c>
      <c r="Q437" s="101">
        <f t="shared" si="12"/>
        <v>10166</v>
      </c>
      <c r="R437" s="95">
        <f t="shared" si="13"/>
        <v>8641.1</v>
      </c>
    </row>
    <row r="438" spans="1:18" ht="34.049999999999997" customHeight="1" x14ac:dyDescent="0.3">
      <c r="A438" s="90">
        <v>427</v>
      </c>
      <c r="B438" s="91" t="s">
        <v>1488</v>
      </c>
      <c r="C438" s="91" t="s">
        <v>1516</v>
      </c>
      <c r="D438" s="91" t="s">
        <v>1517</v>
      </c>
      <c r="E438" s="91">
        <v>2008</v>
      </c>
      <c r="F438" s="91" t="s">
        <v>19</v>
      </c>
      <c r="G438" s="91" t="s">
        <v>1614</v>
      </c>
      <c r="H438" s="91" t="s">
        <v>1661</v>
      </c>
      <c r="I438" s="91" t="s">
        <v>1692</v>
      </c>
      <c r="J438" s="91">
        <v>6199</v>
      </c>
      <c r="K438" s="91">
        <f>1166+2801+6278+2332+1346+4484+2332+2332+2332+2332+6995+6995+6995+2332+4484+2332</f>
        <v>57868</v>
      </c>
      <c r="L438" s="91">
        <v>0</v>
      </c>
      <c r="M438" s="91">
        <v>0</v>
      </c>
      <c r="N438" s="91">
        <v>1793</v>
      </c>
      <c r="O438" s="91">
        <v>0</v>
      </c>
      <c r="P438" s="91">
        <v>0</v>
      </c>
      <c r="Q438" s="101">
        <f t="shared" si="12"/>
        <v>65860</v>
      </c>
      <c r="R438" s="95">
        <f t="shared" si="13"/>
        <v>55981</v>
      </c>
    </row>
    <row r="439" spans="1:18" ht="34.049999999999997" customHeight="1" x14ac:dyDescent="0.3">
      <c r="A439" s="96">
        <v>428</v>
      </c>
      <c r="B439" s="91" t="s">
        <v>1488</v>
      </c>
      <c r="C439" s="91" t="s">
        <v>1518</v>
      </c>
      <c r="D439" s="91" t="s">
        <v>1093</v>
      </c>
      <c r="E439" s="91">
        <v>2022</v>
      </c>
      <c r="F439" s="91" t="s">
        <v>18</v>
      </c>
      <c r="G439" s="91" t="s">
        <v>1173</v>
      </c>
      <c r="H439" s="91" t="s">
        <v>1224</v>
      </c>
      <c r="I439" s="91" t="s">
        <v>1256</v>
      </c>
      <c r="J439" s="91">
        <v>3793</v>
      </c>
      <c r="K439" s="91">
        <v>0</v>
      </c>
      <c r="L439" s="91">
        <v>20807</v>
      </c>
      <c r="M439" s="91">
        <v>0</v>
      </c>
      <c r="N439" s="91">
        <v>0</v>
      </c>
      <c r="O439" s="91">
        <v>0</v>
      </c>
      <c r="P439" s="91">
        <v>0</v>
      </c>
      <c r="Q439" s="101">
        <f t="shared" si="12"/>
        <v>24600</v>
      </c>
      <c r="R439" s="95">
        <f t="shared" si="13"/>
        <v>20910</v>
      </c>
    </row>
    <row r="440" spans="1:18" ht="34.049999999999997" customHeight="1" x14ac:dyDescent="0.3">
      <c r="A440" s="90">
        <v>429</v>
      </c>
      <c r="B440" s="91" t="s">
        <v>1488</v>
      </c>
      <c r="C440" s="91" t="s">
        <v>1519</v>
      </c>
      <c r="D440" s="91" t="s">
        <v>1520</v>
      </c>
      <c r="E440" s="91">
        <v>1983</v>
      </c>
      <c r="F440" s="91" t="s">
        <v>19</v>
      </c>
      <c r="G440" s="91" t="s">
        <v>523</v>
      </c>
      <c r="H440" s="91" t="s">
        <v>523</v>
      </c>
      <c r="I440" s="91" t="s">
        <v>1693</v>
      </c>
      <c r="J440" s="91">
        <v>6199</v>
      </c>
      <c r="K440" s="91">
        <f>13452+6278+2332+4484+4484</f>
        <v>31030</v>
      </c>
      <c r="L440" s="91">
        <v>0</v>
      </c>
      <c r="M440" s="91">
        <v>0</v>
      </c>
      <c r="N440" s="91">
        <v>1793</v>
      </c>
      <c r="O440" s="91">
        <v>0</v>
      </c>
      <c r="P440" s="91">
        <v>0</v>
      </c>
      <c r="Q440" s="101">
        <f t="shared" si="12"/>
        <v>39022</v>
      </c>
      <c r="R440" s="95">
        <f t="shared" si="13"/>
        <v>33168.699999999997</v>
      </c>
    </row>
    <row r="441" spans="1:18" ht="34.049999999999997" customHeight="1" x14ac:dyDescent="0.3">
      <c r="A441" s="90">
        <v>430</v>
      </c>
      <c r="B441" s="91" t="s">
        <v>1488</v>
      </c>
      <c r="C441" s="91" t="s">
        <v>1521</v>
      </c>
      <c r="D441" s="91" t="s">
        <v>1522</v>
      </c>
      <c r="E441" s="91">
        <v>1982</v>
      </c>
      <c r="F441" s="91" t="s">
        <v>19</v>
      </c>
      <c r="G441" s="91" t="s">
        <v>1615</v>
      </c>
      <c r="H441" s="91" t="s">
        <v>1615</v>
      </c>
      <c r="I441" s="91" t="s">
        <v>560</v>
      </c>
      <c r="J441" s="91">
        <v>6199</v>
      </c>
      <c r="K441" s="91">
        <v>0</v>
      </c>
      <c r="L441" s="91">
        <v>0</v>
      </c>
      <c r="M441" s="91">
        <v>0</v>
      </c>
      <c r="N441" s="91">
        <v>0</v>
      </c>
      <c r="O441" s="91">
        <v>0</v>
      </c>
      <c r="P441" s="91">
        <v>0</v>
      </c>
      <c r="Q441" s="101">
        <f t="shared" si="12"/>
        <v>6199</v>
      </c>
      <c r="R441" s="95">
        <f t="shared" si="13"/>
        <v>5269.15</v>
      </c>
    </row>
    <row r="442" spans="1:18" ht="34.049999999999997" customHeight="1" x14ac:dyDescent="0.3">
      <c r="A442" s="96">
        <v>431</v>
      </c>
      <c r="B442" s="91" t="s">
        <v>1488</v>
      </c>
      <c r="C442" s="91" t="s">
        <v>1523</v>
      </c>
      <c r="D442" s="91" t="s">
        <v>1524</v>
      </c>
      <c r="E442" s="91">
        <v>1987</v>
      </c>
      <c r="F442" s="91" t="s">
        <v>19</v>
      </c>
      <c r="G442" s="91" t="s">
        <v>1616</v>
      </c>
      <c r="H442" s="91" t="s">
        <v>1662</v>
      </c>
      <c r="I442" s="91" t="s">
        <v>1277</v>
      </c>
      <c r="J442" s="91">
        <v>6199</v>
      </c>
      <c r="K442" s="91">
        <v>0</v>
      </c>
      <c r="L442" s="91">
        <v>0</v>
      </c>
      <c r="M442" s="91">
        <v>0</v>
      </c>
      <c r="N442" s="91">
        <v>0</v>
      </c>
      <c r="O442" s="91">
        <v>0</v>
      </c>
      <c r="P442" s="91">
        <v>0</v>
      </c>
      <c r="Q442" s="101">
        <f t="shared" si="12"/>
        <v>6199</v>
      </c>
      <c r="R442" s="95">
        <f t="shared" si="13"/>
        <v>5269.15</v>
      </c>
    </row>
    <row r="443" spans="1:18" ht="34.049999999999997" customHeight="1" x14ac:dyDescent="0.3">
      <c r="A443" s="90">
        <v>432</v>
      </c>
      <c r="B443" s="91" t="s">
        <v>1488</v>
      </c>
      <c r="C443" s="91" t="s">
        <v>1525</v>
      </c>
      <c r="D443" s="91" t="s">
        <v>1526</v>
      </c>
      <c r="E443" s="91">
        <v>2022</v>
      </c>
      <c r="F443" s="91" t="s">
        <v>19</v>
      </c>
      <c r="G443" s="91" t="s">
        <v>1617</v>
      </c>
      <c r="H443" s="91" t="s">
        <v>1663</v>
      </c>
      <c r="I443" s="91" t="s">
        <v>1694</v>
      </c>
      <c r="J443" s="91">
        <v>6199</v>
      </c>
      <c r="K443" s="91">
        <v>0</v>
      </c>
      <c r="L443" s="91">
        <v>0</v>
      </c>
      <c r="M443" s="91">
        <v>0</v>
      </c>
      <c r="N443" s="91">
        <v>0</v>
      </c>
      <c r="O443" s="91">
        <v>0</v>
      </c>
      <c r="P443" s="91">
        <v>0</v>
      </c>
      <c r="Q443" s="101">
        <f t="shared" si="12"/>
        <v>6199</v>
      </c>
      <c r="R443" s="95">
        <f t="shared" si="13"/>
        <v>5269.15</v>
      </c>
    </row>
    <row r="444" spans="1:18" ht="34.049999999999997" customHeight="1" x14ac:dyDescent="0.3">
      <c r="A444" s="90">
        <v>433</v>
      </c>
      <c r="B444" s="91" t="s">
        <v>1488</v>
      </c>
      <c r="C444" s="91" t="s">
        <v>1527</v>
      </c>
      <c r="D444" s="91" t="s">
        <v>1528</v>
      </c>
      <c r="E444" s="91">
        <v>1987</v>
      </c>
      <c r="F444" s="91" t="s">
        <v>18</v>
      </c>
      <c r="G444" s="91" t="s">
        <v>1618</v>
      </c>
      <c r="H444" s="91" t="s">
        <v>1664</v>
      </c>
      <c r="I444" s="91" t="s">
        <v>1695</v>
      </c>
      <c r="J444" s="116">
        <v>0</v>
      </c>
      <c r="K444" s="116">
        <v>0</v>
      </c>
      <c r="L444" s="116">
        <v>0</v>
      </c>
      <c r="M444" s="116">
        <v>0</v>
      </c>
      <c r="N444" s="116">
        <v>0</v>
      </c>
      <c r="O444" s="116">
        <v>0</v>
      </c>
      <c r="P444" s="116">
        <v>0</v>
      </c>
      <c r="Q444" s="117">
        <f t="shared" si="12"/>
        <v>0</v>
      </c>
      <c r="R444" s="118">
        <f t="shared" si="13"/>
        <v>0</v>
      </c>
    </row>
    <row r="445" spans="1:18" ht="34.049999999999997" customHeight="1" x14ac:dyDescent="0.3">
      <c r="A445" s="96">
        <v>434</v>
      </c>
      <c r="B445" s="91" t="s">
        <v>1488</v>
      </c>
      <c r="C445" s="91" t="s">
        <v>1529</v>
      </c>
      <c r="D445" s="91" t="s">
        <v>1530</v>
      </c>
      <c r="E445" s="91">
        <v>1987</v>
      </c>
      <c r="F445" s="91" t="s">
        <v>18</v>
      </c>
      <c r="G445" s="91" t="s">
        <v>1619</v>
      </c>
      <c r="H445" s="91" t="s">
        <v>1619</v>
      </c>
      <c r="I445" s="91" t="s">
        <v>1696</v>
      </c>
      <c r="J445" s="91">
        <v>6199</v>
      </c>
      <c r="K445" s="91">
        <v>1166</v>
      </c>
      <c r="L445" s="91">
        <v>0</v>
      </c>
      <c r="M445" s="91">
        <v>0</v>
      </c>
      <c r="N445" s="91">
        <v>0</v>
      </c>
      <c r="O445" s="91">
        <v>0</v>
      </c>
      <c r="P445" s="91">
        <v>0</v>
      </c>
      <c r="Q445" s="101">
        <f t="shared" si="12"/>
        <v>7365</v>
      </c>
      <c r="R445" s="95">
        <f t="shared" si="13"/>
        <v>6260.25</v>
      </c>
    </row>
    <row r="446" spans="1:18" ht="34.049999999999997" customHeight="1" x14ac:dyDescent="0.3">
      <c r="A446" s="90">
        <v>435</v>
      </c>
      <c r="B446" s="91" t="s">
        <v>1488</v>
      </c>
      <c r="C446" s="91" t="s">
        <v>1531</v>
      </c>
      <c r="D446" s="91" t="s">
        <v>1532</v>
      </c>
      <c r="E446" s="91">
        <v>1984</v>
      </c>
      <c r="F446" s="91" t="s">
        <v>19</v>
      </c>
      <c r="G446" s="91" t="s">
        <v>1620</v>
      </c>
      <c r="H446" s="91" t="s">
        <v>1620</v>
      </c>
      <c r="I446" s="91" t="s">
        <v>268</v>
      </c>
      <c r="J446" s="91">
        <v>6199</v>
      </c>
      <c r="K446" s="91">
        <v>0</v>
      </c>
      <c r="L446" s="91">
        <v>0</v>
      </c>
      <c r="M446" s="91">
        <v>0</v>
      </c>
      <c r="N446" s="91">
        <v>0</v>
      </c>
      <c r="O446" s="91">
        <v>0</v>
      </c>
      <c r="P446" s="91">
        <v>0</v>
      </c>
      <c r="Q446" s="101">
        <f t="shared" si="12"/>
        <v>6199</v>
      </c>
      <c r="R446" s="95">
        <f t="shared" si="13"/>
        <v>5269.15</v>
      </c>
    </row>
    <row r="447" spans="1:18" ht="34.049999999999997" customHeight="1" x14ac:dyDescent="0.3">
      <c r="A447" s="90">
        <v>436</v>
      </c>
      <c r="B447" s="91" t="s">
        <v>1488</v>
      </c>
      <c r="C447" s="91" t="s">
        <v>1533</v>
      </c>
      <c r="D447" s="91" t="s">
        <v>1534</v>
      </c>
      <c r="E447" s="91">
        <v>2019</v>
      </c>
      <c r="F447" s="91" t="s">
        <v>18</v>
      </c>
      <c r="G447" s="91" t="s">
        <v>1621</v>
      </c>
      <c r="H447" s="91" t="s">
        <v>1665</v>
      </c>
      <c r="I447" s="91" t="s">
        <v>1697</v>
      </c>
      <c r="J447" s="91">
        <v>6199</v>
      </c>
      <c r="K447" s="91">
        <v>0</v>
      </c>
      <c r="L447" s="91">
        <v>20807</v>
      </c>
      <c r="M447" s="91">
        <v>0</v>
      </c>
      <c r="N447" s="91">
        <v>0</v>
      </c>
      <c r="O447" s="91">
        <v>0</v>
      </c>
      <c r="P447" s="91">
        <v>0</v>
      </c>
      <c r="Q447" s="101">
        <f t="shared" si="12"/>
        <v>27006</v>
      </c>
      <c r="R447" s="95">
        <f t="shared" si="13"/>
        <v>22955.1</v>
      </c>
    </row>
    <row r="448" spans="1:18" ht="34.049999999999997" customHeight="1" x14ac:dyDescent="0.3">
      <c r="A448" s="96">
        <v>437</v>
      </c>
      <c r="B448" s="91" t="s">
        <v>1488</v>
      </c>
      <c r="C448" s="91" t="s">
        <v>1535</v>
      </c>
      <c r="D448" s="91" t="s">
        <v>1536</v>
      </c>
      <c r="E448" s="91">
        <v>1988</v>
      </c>
      <c r="F448" s="91" t="s">
        <v>19</v>
      </c>
      <c r="G448" s="91" t="s">
        <v>1622</v>
      </c>
      <c r="H448" s="91" t="s">
        <v>1666</v>
      </c>
      <c r="I448" s="91" t="s">
        <v>1064</v>
      </c>
      <c r="J448" s="91">
        <v>6199</v>
      </c>
      <c r="K448" s="91">
        <f>2332+2332+2243+6278+4484+1346+2332+2332+2332+2332</f>
        <v>28343</v>
      </c>
      <c r="L448" s="91">
        <v>17279</v>
      </c>
      <c r="M448" s="91">
        <v>0</v>
      </c>
      <c r="N448" s="91">
        <v>1793</v>
      </c>
      <c r="O448" s="91">
        <v>0</v>
      </c>
      <c r="P448" s="91">
        <v>0</v>
      </c>
      <c r="Q448" s="101">
        <f t="shared" si="12"/>
        <v>53614</v>
      </c>
      <c r="R448" s="95">
        <f t="shared" si="13"/>
        <v>45571.9</v>
      </c>
    </row>
    <row r="449" spans="1:23" ht="34.049999999999997" customHeight="1" x14ac:dyDescent="0.3">
      <c r="A449" s="90">
        <v>438</v>
      </c>
      <c r="B449" s="91" t="s">
        <v>1488</v>
      </c>
      <c r="C449" s="91" t="s">
        <v>1537</v>
      </c>
      <c r="D449" s="91" t="s">
        <v>1538</v>
      </c>
      <c r="E449" s="91">
        <v>1997</v>
      </c>
      <c r="F449" s="91" t="s">
        <v>18</v>
      </c>
      <c r="G449" s="91" t="s">
        <v>1623</v>
      </c>
      <c r="H449" s="91" t="s">
        <v>1623</v>
      </c>
      <c r="I449" s="91" t="s">
        <v>1698</v>
      </c>
      <c r="J449" s="91">
        <v>6199</v>
      </c>
      <c r="K449" s="91">
        <f>6278+4484+1346+4484+2332+1166+2332+2332+2332+2332+6995+3000+3000</f>
        <v>42413</v>
      </c>
      <c r="L449" s="91">
        <v>0</v>
      </c>
      <c r="M449" s="91">
        <v>0</v>
      </c>
      <c r="N449" s="91">
        <v>1793</v>
      </c>
      <c r="O449" s="91">
        <v>0</v>
      </c>
      <c r="P449" s="91">
        <v>0</v>
      </c>
      <c r="Q449" s="101">
        <f t="shared" si="12"/>
        <v>50405</v>
      </c>
      <c r="R449" s="95">
        <f t="shared" si="13"/>
        <v>42844.25</v>
      </c>
    </row>
    <row r="450" spans="1:23" ht="34.049999999999997" customHeight="1" x14ac:dyDescent="0.3">
      <c r="A450" s="90">
        <v>439</v>
      </c>
      <c r="B450" s="91" t="s">
        <v>1488</v>
      </c>
      <c r="C450" s="91" t="s">
        <v>1539</v>
      </c>
      <c r="D450" s="91" t="s">
        <v>1540</v>
      </c>
      <c r="E450" s="91">
        <v>2014</v>
      </c>
      <c r="F450" s="91" t="s">
        <v>18</v>
      </c>
      <c r="G450" s="91" t="s">
        <v>1624</v>
      </c>
      <c r="H450" s="91" t="s">
        <v>1667</v>
      </c>
      <c r="I450" s="91" t="s">
        <v>1699</v>
      </c>
      <c r="J450" s="91">
        <v>6199</v>
      </c>
      <c r="K450" s="91">
        <v>0</v>
      </c>
      <c r="L450" s="91">
        <v>0</v>
      </c>
      <c r="M450" s="91">
        <v>0</v>
      </c>
      <c r="N450" s="91">
        <v>0</v>
      </c>
      <c r="O450" s="91">
        <v>0</v>
      </c>
      <c r="P450" s="91">
        <v>0</v>
      </c>
      <c r="Q450" s="101">
        <f t="shared" si="12"/>
        <v>6199</v>
      </c>
      <c r="R450" s="95">
        <f t="shared" si="13"/>
        <v>5269.15</v>
      </c>
    </row>
    <row r="451" spans="1:23" ht="34.049999999999997" customHeight="1" x14ac:dyDescent="0.3">
      <c r="A451" s="96">
        <v>440</v>
      </c>
      <c r="B451" s="91" t="s">
        <v>1488</v>
      </c>
      <c r="C451" s="91" t="s">
        <v>1541</v>
      </c>
      <c r="D451" s="91" t="s">
        <v>1542</v>
      </c>
      <c r="E451" s="91">
        <v>1997</v>
      </c>
      <c r="F451" s="91" t="s">
        <v>19</v>
      </c>
      <c r="G451" s="91" t="s">
        <v>1625</v>
      </c>
      <c r="H451" s="91" t="s">
        <v>1625</v>
      </c>
      <c r="I451" s="91" t="s">
        <v>1700</v>
      </c>
      <c r="J451" s="91">
        <v>6199</v>
      </c>
      <c r="K451" s="91">
        <v>0</v>
      </c>
      <c r="L451" s="91">
        <v>17279</v>
      </c>
      <c r="M451" s="91">
        <v>0</v>
      </c>
      <c r="N451" s="91">
        <v>0</v>
      </c>
      <c r="O451" s="91">
        <v>0</v>
      </c>
      <c r="P451" s="91">
        <v>0</v>
      </c>
      <c r="Q451" s="101">
        <f t="shared" si="12"/>
        <v>23478</v>
      </c>
      <c r="R451" s="95">
        <f t="shared" si="13"/>
        <v>19956.3</v>
      </c>
    </row>
    <row r="452" spans="1:23" ht="34.049999999999997" customHeight="1" x14ac:dyDescent="0.3">
      <c r="A452" s="90">
        <v>441</v>
      </c>
      <c r="B452" s="91" t="s">
        <v>1488</v>
      </c>
      <c r="C452" s="91" t="s">
        <v>1543</v>
      </c>
      <c r="D452" s="91" t="s">
        <v>1544</v>
      </c>
      <c r="E452" s="91">
        <v>2000</v>
      </c>
      <c r="F452" s="91" t="s">
        <v>18</v>
      </c>
      <c r="G452" s="91" t="s">
        <v>1626</v>
      </c>
      <c r="H452" s="91" t="s">
        <v>1626</v>
      </c>
      <c r="I452" s="91" t="s">
        <v>1701</v>
      </c>
      <c r="J452" s="91">
        <v>3582</v>
      </c>
      <c r="K452" s="91">
        <v>0</v>
      </c>
      <c r="L452" s="91">
        <v>0</v>
      </c>
      <c r="M452" s="91">
        <v>0</v>
      </c>
      <c r="N452" s="91">
        <v>34016</v>
      </c>
      <c r="O452" s="91">
        <v>0</v>
      </c>
      <c r="P452" s="91">
        <v>0</v>
      </c>
      <c r="Q452" s="101">
        <f t="shared" si="12"/>
        <v>37598</v>
      </c>
      <c r="R452" s="95">
        <f t="shared" si="13"/>
        <v>31958.3</v>
      </c>
    </row>
    <row r="453" spans="1:23" ht="34.049999999999997" customHeight="1" x14ac:dyDescent="0.3">
      <c r="A453" s="90">
        <v>442</v>
      </c>
      <c r="B453" s="91" t="s">
        <v>1488</v>
      </c>
      <c r="C453" s="91" t="s">
        <v>1545</v>
      </c>
      <c r="D453" s="91" t="s">
        <v>1546</v>
      </c>
      <c r="E453" s="91">
        <v>2001</v>
      </c>
      <c r="F453" s="91" t="s">
        <v>19</v>
      </c>
      <c r="G453" s="91" t="s">
        <v>1627</v>
      </c>
      <c r="H453" s="91" t="s">
        <v>1627</v>
      </c>
      <c r="I453" s="91" t="s">
        <v>840</v>
      </c>
      <c r="J453" s="91">
        <v>6199</v>
      </c>
      <c r="K453" s="91">
        <v>0</v>
      </c>
      <c r="L453" s="91">
        <v>0</v>
      </c>
      <c r="M453" s="91">
        <v>0</v>
      </c>
      <c r="N453" s="91">
        <f>15443+20859</f>
        <v>36302</v>
      </c>
      <c r="O453" s="91">
        <v>0</v>
      </c>
      <c r="P453" s="91">
        <v>0</v>
      </c>
      <c r="Q453" s="101">
        <f t="shared" si="12"/>
        <v>42501</v>
      </c>
      <c r="R453" s="95">
        <f t="shared" si="13"/>
        <v>36125.85</v>
      </c>
    </row>
    <row r="454" spans="1:23" ht="34.049999999999997" customHeight="1" x14ac:dyDescent="0.3">
      <c r="A454" s="96">
        <v>443</v>
      </c>
      <c r="B454" s="91" t="s">
        <v>1488</v>
      </c>
      <c r="C454" s="91" t="s">
        <v>1547</v>
      </c>
      <c r="D454" s="91" t="s">
        <v>1548</v>
      </c>
      <c r="E454" s="91">
        <v>2005</v>
      </c>
      <c r="F454" s="91" t="s">
        <v>19</v>
      </c>
      <c r="G454" s="91" t="s">
        <v>1628</v>
      </c>
      <c r="H454" s="91" t="s">
        <v>1668</v>
      </c>
      <c r="I454" s="91" t="s">
        <v>1702</v>
      </c>
      <c r="J454" s="91">
        <v>6199</v>
      </c>
      <c r="K454" s="91">
        <f>6278+4484+1346+2332+2332+4484+2332+2332+2332+2332+3000+3000</f>
        <v>36584</v>
      </c>
      <c r="L454" s="91">
        <v>0</v>
      </c>
      <c r="M454" s="91">
        <v>0</v>
      </c>
      <c r="N454" s="91">
        <v>1793</v>
      </c>
      <c r="O454" s="91">
        <v>0</v>
      </c>
      <c r="P454" s="91">
        <v>0</v>
      </c>
      <c r="Q454" s="101">
        <f t="shared" si="12"/>
        <v>44576</v>
      </c>
      <c r="R454" s="95">
        <f t="shared" si="13"/>
        <v>37889.599999999999</v>
      </c>
    </row>
    <row r="455" spans="1:23" ht="34.049999999999997" customHeight="1" x14ac:dyDescent="0.3">
      <c r="A455" s="90">
        <v>444</v>
      </c>
      <c r="B455" s="91" t="s">
        <v>1488</v>
      </c>
      <c r="C455" s="91" t="s">
        <v>1549</v>
      </c>
      <c r="D455" s="91" t="s">
        <v>1145</v>
      </c>
      <c r="E455" s="91">
        <v>2020</v>
      </c>
      <c r="F455" s="91" t="s">
        <v>19</v>
      </c>
      <c r="G455" s="91" t="s">
        <v>1199</v>
      </c>
      <c r="H455" s="91" t="s">
        <v>1239</v>
      </c>
      <c r="I455" s="91" t="s">
        <v>1273</v>
      </c>
      <c r="J455" s="91">
        <v>3793</v>
      </c>
      <c r="K455" s="91">
        <f>6278+4484+2332+1346+2332+2332+2332+2332+6995+6995+2332+6995+2332+4484+1166+2801</f>
        <v>57868</v>
      </c>
      <c r="L455" s="91">
        <v>0</v>
      </c>
      <c r="M455" s="91">
        <v>0</v>
      </c>
      <c r="N455" s="91">
        <v>3148</v>
      </c>
      <c r="O455" s="91">
        <v>0</v>
      </c>
      <c r="P455" s="91">
        <v>0</v>
      </c>
      <c r="Q455" s="101">
        <f t="shared" si="12"/>
        <v>64809</v>
      </c>
      <c r="R455" s="95">
        <f t="shared" si="13"/>
        <v>55087.65</v>
      </c>
    </row>
    <row r="456" spans="1:23" ht="34.049999999999997" customHeight="1" x14ac:dyDescent="0.3">
      <c r="A456" s="90">
        <v>445</v>
      </c>
      <c r="B456" s="98" t="s">
        <v>1488</v>
      </c>
      <c r="C456" s="98" t="s">
        <v>1550</v>
      </c>
      <c r="D456" s="98" t="s">
        <v>1551</v>
      </c>
      <c r="E456" s="98">
        <v>1978</v>
      </c>
      <c r="F456" s="98" t="s">
        <v>19</v>
      </c>
      <c r="G456" s="98" t="s">
        <v>1629</v>
      </c>
      <c r="H456" s="98" t="s">
        <v>1669</v>
      </c>
      <c r="I456" s="98" t="s">
        <v>1703</v>
      </c>
      <c r="J456" s="98">
        <v>6199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101">
        <f t="shared" si="12"/>
        <v>6199</v>
      </c>
      <c r="R456" s="95">
        <f t="shared" si="13"/>
        <v>5269.15</v>
      </c>
      <c r="S456" s="41"/>
      <c r="T456" s="41"/>
      <c r="U456" s="41"/>
      <c r="V456" s="41"/>
      <c r="W456" s="41"/>
    </row>
    <row r="457" spans="1:23" ht="34.049999999999997" customHeight="1" x14ac:dyDescent="0.3">
      <c r="A457" s="96">
        <v>446</v>
      </c>
      <c r="B457" s="91" t="s">
        <v>1488</v>
      </c>
      <c r="C457" s="91" t="s">
        <v>1552</v>
      </c>
      <c r="D457" s="91" t="s">
        <v>1553</v>
      </c>
      <c r="E457" s="91">
        <v>1970</v>
      </c>
      <c r="F457" s="91" t="s">
        <v>19</v>
      </c>
      <c r="G457" s="91" t="s">
        <v>1630</v>
      </c>
      <c r="H457" s="91" t="s">
        <v>1630</v>
      </c>
      <c r="I457" s="91" t="s">
        <v>262</v>
      </c>
      <c r="J457" s="91">
        <v>6199</v>
      </c>
      <c r="K457" s="91">
        <v>0</v>
      </c>
      <c r="L457" s="91">
        <v>0</v>
      </c>
      <c r="M457" s="91">
        <v>0</v>
      </c>
      <c r="N457" s="91">
        <v>0</v>
      </c>
      <c r="O457" s="91">
        <v>0</v>
      </c>
      <c r="P457" s="91">
        <v>0</v>
      </c>
      <c r="Q457" s="101">
        <f t="shared" si="12"/>
        <v>6199</v>
      </c>
      <c r="R457" s="95">
        <f t="shared" si="13"/>
        <v>5269.15</v>
      </c>
    </row>
    <row r="458" spans="1:23" ht="34.049999999999997" customHeight="1" x14ac:dyDescent="0.3">
      <c r="A458" s="90">
        <v>447</v>
      </c>
      <c r="B458" s="91" t="s">
        <v>1488</v>
      </c>
      <c r="C458" s="91" t="s">
        <v>1554</v>
      </c>
      <c r="D458" s="91" t="s">
        <v>1555</v>
      </c>
      <c r="E458" s="91">
        <v>1977</v>
      </c>
      <c r="F458" s="91" t="s">
        <v>18</v>
      </c>
      <c r="G458" s="91" t="s">
        <v>1631</v>
      </c>
      <c r="H458" s="91" t="s">
        <v>1631</v>
      </c>
      <c r="I458" s="91" t="s">
        <v>278</v>
      </c>
      <c r="J458" s="91">
        <v>6199</v>
      </c>
      <c r="K458" s="91">
        <v>0</v>
      </c>
      <c r="L458" s="91">
        <v>0</v>
      </c>
      <c r="M458" s="91">
        <v>0</v>
      </c>
      <c r="N458" s="91">
        <v>0</v>
      </c>
      <c r="O458" s="91">
        <v>0</v>
      </c>
      <c r="P458" s="91">
        <v>0</v>
      </c>
      <c r="Q458" s="101">
        <f t="shared" si="12"/>
        <v>6199</v>
      </c>
      <c r="R458" s="95">
        <f t="shared" si="13"/>
        <v>5269.15</v>
      </c>
    </row>
    <row r="459" spans="1:23" ht="34.049999999999997" customHeight="1" x14ac:dyDescent="0.3">
      <c r="A459" s="90">
        <v>448</v>
      </c>
      <c r="B459" s="91" t="s">
        <v>1488</v>
      </c>
      <c r="C459" s="91" t="s">
        <v>1556</v>
      </c>
      <c r="D459" s="93">
        <v>10225682</v>
      </c>
      <c r="E459" s="91">
        <v>1972</v>
      </c>
      <c r="F459" s="91" t="s">
        <v>19</v>
      </c>
      <c r="G459" s="91" t="s">
        <v>1632</v>
      </c>
      <c r="H459" s="91" t="s">
        <v>1632</v>
      </c>
      <c r="I459" s="91" t="s">
        <v>1047</v>
      </c>
      <c r="J459" s="91">
        <v>6199</v>
      </c>
      <c r="K459" s="91">
        <f>13452+1166+2801+6278+6995+2332+2332+3000+3000+4484+4484+2332+2332+2332</f>
        <v>57320</v>
      </c>
      <c r="L459" s="91">
        <v>0</v>
      </c>
      <c r="M459" s="91">
        <v>0</v>
      </c>
      <c r="N459" s="91">
        <v>1793</v>
      </c>
      <c r="O459" s="91">
        <v>0</v>
      </c>
      <c r="P459" s="91">
        <v>0</v>
      </c>
      <c r="Q459" s="101">
        <f t="shared" si="12"/>
        <v>65312</v>
      </c>
      <c r="R459" s="95">
        <f t="shared" si="13"/>
        <v>55515.199999999997</v>
      </c>
    </row>
    <row r="460" spans="1:23" ht="34.049999999999997" customHeight="1" x14ac:dyDescent="0.3">
      <c r="A460" s="96">
        <v>449</v>
      </c>
      <c r="B460" s="98" t="s">
        <v>1488</v>
      </c>
      <c r="C460" s="98" t="s">
        <v>1557</v>
      </c>
      <c r="D460" s="98" t="s">
        <v>1558</v>
      </c>
      <c r="E460" s="98">
        <v>1968</v>
      </c>
      <c r="F460" s="98" t="s">
        <v>19</v>
      </c>
      <c r="G460" s="98" t="s">
        <v>1633</v>
      </c>
      <c r="H460" s="98" t="s">
        <v>1670</v>
      </c>
      <c r="I460" s="98" t="s">
        <v>276</v>
      </c>
      <c r="J460" s="98">
        <v>6199</v>
      </c>
      <c r="K460" s="98">
        <v>0</v>
      </c>
      <c r="L460" s="98">
        <v>0</v>
      </c>
      <c r="M460" s="98">
        <v>0</v>
      </c>
      <c r="N460" s="98">
        <v>0</v>
      </c>
      <c r="O460" s="98">
        <v>0</v>
      </c>
      <c r="P460" s="98">
        <v>0</v>
      </c>
      <c r="Q460" s="101">
        <f t="shared" ref="Q460:Q523" si="14">SUM(J460:P460)</f>
        <v>6199</v>
      </c>
      <c r="R460" s="95">
        <f t="shared" si="13"/>
        <v>5269.15</v>
      </c>
      <c r="S460" s="41"/>
      <c r="T460" s="41"/>
      <c r="U460" s="41"/>
      <c r="V460" s="41"/>
      <c r="W460" s="41"/>
    </row>
    <row r="461" spans="1:23" ht="34.049999999999997" customHeight="1" x14ac:dyDescent="0.3">
      <c r="A461" s="90">
        <v>450</v>
      </c>
      <c r="B461" s="98" t="s">
        <v>1488</v>
      </c>
      <c r="C461" s="98" t="s">
        <v>1559</v>
      </c>
      <c r="D461" s="98" t="s">
        <v>1560</v>
      </c>
      <c r="E461" s="98">
        <v>1981</v>
      </c>
      <c r="F461" s="98" t="s">
        <v>19</v>
      </c>
      <c r="G461" s="98" t="s">
        <v>1634</v>
      </c>
      <c r="H461" s="98" t="s">
        <v>1634</v>
      </c>
      <c r="I461" s="98" t="s">
        <v>1480</v>
      </c>
      <c r="J461" s="98">
        <v>6199</v>
      </c>
      <c r="K461" s="98">
        <v>0</v>
      </c>
      <c r="L461" s="98">
        <v>0</v>
      </c>
      <c r="M461" s="98">
        <v>0</v>
      </c>
      <c r="N461" s="98">
        <v>0</v>
      </c>
      <c r="O461" s="98">
        <v>0</v>
      </c>
      <c r="P461" s="98">
        <v>0</v>
      </c>
      <c r="Q461" s="101">
        <f t="shared" si="14"/>
        <v>6199</v>
      </c>
      <c r="R461" s="95">
        <f t="shared" ref="R461:R524" si="15">Q461*85/100</f>
        <v>5269.15</v>
      </c>
      <c r="S461" s="41"/>
      <c r="T461" s="41"/>
      <c r="U461" s="41"/>
      <c r="V461" s="41"/>
      <c r="W461" s="41"/>
    </row>
    <row r="462" spans="1:23" ht="34.049999999999997" customHeight="1" x14ac:dyDescent="0.3">
      <c r="A462" s="90">
        <v>451</v>
      </c>
      <c r="B462" s="91" t="s">
        <v>1488</v>
      </c>
      <c r="C462" s="91" t="s">
        <v>1561</v>
      </c>
      <c r="D462" s="91" t="s">
        <v>1562</v>
      </c>
      <c r="E462" s="91">
        <v>1997</v>
      </c>
      <c r="F462" s="91" t="s">
        <v>19</v>
      </c>
      <c r="G462" s="91" t="s">
        <v>1635</v>
      </c>
      <c r="H462" s="91" t="s">
        <v>1635</v>
      </c>
      <c r="I462" s="91" t="s">
        <v>289</v>
      </c>
      <c r="J462" s="91">
        <v>3582</v>
      </c>
      <c r="K462" s="91">
        <v>0</v>
      </c>
      <c r="L462" s="91">
        <v>0</v>
      </c>
      <c r="M462" s="91">
        <v>0</v>
      </c>
      <c r="N462" s="91">
        <f>34016+27380</f>
        <v>61396</v>
      </c>
      <c r="O462" s="91">
        <v>0</v>
      </c>
      <c r="P462" s="91">
        <v>0</v>
      </c>
      <c r="Q462" s="101">
        <f t="shared" si="14"/>
        <v>64978</v>
      </c>
      <c r="R462" s="95">
        <f t="shared" si="15"/>
        <v>55231.3</v>
      </c>
    </row>
    <row r="463" spans="1:23" ht="34.049999999999997" customHeight="1" x14ac:dyDescent="0.3">
      <c r="A463" s="96">
        <v>452</v>
      </c>
      <c r="B463" s="98" t="s">
        <v>1488</v>
      </c>
      <c r="C463" s="98" t="s">
        <v>1563</v>
      </c>
      <c r="D463" s="98" t="s">
        <v>1564</v>
      </c>
      <c r="E463" s="98">
        <v>2018</v>
      </c>
      <c r="F463" s="98" t="s">
        <v>19</v>
      </c>
      <c r="G463" s="98" t="s">
        <v>1636</v>
      </c>
      <c r="H463" s="98" t="s">
        <v>1671</v>
      </c>
      <c r="I463" s="98" t="s">
        <v>1460</v>
      </c>
      <c r="J463" s="98">
        <v>6199</v>
      </c>
      <c r="K463" s="98">
        <f>6278+4484+2332+1346+4484+4484+2332+6995+6995+2332+6995+2332+2332+2332+2332</f>
        <v>58385</v>
      </c>
      <c r="L463" s="98">
        <v>0</v>
      </c>
      <c r="M463" s="98">
        <v>0</v>
      </c>
      <c r="N463" s="98">
        <v>3148</v>
      </c>
      <c r="O463" s="98">
        <v>0</v>
      </c>
      <c r="P463" s="98">
        <v>0</v>
      </c>
      <c r="Q463" s="101">
        <f t="shared" si="14"/>
        <v>67732</v>
      </c>
      <c r="R463" s="95">
        <f t="shared" si="15"/>
        <v>57572.2</v>
      </c>
      <c r="S463" s="41"/>
      <c r="T463" s="41"/>
      <c r="U463" s="41"/>
      <c r="V463" s="41"/>
      <c r="W463" s="41"/>
    </row>
    <row r="464" spans="1:23" ht="34.049999999999997" customHeight="1" x14ac:dyDescent="0.3">
      <c r="A464" s="90">
        <v>453</v>
      </c>
      <c r="B464" s="91" t="s">
        <v>1488</v>
      </c>
      <c r="C464" s="91" t="s">
        <v>1565</v>
      </c>
      <c r="D464" s="91" t="s">
        <v>1566</v>
      </c>
      <c r="E464" s="91">
        <v>2023</v>
      </c>
      <c r="F464" s="91" t="s">
        <v>19</v>
      </c>
      <c r="G464" s="91" t="s">
        <v>1637</v>
      </c>
      <c r="H464" s="91" t="s">
        <v>1672</v>
      </c>
      <c r="I464" s="91" t="s">
        <v>32</v>
      </c>
      <c r="J464" s="91">
        <v>3793</v>
      </c>
      <c r="K464" s="91">
        <f>6278+4484+1346</f>
        <v>12108</v>
      </c>
      <c r="L464" s="91">
        <v>0</v>
      </c>
      <c r="M464" s="91">
        <v>0</v>
      </c>
      <c r="N464" s="91">
        <f>3148+1178+4053+2088</f>
        <v>10467</v>
      </c>
      <c r="O464" s="91">
        <v>0</v>
      </c>
      <c r="P464" s="91">
        <f>720+1080+1200+360+56+396</f>
        <v>3812</v>
      </c>
      <c r="Q464" s="101">
        <f t="shared" si="14"/>
        <v>30180</v>
      </c>
      <c r="R464" s="95">
        <f t="shared" si="15"/>
        <v>25653</v>
      </c>
    </row>
    <row r="465" spans="1:23" ht="34.049999999999997" customHeight="1" x14ac:dyDescent="0.3">
      <c r="A465" s="90">
        <v>454</v>
      </c>
      <c r="B465" s="98" t="s">
        <v>1488</v>
      </c>
      <c r="C465" s="98" t="s">
        <v>1567</v>
      </c>
      <c r="D465" s="98" t="s">
        <v>1568</v>
      </c>
      <c r="E465" s="98">
        <v>2025</v>
      </c>
      <c r="F465" s="98" t="s">
        <v>19</v>
      </c>
      <c r="G465" s="98" t="s">
        <v>1638</v>
      </c>
      <c r="H465" s="98" t="s">
        <v>1673</v>
      </c>
      <c r="I465" s="98" t="s">
        <v>1704</v>
      </c>
      <c r="J465" s="98">
        <v>6199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101">
        <f t="shared" si="14"/>
        <v>6199</v>
      </c>
      <c r="R465" s="95">
        <f t="shared" si="15"/>
        <v>5269.15</v>
      </c>
      <c r="S465" s="41"/>
      <c r="T465" s="41"/>
      <c r="U465" s="41"/>
      <c r="V465" s="41"/>
      <c r="W465" s="41"/>
    </row>
    <row r="466" spans="1:23" ht="34.049999999999997" customHeight="1" x14ac:dyDescent="0.3">
      <c r="A466" s="96">
        <v>455</v>
      </c>
      <c r="B466" s="91" t="s">
        <v>1488</v>
      </c>
      <c r="C466" s="91" t="s">
        <v>1569</v>
      </c>
      <c r="D466" s="91" t="s">
        <v>1570</v>
      </c>
      <c r="E466" s="91">
        <v>2017</v>
      </c>
      <c r="F466" s="91" t="s">
        <v>18</v>
      </c>
      <c r="G466" s="91" t="s">
        <v>1639</v>
      </c>
      <c r="H466" s="91" t="s">
        <v>1674</v>
      </c>
      <c r="I466" s="91" t="s">
        <v>1470</v>
      </c>
      <c r="J466" s="91">
        <v>6199</v>
      </c>
      <c r="K466" s="91">
        <v>0</v>
      </c>
      <c r="L466" s="91">
        <v>0</v>
      </c>
      <c r="M466" s="91">
        <v>0</v>
      </c>
      <c r="N466" s="91">
        <v>0</v>
      </c>
      <c r="O466" s="91">
        <v>0</v>
      </c>
      <c r="P466" s="91">
        <v>0</v>
      </c>
      <c r="Q466" s="101">
        <f t="shared" si="14"/>
        <v>6199</v>
      </c>
      <c r="R466" s="95">
        <f t="shared" si="15"/>
        <v>5269.15</v>
      </c>
    </row>
    <row r="467" spans="1:23" ht="34.049999999999997" customHeight="1" x14ac:dyDescent="0.3">
      <c r="A467" s="90">
        <v>456</v>
      </c>
      <c r="B467" s="91" t="s">
        <v>1488</v>
      </c>
      <c r="C467" s="91" t="s">
        <v>1571</v>
      </c>
      <c r="D467" s="91" t="s">
        <v>1572</v>
      </c>
      <c r="E467" s="91">
        <v>1998</v>
      </c>
      <c r="F467" s="91" t="s">
        <v>19</v>
      </c>
      <c r="G467" s="91" t="s">
        <v>1640</v>
      </c>
      <c r="H467" s="91" t="s">
        <v>1640</v>
      </c>
      <c r="I467" s="91" t="s">
        <v>1705</v>
      </c>
      <c r="J467" s="91">
        <v>6199</v>
      </c>
      <c r="K467" s="91">
        <f>2332+2332+2243</f>
        <v>6907</v>
      </c>
      <c r="L467" s="91">
        <v>0</v>
      </c>
      <c r="M467" s="91">
        <v>0</v>
      </c>
      <c r="N467" s="91">
        <v>0</v>
      </c>
      <c r="O467" s="91">
        <v>0</v>
      </c>
      <c r="P467" s="91">
        <v>0</v>
      </c>
      <c r="Q467" s="101">
        <f t="shared" si="14"/>
        <v>13106</v>
      </c>
      <c r="R467" s="95">
        <f t="shared" si="15"/>
        <v>11140.1</v>
      </c>
    </row>
    <row r="468" spans="1:23" ht="34.049999999999997" customHeight="1" x14ac:dyDescent="0.3">
      <c r="A468" s="90">
        <v>457</v>
      </c>
      <c r="B468" s="91" t="s">
        <v>1488</v>
      </c>
      <c r="C468" s="91" t="s">
        <v>1573</v>
      </c>
      <c r="D468" s="91" t="s">
        <v>1574</v>
      </c>
      <c r="E468" s="91">
        <v>2024</v>
      </c>
      <c r="F468" s="91" t="s">
        <v>19</v>
      </c>
      <c r="G468" s="91" t="s">
        <v>1641</v>
      </c>
      <c r="H468" s="91" t="s">
        <v>1640</v>
      </c>
      <c r="I468" s="91" t="s">
        <v>1698</v>
      </c>
      <c r="J468" s="91">
        <v>6199</v>
      </c>
      <c r="K468" s="91">
        <f>6278+4484+1346+4484+2332+2332+2332+2332+2332+2332+2332+1346</f>
        <v>34262</v>
      </c>
      <c r="L468" s="91">
        <v>0</v>
      </c>
      <c r="M468" s="91">
        <v>0</v>
      </c>
      <c r="N468" s="91">
        <v>3148</v>
      </c>
      <c r="O468" s="91">
        <v>0</v>
      </c>
      <c r="P468" s="91">
        <v>0</v>
      </c>
      <c r="Q468" s="101">
        <f t="shared" si="14"/>
        <v>43609</v>
      </c>
      <c r="R468" s="95">
        <f t="shared" si="15"/>
        <v>37067.65</v>
      </c>
    </row>
    <row r="469" spans="1:23" ht="34.049999999999997" customHeight="1" x14ac:dyDescent="0.3">
      <c r="A469" s="96">
        <v>458</v>
      </c>
      <c r="B469" s="91" t="s">
        <v>1488</v>
      </c>
      <c r="C469" s="91" t="s">
        <v>1575</v>
      </c>
      <c r="D469" s="91" t="s">
        <v>1576</v>
      </c>
      <c r="E469" s="91">
        <v>1959</v>
      </c>
      <c r="F469" s="91" t="s">
        <v>19</v>
      </c>
      <c r="G469" s="91" t="s">
        <v>1642</v>
      </c>
      <c r="H469" s="91" t="s">
        <v>1642</v>
      </c>
      <c r="I469" s="91" t="s">
        <v>824</v>
      </c>
      <c r="J469" s="91">
        <v>6199</v>
      </c>
      <c r="K469" s="91">
        <v>0</v>
      </c>
      <c r="L469" s="91">
        <v>0</v>
      </c>
      <c r="M469" s="91">
        <v>0</v>
      </c>
      <c r="N469" s="91">
        <v>0</v>
      </c>
      <c r="O469" s="91">
        <v>0</v>
      </c>
      <c r="P469" s="91">
        <v>0</v>
      </c>
      <c r="Q469" s="101">
        <f t="shared" si="14"/>
        <v>6199</v>
      </c>
      <c r="R469" s="95">
        <f t="shared" si="15"/>
        <v>5269.15</v>
      </c>
    </row>
    <row r="470" spans="1:23" ht="34.049999999999997" customHeight="1" x14ac:dyDescent="0.3">
      <c r="A470" s="90">
        <v>459</v>
      </c>
      <c r="B470" s="91" t="s">
        <v>1488</v>
      </c>
      <c r="C470" s="91" t="s">
        <v>1577</v>
      </c>
      <c r="D470" s="91" t="s">
        <v>1578</v>
      </c>
      <c r="E470" s="91">
        <v>2022</v>
      </c>
      <c r="F470" s="91" t="s">
        <v>19</v>
      </c>
      <c r="G470" s="91" t="s">
        <v>1643</v>
      </c>
      <c r="H470" s="91" t="s">
        <v>1675</v>
      </c>
      <c r="I470" s="91" t="s">
        <v>829</v>
      </c>
      <c r="J470" s="91">
        <v>6199</v>
      </c>
      <c r="K470" s="91">
        <f>6278+4484+1346+4484+2332+2332+1166+2332+2332+2332+2332+6995+6995+2332+6995</f>
        <v>55067</v>
      </c>
      <c r="L470" s="91">
        <v>0</v>
      </c>
      <c r="M470" s="91">
        <v>0</v>
      </c>
      <c r="N470" s="91">
        <v>3148</v>
      </c>
      <c r="O470" s="91">
        <v>0</v>
      </c>
      <c r="P470" s="91">
        <v>0</v>
      </c>
      <c r="Q470" s="101">
        <f t="shared" si="14"/>
        <v>64414</v>
      </c>
      <c r="R470" s="95">
        <f t="shared" si="15"/>
        <v>54751.9</v>
      </c>
    </row>
    <row r="471" spans="1:23" ht="34.049999999999997" customHeight="1" x14ac:dyDescent="0.3">
      <c r="A471" s="90">
        <v>460</v>
      </c>
      <c r="B471" s="91" t="s">
        <v>1488</v>
      </c>
      <c r="C471" s="91" t="s">
        <v>1579</v>
      </c>
      <c r="D471" s="91" t="s">
        <v>1580</v>
      </c>
      <c r="E471" s="91">
        <v>1989</v>
      </c>
      <c r="F471" s="91" t="s">
        <v>18</v>
      </c>
      <c r="G471" s="91" t="s">
        <v>1644</v>
      </c>
      <c r="H471" s="91" t="s">
        <v>1676</v>
      </c>
      <c r="I471" s="91" t="s">
        <v>1706</v>
      </c>
      <c r="J471" s="91">
        <v>6199</v>
      </c>
      <c r="K471" s="91">
        <v>0</v>
      </c>
      <c r="L471" s="91">
        <v>0</v>
      </c>
      <c r="M471" s="91">
        <v>0</v>
      </c>
      <c r="N471" s="91">
        <f>15443+21194+19239</f>
        <v>55876</v>
      </c>
      <c r="O471" s="91">
        <v>0</v>
      </c>
      <c r="P471" s="91">
        <v>0</v>
      </c>
      <c r="Q471" s="101">
        <f t="shared" si="14"/>
        <v>62075</v>
      </c>
      <c r="R471" s="95">
        <f t="shared" si="15"/>
        <v>52763.75</v>
      </c>
    </row>
    <row r="472" spans="1:23" ht="34.049999999999997" customHeight="1" x14ac:dyDescent="0.3">
      <c r="A472" s="96">
        <v>461</v>
      </c>
      <c r="B472" s="91" t="s">
        <v>1488</v>
      </c>
      <c r="C472" s="91" t="s">
        <v>1581</v>
      </c>
      <c r="D472" s="91" t="s">
        <v>1582</v>
      </c>
      <c r="E472" s="91">
        <v>1998</v>
      </c>
      <c r="F472" s="91" t="s">
        <v>19</v>
      </c>
      <c r="G472" s="91" t="s">
        <v>1645</v>
      </c>
      <c r="H472" s="91" t="s">
        <v>1645</v>
      </c>
      <c r="I472" s="91" t="s">
        <v>1707</v>
      </c>
      <c r="J472" s="91">
        <v>6199</v>
      </c>
      <c r="K472" s="91">
        <v>0</v>
      </c>
      <c r="L472" s="91">
        <v>0</v>
      </c>
      <c r="M472" s="91">
        <v>0</v>
      </c>
      <c r="N472" s="91">
        <v>0</v>
      </c>
      <c r="O472" s="91">
        <v>0</v>
      </c>
      <c r="P472" s="91">
        <v>0</v>
      </c>
      <c r="Q472" s="101">
        <f t="shared" si="14"/>
        <v>6199</v>
      </c>
      <c r="R472" s="95">
        <f t="shared" si="15"/>
        <v>5269.15</v>
      </c>
    </row>
    <row r="473" spans="1:23" ht="34.049999999999997" customHeight="1" x14ac:dyDescent="0.3">
      <c r="A473" s="90">
        <v>462</v>
      </c>
      <c r="B473" s="91" t="s">
        <v>1488</v>
      </c>
      <c r="C473" s="91" t="s">
        <v>1583</v>
      </c>
      <c r="D473" s="91" t="s">
        <v>1584</v>
      </c>
      <c r="E473" s="91">
        <v>1988</v>
      </c>
      <c r="F473" s="91" t="s">
        <v>18</v>
      </c>
      <c r="G473" s="91" t="s">
        <v>1646</v>
      </c>
      <c r="H473" s="91" t="s">
        <v>1677</v>
      </c>
      <c r="I473" s="91" t="s">
        <v>1708</v>
      </c>
      <c r="J473" s="91">
        <v>6199</v>
      </c>
      <c r="K473" s="91">
        <v>0</v>
      </c>
      <c r="L473" s="91">
        <v>0</v>
      </c>
      <c r="M473" s="91">
        <v>0</v>
      </c>
      <c r="N473" s="91">
        <v>0</v>
      </c>
      <c r="O473" s="91">
        <v>0</v>
      </c>
      <c r="P473" s="91">
        <v>0</v>
      </c>
      <c r="Q473" s="101">
        <f t="shared" si="14"/>
        <v>6199</v>
      </c>
      <c r="R473" s="95">
        <f t="shared" si="15"/>
        <v>5269.15</v>
      </c>
    </row>
    <row r="474" spans="1:23" ht="34.049999999999997" customHeight="1" x14ac:dyDescent="0.3">
      <c r="A474" s="90">
        <v>463</v>
      </c>
      <c r="B474" s="91" t="s">
        <v>1488</v>
      </c>
      <c r="C474" s="91" t="s">
        <v>1585</v>
      </c>
      <c r="D474" s="91" t="s">
        <v>1586</v>
      </c>
      <c r="E474" s="91">
        <v>1999</v>
      </c>
      <c r="F474" s="91" t="s">
        <v>18</v>
      </c>
      <c r="G474" s="91" t="s">
        <v>1647</v>
      </c>
      <c r="H474" s="91" t="s">
        <v>1647</v>
      </c>
      <c r="I474" s="91" t="s">
        <v>1709</v>
      </c>
      <c r="J474" s="91">
        <v>6199</v>
      </c>
      <c r="K474" s="91">
        <v>0</v>
      </c>
      <c r="L474" s="91">
        <v>0</v>
      </c>
      <c r="M474" s="91">
        <v>0</v>
      </c>
      <c r="N474" s="91">
        <v>0</v>
      </c>
      <c r="O474" s="91">
        <v>0</v>
      </c>
      <c r="P474" s="91">
        <v>0</v>
      </c>
      <c r="Q474" s="101">
        <f t="shared" si="14"/>
        <v>6199</v>
      </c>
      <c r="R474" s="95">
        <f t="shared" si="15"/>
        <v>5269.15</v>
      </c>
    </row>
    <row r="475" spans="1:23" ht="34.049999999999997" customHeight="1" x14ac:dyDescent="0.3">
      <c r="A475" s="96">
        <v>464</v>
      </c>
      <c r="B475" s="91" t="s">
        <v>1488</v>
      </c>
      <c r="C475" s="91" t="s">
        <v>1587</v>
      </c>
      <c r="D475" s="91" t="s">
        <v>1588</v>
      </c>
      <c r="E475" s="91">
        <v>1986</v>
      </c>
      <c r="F475" s="91" t="s">
        <v>18</v>
      </c>
      <c r="G475" s="91" t="s">
        <v>1648</v>
      </c>
      <c r="H475" s="91" t="s">
        <v>1678</v>
      </c>
      <c r="I475" s="91" t="s">
        <v>1710</v>
      </c>
      <c r="J475" s="91">
        <v>6199</v>
      </c>
      <c r="K475" s="91">
        <v>0</v>
      </c>
      <c r="L475" s="91">
        <v>0</v>
      </c>
      <c r="M475" s="91">
        <v>0</v>
      </c>
      <c r="N475" s="91">
        <f>34016+27380</f>
        <v>61396</v>
      </c>
      <c r="O475" s="91">
        <v>0</v>
      </c>
      <c r="P475" s="91">
        <v>0</v>
      </c>
      <c r="Q475" s="101">
        <f t="shared" si="14"/>
        <v>67595</v>
      </c>
      <c r="R475" s="95">
        <f t="shared" si="15"/>
        <v>57455.75</v>
      </c>
    </row>
    <row r="476" spans="1:23" ht="34.049999999999997" customHeight="1" x14ac:dyDescent="0.3">
      <c r="A476" s="90">
        <v>465</v>
      </c>
      <c r="B476" s="91" t="s">
        <v>1488</v>
      </c>
      <c r="C476" s="91" t="s">
        <v>1589</v>
      </c>
      <c r="D476" s="91" t="s">
        <v>1590</v>
      </c>
      <c r="E476" s="91">
        <v>1985</v>
      </c>
      <c r="F476" s="91" t="s">
        <v>18</v>
      </c>
      <c r="G476" s="91" t="s">
        <v>1649</v>
      </c>
      <c r="H476" s="91" t="s">
        <v>1649</v>
      </c>
      <c r="I476" s="91" t="s">
        <v>278</v>
      </c>
      <c r="J476" s="91">
        <v>6199</v>
      </c>
      <c r="K476" s="91">
        <v>0</v>
      </c>
      <c r="L476" s="91">
        <v>0</v>
      </c>
      <c r="M476" s="91">
        <v>0</v>
      </c>
      <c r="N476" s="91">
        <v>0</v>
      </c>
      <c r="O476" s="91">
        <v>0</v>
      </c>
      <c r="P476" s="91">
        <v>0</v>
      </c>
      <c r="Q476" s="101">
        <f t="shared" si="14"/>
        <v>6199</v>
      </c>
      <c r="R476" s="95">
        <f t="shared" si="15"/>
        <v>5269.15</v>
      </c>
    </row>
    <row r="477" spans="1:23" ht="34.049999999999997" customHeight="1" x14ac:dyDescent="0.3">
      <c r="A477" s="90">
        <v>466</v>
      </c>
      <c r="B477" s="91" t="s">
        <v>1488</v>
      </c>
      <c r="C477" s="91" t="s">
        <v>1591</v>
      </c>
      <c r="D477" s="91" t="s">
        <v>1592</v>
      </c>
      <c r="E477" s="91">
        <v>2022</v>
      </c>
      <c r="F477" s="91" t="s">
        <v>19</v>
      </c>
      <c r="G477" s="91" t="s">
        <v>1650</v>
      </c>
      <c r="H477" s="91" t="s">
        <v>1679</v>
      </c>
      <c r="I477" s="91" t="s">
        <v>1060</v>
      </c>
      <c r="J477" s="91">
        <v>6199</v>
      </c>
      <c r="K477" s="91">
        <v>0</v>
      </c>
      <c r="L477" s="91">
        <v>0</v>
      </c>
      <c r="M477" s="91">
        <v>0</v>
      </c>
      <c r="N477" s="91">
        <v>0</v>
      </c>
      <c r="O477" s="91">
        <v>0</v>
      </c>
      <c r="P477" s="91">
        <v>0</v>
      </c>
      <c r="Q477" s="101">
        <f t="shared" si="14"/>
        <v>6199</v>
      </c>
      <c r="R477" s="95">
        <f t="shared" si="15"/>
        <v>5269.15</v>
      </c>
    </row>
    <row r="478" spans="1:23" ht="34.049999999999997" customHeight="1" x14ac:dyDescent="0.3">
      <c r="A478" s="96">
        <v>467</v>
      </c>
      <c r="B478" s="91" t="s">
        <v>1488</v>
      </c>
      <c r="C478" s="91" t="s">
        <v>1593</v>
      </c>
      <c r="D478" s="91" t="s">
        <v>1594</v>
      </c>
      <c r="E478" s="91">
        <v>2021</v>
      </c>
      <c r="F478" s="91" t="s">
        <v>18</v>
      </c>
      <c r="G478" s="91" t="s">
        <v>1651</v>
      </c>
      <c r="H478" s="91" t="s">
        <v>1680</v>
      </c>
      <c r="I478" s="91" t="s">
        <v>1711</v>
      </c>
      <c r="J478" s="91">
        <v>6199</v>
      </c>
      <c r="K478" s="91">
        <f>6278+4484+1346+1166</f>
        <v>13274</v>
      </c>
      <c r="L478" s="91">
        <v>0</v>
      </c>
      <c r="M478" s="91">
        <v>0</v>
      </c>
      <c r="N478" s="91">
        <v>3148</v>
      </c>
      <c r="O478" s="91">
        <v>0</v>
      </c>
      <c r="P478" s="91">
        <v>0</v>
      </c>
      <c r="Q478" s="101">
        <f t="shared" si="14"/>
        <v>22621</v>
      </c>
      <c r="R478" s="95">
        <f t="shared" si="15"/>
        <v>19227.849999999999</v>
      </c>
    </row>
    <row r="479" spans="1:23" ht="34.049999999999997" customHeight="1" x14ac:dyDescent="0.3">
      <c r="A479" s="90">
        <v>468</v>
      </c>
      <c r="B479" s="91" t="s">
        <v>1488</v>
      </c>
      <c r="C479" s="91" t="s">
        <v>1595</v>
      </c>
      <c r="D479" s="91" t="s">
        <v>1596</v>
      </c>
      <c r="E479" s="91">
        <v>2020</v>
      </c>
      <c r="F479" s="91" t="s">
        <v>19</v>
      </c>
      <c r="G479" s="91" t="s">
        <v>1652</v>
      </c>
      <c r="H479" s="91" t="s">
        <v>1681</v>
      </c>
      <c r="I479" s="91" t="s">
        <v>1069</v>
      </c>
      <c r="J479" s="91">
        <v>6199</v>
      </c>
      <c r="K479" s="91">
        <v>0</v>
      </c>
      <c r="L479" s="91">
        <v>0</v>
      </c>
      <c r="M479" s="91">
        <v>0</v>
      </c>
      <c r="N479" s="91">
        <v>0</v>
      </c>
      <c r="O479" s="91">
        <v>0</v>
      </c>
      <c r="P479" s="91">
        <v>0</v>
      </c>
      <c r="Q479" s="101">
        <f t="shared" si="14"/>
        <v>6199</v>
      </c>
      <c r="R479" s="95">
        <f t="shared" si="15"/>
        <v>5269.15</v>
      </c>
    </row>
    <row r="480" spans="1:23" ht="34.049999999999997" customHeight="1" x14ac:dyDescent="0.3">
      <c r="A480" s="90">
        <v>469</v>
      </c>
      <c r="B480" s="91" t="s">
        <v>1488</v>
      </c>
      <c r="C480" s="91" t="s">
        <v>1597</v>
      </c>
      <c r="D480" s="91" t="s">
        <v>1598</v>
      </c>
      <c r="E480" s="91">
        <v>2023</v>
      </c>
      <c r="F480" s="91" t="s">
        <v>19</v>
      </c>
      <c r="G480" s="91" t="s">
        <v>1653</v>
      </c>
      <c r="H480" s="91" t="s">
        <v>1682</v>
      </c>
      <c r="I480" s="91" t="s">
        <v>1050</v>
      </c>
      <c r="J480" s="91">
        <v>6199</v>
      </c>
      <c r="K480" s="91">
        <v>0</v>
      </c>
      <c r="L480" s="91">
        <v>0</v>
      </c>
      <c r="M480" s="91">
        <v>0</v>
      </c>
      <c r="N480" s="91">
        <v>0</v>
      </c>
      <c r="O480" s="91">
        <v>0</v>
      </c>
      <c r="P480" s="91">
        <v>0</v>
      </c>
      <c r="Q480" s="101">
        <f t="shared" si="14"/>
        <v>6199</v>
      </c>
      <c r="R480" s="95">
        <f t="shared" si="15"/>
        <v>5269.15</v>
      </c>
    </row>
    <row r="481" spans="1:23" ht="34.049999999999997" customHeight="1" x14ac:dyDescent="0.3">
      <c r="A481" s="96">
        <v>470</v>
      </c>
      <c r="B481" s="91" t="s">
        <v>1488</v>
      </c>
      <c r="C481" s="91" t="s">
        <v>1599</v>
      </c>
      <c r="D481" s="91" t="s">
        <v>1600</v>
      </c>
      <c r="E481" s="91">
        <v>1994</v>
      </c>
      <c r="F481" s="91" t="s">
        <v>19</v>
      </c>
      <c r="G481" s="91" t="s">
        <v>1654</v>
      </c>
      <c r="H481" s="91" t="s">
        <v>1683</v>
      </c>
      <c r="I481" s="91" t="s">
        <v>1050</v>
      </c>
      <c r="J481" s="91">
        <v>6199</v>
      </c>
      <c r="K481" s="91">
        <v>0</v>
      </c>
      <c r="L481" s="91">
        <v>0</v>
      </c>
      <c r="M481" s="91">
        <v>0</v>
      </c>
      <c r="N481" s="91">
        <v>0</v>
      </c>
      <c r="O481" s="91">
        <v>0</v>
      </c>
      <c r="P481" s="91">
        <v>0</v>
      </c>
      <c r="Q481" s="101">
        <f t="shared" si="14"/>
        <v>6199</v>
      </c>
      <c r="R481" s="95">
        <f t="shared" si="15"/>
        <v>5269.15</v>
      </c>
    </row>
    <row r="482" spans="1:23" ht="34.049999999999997" customHeight="1" x14ac:dyDescent="0.3">
      <c r="A482" s="90">
        <v>471</v>
      </c>
      <c r="B482" s="91" t="s">
        <v>1488</v>
      </c>
      <c r="C482" s="91" t="s">
        <v>7225</v>
      </c>
      <c r="D482" s="93" t="s">
        <v>2647</v>
      </c>
      <c r="E482" s="91">
        <v>1979</v>
      </c>
      <c r="F482" s="91" t="s">
        <v>18</v>
      </c>
      <c r="G482" s="91" t="s">
        <v>2648</v>
      </c>
      <c r="H482" s="91" t="s">
        <v>2649</v>
      </c>
      <c r="I482" s="91" t="s">
        <v>34</v>
      </c>
      <c r="J482" s="91">
        <v>2900</v>
      </c>
      <c r="K482" s="91">
        <v>0</v>
      </c>
      <c r="L482" s="91">
        <v>0</v>
      </c>
      <c r="M482" s="91">
        <v>17688</v>
      </c>
      <c r="N482" s="91">
        <f>1681+1178</f>
        <v>2859</v>
      </c>
      <c r="O482" s="91">
        <v>0</v>
      </c>
      <c r="P482" s="91">
        <f>624+112+660+144+720+60</f>
        <v>2320</v>
      </c>
      <c r="Q482" s="101">
        <f t="shared" si="14"/>
        <v>25767</v>
      </c>
      <c r="R482" s="95">
        <f t="shared" si="15"/>
        <v>21901.95</v>
      </c>
    </row>
    <row r="483" spans="1:23" ht="34.049999999999997" customHeight="1" x14ac:dyDescent="0.3">
      <c r="A483" s="90">
        <v>472</v>
      </c>
      <c r="B483" s="91" t="s">
        <v>1488</v>
      </c>
      <c r="C483" s="91" t="s">
        <v>7226</v>
      </c>
      <c r="D483" s="93" t="s">
        <v>406</v>
      </c>
      <c r="E483" s="91">
        <v>2018</v>
      </c>
      <c r="F483" s="91" t="s">
        <v>18</v>
      </c>
      <c r="G483" s="91" t="s">
        <v>482</v>
      </c>
      <c r="H483" s="91" t="s">
        <v>523</v>
      </c>
      <c r="I483" s="91" t="s">
        <v>268</v>
      </c>
      <c r="J483" s="91">
        <v>2900</v>
      </c>
      <c r="K483" s="91">
        <v>0</v>
      </c>
      <c r="L483" s="91">
        <v>0</v>
      </c>
      <c r="M483" s="91">
        <v>0</v>
      </c>
      <c r="N483" s="91">
        <v>2088</v>
      </c>
      <c r="O483" s="91">
        <v>0</v>
      </c>
      <c r="P483" s="91">
        <f>360+56</f>
        <v>416</v>
      </c>
      <c r="Q483" s="101">
        <f t="shared" si="14"/>
        <v>5404</v>
      </c>
      <c r="R483" s="95">
        <f t="shared" si="15"/>
        <v>4593.3999999999996</v>
      </c>
    </row>
    <row r="484" spans="1:23" ht="34.049999999999997" customHeight="1" x14ac:dyDescent="0.3">
      <c r="A484" s="96">
        <v>473</v>
      </c>
      <c r="B484" s="91" t="s">
        <v>1488</v>
      </c>
      <c r="C484" s="91" t="s">
        <v>7227</v>
      </c>
      <c r="D484" s="93" t="s">
        <v>1305</v>
      </c>
      <c r="E484" s="91">
        <v>2024</v>
      </c>
      <c r="F484" s="91" t="s">
        <v>18</v>
      </c>
      <c r="G484" s="91" t="s">
        <v>1391</v>
      </c>
      <c r="H484" s="91" t="s">
        <v>1437</v>
      </c>
      <c r="I484" s="91" t="s">
        <v>835</v>
      </c>
      <c r="J484" s="91">
        <v>2900</v>
      </c>
      <c r="K484" s="91">
        <v>0</v>
      </c>
      <c r="L484" s="91">
        <v>0</v>
      </c>
      <c r="M484" s="91">
        <v>17688</v>
      </c>
      <c r="N484" s="91">
        <v>2088</v>
      </c>
      <c r="O484" s="91">
        <v>0</v>
      </c>
      <c r="P484" s="91">
        <f>1080+168</f>
        <v>1248</v>
      </c>
      <c r="Q484" s="101">
        <f t="shared" si="14"/>
        <v>23924</v>
      </c>
      <c r="R484" s="95">
        <f t="shared" si="15"/>
        <v>20335.400000000001</v>
      </c>
    </row>
    <row r="485" spans="1:23" ht="34.049999999999997" customHeight="1" x14ac:dyDescent="0.3">
      <c r="A485" s="90">
        <v>474</v>
      </c>
      <c r="B485" s="91" t="s">
        <v>1488</v>
      </c>
      <c r="C485" s="91" t="s">
        <v>7228</v>
      </c>
      <c r="D485" s="93" t="s">
        <v>2651</v>
      </c>
      <c r="E485" s="91">
        <v>2012</v>
      </c>
      <c r="F485" s="91" t="s">
        <v>19</v>
      </c>
      <c r="G485" s="91" t="s">
        <v>2652</v>
      </c>
      <c r="H485" s="91" t="s">
        <v>2653</v>
      </c>
      <c r="I485" s="91" t="s">
        <v>1885</v>
      </c>
      <c r="J485" s="91">
        <v>2900</v>
      </c>
      <c r="K485" s="91">
        <v>0</v>
      </c>
      <c r="L485" s="91">
        <v>0</v>
      </c>
      <c r="M485" s="91">
        <v>0</v>
      </c>
      <c r="N485" s="91">
        <v>1178</v>
      </c>
      <c r="O485" s="91">
        <v>0</v>
      </c>
      <c r="P485" s="91">
        <v>1980</v>
      </c>
      <c r="Q485" s="101">
        <f t="shared" si="14"/>
        <v>6058</v>
      </c>
      <c r="R485" s="95">
        <f t="shared" si="15"/>
        <v>5149.3</v>
      </c>
    </row>
    <row r="486" spans="1:23" ht="34.049999999999997" customHeight="1" x14ac:dyDescent="0.3">
      <c r="A486" s="90">
        <v>475</v>
      </c>
      <c r="B486" s="91" t="s">
        <v>1488</v>
      </c>
      <c r="C486" s="91" t="s">
        <v>7229</v>
      </c>
      <c r="D486" s="93" t="s">
        <v>1143</v>
      </c>
      <c r="E486" s="91">
        <v>2019</v>
      </c>
      <c r="F486" s="91" t="s">
        <v>18</v>
      </c>
      <c r="G486" s="91" t="s">
        <v>1198</v>
      </c>
      <c r="H486" s="91" t="s">
        <v>1238</v>
      </c>
      <c r="I486" s="91" t="s">
        <v>1460</v>
      </c>
      <c r="J486" s="91">
        <v>2900</v>
      </c>
      <c r="K486" s="91">
        <v>0</v>
      </c>
      <c r="L486" s="91">
        <v>0</v>
      </c>
      <c r="M486" s="91">
        <v>0</v>
      </c>
      <c r="N486" s="91">
        <v>2088</v>
      </c>
      <c r="O486" s="91">
        <v>0</v>
      </c>
      <c r="P486" s="91">
        <f>360+56</f>
        <v>416</v>
      </c>
      <c r="Q486" s="101">
        <f t="shared" si="14"/>
        <v>5404</v>
      </c>
      <c r="R486" s="95">
        <f t="shared" si="15"/>
        <v>4593.3999999999996</v>
      </c>
    </row>
    <row r="487" spans="1:23" ht="34.049999999999997" customHeight="1" x14ac:dyDescent="0.3">
      <c r="A487" s="96">
        <v>476</v>
      </c>
      <c r="B487" s="91" t="s">
        <v>1488</v>
      </c>
      <c r="C487" s="91" t="s">
        <v>7230</v>
      </c>
      <c r="D487" s="93" t="s">
        <v>1158</v>
      </c>
      <c r="E487" s="91">
        <v>2020</v>
      </c>
      <c r="F487" s="91" t="s">
        <v>18</v>
      </c>
      <c r="G487" s="91" t="s">
        <v>1212</v>
      </c>
      <c r="H487" s="91" t="s">
        <v>1249</v>
      </c>
      <c r="I487" s="91" t="s">
        <v>1281</v>
      </c>
      <c r="J487" s="91">
        <v>2900</v>
      </c>
      <c r="K487" s="91">
        <v>0</v>
      </c>
      <c r="L487" s="91">
        <v>0</v>
      </c>
      <c r="M487" s="91">
        <v>0</v>
      </c>
      <c r="N487" s="91">
        <v>2088</v>
      </c>
      <c r="O487" s="91">
        <v>0</v>
      </c>
      <c r="P487" s="91">
        <f>360+56</f>
        <v>416</v>
      </c>
      <c r="Q487" s="101">
        <f t="shared" si="14"/>
        <v>5404</v>
      </c>
      <c r="R487" s="95">
        <f t="shared" si="15"/>
        <v>4593.3999999999996</v>
      </c>
      <c r="S487" s="41"/>
      <c r="T487" s="41"/>
      <c r="U487" s="41"/>
    </row>
    <row r="488" spans="1:23" ht="34.049999999999997" customHeight="1" x14ac:dyDescent="0.3">
      <c r="A488" s="90">
        <v>477</v>
      </c>
      <c r="B488" s="91" t="s">
        <v>1712</v>
      </c>
      <c r="C488" s="91" t="s">
        <v>1713</v>
      </c>
      <c r="D488" s="91" t="s">
        <v>136</v>
      </c>
      <c r="E488" s="91">
        <v>2023</v>
      </c>
      <c r="F488" s="91" t="s">
        <v>19</v>
      </c>
      <c r="G488" s="91" t="s">
        <v>197</v>
      </c>
      <c r="H488" s="91" t="s">
        <v>240</v>
      </c>
      <c r="I488" s="91" t="s">
        <v>291</v>
      </c>
      <c r="J488" s="91">
        <v>6199</v>
      </c>
      <c r="K488" s="91">
        <f>6278+4484+2332+1346+2332+2332+2332+2332+4484+2332+6995+6995+2332+6995+4484</f>
        <v>58385</v>
      </c>
      <c r="L488" s="91">
        <v>0</v>
      </c>
      <c r="M488" s="91">
        <v>0</v>
      </c>
      <c r="N488" s="91">
        <v>3148</v>
      </c>
      <c r="O488" s="91">
        <v>0</v>
      </c>
      <c r="P488" s="91">
        <v>0</v>
      </c>
      <c r="Q488" s="101">
        <f t="shared" si="14"/>
        <v>67732</v>
      </c>
      <c r="R488" s="95">
        <f t="shared" si="15"/>
        <v>57572.2</v>
      </c>
    </row>
    <row r="489" spans="1:23" ht="34.049999999999997" customHeight="1" x14ac:dyDescent="0.3">
      <c r="A489" s="90">
        <v>478</v>
      </c>
      <c r="B489" s="91" t="s">
        <v>1712</v>
      </c>
      <c r="C489" s="91" t="s">
        <v>1714</v>
      </c>
      <c r="D489" s="91" t="s">
        <v>41</v>
      </c>
      <c r="E489" s="91">
        <v>1982</v>
      </c>
      <c r="F489" s="91" t="s">
        <v>18</v>
      </c>
      <c r="G489" s="91" t="s">
        <v>149</v>
      </c>
      <c r="H489" s="91" t="s">
        <v>210</v>
      </c>
      <c r="I489" s="91" t="s">
        <v>249</v>
      </c>
      <c r="J489" s="91">
        <v>3793</v>
      </c>
      <c r="K489" s="91">
        <v>0</v>
      </c>
      <c r="L489" s="91">
        <v>0</v>
      </c>
      <c r="M489" s="91">
        <v>0</v>
      </c>
      <c r="N489" s="91">
        <v>1681</v>
      </c>
      <c r="O489" s="91">
        <v>0</v>
      </c>
      <c r="P489" s="91">
        <f>240+56</f>
        <v>296</v>
      </c>
      <c r="Q489" s="101">
        <f t="shared" si="14"/>
        <v>5770</v>
      </c>
      <c r="R489" s="95">
        <f t="shared" si="15"/>
        <v>4904.5</v>
      </c>
    </row>
    <row r="490" spans="1:23" ht="34.049999999999997" customHeight="1" x14ac:dyDescent="0.3">
      <c r="A490" s="96">
        <v>479</v>
      </c>
      <c r="B490" s="91" t="s">
        <v>1712</v>
      </c>
      <c r="C490" s="91" t="s">
        <v>1715</v>
      </c>
      <c r="D490" s="91" t="s">
        <v>1716</v>
      </c>
      <c r="E490" s="91">
        <v>2020</v>
      </c>
      <c r="F490" s="91" t="s">
        <v>18</v>
      </c>
      <c r="G490" s="91" t="s">
        <v>1805</v>
      </c>
      <c r="H490" s="91" t="s">
        <v>1850</v>
      </c>
      <c r="I490" s="91" t="s">
        <v>540</v>
      </c>
      <c r="J490" s="91">
        <v>6199</v>
      </c>
      <c r="K490" s="91">
        <v>0</v>
      </c>
      <c r="L490" s="91">
        <v>0</v>
      </c>
      <c r="M490" s="91">
        <v>0</v>
      </c>
      <c r="N490" s="91">
        <v>0</v>
      </c>
      <c r="O490" s="91">
        <v>0</v>
      </c>
      <c r="P490" s="91">
        <v>0</v>
      </c>
      <c r="Q490" s="101">
        <f t="shared" si="14"/>
        <v>6199</v>
      </c>
      <c r="R490" s="95">
        <f t="shared" si="15"/>
        <v>5269.15</v>
      </c>
    </row>
    <row r="491" spans="1:23" ht="34.049999999999997" customHeight="1" x14ac:dyDescent="0.3">
      <c r="A491" s="90">
        <v>480</v>
      </c>
      <c r="B491" s="91" t="s">
        <v>1712</v>
      </c>
      <c r="C491" s="91" t="s">
        <v>1717</v>
      </c>
      <c r="D491" s="91" t="s">
        <v>1718</v>
      </c>
      <c r="E491" s="91">
        <v>1974</v>
      </c>
      <c r="F491" s="91" t="s">
        <v>18</v>
      </c>
      <c r="G491" s="91" t="s">
        <v>1806</v>
      </c>
      <c r="H491" s="91" t="s">
        <v>1851</v>
      </c>
      <c r="I491" s="91" t="s">
        <v>249</v>
      </c>
      <c r="J491" s="91">
        <v>6199</v>
      </c>
      <c r="K491" s="91">
        <v>0</v>
      </c>
      <c r="L491" s="91">
        <v>0</v>
      </c>
      <c r="M491" s="91">
        <v>0</v>
      </c>
      <c r="N491" s="91">
        <f>34016+27380</f>
        <v>61396</v>
      </c>
      <c r="O491" s="91">
        <v>0</v>
      </c>
      <c r="P491" s="91">
        <v>0</v>
      </c>
      <c r="Q491" s="101">
        <f t="shared" si="14"/>
        <v>67595</v>
      </c>
      <c r="R491" s="95">
        <f t="shared" si="15"/>
        <v>57455.75</v>
      </c>
    </row>
    <row r="492" spans="1:23" ht="34.049999999999997" customHeight="1" x14ac:dyDescent="0.3">
      <c r="A492" s="90">
        <v>481</v>
      </c>
      <c r="B492" s="91" t="s">
        <v>1712</v>
      </c>
      <c r="C492" s="91" t="s">
        <v>1719</v>
      </c>
      <c r="D492" s="91" t="s">
        <v>1720</v>
      </c>
      <c r="E492" s="91">
        <v>2022</v>
      </c>
      <c r="F492" s="91" t="s">
        <v>19</v>
      </c>
      <c r="G492" s="91" t="s">
        <v>1807</v>
      </c>
      <c r="H492" s="91" t="s">
        <v>1852</v>
      </c>
      <c r="I492" s="91" t="s">
        <v>299</v>
      </c>
      <c r="J492" s="91">
        <v>6199</v>
      </c>
      <c r="K492" s="91">
        <f>6278+4484+1346+4484+2332+2332+2332+2332+2332</f>
        <v>28252</v>
      </c>
      <c r="L492" s="91">
        <v>0</v>
      </c>
      <c r="M492" s="91">
        <v>0</v>
      </c>
      <c r="N492" s="91">
        <v>3148</v>
      </c>
      <c r="O492" s="91">
        <v>0</v>
      </c>
      <c r="P492" s="91">
        <v>0</v>
      </c>
      <c r="Q492" s="101">
        <f t="shared" si="14"/>
        <v>37599</v>
      </c>
      <c r="R492" s="95">
        <f t="shared" si="15"/>
        <v>31959.15</v>
      </c>
    </row>
    <row r="493" spans="1:23" ht="34.049999999999997" customHeight="1" x14ac:dyDescent="0.3">
      <c r="A493" s="96">
        <v>482</v>
      </c>
      <c r="B493" s="91" t="s">
        <v>1712</v>
      </c>
      <c r="C493" s="91" t="s">
        <v>1721</v>
      </c>
      <c r="D493" s="91" t="s">
        <v>1722</v>
      </c>
      <c r="E493" s="91">
        <v>2018</v>
      </c>
      <c r="F493" s="91" t="s">
        <v>19</v>
      </c>
      <c r="G493" s="91" t="s">
        <v>1808</v>
      </c>
      <c r="H493" s="91" t="s">
        <v>1853</v>
      </c>
      <c r="I493" s="91" t="s">
        <v>1884</v>
      </c>
      <c r="J493" s="91">
        <v>6199</v>
      </c>
      <c r="K493" s="91">
        <v>0</v>
      </c>
      <c r="L493" s="91">
        <v>0</v>
      </c>
      <c r="M493" s="91">
        <v>0</v>
      </c>
      <c r="N493" s="91">
        <f>15443+17918</f>
        <v>33361</v>
      </c>
      <c r="O493" s="91">
        <v>0</v>
      </c>
      <c r="P493" s="91">
        <v>0</v>
      </c>
      <c r="Q493" s="101">
        <f t="shared" si="14"/>
        <v>39560</v>
      </c>
      <c r="R493" s="95">
        <f t="shared" si="15"/>
        <v>33626</v>
      </c>
    </row>
    <row r="494" spans="1:23" ht="34.049999999999997" customHeight="1" x14ac:dyDescent="0.3">
      <c r="A494" s="90">
        <v>483</v>
      </c>
      <c r="B494" s="91" t="s">
        <v>1712</v>
      </c>
      <c r="C494" s="91" t="s">
        <v>1723</v>
      </c>
      <c r="D494" s="91" t="s">
        <v>1724</v>
      </c>
      <c r="E494" s="91">
        <v>2020</v>
      </c>
      <c r="F494" s="91" t="s">
        <v>19</v>
      </c>
      <c r="G494" s="91" t="s">
        <v>1809</v>
      </c>
      <c r="H494" s="91" t="s">
        <v>1854</v>
      </c>
      <c r="I494" s="91" t="s">
        <v>1885</v>
      </c>
      <c r="J494" s="91">
        <v>6199</v>
      </c>
      <c r="K494" s="91">
        <v>0</v>
      </c>
      <c r="L494" s="91">
        <v>0</v>
      </c>
      <c r="M494" s="91">
        <v>0</v>
      </c>
      <c r="N494" s="91">
        <f>15443+121574+27126</f>
        <v>164143</v>
      </c>
      <c r="O494" s="91">
        <v>0</v>
      </c>
      <c r="P494" s="91">
        <v>0</v>
      </c>
      <c r="Q494" s="101">
        <f t="shared" si="14"/>
        <v>170342</v>
      </c>
      <c r="R494" s="95">
        <f t="shared" si="15"/>
        <v>144790.70000000001</v>
      </c>
    </row>
    <row r="495" spans="1:23" ht="34.049999999999997" customHeight="1" x14ac:dyDescent="0.3">
      <c r="A495" s="90">
        <v>484</v>
      </c>
      <c r="B495" s="91" t="s">
        <v>1712</v>
      </c>
      <c r="C495" s="91" t="s">
        <v>1725</v>
      </c>
      <c r="D495" s="91" t="s">
        <v>60</v>
      </c>
      <c r="E495" s="91">
        <v>2020</v>
      </c>
      <c r="F495" s="91" t="s">
        <v>18</v>
      </c>
      <c r="G495" s="91" t="s">
        <v>159</v>
      </c>
      <c r="H495" s="91" t="s">
        <v>217</v>
      </c>
      <c r="I495" s="91" t="s">
        <v>258</v>
      </c>
      <c r="J495" s="91">
        <v>0</v>
      </c>
      <c r="K495" s="91">
        <v>0</v>
      </c>
      <c r="L495" s="91">
        <v>0</v>
      </c>
      <c r="M495" s="91">
        <v>0</v>
      </c>
      <c r="N495" s="91">
        <v>27380</v>
      </c>
      <c r="O495" s="91">
        <v>0</v>
      </c>
      <c r="P495" s="91">
        <v>0</v>
      </c>
      <c r="Q495" s="101">
        <f t="shared" si="14"/>
        <v>27380</v>
      </c>
      <c r="R495" s="95">
        <f t="shared" si="15"/>
        <v>23273</v>
      </c>
    </row>
    <row r="496" spans="1:23" ht="34.049999999999997" customHeight="1" x14ac:dyDescent="0.3">
      <c r="A496" s="96">
        <v>485</v>
      </c>
      <c r="B496" s="98" t="s">
        <v>1712</v>
      </c>
      <c r="C496" s="98" t="s">
        <v>1726</v>
      </c>
      <c r="D496" s="98" t="s">
        <v>1727</v>
      </c>
      <c r="E496" s="98">
        <v>2024</v>
      </c>
      <c r="F496" s="98" t="s">
        <v>19</v>
      </c>
      <c r="G496" s="98" t="s">
        <v>1810</v>
      </c>
      <c r="H496" s="98" t="s">
        <v>1855</v>
      </c>
      <c r="I496" s="98" t="s">
        <v>1886</v>
      </c>
      <c r="J496" s="98">
        <v>6199</v>
      </c>
      <c r="K496" s="98">
        <v>0</v>
      </c>
      <c r="L496" s="98">
        <v>0</v>
      </c>
      <c r="M496" s="98">
        <v>0</v>
      </c>
      <c r="N496" s="98">
        <v>0</v>
      </c>
      <c r="O496" s="98">
        <v>0</v>
      </c>
      <c r="P496" s="98">
        <v>0</v>
      </c>
      <c r="Q496" s="101">
        <f t="shared" si="14"/>
        <v>6199</v>
      </c>
      <c r="R496" s="95">
        <f t="shared" si="15"/>
        <v>5269.15</v>
      </c>
      <c r="S496" s="41"/>
      <c r="T496" s="41"/>
      <c r="U496" s="41"/>
      <c r="V496" s="41"/>
      <c r="W496" s="41"/>
    </row>
    <row r="497" spans="1:23" ht="34.049999999999997" customHeight="1" x14ac:dyDescent="0.3">
      <c r="A497" s="90">
        <v>486</v>
      </c>
      <c r="B497" s="91" t="s">
        <v>1712</v>
      </c>
      <c r="C497" s="91" t="s">
        <v>1728</v>
      </c>
      <c r="D497" s="91" t="s">
        <v>1729</v>
      </c>
      <c r="E497" s="91">
        <v>2022</v>
      </c>
      <c r="F497" s="91" t="s">
        <v>19</v>
      </c>
      <c r="G497" s="91" t="s">
        <v>1811</v>
      </c>
      <c r="H497" s="91" t="s">
        <v>1856</v>
      </c>
      <c r="I497" s="91" t="s">
        <v>539</v>
      </c>
      <c r="J497" s="91">
        <v>6199</v>
      </c>
      <c r="K497" s="91">
        <f>6278+4484+1346+2332+2332+2332+2332+2332+4484+1166+6995+6995+2332+6995+2332+2332</f>
        <v>57399</v>
      </c>
      <c r="L497" s="91">
        <v>0</v>
      </c>
      <c r="M497" s="91">
        <v>0</v>
      </c>
      <c r="N497" s="91">
        <v>3148</v>
      </c>
      <c r="O497" s="91">
        <v>0</v>
      </c>
      <c r="P497" s="91">
        <v>0</v>
      </c>
      <c r="Q497" s="101">
        <f t="shared" si="14"/>
        <v>66746</v>
      </c>
      <c r="R497" s="95">
        <f t="shared" si="15"/>
        <v>56734.1</v>
      </c>
    </row>
    <row r="498" spans="1:23" ht="34.049999999999997" customHeight="1" x14ac:dyDescent="0.3">
      <c r="A498" s="90">
        <v>487</v>
      </c>
      <c r="B498" s="91" t="s">
        <v>1712</v>
      </c>
      <c r="C498" s="91" t="s">
        <v>1730</v>
      </c>
      <c r="D498" s="91" t="s">
        <v>1731</v>
      </c>
      <c r="E498" s="91">
        <v>1982</v>
      </c>
      <c r="F498" s="91" t="s">
        <v>18</v>
      </c>
      <c r="G498" s="91" t="s">
        <v>1812</v>
      </c>
      <c r="H498" s="91" t="s">
        <v>1812</v>
      </c>
      <c r="I498" s="91" t="s">
        <v>1050</v>
      </c>
      <c r="J498" s="91">
        <v>6199</v>
      </c>
      <c r="K498" s="91">
        <v>2332</v>
      </c>
      <c r="L498" s="91">
        <v>0</v>
      </c>
      <c r="M498" s="91">
        <v>0</v>
      </c>
      <c r="N498" s="91">
        <v>1793</v>
      </c>
      <c r="O498" s="91">
        <v>0</v>
      </c>
      <c r="P498" s="91">
        <v>0</v>
      </c>
      <c r="Q498" s="101">
        <f t="shared" si="14"/>
        <v>10324</v>
      </c>
      <c r="R498" s="95">
        <f t="shared" si="15"/>
        <v>8775.4</v>
      </c>
    </row>
    <row r="499" spans="1:23" ht="34.049999999999997" customHeight="1" x14ac:dyDescent="0.3">
      <c r="A499" s="96">
        <v>488</v>
      </c>
      <c r="B499" s="91" t="s">
        <v>1712</v>
      </c>
      <c r="C499" s="91" t="s">
        <v>1732</v>
      </c>
      <c r="D499" s="91" t="s">
        <v>1733</v>
      </c>
      <c r="E499" s="91">
        <v>2008</v>
      </c>
      <c r="F499" s="91" t="s">
        <v>19</v>
      </c>
      <c r="G499" s="91" t="s">
        <v>1813</v>
      </c>
      <c r="H499" s="91" t="s">
        <v>1857</v>
      </c>
      <c r="I499" s="91" t="s">
        <v>1887</v>
      </c>
      <c r="J499" s="91">
        <v>6199</v>
      </c>
      <c r="K499" s="91">
        <v>0</v>
      </c>
      <c r="L499" s="91">
        <v>0</v>
      </c>
      <c r="M499" s="91">
        <v>0</v>
      </c>
      <c r="N499" s="91">
        <v>0</v>
      </c>
      <c r="O499" s="91">
        <v>0</v>
      </c>
      <c r="P499" s="91">
        <v>0</v>
      </c>
      <c r="Q499" s="101">
        <f t="shared" si="14"/>
        <v>6199</v>
      </c>
      <c r="R499" s="95">
        <f t="shared" si="15"/>
        <v>5269.15</v>
      </c>
    </row>
    <row r="500" spans="1:23" ht="34.049999999999997" customHeight="1" x14ac:dyDescent="0.3">
      <c r="A500" s="90">
        <v>489</v>
      </c>
      <c r="B500" s="91" t="s">
        <v>1712</v>
      </c>
      <c r="C500" s="91" t="s">
        <v>1734</v>
      </c>
      <c r="D500" s="91" t="s">
        <v>1735</v>
      </c>
      <c r="E500" s="91">
        <v>2013</v>
      </c>
      <c r="F500" s="91" t="s">
        <v>19</v>
      </c>
      <c r="G500" s="91" t="s">
        <v>1814</v>
      </c>
      <c r="H500" s="91" t="s">
        <v>1858</v>
      </c>
      <c r="I500" s="91" t="s">
        <v>1046</v>
      </c>
      <c r="J500" s="91">
        <v>6199</v>
      </c>
      <c r="K500" s="91">
        <v>0</v>
      </c>
      <c r="L500" s="91">
        <v>0</v>
      </c>
      <c r="M500" s="91">
        <v>0</v>
      </c>
      <c r="N500" s="91">
        <v>0</v>
      </c>
      <c r="O500" s="91">
        <v>0</v>
      </c>
      <c r="P500" s="91">
        <v>0</v>
      </c>
      <c r="Q500" s="101">
        <f t="shared" si="14"/>
        <v>6199</v>
      </c>
      <c r="R500" s="95">
        <f t="shared" si="15"/>
        <v>5269.15</v>
      </c>
    </row>
    <row r="501" spans="1:23" ht="34.049999999999997" customHeight="1" x14ac:dyDescent="0.3">
      <c r="A501" s="90">
        <v>490</v>
      </c>
      <c r="B501" s="91" t="s">
        <v>1712</v>
      </c>
      <c r="C501" s="91" t="s">
        <v>1736</v>
      </c>
      <c r="D501" s="91" t="s">
        <v>1737</v>
      </c>
      <c r="E501" s="91">
        <v>2020</v>
      </c>
      <c r="F501" s="91" t="s">
        <v>19</v>
      </c>
      <c r="G501" s="91" t="s">
        <v>1815</v>
      </c>
      <c r="H501" s="91" t="s">
        <v>1859</v>
      </c>
      <c r="I501" s="91" t="s">
        <v>1084</v>
      </c>
      <c r="J501" s="91">
        <v>6199</v>
      </c>
      <c r="K501" s="91">
        <v>0</v>
      </c>
      <c r="L501" s="91">
        <v>0</v>
      </c>
      <c r="M501" s="91">
        <v>0</v>
      </c>
      <c r="N501" s="91">
        <v>0</v>
      </c>
      <c r="O501" s="91">
        <v>0</v>
      </c>
      <c r="P501" s="91">
        <v>0</v>
      </c>
      <c r="Q501" s="101">
        <f t="shared" si="14"/>
        <v>6199</v>
      </c>
      <c r="R501" s="95">
        <f t="shared" si="15"/>
        <v>5269.15</v>
      </c>
    </row>
    <row r="502" spans="1:23" ht="34.049999999999997" customHeight="1" x14ac:dyDescent="0.3">
      <c r="A502" s="96">
        <v>491</v>
      </c>
      <c r="B502" s="91" t="s">
        <v>1712</v>
      </c>
      <c r="C502" s="91" t="s">
        <v>1738</v>
      </c>
      <c r="D502" s="91" t="s">
        <v>1739</v>
      </c>
      <c r="E502" s="91">
        <v>2025</v>
      </c>
      <c r="F502" s="91" t="s">
        <v>18</v>
      </c>
      <c r="G502" s="91" t="s">
        <v>1816</v>
      </c>
      <c r="H502" s="91" t="s">
        <v>1860</v>
      </c>
      <c r="I502" s="91" t="s">
        <v>1888</v>
      </c>
      <c r="J502" s="91">
        <v>6199</v>
      </c>
      <c r="K502" s="91">
        <v>0</v>
      </c>
      <c r="L502" s="91">
        <v>0</v>
      </c>
      <c r="M502" s="91">
        <v>0</v>
      </c>
      <c r="N502" s="91">
        <v>0</v>
      </c>
      <c r="O502" s="91">
        <v>0</v>
      </c>
      <c r="P502" s="91">
        <v>0</v>
      </c>
      <c r="Q502" s="101">
        <f t="shared" si="14"/>
        <v>6199</v>
      </c>
      <c r="R502" s="95">
        <f t="shared" si="15"/>
        <v>5269.15</v>
      </c>
    </row>
    <row r="503" spans="1:23" ht="34.049999999999997" customHeight="1" x14ac:dyDescent="0.3">
      <c r="A503" s="90">
        <v>492</v>
      </c>
      <c r="B503" s="98" t="s">
        <v>1712</v>
      </c>
      <c r="C503" s="98" t="s">
        <v>1740</v>
      </c>
      <c r="D503" s="98" t="s">
        <v>1741</v>
      </c>
      <c r="E503" s="98">
        <v>2012</v>
      </c>
      <c r="F503" s="98" t="s">
        <v>19</v>
      </c>
      <c r="G503" s="98" t="s">
        <v>1817</v>
      </c>
      <c r="H503" s="98" t="s">
        <v>1861</v>
      </c>
      <c r="I503" s="98" t="s">
        <v>1889</v>
      </c>
      <c r="J503" s="98">
        <v>3793</v>
      </c>
      <c r="K503" s="98">
        <v>0</v>
      </c>
      <c r="L503" s="98">
        <v>0</v>
      </c>
      <c r="M503" s="98">
        <v>0</v>
      </c>
      <c r="N503" s="98">
        <v>59994</v>
      </c>
      <c r="O503" s="98">
        <v>0</v>
      </c>
      <c r="P503" s="98">
        <v>0</v>
      </c>
      <c r="Q503" s="101">
        <f t="shared" si="14"/>
        <v>63787</v>
      </c>
      <c r="R503" s="95">
        <f t="shared" si="15"/>
        <v>54218.95</v>
      </c>
      <c r="S503" s="41"/>
      <c r="T503" s="41"/>
      <c r="U503" s="41"/>
      <c r="V503" s="41"/>
      <c r="W503" s="41"/>
    </row>
    <row r="504" spans="1:23" ht="34.049999999999997" customHeight="1" x14ac:dyDescent="0.3">
      <c r="A504" s="90">
        <v>493</v>
      </c>
      <c r="B504" s="91" t="s">
        <v>1712</v>
      </c>
      <c r="C504" s="91" t="s">
        <v>1742</v>
      </c>
      <c r="D504" s="91" t="s">
        <v>1743</v>
      </c>
      <c r="E504" s="91">
        <v>2025</v>
      </c>
      <c r="F504" s="91" t="s">
        <v>18</v>
      </c>
      <c r="G504" s="91" t="s">
        <v>1818</v>
      </c>
      <c r="H504" s="91" t="s">
        <v>1862</v>
      </c>
      <c r="I504" s="91" t="s">
        <v>1890</v>
      </c>
      <c r="J504" s="91">
        <v>6199</v>
      </c>
      <c r="K504" s="91">
        <v>0</v>
      </c>
      <c r="L504" s="91">
        <v>0</v>
      </c>
      <c r="M504" s="91">
        <v>0</v>
      </c>
      <c r="N504" s="91">
        <v>0</v>
      </c>
      <c r="O504" s="91">
        <v>0</v>
      </c>
      <c r="P504" s="91">
        <v>0</v>
      </c>
      <c r="Q504" s="101">
        <f t="shared" si="14"/>
        <v>6199</v>
      </c>
      <c r="R504" s="95">
        <f t="shared" si="15"/>
        <v>5269.15</v>
      </c>
    </row>
    <row r="505" spans="1:23" ht="34.049999999999997" customHeight="1" x14ac:dyDescent="0.3">
      <c r="A505" s="96">
        <v>494</v>
      </c>
      <c r="B505" s="98" t="s">
        <v>1712</v>
      </c>
      <c r="C505" s="98" t="s">
        <v>1744</v>
      </c>
      <c r="D505" s="98" t="s">
        <v>1745</v>
      </c>
      <c r="E505" s="98">
        <v>2017</v>
      </c>
      <c r="F505" s="98" t="s">
        <v>18</v>
      </c>
      <c r="G505" s="98" t="s">
        <v>1819</v>
      </c>
      <c r="H505" s="98" t="s">
        <v>1863</v>
      </c>
      <c r="I505" s="98" t="s">
        <v>1891</v>
      </c>
      <c r="J505" s="98">
        <v>6199</v>
      </c>
      <c r="K505" s="98">
        <v>0</v>
      </c>
      <c r="L505" s="98">
        <v>0</v>
      </c>
      <c r="M505" s="98">
        <v>0</v>
      </c>
      <c r="N505" s="98">
        <v>0</v>
      </c>
      <c r="O505" s="98">
        <v>0</v>
      </c>
      <c r="P505" s="98">
        <v>0</v>
      </c>
      <c r="Q505" s="101">
        <f t="shared" si="14"/>
        <v>6199</v>
      </c>
      <c r="R505" s="95">
        <f t="shared" si="15"/>
        <v>5269.15</v>
      </c>
      <c r="S505" s="41"/>
      <c r="T505" s="41"/>
      <c r="U505" s="41"/>
      <c r="V505" s="41"/>
      <c r="W505" s="41"/>
    </row>
    <row r="506" spans="1:23" ht="34.049999999999997" customHeight="1" x14ac:dyDescent="0.3">
      <c r="A506" s="90">
        <v>495</v>
      </c>
      <c r="B506" s="91" t="s">
        <v>1712</v>
      </c>
      <c r="C506" s="91" t="s">
        <v>1746</v>
      </c>
      <c r="D506" s="91" t="s">
        <v>1747</v>
      </c>
      <c r="E506" s="91">
        <v>2023</v>
      </c>
      <c r="F506" s="91" t="s">
        <v>19</v>
      </c>
      <c r="G506" s="91" t="s">
        <v>1820</v>
      </c>
      <c r="H506" s="91" t="s">
        <v>1864</v>
      </c>
      <c r="I506" s="91" t="s">
        <v>1892</v>
      </c>
      <c r="J506" s="91">
        <v>6199</v>
      </c>
      <c r="K506" s="91">
        <f>6278+4484+1346+4484+2332+2332+2332+2332+2332</f>
        <v>28252</v>
      </c>
      <c r="L506" s="91">
        <v>0</v>
      </c>
      <c r="M506" s="91">
        <v>0</v>
      </c>
      <c r="N506" s="91">
        <v>3148</v>
      </c>
      <c r="O506" s="91">
        <v>0</v>
      </c>
      <c r="P506" s="91">
        <v>0</v>
      </c>
      <c r="Q506" s="101">
        <f t="shared" si="14"/>
        <v>37599</v>
      </c>
      <c r="R506" s="95">
        <f t="shared" si="15"/>
        <v>31959.15</v>
      </c>
    </row>
    <row r="507" spans="1:23" ht="34.049999999999997" customHeight="1" x14ac:dyDescent="0.3">
      <c r="A507" s="90">
        <v>496</v>
      </c>
      <c r="B507" s="91" t="s">
        <v>1712</v>
      </c>
      <c r="C507" s="91" t="s">
        <v>1748</v>
      </c>
      <c r="D507" s="91" t="s">
        <v>1749</v>
      </c>
      <c r="E507" s="91">
        <v>2013</v>
      </c>
      <c r="F507" s="91" t="s">
        <v>18</v>
      </c>
      <c r="G507" s="91" t="s">
        <v>1821</v>
      </c>
      <c r="H507" s="91" t="s">
        <v>1865</v>
      </c>
      <c r="I507" s="91" t="s">
        <v>1893</v>
      </c>
      <c r="J507" s="91">
        <v>6199</v>
      </c>
      <c r="K507" s="91">
        <f>1346+6278+2332+1166+2801</f>
        <v>13923</v>
      </c>
      <c r="L507" s="91">
        <v>0</v>
      </c>
      <c r="M507" s="91">
        <v>0</v>
      </c>
      <c r="N507" s="91">
        <v>3148</v>
      </c>
      <c r="O507" s="91">
        <v>0</v>
      </c>
      <c r="P507" s="91">
        <v>0</v>
      </c>
      <c r="Q507" s="101">
        <f t="shared" si="14"/>
        <v>23270</v>
      </c>
      <c r="R507" s="95">
        <f t="shared" si="15"/>
        <v>19779.5</v>
      </c>
    </row>
    <row r="508" spans="1:23" ht="34.049999999999997" customHeight="1" x14ac:dyDescent="0.3">
      <c r="A508" s="96">
        <v>497</v>
      </c>
      <c r="B508" s="91" t="s">
        <v>1712</v>
      </c>
      <c r="C508" s="91" t="s">
        <v>1750</v>
      </c>
      <c r="D508" s="91" t="s">
        <v>1751</v>
      </c>
      <c r="E508" s="91">
        <v>2018</v>
      </c>
      <c r="F508" s="91" t="s">
        <v>18</v>
      </c>
      <c r="G508" s="91" t="s">
        <v>1822</v>
      </c>
      <c r="H508" s="91" t="s">
        <v>496</v>
      </c>
      <c r="I508" s="91" t="s">
        <v>580</v>
      </c>
      <c r="J508" s="91">
        <v>6199</v>
      </c>
      <c r="K508" s="91">
        <v>0</v>
      </c>
      <c r="L508" s="91">
        <v>0</v>
      </c>
      <c r="M508" s="91">
        <v>0</v>
      </c>
      <c r="N508" s="91">
        <f>15443+35836</f>
        <v>51279</v>
      </c>
      <c r="O508" s="91">
        <v>0</v>
      </c>
      <c r="P508" s="91">
        <v>0</v>
      </c>
      <c r="Q508" s="101">
        <f t="shared" si="14"/>
        <v>57478</v>
      </c>
      <c r="R508" s="95">
        <f t="shared" si="15"/>
        <v>48856.3</v>
      </c>
    </row>
    <row r="509" spans="1:23" ht="34.049999999999997" customHeight="1" x14ac:dyDescent="0.3">
      <c r="A509" s="90">
        <v>498</v>
      </c>
      <c r="B509" s="91" t="s">
        <v>1712</v>
      </c>
      <c r="C509" s="91" t="s">
        <v>1752</v>
      </c>
      <c r="D509" s="91" t="s">
        <v>1753</v>
      </c>
      <c r="E509" s="91">
        <v>1978</v>
      </c>
      <c r="F509" s="91" t="s">
        <v>19</v>
      </c>
      <c r="G509" s="91" t="s">
        <v>1823</v>
      </c>
      <c r="H509" s="91" t="s">
        <v>1823</v>
      </c>
      <c r="I509" s="91" t="s">
        <v>1894</v>
      </c>
      <c r="J509" s="91">
        <v>6199</v>
      </c>
      <c r="K509" s="91">
        <f>2332+2332+2243</f>
        <v>6907</v>
      </c>
      <c r="L509" s="91">
        <v>0</v>
      </c>
      <c r="M509" s="91">
        <v>0</v>
      </c>
      <c r="N509" s="91">
        <v>0</v>
      </c>
      <c r="O509" s="91">
        <v>0</v>
      </c>
      <c r="P509" s="91">
        <v>0</v>
      </c>
      <c r="Q509" s="101">
        <f t="shared" si="14"/>
        <v>13106</v>
      </c>
      <c r="R509" s="95">
        <f t="shared" si="15"/>
        <v>11140.1</v>
      </c>
    </row>
    <row r="510" spans="1:23" ht="34.049999999999997" customHeight="1" x14ac:dyDescent="0.3">
      <c r="A510" s="90">
        <v>499</v>
      </c>
      <c r="B510" s="91" t="s">
        <v>1712</v>
      </c>
      <c r="C510" s="91" t="s">
        <v>1754</v>
      </c>
      <c r="D510" s="91" t="s">
        <v>1755</v>
      </c>
      <c r="E510" s="91">
        <v>1984</v>
      </c>
      <c r="F510" s="91" t="s">
        <v>19</v>
      </c>
      <c r="G510" s="91" t="s">
        <v>1824</v>
      </c>
      <c r="H510" s="91" t="s">
        <v>1866</v>
      </c>
      <c r="I510" s="91" t="s">
        <v>1046</v>
      </c>
      <c r="J510" s="91">
        <v>6199</v>
      </c>
      <c r="K510" s="91">
        <v>0</v>
      </c>
      <c r="L510" s="91">
        <v>0</v>
      </c>
      <c r="M510" s="91">
        <v>0</v>
      </c>
      <c r="N510" s="91">
        <v>0</v>
      </c>
      <c r="O510" s="91">
        <v>0</v>
      </c>
      <c r="P510" s="91">
        <v>0</v>
      </c>
      <c r="Q510" s="101">
        <f t="shared" si="14"/>
        <v>6199</v>
      </c>
      <c r="R510" s="95">
        <f t="shared" si="15"/>
        <v>5269.15</v>
      </c>
    </row>
    <row r="511" spans="1:23" ht="34.049999999999997" customHeight="1" x14ac:dyDescent="0.3">
      <c r="A511" s="96">
        <v>500</v>
      </c>
      <c r="B511" s="91" t="s">
        <v>1712</v>
      </c>
      <c r="C511" s="91" t="s">
        <v>1756</v>
      </c>
      <c r="D511" s="91" t="s">
        <v>1757</v>
      </c>
      <c r="E511" s="91">
        <v>1996</v>
      </c>
      <c r="F511" s="91" t="s">
        <v>19</v>
      </c>
      <c r="G511" s="91" t="s">
        <v>1825</v>
      </c>
      <c r="H511" s="91" t="s">
        <v>1867</v>
      </c>
      <c r="I511" s="91" t="s">
        <v>1257</v>
      </c>
      <c r="J511" s="91">
        <v>6199</v>
      </c>
      <c r="K511" s="91">
        <v>0</v>
      </c>
      <c r="L511" s="91">
        <v>0</v>
      </c>
      <c r="M511" s="91">
        <v>0</v>
      </c>
      <c r="N511" s="91">
        <v>9871</v>
      </c>
      <c r="O511" s="91">
        <v>0</v>
      </c>
      <c r="P511" s="91">
        <v>0</v>
      </c>
      <c r="Q511" s="101">
        <f t="shared" si="14"/>
        <v>16070</v>
      </c>
      <c r="R511" s="95">
        <f t="shared" si="15"/>
        <v>13659.5</v>
      </c>
    </row>
    <row r="512" spans="1:23" ht="34.049999999999997" customHeight="1" x14ac:dyDescent="0.3">
      <c r="A512" s="90">
        <v>501</v>
      </c>
      <c r="B512" s="91" t="s">
        <v>1712</v>
      </c>
      <c r="C512" s="91" t="s">
        <v>1758</v>
      </c>
      <c r="D512" s="91" t="s">
        <v>1759</v>
      </c>
      <c r="E512" s="91">
        <v>1959</v>
      </c>
      <c r="F512" s="91" t="s">
        <v>19</v>
      </c>
      <c r="G512" s="91" t="s">
        <v>1826</v>
      </c>
      <c r="H512" s="91" t="s">
        <v>1868</v>
      </c>
      <c r="I512" s="91" t="s">
        <v>276</v>
      </c>
      <c r="J512" s="91">
        <v>6199</v>
      </c>
      <c r="K512" s="91">
        <f>6278+4484+1346+2332+2332+2332+2332+2332+4484+4484+4484+2332+3000+3000+4484+4484</f>
        <v>54520</v>
      </c>
      <c r="L512" s="91">
        <v>0</v>
      </c>
      <c r="M512" s="91">
        <v>0</v>
      </c>
      <c r="N512" s="91">
        <v>1793</v>
      </c>
      <c r="O512" s="91">
        <v>0</v>
      </c>
      <c r="P512" s="91">
        <v>0</v>
      </c>
      <c r="Q512" s="101">
        <f t="shared" si="14"/>
        <v>62512</v>
      </c>
      <c r="R512" s="95">
        <f t="shared" si="15"/>
        <v>53135.199999999997</v>
      </c>
    </row>
    <row r="513" spans="1:23" ht="34.049999999999997" customHeight="1" x14ac:dyDescent="0.3">
      <c r="A513" s="90">
        <v>502</v>
      </c>
      <c r="B513" s="91" t="s">
        <v>1712</v>
      </c>
      <c r="C513" s="91" t="s">
        <v>1760</v>
      </c>
      <c r="D513" s="91" t="s">
        <v>1761</v>
      </c>
      <c r="E513" s="91">
        <v>1968</v>
      </c>
      <c r="F513" s="91" t="s">
        <v>19</v>
      </c>
      <c r="G513" s="91" t="s">
        <v>1827</v>
      </c>
      <c r="H513" s="91" t="s">
        <v>1869</v>
      </c>
      <c r="I513" s="91" t="s">
        <v>276</v>
      </c>
      <c r="J513" s="91">
        <v>6199</v>
      </c>
      <c r="K513" s="91">
        <v>0</v>
      </c>
      <c r="L513" s="91">
        <v>0</v>
      </c>
      <c r="M513" s="91">
        <v>0</v>
      </c>
      <c r="N513" s="91">
        <v>0</v>
      </c>
      <c r="O513" s="91">
        <v>0</v>
      </c>
      <c r="P513" s="91">
        <v>0</v>
      </c>
      <c r="Q513" s="101">
        <f t="shared" si="14"/>
        <v>6199</v>
      </c>
      <c r="R513" s="95">
        <f t="shared" si="15"/>
        <v>5269.15</v>
      </c>
    </row>
    <row r="514" spans="1:23" ht="34.049999999999997" customHeight="1" x14ac:dyDescent="0.3">
      <c r="A514" s="96">
        <v>503</v>
      </c>
      <c r="B514" s="91" t="s">
        <v>1712</v>
      </c>
      <c r="C514" s="91" t="s">
        <v>1762</v>
      </c>
      <c r="D514" s="91" t="s">
        <v>1763</v>
      </c>
      <c r="E514" s="91">
        <v>1989</v>
      </c>
      <c r="F514" s="91" t="s">
        <v>19</v>
      </c>
      <c r="G514" s="91" t="s">
        <v>1828</v>
      </c>
      <c r="H514" s="91" t="s">
        <v>1828</v>
      </c>
      <c r="I514" s="91" t="s">
        <v>1895</v>
      </c>
      <c r="J514" s="91">
        <v>6199</v>
      </c>
      <c r="K514" s="91">
        <v>0</v>
      </c>
      <c r="L514" s="91">
        <v>0</v>
      </c>
      <c r="M514" s="91">
        <v>0</v>
      </c>
      <c r="N514" s="91">
        <v>0</v>
      </c>
      <c r="O514" s="91">
        <v>0</v>
      </c>
      <c r="P514" s="91">
        <v>0</v>
      </c>
      <c r="Q514" s="101">
        <f t="shared" si="14"/>
        <v>6199</v>
      </c>
      <c r="R514" s="95">
        <f t="shared" si="15"/>
        <v>5269.15</v>
      </c>
    </row>
    <row r="515" spans="1:23" ht="34.049999999999997" customHeight="1" x14ac:dyDescent="0.3">
      <c r="A515" s="90">
        <v>504</v>
      </c>
      <c r="B515" s="91" t="s">
        <v>1712</v>
      </c>
      <c r="C515" s="91" t="s">
        <v>1764</v>
      </c>
      <c r="D515" s="91" t="s">
        <v>1765</v>
      </c>
      <c r="E515" s="91">
        <v>2021</v>
      </c>
      <c r="F515" s="91" t="s">
        <v>19</v>
      </c>
      <c r="G515" s="91" t="s">
        <v>1829</v>
      </c>
      <c r="H515" s="91" t="s">
        <v>1870</v>
      </c>
      <c r="I515" s="91" t="s">
        <v>1050</v>
      </c>
      <c r="J515" s="91">
        <v>6199</v>
      </c>
      <c r="K515" s="91">
        <v>0</v>
      </c>
      <c r="L515" s="91">
        <v>0</v>
      </c>
      <c r="M515" s="91">
        <v>0</v>
      </c>
      <c r="N515" s="91">
        <f>15443+35836</f>
        <v>51279</v>
      </c>
      <c r="O515" s="91">
        <v>0</v>
      </c>
      <c r="P515" s="91">
        <v>0</v>
      </c>
      <c r="Q515" s="101">
        <f t="shared" si="14"/>
        <v>57478</v>
      </c>
      <c r="R515" s="95">
        <f t="shared" si="15"/>
        <v>48856.3</v>
      </c>
    </row>
    <row r="516" spans="1:23" ht="34.049999999999997" customHeight="1" x14ac:dyDescent="0.3">
      <c r="A516" s="90">
        <v>505</v>
      </c>
      <c r="B516" s="91" t="s">
        <v>1712</v>
      </c>
      <c r="C516" s="91" t="s">
        <v>1766</v>
      </c>
      <c r="D516" s="91" t="s">
        <v>1767</v>
      </c>
      <c r="E516" s="91">
        <v>2010</v>
      </c>
      <c r="F516" s="91" t="s">
        <v>18</v>
      </c>
      <c r="G516" s="91" t="s">
        <v>1830</v>
      </c>
      <c r="H516" s="91" t="s">
        <v>1871</v>
      </c>
      <c r="I516" s="91" t="s">
        <v>1896</v>
      </c>
      <c r="J516" s="91">
        <v>3793</v>
      </c>
      <c r="K516" s="91">
        <v>0</v>
      </c>
      <c r="L516" s="91">
        <v>0</v>
      </c>
      <c r="M516" s="91">
        <v>0</v>
      </c>
      <c r="N516" s="91">
        <v>0</v>
      </c>
      <c r="O516" s="91">
        <v>0</v>
      </c>
      <c r="P516" s="91">
        <v>0</v>
      </c>
      <c r="Q516" s="101">
        <f t="shared" si="14"/>
        <v>3793</v>
      </c>
      <c r="R516" s="95">
        <f t="shared" si="15"/>
        <v>3224.05</v>
      </c>
    </row>
    <row r="517" spans="1:23" ht="34.049999999999997" customHeight="1" x14ac:dyDescent="0.3">
      <c r="A517" s="96">
        <v>506</v>
      </c>
      <c r="B517" s="98" t="s">
        <v>1712</v>
      </c>
      <c r="C517" s="98" t="s">
        <v>1768</v>
      </c>
      <c r="D517" s="98" t="s">
        <v>1769</v>
      </c>
      <c r="E517" s="98">
        <v>1993</v>
      </c>
      <c r="F517" s="98" t="s">
        <v>19</v>
      </c>
      <c r="G517" s="98" t="s">
        <v>1831</v>
      </c>
      <c r="H517" s="98" t="s">
        <v>1831</v>
      </c>
      <c r="I517" s="98" t="s">
        <v>1897</v>
      </c>
      <c r="J517" s="98">
        <v>6199</v>
      </c>
      <c r="K517" s="98">
        <f>2332+2332+2243+1346</f>
        <v>8253</v>
      </c>
      <c r="L517" s="98">
        <v>0</v>
      </c>
      <c r="M517" s="98">
        <v>0</v>
      </c>
      <c r="N517" s="98">
        <f>1681+3179</f>
        <v>4860</v>
      </c>
      <c r="O517" s="98">
        <v>0</v>
      </c>
      <c r="P517" s="98">
        <f>624+112</f>
        <v>736</v>
      </c>
      <c r="Q517" s="101">
        <f t="shared" si="14"/>
        <v>20048</v>
      </c>
      <c r="R517" s="95">
        <f t="shared" si="15"/>
        <v>17040.8</v>
      </c>
      <c r="S517" s="41"/>
      <c r="T517" s="41"/>
      <c r="U517" s="41"/>
      <c r="V517" s="41"/>
      <c r="W517" s="41"/>
    </row>
    <row r="518" spans="1:23" ht="34.049999999999997" customHeight="1" x14ac:dyDescent="0.3">
      <c r="A518" s="90">
        <v>507</v>
      </c>
      <c r="B518" s="91" t="s">
        <v>1712</v>
      </c>
      <c r="C518" s="91" t="s">
        <v>1770</v>
      </c>
      <c r="D518" s="91" t="s">
        <v>1771</v>
      </c>
      <c r="E518" s="91">
        <v>2022</v>
      </c>
      <c r="F518" s="91" t="s">
        <v>18</v>
      </c>
      <c r="G518" s="91" t="s">
        <v>1832</v>
      </c>
      <c r="H518" s="91" t="s">
        <v>1872</v>
      </c>
      <c r="I518" s="91" t="s">
        <v>1698</v>
      </c>
      <c r="J518" s="91">
        <v>6199</v>
      </c>
      <c r="K518" s="91">
        <f>6278+4484+2332+1346+2332+2332+2332+2332+6995+6995+2332+6995+2332+4484+4484</f>
        <v>58385</v>
      </c>
      <c r="L518" s="91">
        <v>0</v>
      </c>
      <c r="M518" s="91">
        <v>0</v>
      </c>
      <c r="N518" s="91">
        <v>3148</v>
      </c>
      <c r="O518" s="91">
        <v>0</v>
      </c>
      <c r="P518" s="91">
        <v>0</v>
      </c>
      <c r="Q518" s="101">
        <f t="shared" si="14"/>
        <v>67732</v>
      </c>
      <c r="R518" s="95">
        <f t="shared" si="15"/>
        <v>57572.2</v>
      </c>
    </row>
    <row r="519" spans="1:23" ht="34.049999999999997" customHeight="1" x14ac:dyDescent="0.3">
      <c r="A519" s="90">
        <v>508</v>
      </c>
      <c r="B519" s="91" t="s">
        <v>1712</v>
      </c>
      <c r="C519" s="91" t="s">
        <v>1772</v>
      </c>
      <c r="D519" s="91" t="s">
        <v>1773</v>
      </c>
      <c r="E519" s="91">
        <v>2018</v>
      </c>
      <c r="F519" s="91" t="s">
        <v>18</v>
      </c>
      <c r="G519" s="91" t="s">
        <v>1833</v>
      </c>
      <c r="H519" s="91" t="s">
        <v>1873</v>
      </c>
      <c r="I519" s="91" t="s">
        <v>1898</v>
      </c>
      <c r="J519" s="91">
        <v>6199</v>
      </c>
      <c r="K519" s="91">
        <v>0</v>
      </c>
      <c r="L519" s="91">
        <v>0</v>
      </c>
      <c r="M519" s="91">
        <v>0</v>
      </c>
      <c r="N519" s="91">
        <v>0</v>
      </c>
      <c r="O519" s="91">
        <v>0</v>
      </c>
      <c r="P519" s="91">
        <v>0</v>
      </c>
      <c r="Q519" s="101">
        <f t="shared" si="14"/>
        <v>6199</v>
      </c>
      <c r="R519" s="95">
        <f t="shared" si="15"/>
        <v>5269.15</v>
      </c>
    </row>
    <row r="520" spans="1:23" ht="34.049999999999997" customHeight="1" x14ac:dyDescent="0.3">
      <c r="A520" s="96">
        <v>509</v>
      </c>
      <c r="B520" s="98" t="s">
        <v>1712</v>
      </c>
      <c r="C520" s="98" t="s">
        <v>1774</v>
      </c>
      <c r="D520" s="98" t="s">
        <v>1775</v>
      </c>
      <c r="E520" s="98">
        <v>2013</v>
      </c>
      <c r="F520" s="98" t="s">
        <v>18</v>
      </c>
      <c r="G520" s="98" t="s">
        <v>1834</v>
      </c>
      <c r="H520" s="98" t="s">
        <v>1874</v>
      </c>
      <c r="I520" s="98" t="s">
        <v>1899</v>
      </c>
      <c r="J520" s="98">
        <v>6199</v>
      </c>
      <c r="K520" s="98">
        <f>6278+4484+2332+1346+2332+2332+2332+2332+6995+2332+6995+6995+2332+6995+4484</f>
        <v>60896</v>
      </c>
      <c r="L520" s="98">
        <v>0</v>
      </c>
      <c r="M520" s="98">
        <v>0</v>
      </c>
      <c r="N520" s="98">
        <v>3148</v>
      </c>
      <c r="O520" s="98">
        <v>0</v>
      </c>
      <c r="P520" s="98">
        <v>0</v>
      </c>
      <c r="Q520" s="101">
        <f t="shared" si="14"/>
        <v>70243</v>
      </c>
      <c r="R520" s="95">
        <f t="shared" si="15"/>
        <v>59706.55</v>
      </c>
      <c r="S520" s="41"/>
      <c r="T520" s="41"/>
      <c r="U520" s="41"/>
      <c r="V520" s="41"/>
      <c r="W520" s="41"/>
    </row>
    <row r="521" spans="1:23" ht="34.049999999999997" customHeight="1" x14ac:dyDescent="0.3">
      <c r="A521" s="90">
        <v>510</v>
      </c>
      <c r="B521" s="91" t="s">
        <v>1712</v>
      </c>
      <c r="C521" s="91" t="s">
        <v>1776</v>
      </c>
      <c r="D521" s="91" t="s">
        <v>1777</v>
      </c>
      <c r="E521" s="91">
        <v>2021</v>
      </c>
      <c r="F521" s="91" t="s">
        <v>19</v>
      </c>
      <c r="G521" s="91" t="s">
        <v>1835</v>
      </c>
      <c r="H521" s="91" t="s">
        <v>1875</v>
      </c>
      <c r="I521" s="91" t="s">
        <v>1267</v>
      </c>
      <c r="J521" s="91">
        <v>6199</v>
      </c>
      <c r="K521" s="91">
        <f>6278+4484+2332+1346+2332+2332+2332+2332+6995+6995+2332+6995+2332+4484+4484</f>
        <v>58385</v>
      </c>
      <c r="L521" s="91">
        <v>0</v>
      </c>
      <c r="M521" s="91">
        <v>0</v>
      </c>
      <c r="N521" s="91">
        <v>3148</v>
      </c>
      <c r="O521" s="91">
        <v>0</v>
      </c>
      <c r="P521" s="91">
        <v>0</v>
      </c>
      <c r="Q521" s="101">
        <f t="shared" si="14"/>
        <v>67732</v>
      </c>
      <c r="R521" s="95">
        <f t="shared" si="15"/>
        <v>57572.2</v>
      </c>
    </row>
    <row r="522" spans="1:23" ht="34.049999999999997" customHeight="1" x14ac:dyDescent="0.3">
      <c r="A522" s="90">
        <v>511</v>
      </c>
      <c r="B522" s="91" t="s">
        <v>1712</v>
      </c>
      <c r="C522" s="91" t="s">
        <v>1778</v>
      </c>
      <c r="D522" s="91" t="s">
        <v>1779</v>
      </c>
      <c r="E522" s="91">
        <v>1991</v>
      </c>
      <c r="F522" s="91" t="s">
        <v>18</v>
      </c>
      <c r="G522" s="91" t="s">
        <v>1836</v>
      </c>
      <c r="H522" s="91" t="s">
        <v>1836</v>
      </c>
      <c r="I522" s="91" t="s">
        <v>1267</v>
      </c>
      <c r="J522" s="91">
        <v>6199</v>
      </c>
      <c r="K522" s="91">
        <v>0</v>
      </c>
      <c r="L522" s="91">
        <v>0</v>
      </c>
      <c r="M522" s="91">
        <v>0</v>
      </c>
      <c r="N522" s="91">
        <v>0</v>
      </c>
      <c r="O522" s="91">
        <v>0</v>
      </c>
      <c r="P522" s="91">
        <v>0</v>
      </c>
      <c r="Q522" s="101">
        <f t="shared" si="14"/>
        <v>6199</v>
      </c>
      <c r="R522" s="95">
        <f t="shared" si="15"/>
        <v>5269.15</v>
      </c>
    </row>
    <row r="523" spans="1:23" ht="34.049999999999997" customHeight="1" x14ac:dyDescent="0.3">
      <c r="A523" s="96">
        <v>512</v>
      </c>
      <c r="B523" s="91" t="s">
        <v>1712</v>
      </c>
      <c r="C523" s="91" t="s">
        <v>1780</v>
      </c>
      <c r="D523" s="91" t="s">
        <v>1781</v>
      </c>
      <c r="E523" s="91">
        <v>2020</v>
      </c>
      <c r="F523" s="91" t="s">
        <v>19</v>
      </c>
      <c r="G523" s="91" t="s">
        <v>1837</v>
      </c>
      <c r="H523" s="91" t="s">
        <v>1876</v>
      </c>
      <c r="I523" s="91" t="s">
        <v>35</v>
      </c>
      <c r="J523" s="91">
        <v>6199</v>
      </c>
      <c r="K523" s="91">
        <v>0</v>
      </c>
      <c r="L523" s="91">
        <v>0</v>
      </c>
      <c r="M523" s="91">
        <v>0</v>
      </c>
      <c r="N523" s="91">
        <v>0</v>
      </c>
      <c r="O523" s="91">
        <v>0</v>
      </c>
      <c r="P523" s="91">
        <v>0</v>
      </c>
      <c r="Q523" s="101">
        <f t="shared" si="14"/>
        <v>6199</v>
      </c>
      <c r="R523" s="95">
        <f t="shared" si="15"/>
        <v>5269.15</v>
      </c>
    </row>
    <row r="524" spans="1:23" ht="34.049999999999997" customHeight="1" x14ac:dyDescent="0.3">
      <c r="A524" s="90">
        <v>513</v>
      </c>
      <c r="B524" s="91" t="s">
        <v>1712</v>
      </c>
      <c r="C524" s="91" t="s">
        <v>1782</v>
      </c>
      <c r="D524" s="91" t="s">
        <v>1783</v>
      </c>
      <c r="E524" s="91">
        <v>1993</v>
      </c>
      <c r="F524" s="91" t="s">
        <v>19</v>
      </c>
      <c r="G524" s="91" t="s">
        <v>1838</v>
      </c>
      <c r="H524" s="91" t="s">
        <v>1877</v>
      </c>
      <c r="I524" s="91" t="s">
        <v>1900</v>
      </c>
      <c r="J524" s="91">
        <v>6199</v>
      </c>
      <c r="K524" s="91">
        <v>0</v>
      </c>
      <c r="L524" s="91">
        <v>0</v>
      </c>
      <c r="M524" s="91">
        <v>0</v>
      </c>
      <c r="N524" s="91">
        <v>0</v>
      </c>
      <c r="O524" s="91">
        <v>0</v>
      </c>
      <c r="P524" s="91">
        <v>0</v>
      </c>
      <c r="Q524" s="101">
        <f t="shared" ref="Q524:Q587" si="16">SUM(J524:P524)</f>
        <v>6199</v>
      </c>
      <c r="R524" s="95">
        <f t="shared" si="15"/>
        <v>5269.15</v>
      </c>
    </row>
    <row r="525" spans="1:23" ht="34.049999999999997" customHeight="1" x14ac:dyDescent="0.3">
      <c r="A525" s="90">
        <v>514</v>
      </c>
      <c r="B525" s="91" t="s">
        <v>1712</v>
      </c>
      <c r="C525" s="91" t="s">
        <v>1784</v>
      </c>
      <c r="D525" s="91" t="s">
        <v>1139</v>
      </c>
      <c r="E525" s="91">
        <v>1989</v>
      </c>
      <c r="F525" s="91" t="s">
        <v>19</v>
      </c>
      <c r="G525" s="91" t="s">
        <v>1196</v>
      </c>
      <c r="H525" s="91" t="s">
        <v>817</v>
      </c>
      <c r="I525" s="91" t="s">
        <v>1272</v>
      </c>
      <c r="J525" s="91">
        <v>3793</v>
      </c>
      <c r="K525" s="91">
        <v>0</v>
      </c>
      <c r="L525" s="91">
        <v>0</v>
      </c>
      <c r="M525" s="91">
        <v>0</v>
      </c>
      <c r="N525" s="91">
        <v>0</v>
      </c>
      <c r="O525" s="91">
        <v>0</v>
      </c>
      <c r="P525" s="91">
        <v>0</v>
      </c>
      <c r="Q525" s="101">
        <f t="shared" si="16"/>
        <v>3793</v>
      </c>
      <c r="R525" s="95">
        <f t="shared" ref="R525:R588" si="17">Q525*85/100</f>
        <v>3224.05</v>
      </c>
    </row>
    <row r="526" spans="1:23" ht="34.049999999999997" customHeight="1" x14ac:dyDescent="0.3">
      <c r="A526" s="96">
        <v>515</v>
      </c>
      <c r="B526" s="91" t="s">
        <v>1712</v>
      </c>
      <c r="C526" s="91" t="s">
        <v>1785</v>
      </c>
      <c r="D526" s="91" t="s">
        <v>1786</v>
      </c>
      <c r="E526" s="91">
        <v>2019</v>
      </c>
      <c r="F526" s="91" t="s">
        <v>19</v>
      </c>
      <c r="G526" s="91" t="s">
        <v>1839</v>
      </c>
      <c r="H526" s="91" t="s">
        <v>817</v>
      </c>
      <c r="I526" s="91" t="s">
        <v>1272</v>
      </c>
      <c r="J526" s="91">
        <v>6199</v>
      </c>
      <c r="K526" s="91">
        <v>0</v>
      </c>
      <c r="L526" s="91">
        <v>0</v>
      </c>
      <c r="M526" s="91">
        <v>0</v>
      </c>
      <c r="N526" s="91">
        <v>0</v>
      </c>
      <c r="O526" s="91">
        <v>0</v>
      </c>
      <c r="P526" s="91">
        <v>0</v>
      </c>
      <c r="Q526" s="101">
        <f t="shared" si="16"/>
        <v>6199</v>
      </c>
      <c r="R526" s="95">
        <f t="shared" si="17"/>
        <v>5269.15</v>
      </c>
    </row>
    <row r="527" spans="1:23" ht="34.049999999999997" customHeight="1" x14ac:dyDescent="0.3">
      <c r="A527" s="90">
        <v>516</v>
      </c>
      <c r="B527" s="98" t="s">
        <v>1712</v>
      </c>
      <c r="C527" s="98" t="s">
        <v>1787</v>
      </c>
      <c r="D527" s="98" t="s">
        <v>1788</v>
      </c>
      <c r="E527" s="98">
        <v>2025</v>
      </c>
      <c r="F527" s="98" t="s">
        <v>19</v>
      </c>
      <c r="G527" s="98" t="s">
        <v>1840</v>
      </c>
      <c r="H527" s="98" t="s">
        <v>1878</v>
      </c>
      <c r="I527" s="98" t="s">
        <v>1901</v>
      </c>
      <c r="J527" s="98">
        <v>6199</v>
      </c>
      <c r="K527" s="98">
        <f>6278+2332+2332+2332+2332+2332</f>
        <v>17938</v>
      </c>
      <c r="L527" s="98">
        <v>0</v>
      </c>
      <c r="M527" s="98">
        <v>0</v>
      </c>
      <c r="N527" s="98">
        <v>3148</v>
      </c>
      <c r="O527" s="98">
        <v>0</v>
      </c>
      <c r="P527" s="98">
        <v>0</v>
      </c>
      <c r="Q527" s="101">
        <f t="shared" si="16"/>
        <v>27285</v>
      </c>
      <c r="R527" s="95">
        <f t="shared" si="17"/>
        <v>23192.25</v>
      </c>
      <c r="S527" s="41"/>
      <c r="T527" s="41"/>
      <c r="U527" s="41"/>
      <c r="V527" s="41"/>
      <c r="W527" s="41"/>
    </row>
    <row r="528" spans="1:23" ht="34.049999999999997" customHeight="1" x14ac:dyDescent="0.3">
      <c r="A528" s="90">
        <v>517</v>
      </c>
      <c r="B528" s="98" t="s">
        <v>1712</v>
      </c>
      <c r="C528" s="98" t="s">
        <v>1787</v>
      </c>
      <c r="D528" s="98" t="s">
        <v>1788</v>
      </c>
      <c r="E528" s="98">
        <v>2025</v>
      </c>
      <c r="F528" s="98" t="s">
        <v>19</v>
      </c>
      <c r="G528" s="98" t="s">
        <v>1840</v>
      </c>
      <c r="H528" s="98" t="s">
        <v>1878</v>
      </c>
      <c r="I528" s="98" t="s">
        <v>1901</v>
      </c>
      <c r="J528" s="98">
        <v>0</v>
      </c>
      <c r="K528" s="98">
        <v>0</v>
      </c>
      <c r="L528" s="98">
        <v>0</v>
      </c>
      <c r="M528" s="98">
        <v>17688</v>
      </c>
      <c r="N528" s="98">
        <f>1178+2088</f>
        <v>3266</v>
      </c>
      <c r="O528" s="98">
        <v>0</v>
      </c>
      <c r="P528" s="98">
        <f>1080+360+56+720</f>
        <v>2216</v>
      </c>
      <c r="Q528" s="101">
        <f t="shared" si="16"/>
        <v>23170</v>
      </c>
      <c r="R528" s="95">
        <f t="shared" si="17"/>
        <v>19694.5</v>
      </c>
      <c r="S528" s="41"/>
      <c r="T528" s="41"/>
      <c r="U528" s="41"/>
      <c r="V528" s="41"/>
      <c r="W528" s="41"/>
    </row>
    <row r="529" spans="1:23" ht="34.049999999999997" customHeight="1" x14ac:dyDescent="0.3">
      <c r="A529" s="96">
        <v>518</v>
      </c>
      <c r="B529" s="91" t="s">
        <v>1712</v>
      </c>
      <c r="C529" s="91" t="s">
        <v>1789</v>
      </c>
      <c r="D529" s="91" t="s">
        <v>1790</v>
      </c>
      <c r="E529" s="91">
        <v>1994</v>
      </c>
      <c r="F529" s="91" t="s">
        <v>19</v>
      </c>
      <c r="G529" s="91" t="s">
        <v>238</v>
      </c>
      <c r="H529" s="91" t="s">
        <v>238</v>
      </c>
      <c r="I529" s="91" t="s">
        <v>289</v>
      </c>
      <c r="J529" s="91">
        <v>6199</v>
      </c>
      <c r="K529" s="91">
        <v>0</v>
      </c>
      <c r="L529" s="91">
        <v>0</v>
      </c>
      <c r="M529" s="91">
        <v>0</v>
      </c>
      <c r="N529" s="91">
        <v>11020</v>
      </c>
      <c r="O529" s="91">
        <v>0</v>
      </c>
      <c r="P529" s="91">
        <v>0</v>
      </c>
      <c r="Q529" s="101">
        <f t="shared" si="16"/>
        <v>17219</v>
      </c>
      <c r="R529" s="95">
        <f t="shared" si="17"/>
        <v>14636.15</v>
      </c>
    </row>
    <row r="530" spans="1:23" ht="34.049999999999997" customHeight="1" x14ac:dyDescent="0.3">
      <c r="A530" s="90">
        <v>519</v>
      </c>
      <c r="B530" s="91" t="s">
        <v>1712</v>
      </c>
      <c r="C530" s="91" t="s">
        <v>1791</v>
      </c>
      <c r="D530" s="91" t="s">
        <v>1792</v>
      </c>
      <c r="E530" s="91">
        <v>2019</v>
      </c>
      <c r="F530" s="91" t="s">
        <v>18</v>
      </c>
      <c r="G530" s="91" t="s">
        <v>1841</v>
      </c>
      <c r="H530" s="91" t="s">
        <v>1879</v>
      </c>
      <c r="I530" s="91" t="s">
        <v>1902</v>
      </c>
      <c r="J530" s="91">
        <v>6199</v>
      </c>
      <c r="K530" s="91">
        <v>0</v>
      </c>
      <c r="L530" s="91">
        <v>0</v>
      </c>
      <c r="M530" s="91">
        <v>0</v>
      </c>
      <c r="N530" s="91">
        <v>0</v>
      </c>
      <c r="O530" s="91">
        <v>0</v>
      </c>
      <c r="P530" s="91">
        <v>0</v>
      </c>
      <c r="Q530" s="101">
        <f t="shared" si="16"/>
        <v>6199</v>
      </c>
      <c r="R530" s="95">
        <f t="shared" si="17"/>
        <v>5269.15</v>
      </c>
    </row>
    <row r="531" spans="1:23" ht="34.049999999999997" customHeight="1" x14ac:dyDescent="0.3">
      <c r="A531" s="90">
        <v>520</v>
      </c>
      <c r="B531" s="91" t="s">
        <v>1712</v>
      </c>
      <c r="C531" s="91" t="s">
        <v>1793</v>
      </c>
      <c r="D531" s="91" t="s">
        <v>1794</v>
      </c>
      <c r="E531" s="91">
        <v>1990</v>
      </c>
      <c r="F531" s="91" t="s">
        <v>18</v>
      </c>
      <c r="G531" s="91" t="s">
        <v>1842</v>
      </c>
      <c r="H531" s="91" t="s">
        <v>1842</v>
      </c>
      <c r="I531" s="91" t="s">
        <v>1903</v>
      </c>
      <c r="J531" s="91">
        <v>6199</v>
      </c>
      <c r="K531" s="91">
        <v>0</v>
      </c>
      <c r="L531" s="91">
        <v>0</v>
      </c>
      <c r="M531" s="91">
        <v>0</v>
      </c>
      <c r="N531" s="91">
        <v>0</v>
      </c>
      <c r="O531" s="91">
        <v>0</v>
      </c>
      <c r="P531" s="91">
        <v>0</v>
      </c>
      <c r="Q531" s="101">
        <f t="shared" si="16"/>
        <v>6199</v>
      </c>
      <c r="R531" s="95">
        <f t="shared" si="17"/>
        <v>5269.15</v>
      </c>
    </row>
    <row r="532" spans="1:23" ht="34.049999999999997" customHeight="1" x14ac:dyDescent="0.3">
      <c r="A532" s="96">
        <v>521</v>
      </c>
      <c r="B532" s="91" t="s">
        <v>1712</v>
      </c>
      <c r="C532" s="91" t="s">
        <v>1795</v>
      </c>
      <c r="D532" s="91" t="s">
        <v>1796</v>
      </c>
      <c r="E532" s="91">
        <v>2024</v>
      </c>
      <c r="F532" s="91" t="s">
        <v>18</v>
      </c>
      <c r="G532" s="91" t="s">
        <v>1843</v>
      </c>
      <c r="H532" s="91" t="s">
        <v>1880</v>
      </c>
      <c r="I532" s="91" t="s">
        <v>1904</v>
      </c>
      <c r="J532" s="91">
        <v>6199</v>
      </c>
      <c r="K532" s="91">
        <f>6278+4484+2332+1346+2332+2332+2332+2332+6995+6995+6995+2332+4484+2332+4484</f>
        <v>58385</v>
      </c>
      <c r="L532" s="91">
        <v>0</v>
      </c>
      <c r="M532" s="91">
        <v>0</v>
      </c>
      <c r="N532" s="91">
        <v>3148</v>
      </c>
      <c r="O532" s="91">
        <v>0</v>
      </c>
      <c r="P532" s="91">
        <v>0</v>
      </c>
      <c r="Q532" s="101">
        <f t="shared" si="16"/>
        <v>67732</v>
      </c>
      <c r="R532" s="95">
        <f t="shared" si="17"/>
        <v>57572.2</v>
      </c>
    </row>
    <row r="533" spans="1:23" ht="34.049999999999997" customHeight="1" x14ac:dyDescent="0.3">
      <c r="A533" s="90">
        <v>522</v>
      </c>
      <c r="B533" s="91" t="s">
        <v>1712</v>
      </c>
      <c r="C533" s="91" t="s">
        <v>1797</v>
      </c>
      <c r="D533" s="91" t="s">
        <v>1798</v>
      </c>
      <c r="E533" s="91">
        <v>1980</v>
      </c>
      <c r="F533" s="91" t="s">
        <v>19</v>
      </c>
      <c r="G533" s="91" t="s">
        <v>1844</v>
      </c>
      <c r="H533" s="91" t="s">
        <v>1881</v>
      </c>
      <c r="I533" s="91" t="s">
        <v>1905</v>
      </c>
      <c r="J533" s="91">
        <v>6199</v>
      </c>
      <c r="K533" s="91">
        <v>0</v>
      </c>
      <c r="L533" s="91">
        <v>0</v>
      </c>
      <c r="M533" s="91">
        <v>0</v>
      </c>
      <c r="N533" s="91">
        <v>0</v>
      </c>
      <c r="O533" s="91">
        <v>0</v>
      </c>
      <c r="P533" s="91">
        <v>0</v>
      </c>
      <c r="Q533" s="101">
        <f t="shared" si="16"/>
        <v>6199</v>
      </c>
      <c r="R533" s="95">
        <f t="shared" si="17"/>
        <v>5269.15</v>
      </c>
    </row>
    <row r="534" spans="1:23" ht="34.049999999999997" customHeight="1" x14ac:dyDescent="0.3">
      <c r="A534" s="90">
        <v>523</v>
      </c>
      <c r="B534" s="91" t="s">
        <v>1712</v>
      </c>
      <c r="C534" s="91" t="s">
        <v>1799</v>
      </c>
      <c r="D534" s="91" t="s">
        <v>1800</v>
      </c>
      <c r="E534" s="91">
        <v>1991</v>
      </c>
      <c r="F534" s="91" t="s">
        <v>19</v>
      </c>
      <c r="G534" s="91" t="s">
        <v>1845</v>
      </c>
      <c r="H534" s="91" t="s">
        <v>1845</v>
      </c>
      <c r="I534" s="91" t="s">
        <v>1906</v>
      </c>
      <c r="J534" s="91">
        <v>6199</v>
      </c>
      <c r="K534" s="91">
        <f>2332+3587+2332</f>
        <v>8251</v>
      </c>
      <c r="L534" s="91">
        <v>0</v>
      </c>
      <c r="M534" s="91">
        <v>0</v>
      </c>
      <c r="N534" s="91">
        <v>0</v>
      </c>
      <c r="O534" s="91">
        <v>0</v>
      </c>
      <c r="P534" s="91">
        <v>0</v>
      </c>
      <c r="Q534" s="101">
        <f t="shared" si="16"/>
        <v>14450</v>
      </c>
      <c r="R534" s="95">
        <f t="shared" si="17"/>
        <v>12282.5</v>
      </c>
    </row>
    <row r="535" spans="1:23" ht="34.049999999999997" customHeight="1" x14ac:dyDescent="0.3">
      <c r="A535" s="96">
        <v>524</v>
      </c>
      <c r="B535" s="91" t="s">
        <v>1712</v>
      </c>
      <c r="C535" s="91" t="s">
        <v>1801</v>
      </c>
      <c r="D535" s="91" t="s">
        <v>1802</v>
      </c>
      <c r="E535" s="91">
        <v>1987</v>
      </c>
      <c r="F535" s="91" t="s">
        <v>18</v>
      </c>
      <c r="G535" s="91" t="s">
        <v>1045</v>
      </c>
      <c r="H535" s="91" t="s">
        <v>1045</v>
      </c>
      <c r="I535" s="91" t="s">
        <v>1907</v>
      </c>
      <c r="J535" s="91">
        <v>6199</v>
      </c>
      <c r="K535" s="91">
        <v>0</v>
      </c>
      <c r="L535" s="91">
        <v>0</v>
      </c>
      <c r="M535" s="91">
        <v>0</v>
      </c>
      <c r="N535" s="91">
        <v>0</v>
      </c>
      <c r="O535" s="91">
        <v>0</v>
      </c>
      <c r="P535" s="91">
        <v>0</v>
      </c>
      <c r="Q535" s="101">
        <f t="shared" si="16"/>
        <v>6199</v>
      </c>
      <c r="R535" s="95">
        <f t="shared" si="17"/>
        <v>5269.15</v>
      </c>
    </row>
    <row r="536" spans="1:23" ht="34.049999999999997" customHeight="1" x14ac:dyDescent="0.3">
      <c r="A536" s="90">
        <v>525</v>
      </c>
      <c r="B536" s="91" t="s">
        <v>1712</v>
      </c>
      <c r="C536" s="91" t="s">
        <v>1803</v>
      </c>
      <c r="D536" s="91" t="s">
        <v>1804</v>
      </c>
      <c r="E536" s="91">
        <v>2011</v>
      </c>
      <c r="F536" s="91" t="s">
        <v>18</v>
      </c>
      <c r="G536" s="91" t="s">
        <v>1846</v>
      </c>
      <c r="H536" s="91" t="s">
        <v>1882</v>
      </c>
      <c r="I536" s="91" t="s">
        <v>1081</v>
      </c>
      <c r="J536" s="91">
        <v>6199</v>
      </c>
      <c r="K536" s="91">
        <v>0</v>
      </c>
      <c r="L536" s="91">
        <v>0</v>
      </c>
      <c r="M536" s="91">
        <v>0</v>
      </c>
      <c r="N536" s="91">
        <v>0</v>
      </c>
      <c r="O536" s="91">
        <v>0</v>
      </c>
      <c r="P536" s="91">
        <v>0</v>
      </c>
      <c r="Q536" s="101">
        <f t="shared" si="16"/>
        <v>6199</v>
      </c>
      <c r="R536" s="95">
        <f t="shared" si="17"/>
        <v>5269.15</v>
      </c>
    </row>
    <row r="537" spans="1:23" ht="34.049999999999997" customHeight="1" x14ac:dyDescent="0.3">
      <c r="A537" s="90">
        <v>526</v>
      </c>
      <c r="B537" s="98" t="s">
        <v>1712</v>
      </c>
      <c r="C537" s="98" t="s">
        <v>1848</v>
      </c>
      <c r="D537" s="98" t="s">
        <v>1849</v>
      </c>
      <c r="E537" s="98">
        <v>1987</v>
      </c>
      <c r="F537" s="98" t="s">
        <v>18</v>
      </c>
      <c r="G537" s="98" t="s">
        <v>1847</v>
      </c>
      <c r="H537" s="98" t="s">
        <v>1883</v>
      </c>
      <c r="I537" s="98" t="s">
        <v>546</v>
      </c>
      <c r="J537" s="98">
        <v>6199</v>
      </c>
      <c r="K537" s="98">
        <v>0</v>
      </c>
      <c r="L537" s="98">
        <v>0</v>
      </c>
      <c r="M537" s="98">
        <v>0</v>
      </c>
      <c r="N537" s="98">
        <v>0</v>
      </c>
      <c r="O537" s="98">
        <v>0</v>
      </c>
      <c r="P537" s="98">
        <v>0</v>
      </c>
      <c r="Q537" s="101">
        <f t="shared" si="16"/>
        <v>6199</v>
      </c>
      <c r="R537" s="95">
        <f t="shared" si="17"/>
        <v>5269.15</v>
      </c>
      <c r="S537" s="41"/>
      <c r="T537" s="41"/>
      <c r="U537" s="41"/>
      <c r="V537" s="41"/>
      <c r="W537" s="41"/>
    </row>
    <row r="538" spans="1:23" ht="34.049999999999997" customHeight="1" x14ac:dyDescent="0.3">
      <c r="A538" s="96">
        <v>527</v>
      </c>
      <c r="B538" s="98" t="s">
        <v>1712</v>
      </c>
      <c r="C538" s="98" t="s">
        <v>7231</v>
      </c>
      <c r="D538" s="99" t="s">
        <v>2647</v>
      </c>
      <c r="E538" s="98">
        <v>1979</v>
      </c>
      <c r="F538" s="98" t="s">
        <v>18</v>
      </c>
      <c r="G538" s="98" t="s">
        <v>2648</v>
      </c>
      <c r="H538" s="98" t="s">
        <v>2649</v>
      </c>
      <c r="I538" s="98" t="s">
        <v>34</v>
      </c>
      <c r="J538" s="98">
        <v>2900</v>
      </c>
      <c r="K538" s="98">
        <v>0</v>
      </c>
      <c r="L538" s="98">
        <v>0</v>
      </c>
      <c r="M538" s="98">
        <v>0</v>
      </c>
      <c r="N538" s="98">
        <f>1681+5321</f>
        <v>7002</v>
      </c>
      <c r="O538" s="98">
        <v>0</v>
      </c>
      <c r="P538" s="98">
        <f>312+56</f>
        <v>368</v>
      </c>
      <c r="Q538" s="101">
        <f t="shared" si="16"/>
        <v>10270</v>
      </c>
      <c r="R538" s="95">
        <f t="shared" si="17"/>
        <v>8729.5</v>
      </c>
      <c r="S538" s="41"/>
      <c r="T538" s="41"/>
      <c r="U538" s="41"/>
      <c r="V538" s="41"/>
      <c r="W538" s="41"/>
    </row>
    <row r="539" spans="1:23" ht="34.049999999999997" customHeight="1" x14ac:dyDescent="0.3">
      <c r="A539" s="90">
        <v>528</v>
      </c>
      <c r="B539" s="98" t="s">
        <v>1712</v>
      </c>
      <c r="C539" s="98" t="s">
        <v>7232</v>
      </c>
      <c r="D539" s="99" t="s">
        <v>1496</v>
      </c>
      <c r="E539" s="98">
        <v>2020</v>
      </c>
      <c r="F539" s="98" t="s">
        <v>19</v>
      </c>
      <c r="G539" s="98" t="s">
        <v>1604</v>
      </c>
      <c r="H539" s="98" t="s">
        <v>1655</v>
      </c>
      <c r="I539" s="98" t="s">
        <v>840</v>
      </c>
      <c r="J539" s="98">
        <v>2900</v>
      </c>
      <c r="K539" s="98">
        <v>0</v>
      </c>
      <c r="L539" s="98">
        <v>0</v>
      </c>
      <c r="M539" s="98">
        <v>17688</v>
      </c>
      <c r="N539" s="98">
        <v>2088</v>
      </c>
      <c r="O539" s="98">
        <v>0</v>
      </c>
      <c r="P539" s="98">
        <f>1080+168+60</f>
        <v>1308</v>
      </c>
      <c r="Q539" s="101">
        <f t="shared" si="16"/>
        <v>23984</v>
      </c>
      <c r="R539" s="95">
        <f t="shared" si="17"/>
        <v>20386.400000000001</v>
      </c>
      <c r="S539" s="41"/>
      <c r="T539" s="41"/>
      <c r="U539" s="41"/>
      <c r="V539" s="41"/>
      <c r="W539" s="41"/>
    </row>
    <row r="540" spans="1:23" ht="34.049999999999997" customHeight="1" x14ac:dyDescent="0.3">
      <c r="A540" s="90">
        <v>529</v>
      </c>
      <c r="B540" s="98" t="s">
        <v>1712</v>
      </c>
      <c r="C540" s="98" t="s">
        <v>7233</v>
      </c>
      <c r="D540" s="99" t="s">
        <v>1305</v>
      </c>
      <c r="E540" s="98">
        <v>2024</v>
      </c>
      <c r="F540" s="98" t="s">
        <v>18</v>
      </c>
      <c r="G540" s="98" t="s">
        <v>1391</v>
      </c>
      <c r="H540" s="98" t="s">
        <v>1437</v>
      </c>
      <c r="I540" s="98" t="s">
        <v>835</v>
      </c>
      <c r="J540" s="98">
        <v>2900</v>
      </c>
      <c r="K540" s="98">
        <v>0</v>
      </c>
      <c r="L540" s="98">
        <v>0</v>
      </c>
      <c r="M540" s="98">
        <v>0</v>
      </c>
      <c r="N540" s="98">
        <v>2088</v>
      </c>
      <c r="O540" s="98">
        <v>0</v>
      </c>
      <c r="P540" s="98">
        <f>360+56</f>
        <v>416</v>
      </c>
      <c r="Q540" s="101">
        <f t="shared" si="16"/>
        <v>5404</v>
      </c>
      <c r="R540" s="95">
        <f t="shared" si="17"/>
        <v>4593.3999999999996</v>
      </c>
      <c r="S540" s="41"/>
      <c r="T540" s="41"/>
      <c r="U540" s="41"/>
      <c r="V540" s="41"/>
      <c r="W540" s="41"/>
    </row>
    <row r="541" spans="1:23" ht="34.049999999999997" customHeight="1" x14ac:dyDescent="0.3">
      <c r="A541" s="96">
        <v>530</v>
      </c>
      <c r="B541" s="91" t="s">
        <v>1908</v>
      </c>
      <c r="C541" s="91" t="s">
        <v>1909</v>
      </c>
      <c r="D541" s="91" t="s">
        <v>1910</v>
      </c>
      <c r="E541" s="91">
        <v>1987</v>
      </c>
      <c r="F541" s="91" t="s">
        <v>18</v>
      </c>
      <c r="G541" s="91" t="s">
        <v>2026</v>
      </c>
      <c r="H541" s="91" t="s">
        <v>2026</v>
      </c>
      <c r="I541" s="91" t="s">
        <v>2116</v>
      </c>
      <c r="J541" s="91">
        <v>6199</v>
      </c>
      <c r="K541" s="91">
        <f>6995+2332+6278</f>
        <v>15605</v>
      </c>
      <c r="L541" s="91">
        <v>0</v>
      </c>
      <c r="M541" s="91">
        <v>0</v>
      </c>
      <c r="N541" s="91">
        <v>1793</v>
      </c>
      <c r="O541" s="91">
        <v>0</v>
      </c>
      <c r="P541" s="91">
        <v>0</v>
      </c>
      <c r="Q541" s="101">
        <f t="shared" si="16"/>
        <v>23597</v>
      </c>
      <c r="R541" s="95">
        <f t="shared" si="17"/>
        <v>20057.45</v>
      </c>
    </row>
    <row r="542" spans="1:23" ht="34.049999999999997" customHeight="1" x14ac:dyDescent="0.3">
      <c r="A542" s="90">
        <v>531</v>
      </c>
      <c r="B542" s="91" t="s">
        <v>1908</v>
      </c>
      <c r="C542" s="91" t="s">
        <v>1911</v>
      </c>
      <c r="D542" s="91" t="s">
        <v>1912</v>
      </c>
      <c r="E542" s="91">
        <v>1988</v>
      </c>
      <c r="F542" s="91" t="s">
        <v>19</v>
      </c>
      <c r="G542" s="91" t="s">
        <v>2027</v>
      </c>
      <c r="H542" s="91" t="s">
        <v>2083</v>
      </c>
      <c r="I542" s="91" t="s">
        <v>2116</v>
      </c>
      <c r="J542" s="91">
        <v>6199</v>
      </c>
      <c r="K542" s="91">
        <v>0</v>
      </c>
      <c r="L542" s="91">
        <v>17279</v>
      </c>
      <c r="M542" s="91">
        <v>0</v>
      </c>
      <c r="N542" s="91">
        <v>0</v>
      </c>
      <c r="O542" s="91">
        <v>0</v>
      </c>
      <c r="P542" s="91">
        <v>0</v>
      </c>
      <c r="Q542" s="101">
        <f t="shared" si="16"/>
        <v>23478</v>
      </c>
      <c r="R542" s="95">
        <f t="shared" si="17"/>
        <v>19956.3</v>
      </c>
    </row>
    <row r="543" spans="1:23" ht="34.049999999999997" customHeight="1" x14ac:dyDescent="0.3">
      <c r="A543" s="90">
        <v>532</v>
      </c>
      <c r="B543" s="91" t="s">
        <v>1908</v>
      </c>
      <c r="C543" s="91" t="s">
        <v>1913</v>
      </c>
      <c r="D543" s="91" t="s">
        <v>1914</v>
      </c>
      <c r="E543" s="91">
        <v>2016</v>
      </c>
      <c r="F543" s="91" t="s">
        <v>19</v>
      </c>
      <c r="G543" s="91" t="s">
        <v>2028</v>
      </c>
      <c r="H543" s="91" t="s">
        <v>2084</v>
      </c>
      <c r="I543" s="91" t="s">
        <v>2117</v>
      </c>
      <c r="J543" s="91">
        <v>6199</v>
      </c>
      <c r="K543" s="91">
        <f>6278+4484+1346+2332+4484+2332+4484+1166+2332+2332+2332+2332+6995+6995+2332+6995+3000+3000</f>
        <v>65551</v>
      </c>
      <c r="L543" s="91">
        <v>0</v>
      </c>
      <c r="M543" s="91">
        <v>0</v>
      </c>
      <c r="N543" s="91">
        <v>3148</v>
      </c>
      <c r="O543" s="91">
        <v>0</v>
      </c>
      <c r="P543" s="91">
        <v>0</v>
      </c>
      <c r="Q543" s="101">
        <f t="shared" si="16"/>
        <v>74898</v>
      </c>
      <c r="R543" s="95">
        <f t="shared" si="17"/>
        <v>63663.3</v>
      </c>
    </row>
    <row r="544" spans="1:23" ht="34.049999999999997" customHeight="1" x14ac:dyDescent="0.3">
      <c r="A544" s="96">
        <v>533</v>
      </c>
      <c r="B544" s="91" t="s">
        <v>1908</v>
      </c>
      <c r="C544" s="91" t="s">
        <v>1915</v>
      </c>
      <c r="D544" s="91" t="s">
        <v>1916</v>
      </c>
      <c r="E544" s="91">
        <v>2017</v>
      </c>
      <c r="F544" s="91" t="s">
        <v>18</v>
      </c>
      <c r="G544" s="91" t="s">
        <v>2029</v>
      </c>
      <c r="H544" s="91" t="s">
        <v>2085</v>
      </c>
      <c r="I544" s="91" t="s">
        <v>540</v>
      </c>
      <c r="J544" s="91">
        <v>0</v>
      </c>
      <c r="K544" s="91">
        <v>0</v>
      </c>
      <c r="L544" s="91">
        <v>0</v>
      </c>
      <c r="M544" s="91">
        <v>0</v>
      </c>
      <c r="N544" s="91">
        <f>42388+27126</f>
        <v>69514</v>
      </c>
      <c r="O544" s="91">
        <v>0</v>
      </c>
      <c r="P544" s="91">
        <v>0</v>
      </c>
      <c r="Q544" s="101">
        <f t="shared" si="16"/>
        <v>69514</v>
      </c>
      <c r="R544" s="95">
        <f t="shared" si="17"/>
        <v>59086.9</v>
      </c>
    </row>
    <row r="545" spans="1:18" ht="34.049999999999997" customHeight="1" x14ac:dyDescent="0.3">
      <c r="A545" s="90">
        <v>534</v>
      </c>
      <c r="B545" s="91" t="s">
        <v>1908</v>
      </c>
      <c r="C545" s="91" t="s">
        <v>1917</v>
      </c>
      <c r="D545" s="91" t="s">
        <v>1918</v>
      </c>
      <c r="E545" s="91">
        <v>2017</v>
      </c>
      <c r="F545" s="91" t="s">
        <v>19</v>
      </c>
      <c r="G545" s="91" t="s">
        <v>2030</v>
      </c>
      <c r="H545" s="91" t="s">
        <v>2086</v>
      </c>
      <c r="I545" s="91" t="s">
        <v>540</v>
      </c>
      <c r="J545" s="91">
        <v>3582</v>
      </c>
      <c r="K545" s="91">
        <v>0</v>
      </c>
      <c r="L545" s="91">
        <v>0</v>
      </c>
      <c r="M545" s="91">
        <v>0</v>
      </c>
      <c r="N545" s="91">
        <f>21194+13563</f>
        <v>34757</v>
      </c>
      <c r="O545" s="91">
        <v>0</v>
      </c>
      <c r="P545" s="91">
        <v>0</v>
      </c>
      <c r="Q545" s="102">
        <f t="shared" si="16"/>
        <v>38339</v>
      </c>
      <c r="R545" s="95">
        <f t="shared" si="17"/>
        <v>32588.15</v>
      </c>
    </row>
    <row r="546" spans="1:18" ht="34.049999999999997" customHeight="1" x14ac:dyDescent="0.3">
      <c r="A546" s="90">
        <v>535</v>
      </c>
      <c r="B546" s="91" t="s">
        <v>1908</v>
      </c>
      <c r="C546" s="91" t="s">
        <v>1919</v>
      </c>
      <c r="D546" s="91" t="s">
        <v>1920</v>
      </c>
      <c r="E546" s="91">
        <v>1981</v>
      </c>
      <c r="F546" s="91" t="s">
        <v>19</v>
      </c>
      <c r="G546" s="91" t="s">
        <v>2031</v>
      </c>
      <c r="H546" s="91" t="s">
        <v>2087</v>
      </c>
      <c r="I546" s="91" t="s">
        <v>27</v>
      </c>
      <c r="J546" s="91">
        <v>6199</v>
      </c>
      <c r="K546" s="91">
        <v>0</v>
      </c>
      <c r="L546" s="91">
        <v>17279</v>
      </c>
      <c r="M546" s="91">
        <v>0</v>
      </c>
      <c r="N546" s="91">
        <v>0</v>
      </c>
      <c r="O546" s="91">
        <v>0</v>
      </c>
      <c r="P546" s="91">
        <v>0</v>
      </c>
      <c r="Q546" s="101">
        <f t="shared" si="16"/>
        <v>23478</v>
      </c>
      <c r="R546" s="95">
        <f t="shared" si="17"/>
        <v>19956.3</v>
      </c>
    </row>
    <row r="547" spans="1:18" ht="34.049999999999997" customHeight="1" x14ac:dyDescent="0.3">
      <c r="A547" s="96">
        <v>536</v>
      </c>
      <c r="B547" s="91" t="s">
        <v>1908</v>
      </c>
      <c r="C547" s="91" t="s">
        <v>1921</v>
      </c>
      <c r="D547" s="91" t="s">
        <v>1922</v>
      </c>
      <c r="E547" s="91">
        <v>2021</v>
      </c>
      <c r="F547" s="91" t="s">
        <v>18</v>
      </c>
      <c r="G547" s="91" t="s">
        <v>2032</v>
      </c>
      <c r="H547" s="91" t="s">
        <v>2088</v>
      </c>
      <c r="I547" s="91" t="s">
        <v>2118</v>
      </c>
      <c r="J547" s="91">
        <v>6199</v>
      </c>
      <c r="K547" s="91">
        <f>6278+4484+1346+2332+2332+2332+2332+2332+4484</f>
        <v>28252</v>
      </c>
      <c r="L547" s="91">
        <v>0</v>
      </c>
      <c r="M547" s="91">
        <v>0</v>
      </c>
      <c r="N547" s="91">
        <v>3148</v>
      </c>
      <c r="O547" s="91">
        <v>0</v>
      </c>
      <c r="P547" s="91">
        <v>0</v>
      </c>
      <c r="Q547" s="101">
        <f t="shared" si="16"/>
        <v>37599</v>
      </c>
      <c r="R547" s="95">
        <f t="shared" si="17"/>
        <v>31959.15</v>
      </c>
    </row>
    <row r="548" spans="1:18" ht="34.049999999999997" customHeight="1" x14ac:dyDescent="0.3">
      <c r="A548" s="90">
        <v>537</v>
      </c>
      <c r="B548" s="91" t="s">
        <v>1908</v>
      </c>
      <c r="C548" s="91" t="s">
        <v>1923</v>
      </c>
      <c r="D548" s="91" t="s">
        <v>1924</v>
      </c>
      <c r="E548" s="91">
        <v>1969</v>
      </c>
      <c r="F548" s="91" t="s">
        <v>19</v>
      </c>
      <c r="G548" s="91" t="s">
        <v>2033</v>
      </c>
      <c r="H548" s="91" t="s">
        <v>2033</v>
      </c>
      <c r="I548" s="91" t="s">
        <v>1084</v>
      </c>
      <c r="J548" s="91">
        <v>6199</v>
      </c>
      <c r="K548" s="91">
        <v>0</v>
      </c>
      <c r="L548" s="91">
        <v>0</v>
      </c>
      <c r="M548" s="91">
        <v>0</v>
      </c>
      <c r="N548" s="91">
        <v>0</v>
      </c>
      <c r="O548" s="91">
        <v>0</v>
      </c>
      <c r="P548" s="91">
        <v>0</v>
      </c>
      <c r="Q548" s="101">
        <f t="shared" si="16"/>
        <v>6199</v>
      </c>
      <c r="R548" s="95">
        <f t="shared" si="17"/>
        <v>5269.15</v>
      </c>
    </row>
    <row r="549" spans="1:18" ht="34.049999999999997" customHeight="1" x14ac:dyDescent="0.3">
      <c r="A549" s="90">
        <v>538</v>
      </c>
      <c r="B549" s="91" t="s">
        <v>1908</v>
      </c>
      <c r="C549" s="91" t="s">
        <v>1925</v>
      </c>
      <c r="D549" s="91" t="s">
        <v>1926</v>
      </c>
      <c r="E549" s="91">
        <v>1994</v>
      </c>
      <c r="F549" s="91" t="s">
        <v>19</v>
      </c>
      <c r="G549" s="91" t="s">
        <v>2034</v>
      </c>
      <c r="H549" s="91" t="s">
        <v>2089</v>
      </c>
      <c r="I549" s="91" t="s">
        <v>570</v>
      </c>
      <c r="J549" s="91">
        <v>6199</v>
      </c>
      <c r="K549" s="91">
        <f>6278+4484+2332+1346+2332+2332+2243+3587</f>
        <v>24934</v>
      </c>
      <c r="L549" s="91">
        <v>0</v>
      </c>
      <c r="M549" s="91">
        <v>0</v>
      </c>
      <c r="N549" s="91">
        <v>1793</v>
      </c>
      <c r="O549" s="91">
        <v>0</v>
      </c>
      <c r="P549" s="91">
        <v>0</v>
      </c>
      <c r="Q549" s="101">
        <f t="shared" si="16"/>
        <v>32926</v>
      </c>
      <c r="R549" s="95">
        <f t="shared" si="17"/>
        <v>27987.1</v>
      </c>
    </row>
    <row r="550" spans="1:18" ht="34.049999999999997" customHeight="1" x14ac:dyDescent="0.3">
      <c r="A550" s="96">
        <v>539</v>
      </c>
      <c r="B550" s="91" t="s">
        <v>1908</v>
      </c>
      <c r="C550" s="91" t="s">
        <v>1927</v>
      </c>
      <c r="D550" s="91" t="s">
        <v>1928</v>
      </c>
      <c r="E550" s="91">
        <v>1985</v>
      </c>
      <c r="F550" s="91" t="s">
        <v>19</v>
      </c>
      <c r="G550" s="91" t="s">
        <v>2035</v>
      </c>
      <c r="H550" s="91" t="s">
        <v>2035</v>
      </c>
      <c r="I550" s="91" t="s">
        <v>2119</v>
      </c>
      <c r="J550" s="91">
        <v>6199</v>
      </c>
      <c r="K550" s="91">
        <v>0</v>
      </c>
      <c r="L550" s="91">
        <v>0</v>
      </c>
      <c r="M550" s="91">
        <v>0</v>
      </c>
      <c r="N550" s="91">
        <v>0</v>
      </c>
      <c r="O550" s="91">
        <v>0</v>
      </c>
      <c r="P550" s="91">
        <v>0</v>
      </c>
      <c r="Q550" s="101">
        <f t="shared" si="16"/>
        <v>6199</v>
      </c>
      <c r="R550" s="95">
        <f t="shared" si="17"/>
        <v>5269.15</v>
      </c>
    </row>
    <row r="551" spans="1:18" ht="34.049999999999997" customHeight="1" x14ac:dyDescent="0.3">
      <c r="A551" s="90">
        <v>540</v>
      </c>
      <c r="B551" s="91" t="s">
        <v>1908</v>
      </c>
      <c r="C551" s="91" t="s">
        <v>1929</v>
      </c>
      <c r="D551" s="91" t="s">
        <v>1930</v>
      </c>
      <c r="E551" s="91">
        <v>2020</v>
      </c>
      <c r="F551" s="91" t="s">
        <v>19</v>
      </c>
      <c r="G551" s="91" t="s">
        <v>2036</v>
      </c>
      <c r="H551" s="91" t="s">
        <v>2035</v>
      </c>
      <c r="I551" s="91" t="s">
        <v>2120</v>
      </c>
      <c r="J551" s="91">
        <v>6199</v>
      </c>
      <c r="K551" s="91">
        <v>0</v>
      </c>
      <c r="L551" s="91">
        <v>0</v>
      </c>
      <c r="M551" s="91">
        <v>0</v>
      </c>
      <c r="N551" s="91">
        <v>0</v>
      </c>
      <c r="O551" s="91">
        <v>0</v>
      </c>
      <c r="P551" s="91">
        <v>0</v>
      </c>
      <c r="Q551" s="102">
        <f t="shared" si="16"/>
        <v>6199</v>
      </c>
      <c r="R551" s="95">
        <f t="shared" si="17"/>
        <v>5269.15</v>
      </c>
    </row>
    <row r="552" spans="1:18" ht="34.049999999999997" customHeight="1" x14ac:dyDescent="0.3">
      <c r="A552" s="90">
        <v>541</v>
      </c>
      <c r="B552" s="91" t="s">
        <v>1908</v>
      </c>
      <c r="C552" s="91" t="s">
        <v>1931</v>
      </c>
      <c r="D552" s="91" t="s">
        <v>1932</v>
      </c>
      <c r="E552" s="91">
        <v>1994</v>
      </c>
      <c r="F552" s="91" t="s">
        <v>19</v>
      </c>
      <c r="G552" s="91" t="s">
        <v>2037</v>
      </c>
      <c r="H552" s="91" t="s">
        <v>2037</v>
      </c>
      <c r="I552" s="91" t="s">
        <v>32</v>
      </c>
      <c r="J552" s="91">
        <v>6199</v>
      </c>
      <c r="K552" s="91">
        <v>0</v>
      </c>
      <c r="L552" s="91">
        <v>17279</v>
      </c>
      <c r="M552" s="91">
        <v>0</v>
      </c>
      <c r="N552" s="91">
        <v>0</v>
      </c>
      <c r="O552" s="91">
        <v>0</v>
      </c>
      <c r="P552" s="91">
        <v>0</v>
      </c>
      <c r="Q552" s="101">
        <f t="shared" si="16"/>
        <v>23478</v>
      </c>
      <c r="R552" s="95">
        <f t="shared" si="17"/>
        <v>19956.3</v>
      </c>
    </row>
    <row r="553" spans="1:18" ht="34.049999999999997" customHeight="1" x14ac:dyDescent="0.3">
      <c r="A553" s="96">
        <v>542</v>
      </c>
      <c r="B553" s="91" t="s">
        <v>1908</v>
      </c>
      <c r="C553" s="91" t="s">
        <v>1933</v>
      </c>
      <c r="D553" s="91" t="s">
        <v>1934</v>
      </c>
      <c r="E553" s="91">
        <v>1995</v>
      </c>
      <c r="F553" s="91" t="s">
        <v>19</v>
      </c>
      <c r="G553" s="91" t="s">
        <v>2038</v>
      </c>
      <c r="H553" s="91" t="s">
        <v>2090</v>
      </c>
      <c r="I553" s="91" t="s">
        <v>2121</v>
      </c>
      <c r="J553" s="91">
        <v>6199</v>
      </c>
      <c r="K553" s="91">
        <v>0</v>
      </c>
      <c r="L553" s="91">
        <v>0</v>
      </c>
      <c r="M553" s="91">
        <v>0</v>
      </c>
      <c r="N553" s="91">
        <v>0</v>
      </c>
      <c r="O553" s="91">
        <v>0</v>
      </c>
      <c r="P553" s="91">
        <v>0</v>
      </c>
      <c r="Q553" s="101">
        <f t="shared" si="16"/>
        <v>6199</v>
      </c>
      <c r="R553" s="95">
        <f t="shared" si="17"/>
        <v>5269.15</v>
      </c>
    </row>
    <row r="554" spans="1:18" ht="34.049999999999997" customHeight="1" x14ac:dyDescent="0.3">
      <c r="A554" s="90">
        <v>543</v>
      </c>
      <c r="B554" s="91" t="s">
        <v>1908</v>
      </c>
      <c r="C554" s="91" t="s">
        <v>1935</v>
      </c>
      <c r="D554" s="91" t="s">
        <v>1936</v>
      </c>
      <c r="E554" s="91">
        <v>1988</v>
      </c>
      <c r="F554" s="91" t="s">
        <v>18</v>
      </c>
      <c r="G554" s="91" t="s">
        <v>2039</v>
      </c>
      <c r="H554" s="91" t="s">
        <v>2091</v>
      </c>
      <c r="I554" s="91" t="s">
        <v>2122</v>
      </c>
      <c r="J554" s="91">
        <v>6199</v>
      </c>
      <c r="K554" s="91">
        <v>0</v>
      </c>
      <c r="L554" s="91">
        <v>0</v>
      </c>
      <c r="M554" s="91">
        <v>0</v>
      </c>
      <c r="N554" s="91">
        <v>0</v>
      </c>
      <c r="O554" s="91">
        <v>0</v>
      </c>
      <c r="P554" s="91">
        <v>0</v>
      </c>
      <c r="Q554" s="101">
        <f t="shared" si="16"/>
        <v>6199</v>
      </c>
      <c r="R554" s="95">
        <f t="shared" si="17"/>
        <v>5269.15</v>
      </c>
    </row>
    <row r="555" spans="1:18" ht="34.049999999999997" customHeight="1" x14ac:dyDescent="0.3">
      <c r="A555" s="90">
        <v>544</v>
      </c>
      <c r="B555" s="91" t="s">
        <v>1908</v>
      </c>
      <c r="C555" s="91" t="s">
        <v>1937</v>
      </c>
      <c r="D555" s="91" t="s">
        <v>1938</v>
      </c>
      <c r="E555" s="91">
        <v>1989</v>
      </c>
      <c r="F555" s="91" t="s">
        <v>19</v>
      </c>
      <c r="G555" s="91" t="s">
        <v>2040</v>
      </c>
      <c r="H555" s="91" t="s">
        <v>2040</v>
      </c>
      <c r="I555" s="91" t="s">
        <v>2123</v>
      </c>
      <c r="J555" s="91">
        <v>6199</v>
      </c>
      <c r="K555" s="91">
        <v>0</v>
      </c>
      <c r="L555" s="91">
        <v>0</v>
      </c>
      <c r="M555" s="91">
        <v>0</v>
      </c>
      <c r="N555" s="91">
        <v>0</v>
      </c>
      <c r="O555" s="91">
        <v>0</v>
      </c>
      <c r="P555" s="91">
        <v>0</v>
      </c>
      <c r="Q555" s="101">
        <f t="shared" si="16"/>
        <v>6199</v>
      </c>
      <c r="R555" s="95">
        <f t="shared" si="17"/>
        <v>5269.15</v>
      </c>
    </row>
    <row r="556" spans="1:18" ht="34.049999999999997" customHeight="1" x14ac:dyDescent="0.3">
      <c r="A556" s="96">
        <v>545</v>
      </c>
      <c r="B556" s="91" t="s">
        <v>1908</v>
      </c>
      <c r="C556" s="91" t="s">
        <v>1939</v>
      </c>
      <c r="D556" s="91" t="s">
        <v>1940</v>
      </c>
      <c r="E556" s="91">
        <v>2018</v>
      </c>
      <c r="F556" s="91" t="s">
        <v>19</v>
      </c>
      <c r="G556" s="91" t="s">
        <v>2041</v>
      </c>
      <c r="H556" s="91" t="s">
        <v>2092</v>
      </c>
      <c r="I556" s="91" t="s">
        <v>2124</v>
      </c>
      <c r="J556" s="91">
        <v>6199</v>
      </c>
      <c r="K556" s="91">
        <f>6278+4484+2332+1346+2332+2332+2332+2332+6995+6995+2332+6995+1166+2801+2332+4484+4484</f>
        <v>62352</v>
      </c>
      <c r="L556" s="91">
        <v>0</v>
      </c>
      <c r="M556" s="91">
        <v>0</v>
      </c>
      <c r="N556" s="91">
        <v>3148</v>
      </c>
      <c r="O556" s="91">
        <v>0</v>
      </c>
      <c r="P556" s="91">
        <v>0</v>
      </c>
      <c r="Q556" s="101">
        <f t="shared" si="16"/>
        <v>71699</v>
      </c>
      <c r="R556" s="95">
        <f t="shared" si="17"/>
        <v>60944.15</v>
      </c>
    </row>
    <row r="557" spans="1:18" ht="34.049999999999997" customHeight="1" x14ac:dyDescent="0.3">
      <c r="A557" s="90">
        <v>546</v>
      </c>
      <c r="B557" s="91" t="s">
        <v>1908</v>
      </c>
      <c r="C557" s="91" t="s">
        <v>1941</v>
      </c>
      <c r="D557" s="91" t="s">
        <v>1942</v>
      </c>
      <c r="E557" s="91">
        <v>1990</v>
      </c>
      <c r="F557" s="91" t="s">
        <v>19</v>
      </c>
      <c r="G557" s="91" t="s">
        <v>2042</v>
      </c>
      <c r="H557" s="91" t="s">
        <v>2093</v>
      </c>
      <c r="I557" s="91" t="s">
        <v>2125</v>
      </c>
      <c r="J557" s="91">
        <v>6199</v>
      </c>
      <c r="K557" s="91">
        <f>2332+2332+2243</f>
        <v>6907</v>
      </c>
      <c r="L557" s="91">
        <v>0</v>
      </c>
      <c r="M557" s="91">
        <v>0</v>
      </c>
      <c r="N557" s="91">
        <v>0</v>
      </c>
      <c r="O557" s="91">
        <v>0</v>
      </c>
      <c r="P557" s="91">
        <v>0</v>
      </c>
      <c r="Q557" s="101">
        <f t="shared" si="16"/>
        <v>13106</v>
      </c>
      <c r="R557" s="95">
        <f t="shared" si="17"/>
        <v>11140.1</v>
      </c>
    </row>
    <row r="558" spans="1:18" ht="34.049999999999997" customHeight="1" x14ac:dyDescent="0.3">
      <c r="A558" s="90">
        <v>547</v>
      </c>
      <c r="B558" s="91" t="s">
        <v>1908</v>
      </c>
      <c r="C558" s="91" t="s">
        <v>1943</v>
      </c>
      <c r="D558" s="91" t="s">
        <v>1944</v>
      </c>
      <c r="E558" s="91">
        <v>2022</v>
      </c>
      <c r="F558" s="91" t="s">
        <v>19</v>
      </c>
      <c r="G558" s="91" t="s">
        <v>2043</v>
      </c>
      <c r="H558" s="91" t="s">
        <v>1452</v>
      </c>
      <c r="I558" s="91" t="s">
        <v>282</v>
      </c>
      <c r="J558" s="91">
        <v>6199</v>
      </c>
      <c r="K558" s="91">
        <f>6278+4484+1346+2332+2332+2332+2332+2332+6995+2332+6995+6995</f>
        <v>47085</v>
      </c>
      <c r="L558" s="91">
        <v>0</v>
      </c>
      <c r="M558" s="91">
        <v>0</v>
      </c>
      <c r="N558" s="91">
        <f>3148+4053+1178</f>
        <v>8379</v>
      </c>
      <c r="O558" s="91">
        <v>0</v>
      </c>
      <c r="P558" s="91">
        <f>1080+120+720</f>
        <v>1920</v>
      </c>
      <c r="Q558" s="101">
        <f t="shared" si="16"/>
        <v>63583</v>
      </c>
      <c r="R558" s="95">
        <f t="shared" si="17"/>
        <v>54045.55</v>
      </c>
    </row>
    <row r="559" spans="1:18" ht="34.049999999999997" customHeight="1" x14ac:dyDescent="0.3">
      <c r="A559" s="96">
        <v>548</v>
      </c>
      <c r="B559" s="91" t="s">
        <v>1908</v>
      </c>
      <c r="C559" s="91" t="s">
        <v>1945</v>
      </c>
      <c r="D559" s="91" t="s">
        <v>1946</v>
      </c>
      <c r="E559" s="91">
        <v>2010</v>
      </c>
      <c r="F559" s="91" t="s">
        <v>19</v>
      </c>
      <c r="G559" s="91" t="s">
        <v>2044</v>
      </c>
      <c r="H559" s="91" t="s">
        <v>2094</v>
      </c>
      <c r="I559" s="91" t="s">
        <v>2126</v>
      </c>
      <c r="J559" s="91">
        <v>3793</v>
      </c>
      <c r="K559" s="91">
        <v>0</v>
      </c>
      <c r="L559" s="91">
        <v>0</v>
      </c>
      <c r="M559" s="91">
        <v>0</v>
      </c>
      <c r="N559" s="91">
        <f>13690+27916</f>
        <v>41606</v>
      </c>
      <c r="O559" s="91">
        <v>0</v>
      </c>
      <c r="P559" s="91">
        <v>0</v>
      </c>
      <c r="Q559" s="101">
        <f t="shared" si="16"/>
        <v>45399</v>
      </c>
      <c r="R559" s="95">
        <f t="shared" si="17"/>
        <v>38589.15</v>
      </c>
    </row>
    <row r="560" spans="1:18" ht="34.049999999999997" customHeight="1" x14ac:dyDescent="0.3">
      <c r="A560" s="90">
        <v>549</v>
      </c>
      <c r="B560" s="91" t="s">
        <v>1908</v>
      </c>
      <c r="C560" s="91" t="s">
        <v>1947</v>
      </c>
      <c r="D560" s="91" t="s">
        <v>1948</v>
      </c>
      <c r="E560" s="91">
        <v>1999</v>
      </c>
      <c r="F560" s="91" t="s">
        <v>19</v>
      </c>
      <c r="G560" s="91" t="s">
        <v>2045</v>
      </c>
      <c r="H560" s="91" t="s">
        <v>2095</v>
      </c>
      <c r="I560" s="91" t="s">
        <v>283</v>
      </c>
      <c r="J560" s="91">
        <v>6199</v>
      </c>
      <c r="K560" s="91">
        <v>0</v>
      </c>
      <c r="L560" s="91">
        <v>18406</v>
      </c>
      <c r="M560" s="91">
        <v>0</v>
      </c>
      <c r="N560" s="91">
        <v>0</v>
      </c>
      <c r="O560" s="91">
        <v>0</v>
      </c>
      <c r="P560" s="91">
        <v>0</v>
      </c>
      <c r="Q560" s="101">
        <f t="shared" si="16"/>
        <v>24605</v>
      </c>
      <c r="R560" s="95">
        <f t="shared" si="17"/>
        <v>20914.25</v>
      </c>
    </row>
    <row r="561" spans="1:18" ht="34.049999999999997" customHeight="1" x14ac:dyDescent="0.3">
      <c r="A561" s="90">
        <v>550</v>
      </c>
      <c r="B561" s="91" t="s">
        <v>1908</v>
      </c>
      <c r="C561" s="91" t="s">
        <v>1949</v>
      </c>
      <c r="D561" s="91" t="s">
        <v>346</v>
      </c>
      <c r="E561" s="91">
        <v>2017</v>
      </c>
      <c r="F561" s="91" t="s">
        <v>19</v>
      </c>
      <c r="G561" s="91" t="s">
        <v>454</v>
      </c>
      <c r="H561" s="91" t="s">
        <v>509</v>
      </c>
      <c r="I561" s="91" t="s">
        <v>550</v>
      </c>
      <c r="J561" s="91">
        <v>3582</v>
      </c>
      <c r="K561" s="91">
        <v>0</v>
      </c>
      <c r="L561" s="91">
        <v>0</v>
      </c>
      <c r="M561" s="91">
        <v>0</v>
      </c>
      <c r="N561" s="91">
        <v>38478</v>
      </c>
      <c r="O561" s="91">
        <v>0</v>
      </c>
      <c r="P561" s="91">
        <v>0</v>
      </c>
      <c r="Q561" s="101">
        <f t="shared" si="16"/>
        <v>42060</v>
      </c>
      <c r="R561" s="95">
        <f t="shared" si="17"/>
        <v>35751</v>
      </c>
    </row>
    <row r="562" spans="1:18" ht="34.049999999999997" customHeight="1" x14ac:dyDescent="0.3">
      <c r="A562" s="96">
        <v>551</v>
      </c>
      <c r="B562" s="91" t="s">
        <v>1908</v>
      </c>
      <c r="C562" s="91" t="s">
        <v>1950</v>
      </c>
      <c r="D562" s="91" t="s">
        <v>1951</v>
      </c>
      <c r="E562" s="91">
        <v>2022</v>
      </c>
      <c r="F562" s="91" t="s">
        <v>19</v>
      </c>
      <c r="G562" s="91" t="s">
        <v>2046</v>
      </c>
      <c r="H562" s="91" t="s">
        <v>2096</v>
      </c>
      <c r="I562" s="91" t="s">
        <v>1046</v>
      </c>
      <c r="J562" s="91">
        <v>6199</v>
      </c>
      <c r="K562" s="91">
        <v>0</v>
      </c>
      <c r="L562" s="91">
        <v>0</v>
      </c>
      <c r="M562" s="91">
        <v>0</v>
      </c>
      <c r="N562" s="91">
        <v>5321</v>
      </c>
      <c r="O562" s="91">
        <v>0</v>
      </c>
      <c r="P562" s="91">
        <v>0</v>
      </c>
      <c r="Q562" s="101">
        <f t="shared" si="16"/>
        <v>11520</v>
      </c>
      <c r="R562" s="95">
        <f t="shared" si="17"/>
        <v>9792</v>
      </c>
    </row>
    <row r="563" spans="1:18" ht="34.049999999999997" customHeight="1" x14ac:dyDescent="0.3">
      <c r="A563" s="90">
        <v>552</v>
      </c>
      <c r="B563" s="91" t="s">
        <v>1908</v>
      </c>
      <c r="C563" s="91" t="s">
        <v>1952</v>
      </c>
      <c r="D563" s="91" t="s">
        <v>1953</v>
      </c>
      <c r="E563" s="91">
        <v>2023</v>
      </c>
      <c r="F563" s="91" t="s">
        <v>19</v>
      </c>
      <c r="G563" s="91" t="s">
        <v>2047</v>
      </c>
      <c r="H563" s="91" t="s">
        <v>2097</v>
      </c>
      <c r="I563" s="91" t="s">
        <v>2127</v>
      </c>
      <c r="J563" s="91">
        <v>6199</v>
      </c>
      <c r="K563" s="91">
        <v>0</v>
      </c>
      <c r="L563" s="91">
        <v>0</v>
      </c>
      <c r="M563" s="91">
        <v>0</v>
      </c>
      <c r="N563" s="91">
        <v>0</v>
      </c>
      <c r="O563" s="91">
        <v>0</v>
      </c>
      <c r="P563" s="91">
        <v>0</v>
      </c>
      <c r="Q563" s="101">
        <f t="shared" si="16"/>
        <v>6199</v>
      </c>
      <c r="R563" s="95">
        <f t="shared" si="17"/>
        <v>5269.15</v>
      </c>
    </row>
    <row r="564" spans="1:18" ht="34.049999999999997" customHeight="1" x14ac:dyDescent="0.3">
      <c r="A564" s="90">
        <v>553</v>
      </c>
      <c r="B564" s="91" t="s">
        <v>1908</v>
      </c>
      <c r="C564" s="91" t="s">
        <v>1954</v>
      </c>
      <c r="D564" s="91" t="s">
        <v>1955</v>
      </c>
      <c r="E564" s="91">
        <v>1985</v>
      </c>
      <c r="F564" s="91" t="s">
        <v>19</v>
      </c>
      <c r="G564" s="91" t="s">
        <v>2048</v>
      </c>
      <c r="H564" s="91" t="s">
        <v>2048</v>
      </c>
      <c r="I564" s="91" t="s">
        <v>1257</v>
      </c>
      <c r="J564" s="91">
        <v>6199</v>
      </c>
      <c r="K564" s="91">
        <v>0</v>
      </c>
      <c r="L564" s="91">
        <v>0</v>
      </c>
      <c r="M564" s="91">
        <v>0</v>
      </c>
      <c r="N564" s="91">
        <v>0</v>
      </c>
      <c r="O564" s="91">
        <v>0</v>
      </c>
      <c r="P564" s="91">
        <v>0</v>
      </c>
      <c r="Q564" s="101">
        <f t="shared" si="16"/>
        <v>6199</v>
      </c>
      <c r="R564" s="95">
        <f t="shared" si="17"/>
        <v>5269.15</v>
      </c>
    </row>
    <row r="565" spans="1:18" ht="34.049999999999997" customHeight="1" x14ac:dyDescent="0.3">
      <c r="A565" s="96">
        <v>554</v>
      </c>
      <c r="B565" s="91" t="s">
        <v>1908</v>
      </c>
      <c r="C565" s="91" t="s">
        <v>1956</v>
      </c>
      <c r="D565" s="91" t="s">
        <v>1957</v>
      </c>
      <c r="E565" s="91">
        <v>2019</v>
      </c>
      <c r="F565" s="91" t="s">
        <v>18</v>
      </c>
      <c r="G565" s="91" t="s">
        <v>2049</v>
      </c>
      <c r="H565" s="91" t="s">
        <v>2048</v>
      </c>
      <c r="I565" s="91" t="s">
        <v>1257</v>
      </c>
      <c r="J565" s="91">
        <v>6199</v>
      </c>
      <c r="K565" s="91">
        <v>0</v>
      </c>
      <c r="L565" s="91">
        <v>0</v>
      </c>
      <c r="M565" s="91">
        <v>0</v>
      </c>
      <c r="N565" s="91">
        <v>0</v>
      </c>
      <c r="O565" s="91">
        <v>0</v>
      </c>
      <c r="P565" s="91">
        <v>0</v>
      </c>
      <c r="Q565" s="101">
        <f t="shared" si="16"/>
        <v>6199</v>
      </c>
      <c r="R565" s="95">
        <f t="shared" si="17"/>
        <v>5269.15</v>
      </c>
    </row>
    <row r="566" spans="1:18" ht="34.049999999999997" customHeight="1" x14ac:dyDescent="0.3">
      <c r="A566" s="90">
        <v>555</v>
      </c>
      <c r="B566" s="91" t="s">
        <v>1908</v>
      </c>
      <c r="C566" s="91" t="s">
        <v>1958</v>
      </c>
      <c r="D566" s="91" t="s">
        <v>1959</v>
      </c>
      <c r="E566" s="91">
        <v>1992</v>
      </c>
      <c r="F566" s="91" t="s">
        <v>19</v>
      </c>
      <c r="G566" s="91" t="s">
        <v>2050</v>
      </c>
      <c r="H566" s="91" t="s">
        <v>2050</v>
      </c>
      <c r="I566" s="91" t="s">
        <v>277</v>
      </c>
      <c r="J566" s="91">
        <v>6199</v>
      </c>
      <c r="K566" s="91">
        <v>0</v>
      </c>
      <c r="L566" s="91">
        <v>0</v>
      </c>
      <c r="M566" s="91">
        <v>0</v>
      </c>
      <c r="N566" s="91">
        <v>0</v>
      </c>
      <c r="O566" s="91">
        <v>0</v>
      </c>
      <c r="P566" s="91">
        <v>0</v>
      </c>
      <c r="Q566" s="101">
        <f t="shared" si="16"/>
        <v>6199</v>
      </c>
      <c r="R566" s="95">
        <f t="shared" si="17"/>
        <v>5269.15</v>
      </c>
    </row>
    <row r="567" spans="1:18" ht="34.049999999999997" customHeight="1" x14ac:dyDescent="0.3">
      <c r="A567" s="90">
        <v>556</v>
      </c>
      <c r="B567" s="91" t="s">
        <v>1908</v>
      </c>
      <c r="C567" s="91" t="s">
        <v>1960</v>
      </c>
      <c r="D567" s="91" t="s">
        <v>1961</v>
      </c>
      <c r="E567" s="91">
        <v>1993</v>
      </c>
      <c r="F567" s="91" t="s">
        <v>19</v>
      </c>
      <c r="G567" s="91" t="s">
        <v>2051</v>
      </c>
      <c r="H567" s="91" t="s">
        <v>2098</v>
      </c>
      <c r="I567" s="91" t="s">
        <v>2128</v>
      </c>
      <c r="J567" s="91">
        <v>6199</v>
      </c>
      <c r="K567" s="91">
        <v>0</v>
      </c>
      <c r="L567" s="91">
        <v>0</v>
      </c>
      <c r="M567" s="91">
        <v>0</v>
      </c>
      <c r="N567" s="91">
        <v>0</v>
      </c>
      <c r="O567" s="91">
        <v>0</v>
      </c>
      <c r="P567" s="91">
        <v>0</v>
      </c>
      <c r="Q567" s="101">
        <f t="shared" si="16"/>
        <v>6199</v>
      </c>
      <c r="R567" s="95">
        <f t="shared" si="17"/>
        <v>5269.15</v>
      </c>
    </row>
    <row r="568" spans="1:18" ht="34.049999999999997" customHeight="1" x14ac:dyDescent="0.3">
      <c r="A568" s="96">
        <v>557</v>
      </c>
      <c r="B568" s="91" t="s">
        <v>1908</v>
      </c>
      <c r="C568" s="91" t="s">
        <v>1962</v>
      </c>
      <c r="D568" s="91" t="s">
        <v>1963</v>
      </c>
      <c r="E568" s="91">
        <v>1993</v>
      </c>
      <c r="F568" s="91" t="s">
        <v>19</v>
      </c>
      <c r="G568" s="91" t="s">
        <v>2052</v>
      </c>
      <c r="H568" s="91" t="s">
        <v>2099</v>
      </c>
      <c r="I568" s="91" t="s">
        <v>32</v>
      </c>
      <c r="J568" s="91">
        <v>6199</v>
      </c>
      <c r="K568" s="91">
        <v>0</v>
      </c>
      <c r="L568" s="91">
        <v>0</v>
      </c>
      <c r="M568" s="91">
        <v>0</v>
      </c>
      <c r="N568" s="91">
        <f>15443+34016+27380</f>
        <v>76839</v>
      </c>
      <c r="O568" s="91">
        <v>0</v>
      </c>
      <c r="P568" s="91">
        <v>0</v>
      </c>
      <c r="Q568" s="101">
        <f t="shared" si="16"/>
        <v>83038</v>
      </c>
      <c r="R568" s="95">
        <f t="shared" si="17"/>
        <v>70582.3</v>
      </c>
    </row>
    <row r="569" spans="1:18" ht="34.049999999999997" customHeight="1" x14ac:dyDescent="0.3">
      <c r="A569" s="90">
        <v>558</v>
      </c>
      <c r="B569" s="91" t="s">
        <v>1908</v>
      </c>
      <c r="C569" s="91" t="s">
        <v>1964</v>
      </c>
      <c r="D569" s="91" t="s">
        <v>1965</v>
      </c>
      <c r="E569" s="91">
        <v>2003</v>
      </c>
      <c r="F569" s="91" t="s">
        <v>19</v>
      </c>
      <c r="G569" s="91" t="s">
        <v>2053</v>
      </c>
      <c r="H569" s="91" t="s">
        <v>2100</v>
      </c>
      <c r="I569" s="91" t="s">
        <v>2129</v>
      </c>
      <c r="J569" s="91">
        <v>6199</v>
      </c>
      <c r="K569" s="91">
        <v>0</v>
      </c>
      <c r="L569" s="91">
        <v>18406</v>
      </c>
      <c r="M569" s="91">
        <v>0</v>
      </c>
      <c r="N569" s="91">
        <v>0</v>
      </c>
      <c r="O569" s="91">
        <v>0</v>
      </c>
      <c r="P569" s="91">
        <v>0</v>
      </c>
      <c r="Q569" s="101">
        <f t="shared" si="16"/>
        <v>24605</v>
      </c>
      <c r="R569" s="95">
        <f t="shared" si="17"/>
        <v>20914.25</v>
      </c>
    </row>
    <row r="570" spans="1:18" ht="34.049999999999997" customHeight="1" x14ac:dyDescent="0.3">
      <c r="A570" s="90">
        <v>559</v>
      </c>
      <c r="B570" s="91" t="s">
        <v>1908</v>
      </c>
      <c r="C570" s="91" t="s">
        <v>1966</v>
      </c>
      <c r="D570" s="91" t="s">
        <v>1967</v>
      </c>
      <c r="E570" s="91">
        <v>2018</v>
      </c>
      <c r="F570" s="91" t="s">
        <v>19</v>
      </c>
      <c r="G570" s="91" t="s">
        <v>2054</v>
      </c>
      <c r="H570" s="91" t="s">
        <v>2101</v>
      </c>
      <c r="I570" s="91" t="s">
        <v>1084</v>
      </c>
      <c r="J570" s="91">
        <v>6199</v>
      </c>
      <c r="K570" s="91">
        <f>6278+4484+1346+2332+2332+2332+2332+6995+6995+2332+6995+4484+2332+2332</f>
        <v>53901</v>
      </c>
      <c r="L570" s="91">
        <v>0</v>
      </c>
      <c r="M570" s="91">
        <v>0</v>
      </c>
      <c r="N570" s="91">
        <f>3148+1178+4053</f>
        <v>8379</v>
      </c>
      <c r="O570" s="91">
        <v>0</v>
      </c>
      <c r="P570" s="91">
        <f>600+720+120</f>
        <v>1440</v>
      </c>
      <c r="Q570" s="101">
        <f t="shared" si="16"/>
        <v>69919</v>
      </c>
      <c r="R570" s="95">
        <f t="shared" si="17"/>
        <v>59431.15</v>
      </c>
    </row>
    <row r="571" spans="1:18" ht="34.049999999999997" customHeight="1" x14ac:dyDescent="0.3">
      <c r="A571" s="96">
        <v>560</v>
      </c>
      <c r="B571" s="91" t="s">
        <v>1908</v>
      </c>
      <c r="C571" s="91" t="s">
        <v>1968</v>
      </c>
      <c r="D571" s="91" t="s">
        <v>1969</v>
      </c>
      <c r="E571" s="91">
        <v>2020</v>
      </c>
      <c r="F571" s="91" t="s">
        <v>19</v>
      </c>
      <c r="G571" s="91" t="s">
        <v>2055</v>
      </c>
      <c r="H571" s="91" t="s">
        <v>2102</v>
      </c>
      <c r="I571" s="91" t="s">
        <v>1050</v>
      </c>
      <c r="J571" s="91">
        <v>3582</v>
      </c>
      <c r="K571" s="91">
        <v>0</v>
      </c>
      <c r="L571" s="91">
        <v>0</v>
      </c>
      <c r="M571" s="91">
        <v>0</v>
      </c>
      <c r="N571" s="91">
        <f>15443+19239</f>
        <v>34682</v>
      </c>
      <c r="O571" s="91">
        <v>0</v>
      </c>
      <c r="P571" s="91">
        <v>0</v>
      </c>
      <c r="Q571" s="101">
        <f t="shared" si="16"/>
        <v>38264</v>
      </c>
      <c r="R571" s="95">
        <f t="shared" si="17"/>
        <v>32524.400000000001</v>
      </c>
    </row>
    <row r="572" spans="1:18" ht="34.049999999999997" customHeight="1" x14ac:dyDescent="0.3">
      <c r="A572" s="90">
        <v>561</v>
      </c>
      <c r="B572" s="91" t="s">
        <v>1908</v>
      </c>
      <c r="C572" s="91" t="s">
        <v>1970</v>
      </c>
      <c r="D572" s="91" t="s">
        <v>1971</v>
      </c>
      <c r="E572" s="91">
        <v>2020</v>
      </c>
      <c r="F572" s="91" t="s">
        <v>19</v>
      </c>
      <c r="G572" s="91" t="s">
        <v>2056</v>
      </c>
      <c r="H572" s="91" t="s">
        <v>2103</v>
      </c>
      <c r="I572" s="91" t="s">
        <v>1064</v>
      </c>
      <c r="J572" s="91">
        <v>6199</v>
      </c>
      <c r="K572" s="91">
        <f>6278+4484+1346+4484+2332+2332+2332+2332+1166+2332+2332+6995+6995+2332+6995</f>
        <v>55067</v>
      </c>
      <c r="L572" s="91">
        <v>0</v>
      </c>
      <c r="M572" s="91">
        <v>0</v>
      </c>
      <c r="N572" s="91">
        <v>3148</v>
      </c>
      <c r="O572" s="91">
        <v>0</v>
      </c>
      <c r="P572" s="91">
        <v>0</v>
      </c>
      <c r="Q572" s="101">
        <f t="shared" si="16"/>
        <v>64414</v>
      </c>
      <c r="R572" s="95">
        <f t="shared" si="17"/>
        <v>54751.9</v>
      </c>
    </row>
    <row r="573" spans="1:18" ht="34.049999999999997" customHeight="1" x14ac:dyDescent="0.3">
      <c r="A573" s="90">
        <v>562</v>
      </c>
      <c r="B573" s="91" t="s">
        <v>1908</v>
      </c>
      <c r="C573" s="91" t="s">
        <v>1972</v>
      </c>
      <c r="D573" s="91" t="s">
        <v>1973</v>
      </c>
      <c r="E573" s="91">
        <v>1990</v>
      </c>
      <c r="F573" s="91" t="s">
        <v>19</v>
      </c>
      <c r="G573" s="91" t="s">
        <v>2057</v>
      </c>
      <c r="H573" s="91" t="s">
        <v>2057</v>
      </c>
      <c r="I573" s="91" t="s">
        <v>2130</v>
      </c>
      <c r="J573" s="91">
        <v>6199</v>
      </c>
      <c r="K573" s="91">
        <v>0</v>
      </c>
      <c r="L573" s="91">
        <v>17279</v>
      </c>
      <c r="M573" s="91">
        <v>0</v>
      </c>
      <c r="N573" s="91">
        <v>0</v>
      </c>
      <c r="O573" s="91">
        <v>0</v>
      </c>
      <c r="P573" s="91">
        <v>0</v>
      </c>
      <c r="Q573" s="101">
        <f t="shared" si="16"/>
        <v>23478</v>
      </c>
      <c r="R573" s="95">
        <f t="shared" si="17"/>
        <v>19956.3</v>
      </c>
    </row>
    <row r="574" spans="1:18" ht="34.049999999999997" customHeight="1" x14ac:dyDescent="0.3">
      <c r="A574" s="96">
        <v>563</v>
      </c>
      <c r="B574" s="91" t="s">
        <v>1908</v>
      </c>
      <c r="C574" s="91" t="s">
        <v>1974</v>
      </c>
      <c r="D574" s="91" t="s">
        <v>1975</v>
      </c>
      <c r="E574" s="91">
        <v>1990</v>
      </c>
      <c r="F574" s="91" t="s">
        <v>19</v>
      </c>
      <c r="G574" s="91" t="s">
        <v>2058</v>
      </c>
      <c r="H574" s="91" t="s">
        <v>2104</v>
      </c>
      <c r="I574" s="91" t="s">
        <v>32</v>
      </c>
      <c r="J574" s="91">
        <v>6199</v>
      </c>
      <c r="K574" s="91">
        <v>0</v>
      </c>
      <c r="L574" s="91">
        <v>0</v>
      </c>
      <c r="M574" s="91">
        <v>0</v>
      </c>
      <c r="N574" s="91">
        <v>0</v>
      </c>
      <c r="O574" s="91">
        <v>0</v>
      </c>
      <c r="P574" s="91">
        <v>0</v>
      </c>
      <c r="Q574" s="101">
        <f t="shared" si="16"/>
        <v>6199</v>
      </c>
      <c r="R574" s="95">
        <f t="shared" si="17"/>
        <v>5269.15</v>
      </c>
    </row>
    <row r="575" spans="1:18" ht="34.049999999999997" customHeight="1" x14ac:dyDescent="0.3">
      <c r="A575" s="90">
        <v>564</v>
      </c>
      <c r="B575" s="91" t="s">
        <v>1908</v>
      </c>
      <c r="C575" s="91" t="s">
        <v>1976</v>
      </c>
      <c r="D575" s="91" t="s">
        <v>1977</v>
      </c>
      <c r="E575" s="91">
        <v>2002</v>
      </c>
      <c r="F575" s="91" t="s">
        <v>19</v>
      </c>
      <c r="G575" s="91" t="s">
        <v>2059</v>
      </c>
      <c r="H575" s="91" t="s">
        <v>2059</v>
      </c>
      <c r="I575" s="91" t="s">
        <v>2131</v>
      </c>
      <c r="J575" s="91">
        <v>6199</v>
      </c>
      <c r="K575" s="91">
        <v>0</v>
      </c>
      <c r="L575" s="91">
        <v>0</v>
      </c>
      <c r="M575" s="91">
        <v>0</v>
      </c>
      <c r="N575" s="91">
        <v>0</v>
      </c>
      <c r="O575" s="91">
        <v>0</v>
      </c>
      <c r="P575" s="91">
        <v>0</v>
      </c>
      <c r="Q575" s="101">
        <f t="shared" si="16"/>
        <v>6199</v>
      </c>
      <c r="R575" s="95">
        <f t="shared" si="17"/>
        <v>5269.15</v>
      </c>
    </row>
    <row r="576" spans="1:18" ht="34.049999999999997" customHeight="1" x14ac:dyDescent="0.3">
      <c r="A576" s="90">
        <v>565</v>
      </c>
      <c r="B576" s="91" t="s">
        <v>1908</v>
      </c>
      <c r="C576" s="91" t="s">
        <v>1978</v>
      </c>
      <c r="D576" s="91" t="s">
        <v>1979</v>
      </c>
      <c r="E576" s="91">
        <v>2025</v>
      </c>
      <c r="F576" s="91" t="s">
        <v>18</v>
      </c>
      <c r="G576" s="91" t="s">
        <v>2060</v>
      </c>
      <c r="H576" s="91" t="s">
        <v>2105</v>
      </c>
      <c r="I576" s="91" t="s">
        <v>2132</v>
      </c>
      <c r="J576" s="91">
        <v>6199</v>
      </c>
      <c r="K576" s="91">
        <v>0</v>
      </c>
      <c r="L576" s="91">
        <v>0</v>
      </c>
      <c r="M576" s="91">
        <v>0</v>
      </c>
      <c r="N576" s="91">
        <v>0</v>
      </c>
      <c r="O576" s="91">
        <v>0</v>
      </c>
      <c r="P576" s="91">
        <v>0</v>
      </c>
      <c r="Q576" s="101">
        <f t="shared" si="16"/>
        <v>6199</v>
      </c>
      <c r="R576" s="95">
        <f t="shared" si="17"/>
        <v>5269.15</v>
      </c>
    </row>
    <row r="577" spans="1:23" ht="34.049999999999997" customHeight="1" x14ac:dyDescent="0.3">
      <c r="A577" s="96">
        <v>566</v>
      </c>
      <c r="B577" s="91" t="s">
        <v>1908</v>
      </c>
      <c r="C577" s="91" t="s">
        <v>1980</v>
      </c>
      <c r="D577" s="91" t="s">
        <v>1981</v>
      </c>
      <c r="E577" s="91">
        <v>1997</v>
      </c>
      <c r="F577" s="91" t="s">
        <v>19</v>
      </c>
      <c r="G577" s="91" t="s">
        <v>2061</v>
      </c>
      <c r="H577" s="91" t="s">
        <v>2061</v>
      </c>
      <c r="I577" s="91" t="s">
        <v>254</v>
      </c>
      <c r="J577" s="91">
        <v>6199</v>
      </c>
      <c r="K577" s="91">
        <f>2332+2332+2243</f>
        <v>6907</v>
      </c>
      <c r="L577" s="91">
        <v>0</v>
      </c>
      <c r="M577" s="91">
        <v>0</v>
      </c>
      <c r="N577" s="91">
        <v>0</v>
      </c>
      <c r="O577" s="91">
        <v>0</v>
      </c>
      <c r="P577" s="91">
        <v>0</v>
      </c>
      <c r="Q577" s="101">
        <f t="shared" si="16"/>
        <v>13106</v>
      </c>
      <c r="R577" s="95">
        <f t="shared" si="17"/>
        <v>11140.1</v>
      </c>
    </row>
    <row r="578" spans="1:23" ht="34.049999999999997" customHeight="1" x14ac:dyDescent="0.3">
      <c r="A578" s="90">
        <v>567</v>
      </c>
      <c r="B578" s="91" t="s">
        <v>1908</v>
      </c>
      <c r="C578" s="91" t="s">
        <v>1982</v>
      </c>
      <c r="D578" s="91" t="s">
        <v>1983</v>
      </c>
      <c r="E578" s="91">
        <v>1994</v>
      </c>
      <c r="F578" s="91" t="s">
        <v>19</v>
      </c>
      <c r="G578" s="91" t="s">
        <v>2062</v>
      </c>
      <c r="H578" s="91" t="s">
        <v>2062</v>
      </c>
      <c r="I578" s="91" t="s">
        <v>1070</v>
      </c>
      <c r="J578" s="91">
        <v>6199</v>
      </c>
      <c r="K578" s="91">
        <v>0</v>
      </c>
      <c r="L578" s="91">
        <v>0</v>
      </c>
      <c r="M578" s="91">
        <v>0</v>
      </c>
      <c r="N578" s="91">
        <v>15443</v>
      </c>
      <c r="O578" s="91">
        <v>0</v>
      </c>
      <c r="P578" s="91">
        <v>0</v>
      </c>
      <c r="Q578" s="101">
        <f t="shared" si="16"/>
        <v>21642</v>
      </c>
      <c r="R578" s="95">
        <f t="shared" si="17"/>
        <v>18395.7</v>
      </c>
    </row>
    <row r="579" spans="1:23" ht="34.049999999999997" customHeight="1" x14ac:dyDescent="0.3">
      <c r="A579" s="90">
        <v>568</v>
      </c>
      <c r="B579" s="91" t="s">
        <v>1908</v>
      </c>
      <c r="C579" s="91" t="s">
        <v>1984</v>
      </c>
      <c r="D579" s="91" t="s">
        <v>1985</v>
      </c>
      <c r="E579" s="91">
        <v>1997</v>
      </c>
      <c r="F579" s="91" t="s">
        <v>19</v>
      </c>
      <c r="G579" s="91" t="s">
        <v>2063</v>
      </c>
      <c r="H579" s="91" t="s">
        <v>2063</v>
      </c>
      <c r="I579" s="91" t="s">
        <v>2133</v>
      </c>
      <c r="J579" s="91">
        <v>6199</v>
      </c>
      <c r="K579" s="91">
        <v>0</v>
      </c>
      <c r="L579" s="91">
        <v>0</v>
      </c>
      <c r="M579" s="91">
        <v>0</v>
      </c>
      <c r="N579" s="91">
        <v>0</v>
      </c>
      <c r="O579" s="91">
        <v>0</v>
      </c>
      <c r="P579" s="91">
        <v>0</v>
      </c>
      <c r="Q579" s="101">
        <f t="shared" si="16"/>
        <v>6199</v>
      </c>
      <c r="R579" s="95">
        <f t="shared" si="17"/>
        <v>5269.15</v>
      </c>
    </row>
    <row r="580" spans="1:23" ht="34.049999999999997" customHeight="1" x14ac:dyDescent="0.3">
      <c r="A580" s="96">
        <v>569</v>
      </c>
      <c r="B580" s="91" t="s">
        <v>1908</v>
      </c>
      <c r="C580" s="91" t="s">
        <v>1986</v>
      </c>
      <c r="D580" s="91" t="s">
        <v>1987</v>
      </c>
      <c r="E580" s="91">
        <v>1966</v>
      </c>
      <c r="F580" s="91" t="s">
        <v>19</v>
      </c>
      <c r="G580" s="91" t="s">
        <v>2064</v>
      </c>
      <c r="H580" s="91" t="s">
        <v>2064</v>
      </c>
      <c r="I580" s="91" t="s">
        <v>2134</v>
      </c>
      <c r="J580" s="91">
        <v>6199</v>
      </c>
      <c r="K580" s="91">
        <v>0</v>
      </c>
      <c r="L580" s="91">
        <v>0</v>
      </c>
      <c r="M580" s="91">
        <v>0</v>
      </c>
      <c r="N580" s="91">
        <v>0</v>
      </c>
      <c r="O580" s="91">
        <v>0</v>
      </c>
      <c r="P580" s="91">
        <v>0</v>
      </c>
      <c r="Q580" s="101">
        <f t="shared" si="16"/>
        <v>6199</v>
      </c>
      <c r="R580" s="95">
        <f t="shared" si="17"/>
        <v>5269.15</v>
      </c>
    </row>
    <row r="581" spans="1:23" ht="34.049999999999997" customHeight="1" x14ac:dyDescent="0.3">
      <c r="A581" s="90">
        <v>570</v>
      </c>
      <c r="B581" s="91" t="s">
        <v>1908</v>
      </c>
      <c r="C581" s="91" t="s">
        <v>1988</v>
      </c>
      <c r="D581" s="91" t="s">
        <v>1989</v>
      </c>
      <c r="E581" s="91">
        <v>2020</v>
      </c>
      <c r="F581" s="91" t="s">
        <v>19</v>
      </c>
      <c r="G581" s="91" t="s">
        <v>2065</v>
      </c>
      <c r="H581" s="91" t="s">
        <v>1656</v>
      </c>
      <c r="I581" s="91" t="s">
        <v>1686</v>
      </c>
      <c r="J581" s="91">
        <v>6199</v>
      </c>
      <c r="K581" s="91">
        <f>6278+4484+1346+2332+2332+2332+2332+2332+4484+2332+6995+6995+2332+6995+4484</f>
        <v>58385</v>
      </c>
      <c r="L581" s="91">
        <v>0</v>
      </c>
      <c r="M581" s="91">
        <v>0</v>
      </c>
      <c r="N581" s="91">
        <v>3148</v>
      </c>
      <c r="O581" s="91">
        <v>0</v>
      </c>
      <c r="P581" s="91">
        <v>0</v>
      </c>
      <c r="Q581" s="101">
        <f t="shared" si="16"/>
        <v>67732</v>
      </c>
      <c r="R581" s="95">
        <f t="shared" si="17"/>
        <v>57572.2</v>
      </c>
    </row>
    <row r="582" spans="1:23" ht="34.049999999999997" customHeight="1" x14ac:dyDescent="0.3">
      <c r="A582" s="90">
        <v>571</v>
      </c>
      <c r="B582" s="91" t="s">
        <v>1908</v>
      </c>
      <c r="C582" s="91" t="s">
        <v>1990</v>
      </c>
      <c r="D582" s="91" t="s">
        <v>1991</v>
      </c>
      <c r="E582" s="91">
        <v>2017</v>
      </c>
      <c r="F582" s="91" t="s">
        <v>18</v>
      </c>
      <c r="G582" s="91" t="s">
        <v>2066</v>
      </c>
      <c r="H582" s="91" t="s">
        <v>160</v>
      </c>
      <c r="I582" s="91" t="s">
        <v>26</v>
      </c>
      <c r="J582" s="91">
        <v>6199</v>
      </c>
      <c r="K582" s="91">
        <v>0</v>
      </c>
      <c r="L582" s="91">
        <v>0</v>
      </c>
      <c r="M582" s="91">
        <v>0</v>
      </c>
      <c r="N582" s="91">
        <v>0</v>
      </c>
      <c r="O582" s="91">
        <v>0</v>
      </c>
      <c r="P582" s="91">
        <v>0</v>
      </c>
      <c r="Q582" s="101">
        <f t="shared" si="16"/>
        <v>6199</v>
      </c>
      <c r="R582" s="95">
        <f t="shared" si="17"/>
        <v>5269.15</v>
      </c>
    </row>
    <row r="583" spans="1:23" ht="34.049999999999997" customHeight="1" x14ac:dyDescent="0.3">
      <c r="A583" s="96">
        <v>572</v>
      </c>
      <c r="B583" s="91" t="s">
        <v>1908</v>
      </c>
      <c r="C583" s="91" t="s">
        <v>1992</v>
      </c>
      <c r="D583" s="91" t="s">
        <v>1993</v>
      </c>
      <c r="E583" s="91">
        <v>1998</v>
      </c>
      <c r="F583" s="91" t="s">
        <v>19</v>
      </c>
      <c r="G583" s="91" t="s">
        <v>2067</v>
      </c>
      <c r="H583" s="91" t="s">
        <v>2106</v>
      </c>
      <c r="I583" s="91" t="s">
        <v>287</v>
      </c>
      <c r="J583" s="91">
        <v>6199</v>
      </c>
      <c r="K583" s="91">
        <v>0</v>
      </c>
      <c r="L583" s="91">
        <v>0</v>
      </c>
      <c r="M583" s="91">
        <v>0</v>
      </c>
      <c r="N583" s="91">
        <v>0</v>
      </c>
      <c r="O583" s="91">
        <v>0</v>
      </c>
      <c r="P583" s="91">
        <v>0</v>
      </c>
      <c r="Q583" s="101">
        <f t="shared" si="16"/>
        <v>6199</v>
      </c>
      <c r="R583" s="95">
        <f t="shared" si="17"/>
        <v>5269.15</v>
      </c>
    </row>
    <row r="584" spans="1:23" ht="34.049999999999997" customHeight="1" x14ac:dyDescent="0.3">
      <c r="A584" s="90">
        <v>573</v>
      </c>
      <c r="B584" s="91" t="s">
        <v>1908</v>
      </c>
      <c r="C584" s="91" t="s">
        <v>1994</v>
      </c>
      <c r="D584" s="91" t="s">
        <v>1802</v>
      </c>
      <c r="E584" s="91">
        <v>1987</v>
      </c>
      <c r="F584" s="91" t="s">
        <v>18</v>
      </c>
      <c r="G584" s="91" t="s">
        <v>1045</v>
      </c>
      <c r="H584" s="91" t="s">
        <v>1045</v>
      </c>
      <c r="I584" s="91" t="s">
        <v>1907</v>
      </c>
      <c r="J584" s="91">
        <v>0</v>
      </c>
      <c r="K584" s="91">
        <v>0</v>
      </c>
      <c r="L584" s="91">
        <v>0</v>
      </c>
      <c r="M584" s="91">
        <v>0</v>
      </c>
      <c r="N584" s="91">
        <v>13298</v>
      </c>
      <c r="O584" s="91">
        <v>0</v>
      </c>
      <c r="P584" s="91">
        <v>0</v>
      </c>
      <c r="Q584" s="101">
        <f t="shared" si="16"/>
        <v>13298</v>
      </c>
      <c r="R584" s="95">
        <f t="shared" si="17"/>
        <v>11303.3</v>
      </c>
    </row>
    <row r="585" spans="1:23" ht="34.049999999999997" customHeight="1" x14ac:dyDescent="0.3">
      <c r="A585" s="90">
        <v>574</v>
      </c>
      <c r="B585" s="91" t="s">
        <v>1908</v>
      </c>
      <c r="C585" s="91" t="s">
        <v>1995</v>
      </c>
      <c r="D585" s="91" t="s">
        <v>1996</v>
      </c>
      <c r="E585" s="91">
        <v>1988</v>
      </c>
      <c r="F585" s="91" t="s">
        <v>19</v>
      </c>
      <c r="G585" s="91" t="s">
        <v>2068</v>
      </c>
      <c r="H585" s="91" t="s">
        <v>2107</v>
      </c>
      <c r="I585" s="91" t="s">
        <v>574</v>
      </c>
      <c r="J585" s="91">
        <v>6199</v>
      </c>
      <c r="K585" s="91">
        <v>0</v>
      </c>
      <c r="L585" s="91">
        <v>18406</v>
      </c>
      <c r="M585" s="91">
        <v>0</v>
      </c>
      <c r="N585" s="91">
        <v>0</v>
      </c>
      <c r="O585" s="91">
        <v>0</v>
      </c>
      <c r="P585" s="91">
        <v>0</v>
      </c>
      <c r="Q585" s="101">
        <f t="shared" si="16"/>
        <v>24605</v>
      </c>
      <c r="R585" s="95">
        <f t="shared" si="17"/>
        <v>20914.25</v>
      </c>
    </row>
    <row r="586" spans="1:23" ht="34.049999999999997" customHeight="1" x14ac:dyDescent="0.3">
      <c r="A586" s="96">
        <v>575</v>
      </c>
      <c r="B586" s="91" t="s">
        <v>1908</v>
      </c>
      <c r="C586" s="91" t="s">
        <v>1997</v>
      </c>
      <c r="D586" s="91" t="s">
        <v>1998</v>
      </c>
      <c r="E586" s="91">
        <v>1994</v>
      </c>
      <c r="F586" s="91" t="s">
        <v>19</v>
      </c>
      <c r="G586" s="91" t="s">
        <v>2069</v>
      </c>
      <c r="H586" s="91" t="s">
        <v>2108</v>
      </c>
      <c r="I586" s="91" t="s">
        <v>2135</v>
      </c>
      <c r="J586" s="91">
        <v>6199</v>
      </c>
      <c r="K586" s="91">
        <v>0</v>
      </c>
      <c r="L586" s="91">
        <v>0</v>
      </c>
      <c r="M586" s="91">
        <v>0</v>
      </c>
      <c r="N586" s="91">
        <v>0</v>
      </c>
      <c r="O586" s="91">
        <v>0</v>
      </c>
      <c r="P586" s="91">
        <v>0</v>
      </c>
      <c r="Q586" s="101">
        <f t="shared" si="16"/>
        <v>6199</v>
      </c>
      <c r="R586" s="95">
        <f t="shared" si="17"/>
        <v>5269.15</v>
      </c>
    </row>
    <row r="587" spans="1:23" ht="34.049999999999997" customHeight="1" x14ac:dyDescent="0.3">
      <c r="A587" s="90">
        <v>576</v>
      </c>
      <c r="B587" s="98" t="s">
        <v>1908</v>
      </c>
      <c r="C587" s="98" t="s">
        <v>1999</v>
      </c>
      <c r="D587" s="98" t="s">
        <v>2000</v>
      </c>
      <c r="E587" s="98">
        <v>1994</v>
      </c>
      <c r="F587" s="98" t="s">
        <v>19</v>
      </c>
      <c r="G587" s="98" t="s">
        <v>2070</v>
      </c>
      <c r="H587" s="98" t="s">
        <v>2109</v>
      </c>
      <c r="I587" s="98" t="s">
        <v>2136</v>
      </c>
      <c r="J587" s="98">
        <v>6199</v>
      </c>
      <c r="K587" s="98">
        <f>6278+2332+4484+2332+2332+2243+3228+3000+3500+3500+6995+3000</f>
        <v>43224</v>
      </c>
      <c r="L587" s="98">
        <v>18406</v>
      </c>
      <c r="M587" s="98">
        <v>0</v>
      </c>
      <c r="N587" s="98">
        <v>1793</v>
      </c>
      <c r="O587" s="98">
        <v>0</v>
      </c>
      <c r="P587" s="98">
        <v>0</v>
      </c>
      <c r="Q587" s="101">
        <f t="shared" si="16"/>
        <v>69622</v>
      </c>
      <c r="R587" s="95">
        <f t="shared" si="17"/>
        <v>59178.7</v>
      </c>
      <c r="S587" s="41"/>
      <c r="T587" s="41"/>
      <c r="U587" s="41"/>
      <c r="V587" s="41"/>
      <c r="W587" s="41"/>
    </row>
    <row r="588" spans="1:23" ht="34.049999999999997" customHeight="1" x14ac:dyDescent="0.3">
      <c r="A588" s="90">
        <v>577</v>
      </c>
      <c r="B588" s="91" t="s">
        <v>1908</v>
      </c>
      <c r="C588" s="91" t="s">
        <v>2001</v>
      </c>
      <c r="D588" s="91" t="s">
        <v>2002</v>
      </c>
      <c r="E588" s="91">
        <v>1987</v>
      </c>
      <c r="F588" s="91" t="s">
        <v>19</v>
      </c>
      <c r="G588" s="91" t="s">
        <v>2071</v>
      </c>
      <c r="H588" s="91" t="s">
        <v>2071</v>
      </c>
      <c r="I588" s="91" t="s">
        <v>2137</v>
      </c>
      <c r="J588" s="91">
        <v>6199</v>
      </c>
      <c r="K588" s="91">
        <v>0</v>
      </c>
      <c r="L588" s="91">
        <v>17279</v>
      </c>
      <c r="M588" s="91">
        <v>0</v>
      </c>
      <c r="N588" s="91">
        <v>0</v>
      </c>
      <c r="O588" s="91">
        <v>0</v>
      </c>
      <c r="P588" s="91">
        <v>0</v>
      </c>
      <c r="Q588" s="101">
        <f t="shared" ref="Q588:Q651" si="18">SUM(J588:P588)</f>
        <v>23478</v>
      </c>
      <c r="R588" s="95">
        <f t="shared" si="17"/>
        <v>19956.3</v>
      </c>
    </row>
    <row r="589" spans="1:23" ht="34.049999999999997" customHeight="1" x14ac:dyDescent="0.3">
      <c r="A589" s="96">
        <v>578</v>
      </c>
      <c r="B589" s="91" t="s">
        <v>1908</v>
      </c>
      <c r="C589" s="91" t="s">
        <v>2003</v>
      </c>
      <c r="D589" s="91" t="s">
        <v>2004</v>
      </c>
      <c r="E589" s="91">
        <v>2022</v>
      </c>
      <c r="F589" s="91" t="s">
        <v>18</v>
      </c>
      <c r="G589" s="91" t="s">
        <v>2072</v>
      </c>
      <c r="H589" s="91" t="s">
        <v>2110</v>
      </c>
      <c r="I589" s="91" t="s">
        <v>2138</v>
      </c>
      <c r="J589" s="91">
        <v>6199</v>
      </c>
      <c r="K589" s="91">
        <v>0</v>
      </c>
      <c r="L589" s="91">
        <v>0</v>
      </c>
      <c r="M589" s="91">
        <v>0</v>
      </c>
      <c r="N589" s="91">
        <v>0</v>
      </c>
      <c r="O589" s="91">
        <v>0</v>
      </c>
      <c r="P589" s="91">
        <v>0</v>
      </c>
      <c r="Q589" s="101">
        <f t="shared" si="18"/>
        <v>6199</v>
      </c>
      <c r="R589" s="95">
        <f t="shared" ref="R589:R652" si="19">Q589*85/100</f>
        <v>5269.15</v>
      </c>
    </row>
    <row r="590" spans="1:23" ht="34.049999999999997" customHeight="1" x14ac:dyDescent="0.3">
      <c r="A590" s="90">
        <v>579</v>
      </c>
      <c r="B590" s="91" t="s">
        <v>1908</v>
      </c>
      <c r="C590" s="91" t="s">
        <v>2005</v>
      </c>
      <c r="D590" s="91" t="s">
        <v>2006</v>
      </c>
      <c r="E590" s="91">
        <v>1993</v>
      </c>
      <c r="F590" s="91" t="s">
        <v>19</v>
      </c>
      <c r="G590" s="91" t="s">
        <v>2073</v>
      </c>
      <c r="H590" s="91" t="s">
        <v>818</v>
      </c>
      <c r="I590" s="91" t="s">
        <v>300</v>
      </c>
      <c r="J590" s="91">
        <v>6199</v>
      </c>
      <c r="K590" s="91">
        <v>0</v>
      </c>
      <c r="L590" s="91">
        <v>18406</v>
      </c>
      <c r="M590" s="91">
        <v>0</v>
      </c>
      <c r="N590" s="91">
        <v>0</v>
      </c>
      <c r="O590" s="91">
        <v>0</v>
      </c>
      <c r="P590" s="91">
        <v>0</v>
      </c>
      <c r="Q590" s="101">
        <f t="shared" si="18"/>
        <v>24605</v>
      </c>
      <c r="R590" s="95">
        <f t="shared" si="19"/>
        <v>20914.25</v>
      </c>
    </row>
    <row r="591" spans="1:23" ht="34.049999999999997" customHeight="1" x14ac:dyDescent="0.3">
      <c r="A591" s="90">
        <v>580</v>
      </c>
      <c r="B591" s="91" t="s">
        <v>1908</v>
      </c>
      <c r="C591" s="91" t="s">
        <v>2007</v>
      </c>
      <c r="D591" s="91" t="s">
        <v>1993</v>
      </c>
      <c r="E591" s="91">
        <v>1998</v>
      </c>
      <c r="F591" s="91" t="s">
        <v>19</v>
      </c>
      <c r="G591" s="91" t="s">
        <v>2067</v>
      </c>
      <c r="H591" s="91" t="s">
        <v>2106</v>
      </c>
      <c r="I591" s="91" t="s">
        <v>287</v>
      </c>
      <c r="J591" s="91">
        <v>3582</v>
      </c>
      <c r="K591" s="91">
        <v>0</v>
      </c>
      <c r="L591" s="91">
        <v>0</v>
      </c>
      <c r="M591" s="91">
        <v>0</v>
      </c>
      <c r="N591" s="91">
        <v>0</v>
      </c>
      <c r="O591" s="91">
        <v>0</v>
      </c>
      <c r="P591" s="91">
        <v>0</v>
      </c>
      <c r="Q591" s="101">
        <f t="shared" si="18"/>
        <v>3582</v>
      </c>
      <c r="R591" s="95">
        <f t="shared" si="19"/>
        <v>3044.7</v>
      </c>
    </row>
    <row r="592" spans="1:23" ht="34.049999999999997" customHeight="1" x14ac:dyDescent="0.3">
      <c r="A592" s="96">
        <v>581</v>
      </c>
      <c r="B592" s="98" t="s">
        <v>1908</v>
      </c>
      <c r="C592" s="98" t="s">
        <v>2008</v>
      </c>
      <c r="D592" s="98" t="s">
        <v>2009</v>
      </c>
      <c r="E592" s="98">
        <v>2021</v>
      </c>
      <c r="F592" s="98" t="s">
        <v>19</v>
      </c>
      <c r="G592" s="98" t="s">
        <v>2074</v>
      </c>
      <c r="H592" s="98" t="s">
        <v>2111</v>
      </c>
      <c r="I592" s="98" t="s">
        <v>25</v>
      </c>
      <c r="J592" s="98">
        <v>3582</v>
      </c>
      <c r="K592" s="98">
        <v>0</v>
      </c>
      <c r="L592" s="98">
        <v>0</v>
      </c>
      <c r="M592" s="98">
        <v>0</v>
      </c>
      <c r="N592" s="98">
        <v>0</v>
      </c>
      <c r="O592" s="98">
        <v>0</v>
      </c>
      <c r="P592" s="98">
        <v>0</v>
      </c>
      <c r="Q592" s="101">
        <f t="shared" si="18"/>
        <v>3582</v>
      </c>
      <c r="R592" s="95">
        <f t="shared" si="19"/>
        <v>3044.7</v>
      </c>
      <c r="S592" s="41"/>
      <c r="T592" s="41"/>
      <c r="U592" s="41"/>
      <c r="V592" s="41"/>
      <c r="W592" s="41"/>
    </row>
    <row r="593" spans="1:23" ht="34.049999999999997" customHeight="1" x14ac:dyDescent="0.3">
      <c r="A593" s="90">
        <v>582</v>
      </c>
      <c r="B593" s="91" t="s">
        <v>1908</v>
      </c>
      <c r="C593" s="91" t="s">
        <v>2010</v>
      </c>
      <c r="D593" s="91" t="s">
        <v>2011</v>
      </c>
      <c r="E593" s="91">
        <v>1983</v>
      </c>
      <c r="F593" s="91" t="s">
        <v>18</v>
      </c>
      <c r="G593" s="91" t="s">
        <v>2075</v>
      </c>
      <c r="H593" s="91" t="s">
        <v>2075</v>
      </c>
      <c r="I593" s="91" t="s">
        <v>2122</v>
      </c>
      <c r="J593" s="91">
        <v>6199</v>
      </c>
      <c r="K593" s="91">
        <f>1166+2801</f>
        <v>3967</v>
      </c>
      <c r="L593" s="91">
        <v>0</v>
      </c>
      <c r="M593" s="91">
        <v>0</v>
      </c>
      <c r="N593" s="91">
        <v>0</v>
      </c>
      <c r="O593" s="91">
        <v>0</v>
      </c>
      <c r="P593" s="91">
        <v>0</v>
      </c>
      <c r="Q593" s="101">
        <f t="shared" si="18"/>
        <v>10166</v>
      </c>
      <c r="R593" s="95">
        <f t="shared" si="19"/>
        <v>8641.1</v>
      </c>
    </row>
    <row r="594" spans="1:23" ht="34.049999999999997" customHeight="1" x14ac:dyDescent="0.3">
      <c r="A594" s="90">
        <v>583</v>
      </c>
      <c r="B594" s="91" t="s">
        <v>1908</v>
      </c>
      <c r="C594" s="91" t="s">
        <v>2012</v>
      </c>
      <c r="D594" s="91" t="s">
        <v>2013</v>
      </c>
      <c r="E594" s="91">
        <v>1984</v>
      </c>
      <c r="F594" s="91" t="s">
        <v>19</v>
      </c>
      <c r="G594" s="91" t="s">
        <v>2076</v>
      </c>
      <c r="H594" s="91" t="s">
        <v>2076</v>
      </c>
      <c r="I594" s="91" t="s">
        <v>300</v>
      </c>
      <c r="J594" s="91">
        <v>6199</v>
      </c>
      <c r="K594" s="91">
        <v>0</v>
      </c>
      <c r="L594" s="91">
        <v>0</v>
      </c>
      <c r="M594" s="91">
        <v>0</v>
      </c>
      <c r="N594" s="91">
        <v>0</v>
      </c>
      <c r="O594" s="91">
        <v>0</v>
      </c>
      <c r="P594" s="91">
        <v>0</v>
      </c>
      <c r="Q594" s="101">
        <f t="shared" si="18"/>
        <v>6199</v>
      </c>
      <c r="R594" s="95">
        <f t="shared" si="19"/>
        <v>5269.15</v>
      </c>
    </row>
    <row r="595" spans="1:23" ht="34.049999999999997" customHeight="1" x14ac:dyDescent="0.3">
      <c r="A595" s="96">
        <v>584</v>
      </c>
      <c r="B595" s="91" t="s">
        <v>1908</v>
      </c>
      <c r="C595" s="91" t="s">
        <v>2014</v>
      </c>
      <c r="D595" s="91" t="s">
        <v>2015</v>
      </c>
      <c r="E595" s="91">
        <v>1984</v>
      </c>
      <c r="F595" s="91" t="s">
        <v>19</v>
      </c>
      <c r="G595" s="91" t="s">
        <v>2077</v>
      </c>
      <c r="H595" s="91" t="s">
        <v>2112</v>
      </c>
      <c r="I595" s="91" t="s">
        <v>2139</v>
      </c>
      <c r="J595" s="91">
        <v>6199</v>
      </c>
      <c r="K595" s="91">
        <v>0</v>
      </c>
      <c r="L595" s="91">
        <v>19396</v>
      </c>
      <c r="M595" s="91">
        <v>0</v>
      </c>
      <c r="N595" s="91">
        <v>0</v>
      </c>
      <c r="O595" s="91">
        <v>0</v>
      </c>
      <c r="P595" s="91">
        <v>0</v>
      </c>
      <c r="Q595" s="101">
        <f t="shared" si="18"/>
        <v>25595</v>
      </c>
      <c r="R595" s="95">
        <f t="shared" si="19"/>
        <v>21755.75</v>
      </c>
    </row>
    <row r="596" spans="1:23" ht="34.049999999999997" customHeight="1" x14ac:dyDescent="0.3">
      <c r="A596" s="90">
        <v>585</v>
      </c>
      <c r="B596" s="91" t="s">
        <v>1908</v>
      </c>
      <c r="C596" s="91" t="s">
        <v>2016</v>
      </c>
      <c r="D596" s="91" t="s">
        <v>2017</v>
      </c>
      <c r="E596" s="91">
        <v>2025</v>
      </c>
      <c r="F596" s="91" t="s">
        <v>18</v>
      </c>
      <c r="G596" s="91" t="s">
        <v>2078</v>
      </c>
      <c r="H596" s="91" t="s">
        <v>2113</v>
      </c>
      <c r="I596" s="91" t="s">
        <v>2140</v>
      </c>
      <c r="J596" s="91">
        <v>6199</v>
      </c>
      <c r="K596" s="91">
        <f>6278+4484+2332+1346+2332+2332+2332+2332+6995+6995+2332+6995+4484+2332</f>
        <v>53901</v>
      </c>
      <c r="L596" s="91">
        <v>0</v>
      </c>
      <c r="M596" s="91">
        <v>0</v>
      </c>
      <c r="N596" s="91">
        <v>3148</v>
      </c>
      <c r="O596" s="91">
        <v>0</v>
      </c>
      <c r="P596" s="91">
        <v>0</v>
      </c>
      <c r="Q596" s="101">
        <f t="shared" si="18"/>
        <v>63248</v>
      </c>
      <c r="R596" s="95">
        <f t="shared" si="19"/>
        <v>53760.800000000003</v>
      </c>
    </row>
    <row r="597" spans="1:23" ht="34.049999999999997" customHeight="1" x14ac:dyDescent="0.3">
      <c r="A597" s="90">
        <v>586</v>
      </c>
      <c r="B597" s="91" t="s">
        <v>1908</v>
      </c>
      <c r="C597" s="91" t="s">
        <v>2018</v>
      </c>
      <c r="D597" s="91" t="s">
        <v>2019</v>
      </c>
      <c r="E597" s="91">
        <v>1991</v>
      </c>
      <c r="F597" s="91" t="s">
        <v>19</v>
      </c>
      <c r="G597" s="91" t="s">
        <v>2079</v>
      </c>
      <c r="H597" s="91" t="s">
        <v>2079</v>
      </c>
      <c r="I597" s="91" t="s">
        <v>293</v>
      </c>
      <c r="J597" s="91">
        <v>6199</v>
      </c>
      <c r="K597" s="91">
        <f>1166+2801</f>
        <v>3967</v>
      </c>
      <c r="L597" s="91">
        <v>0</v>
      </c>
      <c r="M597" s="91">
        <v>0</v>
      </c>
      <c r="N597" s="91">
        <v>0</v>
      </c>
      <c r="O597" s="91">
        <v>0</v>
      </c>
      <c r="P597" s="91">
        <v>0</v>
      </c>
      <c r="Q597" s="101">
        <f t="shared" si="18"/>
        <v>10166</v>
      </c>
      <c r="R597" s="95">
        <f t="shared" si="19"/>
        <v>8641.1</v>
      </c>
    </row>
    <row r="598" spans="1:23" ht="34.049999999999997" customHeight="1" x14ac:dyDescent="0.3">
      <c r="A598" s="96">
        <v>587</v>
      </c>
      <c r="B598" s="91" t="s">
        <v>1908</v>
      </c>
      <c r="C598" s="91" t="s">
        <v>2020</v>
      </c>
      <c r="D598" s="91" t="s">
        <v>2021</v>
      </c>
      <c r="E598" s="91">
        <v>2025</v>
      </c>
      <c r="F598" s="91" t="s">
        <v>19</v>
      </c>
      <c r="G598" s="91" t="s">
        <v>2080</v>
      </c>
      <c r="H598" s="91" t="s">
        <v>2114</v>
      </c>
      <c r="I598" s="91" t="s">
        <v>2141</v>
      </c>
      <c r="J598" s="91">
        <v>6199</v>
      </c>
      <c r="K598" s="91">
        <f>6278+4484+2332+1346+2332+2332+2332+2332+6995+6995+2332+6995+4484+2332</f>
        <v>53901</v>
      </c>
      <c r="L598" s="91">
        <v>0</v>
      </c>
      <c r="M598" s="91">
        <v>0</v>
      </c>
      <c r="N598" s="91">
        <v>3148</v>
      </c>
      <c r="O598" s="91">
        <v>0</v>
      </c>
      <c r="P598" s="91">
        <v>0</v>
      </c>
      <c r="Q598" s="101">
        <f t="shared" si="18"/>
        <v>63248</v>
      </c>
      <c r="R598" s="95">
        <f t="shared" si="19"/>
        <v>53760.800000000003</v>
      </c>
    </row>
    <row r="599" spans="1:23" ht="34.049999999999997" customHeight="1" x14ac:dyDescent="0.3">
      <c r="A599" s="90">
        <v>588</v>
      </c>
      <c r="B599" s="91" t="s">
        <v>1908</v>
      </c>
      <c r="C599" s="91" t="s">
        <v>2022</v>
      </c>
      <c r="D599" s="91" t="s">
        <v>2023</v>
      </c>
      <c r="E599" s="91">
        <v>2020</v>
      </c>
      <c r="F599" s="91" t="s">
        <v>19</v>
      </c>
      <c r="G599" s="91" t="s">
        <v>2081</v>
      </c>
      <c r="H599" s="91" t="s">
        <v>2115</v>
      </c>
      <c r="I599" s="91" t="s">
        <v>2142</v>
      </c>
      <c r="J599" s="91">
        <v>6199</v>
      </c>
      <c r="K599" s="91">
        <v>0</v>
      </c>
      <c r="L599" s="91">
        <v>0</v>
      </c>
      <c r="M599" s="91">
        <v>0</v>
      </c>
      <c r="N599" s="91">
        <v>0</v>
      </c>
      <c r="O599" s="91">
        <v>0</v>
      </c>
      <c r="P599" s="91">
        <v>0</v>
      </c>
      <c r="Q599" s="101">
        <f t="shared" si="18"/>
        <v>6199</v>
      </c>
      <c r="R599" s="95">
        <f t="shared" si="19"/>
        <v>5269.15</v>
      </c>
    </row>
    <row r="600" spans="1:23" ht="34.049999999999997" customHeight="1" x14ac:dyDescent="0.3">
      <c r="A600" s="90">
        <v>589</v>
      </c>
      <c r="B600" s="91" t="s">
        <v>1908</v>
      </c>
      <c r="C600" s="91" t="s">
        <v>2024</v>
      </c>
      <c r="D600" s="91" t="s">
        <v>2025</v>
      </c>
      <c r="E600" s="91">
        <v>1992</v>
      </c>
      <c r="F600" s="91" t="s">
        <v>18</v>
      </c>
      <c r="G600" s="91" t="s">
        <v>2082</v>
      </c>
      <c r="H600" s="91" t="s">
        <v>2082</v>
      </c>
      <c r="I600" s="91" t="s">
        <v>1050</v>
      </c>
      <c r="J600" s="91">
        <v>6199</v>
      </c>
      <c r="K600" s="91">
        <f>2332+2332+2243</f>
        <v>6907</v>
      </c>
      <c r="L600" s="91">
        <v>0</v>
      </c>
      <c r="M600" s="91">
        <v>0</v>
      </c>
      <c r="N600" s="91">
        <f>1681+3179</f>
        <v>4860</v>
      </c>
      <c r="O600" s="91">
        <v>0</v>
      </c>
      <c r="P600" s="91">
        <f>624+112</f>
        <v>736</v>
      </c>
      <c r="Q600" s="101">
        <f t="shared" si="18"/>
        <v>18702</v>
      </c>
      <c r="R600" s="95">
        <f t="shared" si="19"/>
        <v>15896.7</v>
      </c>
    </row>
    <row r="601" spans="1:23" ht="34.049999999999997" customHeight="1" x14ac:dyDescent="0.3">
      <c r="A601" s="96">
        <v>590</v>
      </c>
      <c r="B601" s="91" t="s">
        <v>1908</v>
      </c>
      <c r="C601" s="91" t="s">
        <v>7234</v>
      </c>
      <c r="D601" s="93" t="s">
        <v>1496</v>
      </c>
      <c r="E601" s="91">
        <v>2020</v>
      </c>
      <c r="F601" s="91" t="s">
        <v>19</v>
      </c>
      <c r="G601" s="91" t="s">
        <v>1604</v>
      </c>
      <c r="H601" s="91" t="s">
        <v>1655</v>
      </c>
      <c r="I601" s="91" t="s">
        <v>840</v>
      </c>
      <c r="J601" s="91">
        <v>2900</v>
      </c>
      <c r="K601" s="91">
        <v>0</v>
      </c>
      <c r="L601" s="91">
        <v>0</v>
      </c>
      <c r="M601" s="91">
        <v>0</v>
      </c>
      <c r="N601" s="91">
        <v>1681</v>
      </c>
      <c r="O601" s="91">
        <v>0</v>
      </c>
      <c r="P601" s="91">
        <f>360+56</f>
        <v>416</v>
      </c>
      <c r="Q601" s="101">
        <f t="shared" si="18"/>
        <v>4997</v>
      </c>
      <c r="R601" s="95">
        <f t="shared" si="19"/>
        <v>4247.45</v>
      </c>
    </row>
    <row r="602" spans="1:23" ht="34.049999999999997" customHeight="1" x14ac:dyDescent="0.3">
      <c r="A602" s="90">
        <v>591</v>
      </c>
      <c r="B602" s="91" t="s">
        <v>1908</v>
      </c>
      <c r="C602" s="91" t="s">
        <v>7235</v>
      </c>
      <c r="D602" s="93" t="s">
        <v>1788</v>
      </c>
      <c r="E602" s="91">
        <v>2025</v>
      </c>
      <c r="F602" s="91" t="s">
        <v>19</v>
      </c>
      <c r="G602" s="91" t="s">
        <v>1840</v>
      </c>
      <c r="H602" s="91" t="s">
        <v>1878</v>
      </c>
      <c r="I602" s="91" t="s">
        <v>1901</v>
      </c>
      <c r="J602" s="91">
        <v>2900</v>
      </c>
      <c r="K602" s="91">
        <v>0</v>
      </c>
      <c r="L602" s="91">
        <v>0</v>
      </c>
      <c r="M602" s="91">
        <v>17688</v>
      </c>
      <c r="N602" s="91">
        <v>2088</v>
      </c>
      <c r="O602" s="91">
        <v>0</v>
      </c>
      <c r="P602" s="91">
        <f>1080+168</f>
        <v>1248</v>
      </c>
      <c r="Q602" s="101">
        <f t="shared" si="18"/>
        <v>23924</v>
      </c>
      <c r="R602" s="95">
        <f t="shared" si="19"/>
        <v>20335.400000000001</v>
      </c>
    </row>
    <row r="603" spans="1:23" ht="34.049999999999997" customHeight="1" x14ac:dyDescent="0.3">
      <c r="A603" s="90">
        <v>592</v>
      </c>
      <c r="B603" s="91" t="s">
        <v>2143</v>
      </c>
      <c r="C603" s="91" t="s">
        <v>2144</v>
      </c>
      <c r="D603" s="91" t="s">
        <v>2145</v>
      </c>
      <c r="E603" s="91">
        <v>1972</v>
      </c>
      <c r="F603" s="91" t="s">
        <v>19</v>
      </c>
      <c r="G603" s="91" t="s">
        <v>2313</v>
      </c>
      <c r="H603" s="91" t="s">
        <v>2394</v>
      </c>
      <c r="I603" s="91" t="s">
        <v>824</v>
      </c>
      <c r="J603" s="91">
        <v>6199</v>
      </c>
      <c r="K603" s="91">
        <v>0</v>
      </c>
      <c r="L603" s="91">
        <v>0</v>
      </c>
      <c r="M603" s="91">
        <v>0</v>
      </c>
      <c r="N603" s="91">
        <v>0</v>
      </c>
      <c r="O603" s="91">
        <v>0</v>
      </c>
      <c r="P603" s="91">
        <v>0</v>
      </c>
      <c r="Q603" s="101">
        <f t="shared" si="18"/>
        <v>6199</v>
      </c>
      <c r="R603" s="95">
        <f t="shared" si="19"/>
        <v>5269.15</v>
      </c>
    </row>
    <row r="604" spans="1:23" ht="34.049999999999997" customHeight="1" x14ac:dyDescent="0.3">
      <c r="A604" s="96">
        <v>593</v>
      </c>
      <c r="B604" s="91" t="s">
        <v>2143</v>
      </c>
      <c r="C604" s="91" t="s">
        <v>2146</v>
      </c>
      <c r="D604" s="91" t="s">
        <v>2147</v>
      </c>
      <c r="E604" s="91">
        <v>1964</v>
      </c>
      <c r="F604" s="91" t="s">
        <v>18</v>
      </c>
      <c r="G604" s="91" t="s">
        <v>2314</v>
      </c>
      <c r="H604" s="91" t="s">
        <v>2314</v>
      </c>
      <c r="I604" s="91" t="s">
        <v>824</v>
      </c>
      <c r="J604" s="91">
        <v>3793</v>
      </c>
      <c r="K604" s="91">
        <v>0</v>
      </c>
      <c r="L604" s="91">
        <v>0</v>
      </c>
      <c r="M604" s="91">
        <v>0</v>
      </c>
      <c r="N604" s="91">
        <v>0</v>
      </c>
      <c r="O604" s="91">
        <v>0</v>
      </c>
      <c r="P604" s="91">
        <v>0</v>
      </c>
      <c r="Q604" s="101">
        <f t="shared" si="18"/>
        <v>3793</v>
      </c>
      <c r="R604" s="95">
        <f t="shared" si="19"/>
        <v>3224.05</v>
      </c>
    </row>
    <row r="605" spans="1:23" ht="34.049999999999997" customHeight="1" x14ac:dyDescent="0.3">
      <c r="A605" s="90">
        <v>594</v>
      </c>
      <c r="B605" s="91" t="s">
        <v>2143</v>
      </c>
      <c r="C605" s="91" t="s">
        <v>2148</v>
      </c>
      <c r="D605" s="91" t="s">
        <v>2149</v>
      </c>
      <c r="E605" s="91">
        <v>2022</v>
      </c>
      <c r="F605" s="91" t="s">
        <v>19</v>
      </c>
      <c r="G605" s="91" t="s">
        <v>2315</v>
      </c>
      <c r="H605" s="91" t="s">
        <v>2395</v>
      </c>
      <c r="I605" s="91" t="s">
        <v>1279</v>
      </c>
      <c r="J605" s="91">
        <v>3582</v>
      </c>
      <c r="K605" s="91">
        <v>0</v>
      </c>
      <c r="L605" s="91">
        <v>0</v>
      </c>
      <c r="M605" s="91">
        <v>0</v>
      </c>
      <c r="N605" s="91">
        <f>21194+13563</f>
        <v>34757</v>
      </c>
      <c r="O605" s="91">
        <v>0</v>
      </c>
      <c r="P605" s="91">
        <v>0</v>
      </c>
      <c r="Q605" s="101">
        <f t="shared" si="18"/>
        <v>38339</v>
      </c>
      <c r="R605" s="95">
        <f t="shared" si="19"/>
        <v>32588.15</v>
      </c>
    </row>
    <row r="606" spans="1:23" ht="34.049999999999997" customHeight="1" x14ac:dyDescent="0.3">
      <c r="A606" s="90">
        <v>595</v>
      </c>
      <c r="B606" s="91" t="s">
        <v>2143</v>
      </c>
      <c r="C606" s="91" t="s">
        <v>2150</v>
      </c>
      <c r="D606" s="91" t="s">
        <v>2151</v>
      </c>
      <c r="E606" s="91">
        <v>1973</v>
      </c>
      <c r="F606" s="91" t="s">
        <v>18</v>
      </c>
      <c r="G606" s="91" t="s">
        <v>2316</v>
      </c>
      <c r="H606" s="91" t="s">
        <v>2316</v>
      </c>
      <c r="I606" s="91" t="s">
        <v>1277</v>
      </c>
      <c r="J606" s="91">
        <v>6199</v>
      </c>
      <c r="K606" s="91">
        <v>0</v>
      </c>
      <c r="L606" s="91">
        <v>0</v>
      </c>
      <c r="M606" s="91">
        <v>0</v>
      </c>
      <c r="N606" s="91">
        <v>0</v>
      </c>
      <c r="O606" s="91">
        <v>0</v>
      </c>
      <c r="P606" s="91">
        <v>0</v>
      </c>
      <c r="Q606" s="101">
        <f t="shared" si="18"/>
        <v>6199</v>
      </c>
      <c r="R606" s="95">
        <f t="shared" si="19"/>
        <v>5269.15</v>
      </c>
    </row>
    <row r="607" spans="1:23" ht="34.049999999999997" customHeight="1" x14ac:dyDescent="0.3">
      <c r="A607" s="96">
        <v>596</v>
      </c>
      <c r="B607" s="98" t="s">
        <v>2143</v>
      </c>
      <c r="C607" s="98" t="s">
        <v>2152</v>
      </c>
      <c r="D607" s="98" t="s">
        <v>2153</v>
      </c>
      <c r="E607" s="98">
        <v>1998</v>
      </c>
      <c r="F607" s="98" t="s">
        <v>19</v>
      </c>
      <c r="G607" s="98" t="s">
        <v>2317</v>
      </c>
      <c r="H607" s="98" t="s">
        <v>2396</v>
      </c>
      <c r="I607" s="98" t="s">
        <v>539</v>
      </c>
      <c r="J607" s="98">
        <v>6199</v>
      </c>
      <c r="K607" s="98">
        <f>1346+6278+4484+6995+2332+2332+2332+2332+2332+2332+6995+6995+2332+6995+1166+2332+2332+3000+3000+3228</f>
        <v>71470</v>
      </c>
      <c r="L607" s="98">
        <v>0</v>
      </c>
      <c r="M607" s="98">
        <v>0</v>
      </c>
      <c r="N607" s="98">
        <f>1793+1681+3179</f>
        <v>6653</v>
      </c>
      <c r="O607" s="98">
        <v>0</v>
      </c>
      <c r="P607" s="98">
        <f>1440+1320+312+56+396+1200+120</f>
        <v>4844</v>
      </c>
      <c r="Q607" s="101">
        <f t="shared" si="18"/>
        <v>89166</v>
      </c>
      <c r="R607" s="95">
        <f t="shared" si="19"/>
        <v>75791.100000000006</v>
      </c>
      <c r="S607" s="41"/>
      <c r="T607" s="41"/>
      <c r="U607" s="41"/>
      <c r="V607" s="41"/>
      <c r="W607" s="41"/>
    </row>
    <row r="608" spans="1:23" ht="34.049999999999997" customHeight="1" x14ac:dyDescent="0.3">
      <c r="A608" s="90">
        <v>597</v>
      </c>
      <c r="B608" s="98" t="s">
        <v>2143</v>
      </c>
      <c r="C608" s="98" t="s">
        <v>2152</v>
      </c>
      <c r="D608" s="98" t="s">
        <v>2153</v>
      </c>
      <c r="E608" s="98">
        <v>1998</v>
      </c>
      <c r="F608" s="98" t="s">
        <v>19</v>
      </c>
      <c r="G608" s="98" t="s">
        <v>2317</v>
      </c>
      <c r="H608" s="98" t="s">
        <v>2396</v>
      </c>
      <c r="I608" s="98" t="s">
        <v>539</v>
      </c>
      <c r="J608" s="98">
        <v>0</v>
      </c>
      <c r="K608" s="98">
        <v>0</v>
      </c>
      <c r="L608" s="98">
        <v>0</v>
      </c>
      <c r="M608" s="98">
        <v>17688</v>
      </c>
      <c r="N608" s="98">
        <v>1681</v>
      </c>
      <c r="O608" s="98">
        <v>0</v>
      </c>
      <c r="P608" s="98">
        <f>396+336+56</f>
        <v>788</v>
      </c>
      <c r="Q608" s="101">
        <f t="shared" si="18"/>
        <v>20157</v>
      </c>
      <c r="R608" s="95">
        <f t="shared" si="19"/>
        <v>17133.45</v>
      </c>
      <c r="S608" s="41"/>
      <c r="T608" s="41"/>
      <c r="U608" s="41"/>
      <c r="V608" s="41"/>
      <c r="W608" s="41"/>
    </row>
    <row r="609" spans="1:23" ht="34.049999999999997" customHeight="1" x14ac:dyDescent="0.3">
      <c r="A609" s="90">
        <v>598</v>
      </c>
      <c r="B609" s="91" t="s">
        <v>2143</v>
      </c>
      <c r="C609" s="91" t="s">
        <v>2154</v>
      </c>
      <c r="D609" s="91" t="s">
        <v>2155</v>
      </c>
      <c r="E609" s="91">
        <v>1991</v>
      </c>
      <c r="F609" s="91" t="s">
        <v>19</v>
      </c>
      <c r="G609" s="91" t="s">
        <v>2318</v>
      </c>
      <c r="H609" s="91" t="s">
        <v>2318</v>
      </c>
      <c r="I609" s="91" t="s">
        <v>2438</v>
      </c>
      <c r="J609" s="91">
        <v>6199</v>
      </c>
      <c r="K609" s="91">
        <f>6278+4484+2332+2332+2332+1346+1346+2332+2332</f>
        <v>25114</v>
      </c>
      <c r="L609" s="91">
        <v>0</v>
      </c>
      <c r="M609" s="91">
        <v>0</v>
      </c>
      <c r="N609" s="91">
        <v>1793</v>
      </c>
      <c r="O609" s="91">
        <v>0</v>
      </c>
      <c r="P609" s="91">
        <v>0</v>
      </c>
      <c r="Q609" s="101">
        <f t="shared" si="18"/>
        <v>33106</v>
      </c>
      <c r="R609" s="95">
        <f t="shared" si="19"/>
        <v>28140.1</v>
      </c>
    </row>
    <row r="610" spans="1:23" ht="34.049999999999997" customHeight="1" x14ac:dyDescent="0.3">
      <c r="A610" s="96">
        <v>599</v>
      </c>
      <c r="B610" s="91" t="s">
        <v>2143</v>
      </c>
      <c r="C610" s="91" t="s">
        <v>2156</v>
      </c>
      <c r="D610" s="91" t="s">
        <v>2157</v>
      </c>
      <c r="E610" s="91">
        <v>2009</v>
      </c>
      <c r="F610" s="91" t="s">
        <v>19</v>
      </c>
      <c r="G610" s="91" t="s">
        <v>2319</v>
      </c>
      <c r="H610" s="91" t="s">
        <v>2397</v>
      </c>
      <c r="I610" s="91" t="s">
        <v>2439</v>
      </c>
      <c r="J610" s="91">
        <v>6199</v>
      </c>
      <c r="K610" s="91">
        <f>1346+6278+4484</f>
        <v>12108</v>
      </c>
      <c r="L610" s="91">
        <v>0</v>
      </c>
      <c r="M610" s="91">
        <v>0</v>
      </c>
      <c r="N610" s="91">
        <v>1793</v>
      </c>
      <c r="O610" s="91">
        <v>0</v>
      </c>
      <c r="P610" s="91">
        <v>0</v>
      </c>
      <c r="Q610" s="101">
        <f t="shared" si="18"/>
        <v>20100</v>
      </c>
      <c r="R610" s="95">
        <f t="shared" si="19"/>
        <v>17085</v>
      </c>
    </row>
    <row r="611" spans="1:23" ht="34.049999999999997" customHeight="1" x14ac:dyDescent="0.3">
      <c r="A611" s="90">
        <v>600</v>
      </c>
      <c r="B611" s="91" t="s">
        <v>2143</v>
      </c>
      <c r="C611" s="91" t="s">
        <v>2158</v>
      </c>
      <c r="D611" s="91" t="s">
        <v>2159</v>
      </c>
      <c r="E611" s="91">
        <v>2022</v>
      </c>
      <c r="F611" s="91" t="s">
        <v>19</v>
      </c>
      <c r="G611" s="91" t="s">
        <v>2320</v>
      </c>
      <c r="H611" s="91" t="s">
        <v>2398</v>
      </c>
      <c r="I611" s="91" t="s">
        <v>34</v>
      </c>
      <c r="J611" s="91">
        <v>6199</v>
      </c>
      <c r="K611" s="91">
        <f>1346+6278+4484+4484+2332+2332+2332+2332+2332+2332+6995+6995+2332+6995</f>
        <v>53901</v>
      </c>
      <c r="L611" s="91">
        <v>0</v>
      </c>
      <c r="M611" s="91">
        <v>0</v>
      </c>
      <c r="N611" s="91">
        <v>3148</v>
      </c>
      <c r="O611" s="91">
        <v>0</v>
      </c>
      <c r="P611" s="91">
        <v>0</v>
      </c>
      <c r="Q611" s="101">
        <f t="shared" si="18"/>
        <v>63248</v>
      </c>
      <c r="R611" s="95">
        <f t="shared" si="19"/>
        <v>53760.800000000003</v>
      </c>
    </row>
    <row r="612" spans="1:23" ht="34.049999999999997" customHeight="1" x14ac:dyDescent="0.3">
      <c r="A612" s="90">
        <v>601</v>
      </c>
      <c r="B612" s="91" t="s">
        <v>2143</v>
      </c>
      <c r="C612" s="91" t="s">
        <v>2160</v>
      </c>
      <c r="D612" s="91" t="s">
        <v>2161</v>
      </c>
      <c r="E612" s="91">
        <v>2021</v>
      </c>
      <c r="F612" s="91" t="s">
        <v>19</v>
      </c>
      <c r="G612" s="91" t="s">
        <v>2321</v>
      </c>
      <c r="H612" s="91" t="s">
        <v>2399</v>
      </c>
      <c r="I612" s="91" t="s">
        <v>2440</v>
      </c>
      <c r="J612" s="91">
        <v>6199</v>
      </c>
      <c r="K612" s="91">
        <f>1346+6278+4484+4484+2332+2332+2332+2332+2332+2332+6995+6995+2332+6995</f>
        <v>53901</v>
      </c>
      <c r="L612" s="91">
        <v>0</v>
      </c>
      <c r="M612" s="91">
        <v>0</v>
      </c>
      <c r="N612" s="91">
        <v>3148</v>
      </c>
      <c r="O612" s="91">
        <v>0</v>
      </c>
      <c r="P612" s="91">
        <v>0</v>
      </c>
      <c r="Q612" s="101">
        <f t="shared" si="18"/>
        <v>63248</v>
      </c>
      <c r="R612" s="95">
        <f t="shared" si="19"/>
        <v>53760.800000000003</v>
      </c>
    </row>
    <row r="613" spans="1:23" ht="34.049999999999997" customHeight="1" x14ac:dyDescent="0.3">
      <c r="A613" s="96">
        <v>602</v>
      </c>
      <c r="B613" s="91" t="s">
        <v>2143</v>
      </c>
      <c r="C613" s="91" t="s">
        <v>2162</v>
      </c>
      <c r="D613" s="91" t="s">
        <v>433</v>
      </c>
      <c r="E613" s="91">
        <v>2021</v>
      </c>
      <c r="F613" s="91" t="s">
        <v>19</v>
      </c>
      <c r="G613" s="91" t="s">
        <v>498</v>
      </c>
      <c r="H613" s="91" t="s">
        <v>533</v>
      </c>
      <c r="I613" s="91" t="s">
        <v>27</v>
      </c>
      <c r="J613" s="91">
        <v>3793</v>
      </c>
      <c r="K613" s="91">
        <f>1346+6278+4484</f>
        <v>12108</v>
      </c>
      <c r="L613" s="91">
        <v>0</v>
      </c>
      <c r="M613" s="91">
        <v>0</v>
      </c>
      <c r="N613" s="91">
        <v>3148</v>
      </c>
      <c r="O613" s="91">
        <v>0</v>
      </c>
      <c r="P613" s="91">
        <v>0</v>
      </c>
      <c r="Q613" s="101">
        <f t="shared" si="18"/>
        <v>19049</v>
      </c>
      <c r="R613" s="95">
        <f t="shared" si="19"/>
        <v>16191.65</v>
      </c>
    </row>
    <row r="614" spans="1:23" ht="34.049999999999997" customHeight="1" x14ac:dyDescent="0.3">
      <c r="A614" s="90">
        <v>603</v>
      </c>
      <c r="B614" s="91" t="s">
        <v>2143</v>
      </c>
      <c r="C614" s="91" t="s">
        <v>2163</v>
      </c>
      <c r="D614" s="91" t="s">
        <v>2164</v>
      </c>
      <c r="E614" s="91">
        <v>1987</v>
      </c>
      <c r="F614" s="91" t="s">
        <v>18</v>
      </c>
      <c r="G614" s="91" t="s">
        <v>2322</v>
      </c>
      <c r="H614" s="91" t="s">
        <v>2322</v>
      </c>
      <c r="I614" s="91" t="s">
        <v>2441</v>
      </c>
      <c r="J614" s="91">
        <v>6199</v>
      </c>
      <c r="K614" s="91">
        <f>6278+4484+6995+3228+3000+3000+2332+2332+2243</f>
        <v>33892</v>
      </c>
      <c r="L614" s="91">
        <v>0</v>
      </c>
      <c r="M614" s="91">
        <v>0</v>
      </c>
      <c r="N614" s="91">
        <f>1793+1681+3179</f>
        <v>6653</v>
      </c>
      <c r="O614" s="91">
        <v>0</v>
      </c>
      <c r="P614" s="91">
        <f>624+112</f>
        <v>736</v>
      </c>
      <c r="Q614" s="101">
        <f t="shared" si="18"/>
        <v>47480</v>
      </c>
      <c r="R614" s="95">
        <f t="shared" si="19"/>
        <v>40358</v>
      </c>
    </row>
    <row r="615" spans="1:23" ht="34.049999999999997" customHeight="1" x14ac:dyDescent="0.3">
      <c r="A615" s="90">
        <v>604</v>
      </c>
      <c r="B615" s="91" t="s">
        <v>2143</v>
      </c>
      <c r="C615" s="91" t="s">
        <v>2165</v>
      </c>
      <c r="D615" s="91" t="s">
        <v>2166</v>
      </c>
      <c r="E615" s="91">
        <v>1985</v>
      </c>
      <c r="F615" s="91" t="s">
        <v>19</v>
      </c>
      <c r="G615" s="91" t="s">
        <v>2323</v>
      </c>
      <c r="H615" s="91" t="s">
        <v>2323</v>
      </c>
      <c r="I615" s="91" t="s">
        <v>573</v>
      </c>
      <c r="J615" s="91">
        <v>6199</v>
      </c>
      <c r="K615" s="91">
        <f>13452+6278+2332+4484+4484+2801+1166</f>
        <v>34997</v>
      </c>
      <c r="L615" s="91">
        <v>0</v>
      </c>
      <c r="M615" s="91">
        <v>0</v>
      </c>
      <c r="N615" s="91">
        <v>1793</v>
      </c>
      <c r="O615" s="91">
        <v>0</v>
      </c>
      <c r="P615" s="91">
        <v>0</v>
      </c>
      <c r="Q615" s="101">
        <f t="shared" si="18"/>
        <v>42989</v>
      </c>
      <c r="R615" s="95">
        <f t="shared" si="19"/>
        <v>36540.65</v>
      </c>
    </row>
    <row r="616" spans="1:23" ht="34.049999999999997" customHeight="1" x14ac:dyDescent="0.3">
      <c r="A616" s="96">
        <v>605</v>
      </c>
      <c r="B616" s="91" t="s">
        <v>2143</v>
      </c>
      <c r="C616" s="91" t="s">
        <v>2167</v>
      </c>
      <c r="D616" s="91" t="s">
        <v>2168</v>
      </c>
      <c r="E616" s="91">
        <v>1973</v>
      </c>
      <c r="F616" s="91" t="s">
        <v>18</v>
      </c>
      <c r="G616" s="91" t="s">
        <v>2324</v>
      </c>
      <c r="H616" s="91" t="s">
        <v>2400</v>
      </c>
      <c r="I616" s="91" t="s">
        <v>2442</v>
      </c>
      <c r="J616" s="91">
        <v>6199</v>
      </c>
      <c r="K616" s="91">
        <f>2332+2332+2332+4484+4484+2332+2332+2332+13452</f>
        <v>36412</v>
      </c>
      <c r="L616" s="91">
        <v>0</v>
      </c>
      <c r="M616" s="91">
        <v>0</v>
      </c>
      <c r="N616" s="91">
        <v>1793</v>
      </c>
      <c r="O616" s="91">
        <v>0</v>
      </c>
      <c r="P616" s="91">
        <v>0</v>
      </c>
      <c r="Q616" s="101">
        <f t="shared" si="18"/>
        <v>44404</v>
      </c>
      <c r="R616" s="95">
        <f t="shared" si="19"/>
        <v>37743.4</v>
      </c>
    </row>
    <row r="617" spans="1:23" ht="34.049999999999997" customHeight="1" x14ac:dyDescent="0.3">
      <c r="A617" s="90">
        <v>606</v>
      </c>
      <c r="B617" s="91" t="s">
        <v>2143</v>
      </c>
      <c r="C617" s="91" t="s">
        <v>2169</v>
      </c>
      <c r="D617" s="91" t="s">
        <v>2170</v>
      </c>
      <c r="E617" s="91">
        <v>1990</v>
      </c>
      <c r="F617" s="91" t="s">
        <v>19</v>
      </c>
      <c r="G617" s="91" t="s">
        <v>2325</v>
      </c>
      <c r="H617" s="91" t="s">
        <v>2325</v>
      </c>
      <c r="I617" s="91" t="s">
        <v>2443</v>
      </c>
      <c r="J617" s="91">
        <v>6199</v>
      </c>
      <c r="K617" s="91">
        <f>6278+1166+2332+2332</f>
        <v>12108</v>
      </c>
      <c r="L617" s="91">
        <v>0</v>
      </c>
      <c r="M617" s="91">
        <v>0</v>
      </c>
      <c r="N617" s="91">
        <v>1793</v>
      </c>
      <c r="O617" s="91">
        <v>0</v>
      </c>
      <c r="P617" s="91">
        <v>0</v>
      </c>
      <c r="Q617" s="101">
        <f t="shared" si="18"/>
        <v>20100</v>
      </c>
      <c r="R617" s="95">
        <f t="shared" si="19"/>
        <v>17085</v>
      </c>
    </row>
    <row r="618" spans="1:23" ht="34.049999999999997" customHeight="1" x14ac:dyDescent="0.3">
      <c r="A618" s="90">
        <v>607</v>
      </c>
      <c r="B618" s="91" t="s">
        <v>2143</v>
      </c>
      <c r="C618" s="91" t="s">
        <v>2171</v>
      </c>
      <c r="D618" s="91" t="s">
        <v>2172</v>
      </c>
      <c r="E618" s="91">
        <v>1985</v>
      </c>
      <c r="F618" s="91" t="s">
        <v>19</v>
      </c>
      <c r="G618" s="91" t="s">
        <v>2326</v>
      </c>
      <c r="H618" s="91" t="s">
        <v>2401</v>
      </c>
      <c r="I618" s="91" t="s">
        <v>2444</v>
      </c>
      <c r="J618" s="91">
        <v>6199</v>
      </c>
      <c r="K618" s="91">
        <f>6278+4484+2332+2332+2332+6995+2332+2332+2332+2332+2332+3228+6995+2243+3000+3000+4484+4484+2332+4484+4484</f>
        <v>75147</v>
      </c>
      <c r="L618" s="91">
        <v>20807</v>
      </c>
      <c r="M618" s="91">
        <v>0</v>
      </c>
      <c r="N618" s="91">
        <v>1793</v>
      </c>
      <c r="O618" s="91">
        <v>0</v>
      </c>
      <c r="P618" s="91">
        <v>0</v>
      </c>
      <c r="Q618" s="101">
        <f t="shared" si="18"/>
        <v>103946</v>
      </c>
      <c r="R618" s="95">
        <f t="shared" si="19"/>
        <v>88354.1</v>
      </c>
    </row>
    <row r="619" spans="1:23" ht="34.049999999999997" customHeight="1" x14ac:dyDescent="0.3">
      <c r="A619" s="96">
        <v>608</v>
      </c>
      <c r="B619" s="91" t="s">
        <v>2143</v>
      </c>
      <c r="C619" s="91" t="s">
        <v>2173</v>
      </c>
      <c r="D619" s="91" t="s">
        <v>2174</v>
      </c>
      <c r="E619" s="91">
        <v>1968</v>
      </c>
      <c r="F619" s="91" t="s">
        <v>18</v>
      </c>
      <c r="G619" s="91" t="s">
        <v>2327</v>
      </c>
      <c r="H619" s="91" t="s">
        <v>2327</v>
      </c>
      <c r="I619" s="91" t="s">
        <v>824</v>
      </c>
      <c r="J619" s="91">
        <v>6199</v>
      </c>
      <c r="K619" s="91">
        <f>6278+4484+2332+2801+2332+2332+2332+2332+2332</f>
        <v>27555</v>
      </c>
      <c r="L619" s="91">
        <v>0</v>
      </c>
      <c r="M619" s="91">
        <v>0</v>
      </c>
      <c r="N619" s="91">
        <v>1793</v>
      </c>
      <c r="O619" s="91">
        <v>0</v>
      </c>
      <c r="P619" s="91">
        <v>0</v>
      </c>
      <c r="Q619" s="101">
        <f t="shared" si="18"/>
        <v>35547</v>
      </c>
      <c r="R619" s="95">
        <f t="shared" si="19"/>
        <v>30214.95</v>
      </c>
    </row>
    <row r="620" spans="1:23" ht="34.049999999999997" customHeight="1" x14ac:dyDescent="0.3">
      <c r="A620" s="90">
        <v>609</v>
      </c>
      <c r="B620" s="98" t="s">
        <v>2143</v>
      </c>
      <c r="C620" s="98" t="s">
        <v>2175</v>
      </c>
      <c r="D620" s="98" t="s">
        <v>2176</v>
      </c>
      <c r="E620" s="98">
        <v>2004</v>
      </c>
      <c r="F620" s="98" t="s">
        <v>19</v>
      </c>
      <c r="G620" s="98" t="s">
        <v>2328</v>
      </c>
      <c r="H620" s="98" t="s">
        <v>2402</v>
      </c>
      <c r="I620" s="98" t="s">
        <v>2445</v>
      </c>
      <c r="J620" s="98">
        <v>6199</v>
      </c>
      <c r="K620" s="98">
        <f>6278+4484+2332+2332+2332+2332+2332+2332+3587+2332</f>
        <v>30673</v>
      </c>
      <c r="L620" s="98">
        <f>20807+13298</f>
        <v>34105</v>
      </c>
      <c r="M620" s="98">
        <v>0</v>
      </c>
      <c r="N620" s="98">
        <f>1793+1681+1178+3179+13918</f>
        <v>21749</v>
      </c>
      <c r="O620" s="98">
        <v>0</v>
      </c>
      <c r="P620" s="98">
        <f>720+660+288+720+360+374+120+60</f>
        <v>3302</v>
      </c>
      <c r="Q620" s="101">
        <f t="shared" si="18"/>
        <v>96028</v>
      </c>
      <c r="R620" s="95">
        <f t="shared" si="19"/>
        <v>81623.8</v>
      </c>
      <c r="S620" s="41"/>
      <c r="T620" s="41"/>
      <c r="U620" s="41"/>
      <c r="V620" s="41"/>
      <c r="W620" s="41"/>
    </row>
    <row r="621" spans="1:23" ht="34.049999999999997" customHeight="1" x14ac:dyDescent="0.3">
      <c r="A621" s="90">
        <v>610</v>
      </c>
      <c r="B621" s="98" t="s">
        <v>2143</v>
      </c>
      <c r="C621" s="98" t="s">
        <v>2175</v>
      </c>
      <c r="D621" s="98" t="s">
        <v>2176</v>
      </c>
      <c r="E621" s="98">
        <v>2004</v>
      </c>
      <c r="F621" s="98" t="s">
        <v>19</v>
      </c>
      <c r="G621" s="98" t="s">
        <v>2328</v>
      </c>
      <c r="H621" s="98" t="s">
        <v>2402</v>
      </c>
      <c r="I621" s="98" t="s">
        <v>2445</v>
      </c>
      <c r="J621" s="98">
        <v>0</v>
      </c>
      <c r="K621" s="98">
        <v>0</v>
      </c>
      <c r="L621" s="98">
        <v>0</v>
      </c>
      <c r="M621" s="98">
        <v>17688</v>
      </c>
      <c r="N621" s="98">
        <v>0</v>
      </c>
      <c r="O621" s="98">
        <v>0</v>
      </c>
      <c r="P621" s="98">
        <v>0</v>
      </c>
      <c r="Q621" s="101">
        <f t="shared" si="18"/>
        <v>17688</v>
      </c>
      <c r="R621" s="95">
        <f t="shared" si="19"/>
        <v>15034.8</v>
      </c>
      <c r="S621" s="41"/>
      <c r="T621" s="41"/>
      <c r="U621" s="41"/>
      <c r="V621" s="41"/>
      <c r="W621" s="41"/>
    </row>
    <row r="622" spans="1:23" ht="34.049999999999997" customHeight="1" x14ac:dyDescent="0.3">
      <c r="A622" s="96">
        <v>611</v>
      </c>
      <c r="B622" s="91" t="s">
        <v>2143</v>
      </c>
      <c r="C622" s="91" t="s">
        <v>2177</v>
      </c>
      <c r="D622" s="91" t="s">
        <v>2178</v>
      </c>
      <c r="E622" s="91">
        <v>2024</v>
      </c>
      <c r="F622" s="91" t="s">
        <v>18</v>
      </c>
      <c r="G622" s="91" t="s">
        <v>2329</v>
      </c>
      <c r="H622" s="91" t="s">
        <v>2403</v>
      </c>
      <c r="I622" s="91" t="s">
        <v>1058</v>
      </c>
      <c r="J622" s="91">
        <v>6199</v>
      </c>
      <c r="K622" s="91">
        <f>1346+6278+4484+4484+2332+2332+2332+2332+2332+2332+6995+6995+2332+6995</f>
        <v>53901</v>
      </c>
      <c r="L622" s="91">
        <v>0</v>
      </c>
      <c r="M622" s="91">
        <v>0</v>
      </c>
      <c r="N622" s="91">
        <v>3148</v>
      </c>
      <c r="O622" s="91">
        <v>0</v>
      </c>
      <c r="P622" s="91">
        <v>0</v>
      </c>
      <c r="Q622" s="101">
        <f t="shared" si="18"/>
        <v>63248</v>
      </c>
      <c r="R622" s="95">
        <f t="shared" si="19"/>
        <v>53760.800000000003</v>
      </c>
    </row>
    <row r="623" spans="1:23" ht="34.049999999999997" customHeight="1" x14ac:dyDescent="0.3">
      <c r="A623" s="90">
        <v>612</v>
      </c>
      <c r="B623" s="91" t="s">
        <v>2143</v>
      </c>
      <c r="C623" s="91" t="s">
        <v>2179</v>
      </c>
      <c r="D623" s="91" t="s">
        <v>2180</v>
      </c>
      <c r="E623" s="91">
        <v>1990</v>
      </c>
      <c r="F623" s="91" t="s">
        <v>19</v>
      </c>
      <c r="G623" s="91" t="s">
        <v>2330</v>
      </c>
      <c r="H623" s="91" t="s">
        <v>2330</v>
      </c>
      <c r="I623" s="91" t="s">
        <v>2446</v>
      </c>
      <c r="J623" s="91">
        <v>6199</v>
      </c>
      <c r="K623" s="91">
        <f>2332+2332</f>
        <v>4664</v>
      </c>
      <c r="L623" s="91">
        <v>9422</v>
      </c>
      <c r="M623" s="91">
        <v>0</v>
      </c>
      <c r="N623" s="91">
        <v>0</v>
      </c>
      <c r="O623" s="91">
        <v>0</v>
      </c>
      <c r="P623" s="91">
        <v>0</v>
      </c>
      <c r="Q623" s="101">
        <f t="shared" si="18"/>
        <v>20285</v>
      </c>
      <c r="R623" s="95">
        <f t="shared" si="19"/>
        <v>17242.25</v>
      </c>
    </row>
    <row r="624" spans="1:23" ht="34.049999999999997" customHeight="1" x14ac:dyDescent="0.3">
      <c r="A624" s="90">
        <v>613</v>
      </c>
      <c r="B624" s="91" t="s">
        <v>2143</v>
      </c>
      <c r="C624" s="91" t="s">
        <v>2181</v>
      </c>
      <c r="D624" s="91" t="s">
        <v>2182</v>
      </c>
      <c r="E624" s="91">
        <v>1994</v>
      </c>
      <c r="F624" s="91" t="s">
        <v>19</v>
      </c>
      <c r="G624" s="91" t="s">
        <v>2331</v>
      </c>
      <c r="H624" s="91" t="s">
        <v>2404</v>
      </c>
      <c r="I624" s="91" t="s">
        <v>2447</v>
      </c>
      <c r="J624" s="91">
        <v>6199</v>
      </c>
      <c r="K624" s="91">
        <f>6278+2332+2332+2332+2332+2332+4484+3000+3000+3228+2332+4484</f>
        <v>38466</v>
      </c>
      <c r="L624" s="91">
        <v>0</v>
      </c>
      <c r="M624" s="91">
        <v>0</v>
      </c>
      <c r="N624" s="91">
        <v>1793</v>
      </c>
      <c r="O624" s="91">
        <v>0</v>
      </c>
      <c r="P624" s="91">
        <v>0</v>
      </c>
      <c r="Q624" s="101">
        <f t="shared" si="18"/>
        <v>46458</v>
      </c>
      <c r="R624" s="95">
        <f t="shared" si="19"/>
        <v>39489.300000000003</v>
      </c>
    </row>
    <row r="625" spans="1:23" ht="34.049999999999997" customHeight="1" x14ac:dyDescent="0.3">
      <c r="A625" s="96">
        <v>614</v>
      </c>
      <c r="B625" s="98" t="s">
        <v>2143</v>
      </c>
      <c r="C625" s="98" t="s">
        <v>2183</v>
      </c>
      <c r="D625" s="98" t="s">
        <v>2184</v>
      </c>
      <c r="E625" s="98">
        <v>2022</v>
      </c>
      <c r="F625" s="98" t="s">
        <v>19</v>
      </c>
      <c r="G625" s="98" t="s">
        <v>2332</v>
      </c>
      <c r="H625" s="98" t="s">
        <v>2405</v>
      </c>
      <c r="I625" s="98" t="s">
        <v>278</v>
      </c>
      <c r="J625" s="98">
        <v>3582</v>
      </c>
      <c r="K625" s="98">
        <v>0</v>
      </c>
      <c r="L625" s="98">
        <v>0</v>
      </c>
      <c r="M625" s="98">
        <v>0</v>
      </c>
      <c r="N625" s="98">
        <f>15443+17918</f>
        <v>33361</v>
      </c>
      <c r="O625" s="98">
        <v>0</v>
      </c>
      <c r="P625" s="98">
        <v>0</v>
      </c>
      <c r="Q625" s="101">
        <f t="shared" si="18"/>
        <v>36943</v>
      </c>
      <c r="R625" s="95">
        <f t="shared" si="19"/>
        <v>31401.55</v>
      </c>
      <c r="S625" s="41"/>
      <c r="T625" s="41"/>
      <c r="U625" s="41"/>
      <c r="V625" s="41"/>
      <c r="W625" s="41"/>
    </row>
    <row r="626" spans="1:23" ht="34.049999999999997" customHeight="1" x14ac:dyDescent="0.3">
      <c r="A626" s="90">
        <v>615</v>
      </c>
      <c r="B626" s="91" t="s">
        <v>2143</v>
      </c>
      <c r="C626" s="91" t="s">
        <v>2185</v>
      </c>
      <c r="D626" s="91" t="s">
        <v>2186</v>
      </c>
      <c r="E626" s="91">
        <v>2025</v>
      </c>
      <c r="F626" s="91" t="s">
        <v>19</v>
      </c>
      <c r="G626" s="91" t="s">
        <v>2333</v>
      </c>
      <c r="H626" s="91" t="s">
        <v>2406</v>
      </c>
      <c r="I626" s="91" t="s">
        <v>1069</v>
      </c>
      <c r="J626" s="91">
        <v>6199</v>
      </c>
      <c r="K626" s="91">
        <v>0</v>
      </c>
      <c r="L626" s="91">
        <v>0</v>
      </c>
      <c r="M626" s="91">
        <v>0</v>
      </c>
      <c r="N626" s="91">
        <v>0</v>
      </c>
      <c r="O626" s="91">
        <v>0</v>
      </c>
      <c r="P626" s="91">
        <v>0</v>
      </c>
      <c r="Q626" s="101">
        <f t="shared" si="18"/>
        <v>6199</v>
      </c>
      <c r="R626" s="95">
        <f t="shared" si="19"/>
        <v>5269.15</v>
      </c>
    </row>
    <row r="627" spans="1:23" ht="34.049999999999997" customHeight="1" x14ac:dyDescent="0.3">
      <c r="A627" s="90">
        <v>616</v>
      </c>
      <c r="B627" s="91" t="s">
        <v>2143</v>
      </c>
      <c r="C627" s="91" t="s">
        <v>2187</v>
      </c>
      <c r="D627" s="91" t="s">
        <v>2188</v>
      </c>
      <c r="E627" s="91">
        <v>1996</v>
      </c>
      <c r="F627" s="91" t="s">
        <v>19</v>
      </c>
      <c r="G627" s="91" t="s">
        <v>2334</v>
      </c>
      <c r="H627" s="91" t="s">
        <v>2334</v>
      </c>
      <c r="I627" s="91" t="s">
        <v>2448</v>
      </c>
      <c r="J627" s="91">
        <v>6199</v>
      </c>
      <c r="K627" s="91">
        <f>2332+2332+3587</f>
        <v>8251</v>
      </c>
      <c r="L627" s="91">
        <v>0</v>
      </c>
      <c r="M627" s="91">
        <v>0</v>
      </c>
      <c r="N627" s="91">
        <v>0</v>
      </c>
      <c r="O627" s="91">
        <v>0</v>
      </c>
      <c r="P627" s="91">
        <v>0</v>
      </c>
      <c r="Q627" s="101">
        <f t="shared" si="18"/>
        <v>14450</v>
      </c>
      <c r="R627" s="95">
        <f t="shared" si="19"/>
        <v>12282.5</v>
      </c>
    </row>
    <row r="628" spans="1:23" ht="34.049999999999997" customHeight="1" x14ac:dyDescent="0.3">
      <c r="A628" s="96">
        <v>617</v>
      </c>
      <c r="B628" s="91" t="s">
        <v>2143</v>
      </c>
      <c r="C628" s="91" t="s">
        <v>2189</v>
      </c>
      <c r="D628" s="91" t="s">
        <v>2190</v>
      </c>
      <c r="E628" s="91">
        <v>2021</v>
      </c>
      <c r="F628" s="91" t="s">
        <v>19</v>
      </c>
      <c r="G628" s="91" t="s">
        <v>2335</v>
      </c>
      <c r="H628" s="91" t="s">
        <v>2407</v>
      </c>
      <c r="I628" s="91" t="s">
        <v>2449</v>
      </c>
      <c r="J628" s="91">
        <v>6199</v>
      </c>
      <c r="K628" s="91">
        <f>6278+4484+2332+2332+2332+2332+4484+4484+2332+2332+1166+2332+2332</f>
        <v>39552</v>
      </c>
      <c r="L628" s="91">
        <v>0</v>
      </c>
      <c r="M628" s="91">
        <v>0</v>
      </c>
      <c r="N628" s="91">
        <v>3148</v>
      </c>
      <c r="O628" s="91">
        <v>0</v>
      </c>
      <c r="P628" s="91">
        <v>0</v>
      </c>
      <c r="Q628" s="101">
        <f t="shared" si="18"/>
        <v>48899</v>
      </c>
      <c r="R628" s="95">
        <f t="shared" si="19"/>
        <v>41564.15</v>
      </c>
    </row>
    <row r="629" spans="1:23" ht="34.049999999999997" customHeight="1" x14ac:dyDescent="0.3">
      <c r="A629" s="90">
        <v>618</v>
      </c>
      <c r="B629" s="91" t="s">
        <v>2143</v>
      </c>
      <c r="C629" s="91" t="s">
        <v>2191</v>
      </c>
      <c r="D629" s="91" t="s">
        <v>2192</v>
      </c>
      <c r="E629" s="91">
        <v>1970</v>
      </c>
      <c r="F629" s="91" t="s">
        <v>19</v>
      </c>
      <c r="G629" s="91" t="s">
        <v>2336</v>
      </c>
      <c r="H629" s="91" t="s">
        <v>2336</v>
      </c>
      <c r="I629" s="91" t="s">
        <v>278</v>
      </c>
      <c r="J629" s="91">
        <v>6199</v>
      </c>
      <c r="K629" s="91">
        <v>0</v>
      </c>
      <c r="L629" s="91">
        <v>0</v>
      </c>
      <c r="M629" s="91">
        <v>0</v>
      </c>
      <c r="N629" s="91">
        <v>0</v>
      </c>
      <c r="O629" s="91">
        <v>0</v>
      </c>
      <c r="P629" s="91">
        <v>0</v>
      </c>
      <c r="Q629" s="101">
        <f t="shared" si="18"/>
        <v>6199</v>
      </c>
      <c r="R629" s="95">
        <f t="shared" si="19"/>
        <v>5269.15</v>
      </c>
    </row>
    <row r="630" spans="1:23" ht="34.049999999999997" customHeight="1" x14ac:dyDescent="0.3">
      <c r="A630" s="90">
        <v>619</v>
      </c>
      <c r="B630" s="91" t="s">
        <v>2143</v>
      </c>
      <c r="C630" s="91" t="s">
        <v>2193</v>
      </c>
      <c r="D630" s="91" t="s">
        <v>2194</v>
      </c>
      <c r="E630" s="91">
        <v>1962</v>
      </c>
      <c r="F630" s="91" t="s">
        <v>18</v>
      </c>
      <c r="G630" s="91" t="s">
        <v>2337</v>
      </c>
      <c r="H630" s="91" t="s">
        <v>2337</v>
      </c>
      <c r="I630" s="91" t="s">
        <v>824</v>
      </c>
      <c r="J630" s="91">
        <v>6199</v>
      </c>
      <c r="K630" s="91">
        <v>0</v>
      </c>
      <c r="L630" s="91">
        <v>0</v>
      </c>
      <c r="M630" s="91">
        <v>0</v>
      </c>
      <c r="N630" s="91">
        <v>0</v>
      </c>
      <c r="O630" s="91">
        <v>0</v>
      </c>
      <c r="P630" s="91">
        <v>0</v>
      </c>
      <c r="Q630" s="101">
        <f t="shared" si="18"/>
        <v>6199</v>
      </c>
      <c r="R630" s="95">
        <f t="shared" si="19"/>
        <v>5269.15</v>
      </c>
    </row>
    <row r="631" spans="1:23" ht="34.049999999999997" customHeight="1" x14ac:dyDescent="0.3">
      <c r="A631" s="96">
        <v>620</v>
      </c>
      <c r="B631" s="91" t="s">
        <v>2143</v>
      </c>
      <c r="C631" s="91" t="s">
        <v>2195</v>
      </c>
      <c r="D631" s="91" t="s">
        <v>2196</v>
      </c>
      <c r="E631" s="91">
        <v>2022</v>
      </c>
      <c r="F631" s="91" t="s">
        <v>18</v>
      </c>
      <c r="G631" s="91" t="s">
        <v>2338</v>
      </c>
      <c r="H631" s="91" t="s">
        <v>2408</v>
      </c>
      <c r="I631" s="91" t="s">
        <v>2450</v>
      </c>
      <c r="J631" s="91">
        <v>6199</v>
      </c>
      <c r="K631" s="91">
        <f>1346+6278+4484+4484+2332+2332+2332+6995+6995+2332+6995+2332+2332+2332</f>
        <v>53901</v>
      </c>
      <c r="L631" s="91">
        <v>0</v>
      </c>
      <c r="M631" s="91">
        <v>0</v>
      </c>
      <c r="N631" s="91">
        <v>3148</v>
      </c>
      <c r="O631" s="91">
        <v>0</v>
      </c>
      <c r="P631" s="91">
        <v>0</v>
      </c>
      <c r="Q631" s="101">
        <f t="shared" si="18"/>
        <v>63248</v>
      </c>
      <c r="R631" s="95">
        <f t="shared" si="19"/>
        <v>53760.800000000003</v>
      </c>
    </row>
    <row r="632" spans="1:23" ht="34.049999999999997" customHeight="1" x14ac:dyDescent="0.3">
      <c r="A632" s="90">
        <v>621</v>
      </c>
      <c r="B632" s="91" t="s">
        <v>2143</v>
      </c>
      <c r="C632" s="91" t="s">
        <v>2197</v>
      </c>
      <c r="D632" s="91" t="s">
        <v>2198</v>
      </c>
      <c r="E632" s="91">
        <v>1950</v>
      </c>
      <c r="F632" s="91" t="s">
        <v>18</v>
      </c>
      <c r="G632" s="91" t="s">
        <v>2339</v>
      </c>
      <c r="H632" s="91" t="s">
        <v>2409</v>
      </c>
      <c r="I632" s="91" t="s">
        <v>2451</v>
      </c>
      <c r="J632" s="91">
        <v>6199</v>
      </c>
      <c r="K632" s="91">
        <v>0</v>
      </c>
      <c r="L632" s="91">
        <v>0</v>
      </c>
      <c r="M632" s="91">
        <v>0</v>
      </c>
      <c r="N632" s="91">
        <v>0</v>
      </c>
      <c r="O632" s="91">
        <v>0</v>
      </c>
      <c r="P632" s="91">
        <v>0</v>
      </c>
      <c r="Q632" s="101">
        <f t="shared" si="18"/>
        <v>6199</v>
      </c>
      <c r="R632" s="95">
        <f t="shared" si="19"/>
        <v>5269.15</v>
      </c>
    </row>
    <row r="633" spans="1:23" ht="34.049999999999997" customHeight="1" x14ac:dyDescent="0.3">
      <c r="A633" s="90">
        <v>622</v>
      </c>
      <c r="B633" s="91" t="s">
        <v>2143</v>
      </c>
      <c r="C633" s="91" t="s">
        <v>2199</v>
      </c>
      <c r="D633" s="91" t="s">
        <v>2200</v>
      </c>
      <c r="E633" s="91">
        <v>1985</v>
      </c>
      <c r="F633" s="91" t="s">
        <v>18</v>
      </c>
      <c r="G633" s="91" t="s">
        <v>2340</v>
      </c>
      <c r="H633" s="91" t="s">
        <v>2340</v>
      </c>
      <c r="I633" s="91" t="s">
        <v>2452</v>
      </c>
      <c r="J633" s="91">
        <v>6199</v>
      </c>
      <c r="K633" s="91">
        <v>0</v>
      </c>
      <c r="L633" s="91">
        <f>13298+13298</f>
        <v>26596</v>
      </c>
      <c r="M633" s="91">
        <v>0</v>
      </c>
      <c r="N633" s="91">
        <v>0</v>
      </c>
      <c r="O633" s="91">
        <v>0</v>
      </c>
      <c r="P633" s="91">
        <v>0</v>
      </c>
      <c r="Q633" s="101">
        <f t="shared" si="18"/>
        <v>32795</v>
      </c>
      <c r="R633" s="95">
        <f t="shared" si="19"/>
        <v>27875.75</v>
      </c>
    </row>
    <row r="634" spans="1:23" ht="34.049999999999997" customHeight="1" x14ac:dyDescent="0.3">
      <c r="A634" s="96">
        <v>623</v>
      </c>
      <c r="B634" s="91" t="s">
        <v>2143</v>
      </c>
      <c r="C634" s="91" t="s">
        <v>2201</v>
      </c>
      <c r="D634" s="91" t="s">
        <v>2202</v>
      </c>
      <c r="E634" s="91">
        <v>1973</v>
      </c>
      <c r="F634" s="91" t="s">
        <v>19</v>
      </c>
      <c r="G634" s="91" t="s">
        <v>2341</v>
      </c>
      <c r="H634" s="91" t="s">
        <v>2410</v>
      </c>
      <c r="I634" s="91" t="s">
        <v>2453</v>
      </c>
      <c r="J634" s="91">
        <v>6199</v>
      </c>
      <c r="K634" s="91">
        <v>0</v>
      </c>
      <c r="L634" s="91">
        <v>0</v>
      </c>
      <c r="M634" s="91">
        <v>0</v>
      </c>
      <c r="N634" s="91">
        <v>0</v>
      </c>
      <c r="O634" s="91">
        <v>0</v>
      </c>
      <c r="P634" s="91">
        <v>0</v>
      </c>
      <c r="Q634" s="101">
        <f t="shared" si="18"/>
        <v>6199</v>
      </c>
      <c r="R634" s="95">
        <f t="shared" si="19"/>
        <v>5269.15</v>
      </c>
    </row>
    <row r="635" spans="1:23" ht="34.049999999999997" customHeight="1" x14ac:dyDescent="0.3">
      <c r="A635" s="90">
        <v>624</v>
      </c>
      <c r="B635" s="91" t="s">
        <v>2143</v>
      </c>
      <c r="C635" s="91" t="s">
        <v>2203</v>
      </c>
      <c r="D635" s="91" t="s">
        <v>2204</v>
      </c>
      <c r="E635" s="91">
        <v>1958</v>
      </c>
      <c r="F635" s="91" t="s">
        <v>18</v>
      </c>
      <c r="G635" s="91" t="s">
        <v>2342</v>
      </c>
      <c r="H635" s="91" t="s">
        <v>2342</v>
      </c>
      <c r="I635" s="91" t="s">
        <v>2454</v>
      </c>
      <c r="J635" s="91">
        <v>6199</v>
      </c>
      <c r="K635" s="91">
        <v>0</v>
      </c>
      <c r="L635" s="91">
        <v>0</v>
      </c>
      <c r="M635" s="91">
        <v>0</v>
      </c>
      <c r="N635" s="91">
        <v>0</v>
      </c>
      <c r="O635" s="91">
        <v>0</v>
      </c>
      <c r="P635" s="91">
        <v>0</v>
      </c>
      <c r="Q635" s="101">
        <f t="shared" si="18"/>
        <v>6199</v>
      </c>
      <c r="R635" s="95">
        <f t="shared" si="19"/>
        <v>5269.15</v>
      </c>
    </row>
    <row r="636" spans="1:23" ht="34.049999999999997" customHeight="1" x14ac:dyDescent="0.3">
      <c r="A636" s="90">
        <v>625</v>
      </c>
      <c r="B636" s="91" t="s">
        <v>2143</v>
      </c>
      <c r="C636" s="91" t="s">
        <v>2205</v>
      </c>
      <c r="D636" s="91" t="s">
        <v>2206</v>
      </c>
      <c r="E636" s="91">
        <v>1962</v>
      </c>
      <c r="F636" s="91" t="s">
        <v>19</v>
      </c>
      <c r="G636" s="91" t="s">
        <v>2343</v>
      </c>
      <c r="H636" s="91" t="s">
        <v>2343</v>
      </c>
      <c r="I636" s="91" t="s">
        <v>2455</v>
      </c>
      <c r="J636" s="91">
        <v>6199</v>
      </c>
      <c r="K636" s="91">
        <v>0</v>
      </c>
      <c r="L636" s="91">
        <v>0</v>
      </c>
      <c r="M636" s="91">
        <v>0</v>
      </c>
      <c r="N636" s="91">
        <v>0</v>
      </c>
      <c r="O636" s="91">
        <v>0</v>
      </c>
      <c r="P636" s="91">
        <v>0</v>
      </c>
      <c r="Q636" s="101">
        <f t="shared" si="18"/>
        <v>6199</v>
      </c>
      <c r="R636" s="95">
        <f t="shared" si="19"/>
        <v>5269.15</v>
      </c>
    </row>
    <row r="637" spans="1:23" ht="34.049999999999997" customHeight="1" x14ac:dyDescent="0.3">
      <c r="A637" s="96">
        <v>626</v>
      </c>
      <c r="B637" s="91" t="s">
        <v>2143</v>
      </c>
      <c r="C637" s="91" t="s">
        <v>2207</v>
      </c>
      <c r="D637" s="91" t="s">
        <v>2208</v>
      </c>
      <c r="E637" s="91">
        <v>1973</v>
      </c>
      <c r="F637" s="91" t="s">
        <v>19</v>
      </c>
      <c r="G637" s="91" t="s">
        <v>2344</v>
      </c>
      <c r="H637" s="91" t="s">
        <v>2344</v>
      </c>
      <c r="I637" s="91" t="s">
        <v>2456</v>
      </c>
      <c r="J637" s="91">
        <v>6199</v>
      </c>
      <c r="K637" s="91">
        <v>0</v>
      </c>
      <c r="L637" s="91">
        <v>0</v>
      </c>
      <c r="M637" s="91">
        <v>0</v>
      </c>
      <c r="N637" s="91">
        <v>0</v>
      </c>
      <c r="O637" s="91">
        <v>0</v>
      </c>
      <c r="P637" s="91">
        <v>0</v>
      </c>
      <c r="Q637" s="101">
        <f t="shared" si="18"/>
        <v>6199</v>
      </c>
      <c r="R637" s="95">
        <f t="shared" si="19"/>
        <v>5269.15</v>
      </c>
    </row>
    <row r="638" spans="1:23" ht="34.049999999999997" customHeight="1" x14ac:dyDescent="0.3">
      <c r="A638" s="90">
        <v>627</v>
      </c>
      <c r="B638" s="91" t="s">
        <v>2143</v>
      </c>
      <c r="C638" s="91" t="s">
        <v>2209</v>
      </c>
      <c r="D638" s="91" t="s">
        <v>2210</v>
      </c>
      <c r="E638" s="91">
        <v>1965</v>
      </c>
      <c r="F638" s="91" t="s">
        <v>18</v>
      </c>
      <c r="G638" s="91" t="s">
        <v>2345</v>
      </c>
      <c r="H638" s="91" t="s">
        <v>2344</v>
      </c>
      <c r="I638" s="91" t="s">
        <v>1695</v>
      </c>
      <c r="J638" s="91">
        <v>6199</v>
      </c>
      <c r="K638" s="91">
        <v>0</v>
      </c>
      <c r="L638" s="91">
        <v>0</v>
      </c>
      <c r="M638" s="91">
        <v>0</v>
      </c>
      <c r="N638" s="91">
        <v>0</v>
      </c>
      <c r="O638" s="91">
        <v>0</v>
      </c>
      <c r="P638" s="91">
        <v>0</v>
      </c>
      <c r="Q638" s="101">
        <f t="shared" si="18"/>
        <v>6199</v>
      </c>
      <c r="R638" s="95">
        <f t="shared" si="19"/>
        <v>5269.15</v>
      </c>
    </row>
    <row r="639" spans="1:23" ht="34.049999999999997" customHeight="1" x14ac:dyDescent="0.3">
      <c r="A639" s="90">
        <v>628</v>
      </c>
      <c r="B639" s="91" t="s">
        <v>2143</v>
      </c>
      <c r="C639" s="91" t="s">
        <v>2211</v>
      </c>
      <c r="D639" s="91" t="s">
        <v>600</v>
      </c>
      <c r="E639" s="91">
        <v>2015</v>
      </c>
      <c r="F639" s="91" t="s">
        <v>19</v>
      </c>
      <c r="G639" s="91" t="s">
        <v>728</v>
      </c>
      <c r="H639" s="91" t="s">
        <v>791</v>
      </c>
      <c r="I639" s="91" t="s">
        <v>829</v>
      </c>
      <c r="J639" s="91">
        <v>3793</v>
      </c>
      <c r="K639" s="91">
        <v>0</v>
      </c>
      <c r="L639" s="91">
        <v>0</v>
      </c>
      <c r="M639" s="91">
        <v>0</v>
      </c>
      <c r="N639" s="91">
        <v>0</v>
      </c>
      <c r="O639" s="91">
        <v>0</v>
      </c>
      <c r="P639" s="91">
        <v>0</v>
      </c>
      <c r="Q639" s="101">
        <f t="shared" si="18"/>
        <v>3793</v>
      </c>
      <c r="R639" s="95">
        <f t="shared" si="19"/>
        <v>3224.05</v>
      </c>
    </row>
    <row r="640" spans="1:23" ht="34.049999999999997" customHeight="1" x14ac:dyDescent="0.3">
      <c r="A640" s="96">
        <v>629</v>
      </c>
      <c r="B640" s="91" t="s">
        <v>2143</v>
      </c>
      <c r="C640" s="91" t="s">
        <v>2212</v>
      </c>
      <c r="D640" s="91" t="s">
        <v>2213</v>
      </c>
      <c r="E640" s="91">
        <v>2025</v>
      </c>
      <c r="F640" s="91" t="s">
        <v>19</v>
      </c>
      <c r="G640" s="91" t="s">
        <v>2346</v>
      </c>
      <c r="H640" s="91" t="s">
        <v>2411</v>
      </c>
      <c r="I640" s="91" t="s">
        <v>2446</v>
      </c>
      <c r="J640" s="91">
        <v>6199</v>
      </c>
      <c r="K640" s="91">
        <f>1346+6278+4484+4484+2332+2332+2332+6995+6995+2332+6995+2332+2332+2332</f>
        <v>53901</v>
      </c>
      <c r="L640" s="91">
        <v>0</v>
      </c>
      <c r="M640" s="91">
        <v>0</v>
      </c>
      <c r="N640" s="91">
        <v>3148</v>
      </c>
      <c r="O640" s="91">
        <v>0</v>
      </c>
      <c r="P640" s="91">
        <v>0</v>
      </c>
      <c r="Q640" s="101">
        <f t="shared" si="18"/>
        <v>63248</v>
      </c>
      <c r="R640" s="95">
        <f t="shared" si="19"/>
        <v>53760.800000000003</v>
      </c>
    </row>
    <row r="641" spans="1:18" ht="34.049999999999997" customHeight="1" x14ac:dyDescent="0.3">
      <c r="A641" s="90">
        <v>630</v>
      </c>
      <c r="B641" s="91" t="s">
        <v>2143</v>
      </c>
      <c r="C641" s="91" t="s">
        <v>2214</v>
      </c>
      <c r="D641" s="91" t="s">
        <v>2215</v>
      </c>
      <c r="E641" s="91">
        <v>1979</v>
      </c>
      <c r="F641" s="91" t="s">
        <v>18</v>
      </c>
      <c r="G641" s="91" t="s">
        <v>2347</v>
      </c>
      <c r="H641" s="91" t="s">
        <v>2347</v>
      </c>
      <c r="I641" s="91" t="s">
        <v>2457</v>
      </c>
      <c r="J641" s="91">
        <v>6199</v>
      </c>
      <c r="K641" s="91">
        <v>0</v>
      </c>
      <c r="L641" s="91">
        <v>0</v>
      </c>
      <c r="M641" s="91">
        <v>0</v>
      </c>
      <c r="N641" s="91">
        <v>0</v>
      </c>
      <c r="O641" s="91">
        <v>0</v>
      </c>
      <c r="P641" s="91">
        <v>0</v>
      </c>
      <c r="Q641" s="101">
        <f t="shared" si="18"/>
        <v>6199</v>
      </c>
      <c r="R641" s="95">
        <f t="shared" si="19"/>
        <v>5269.15</v>
      </c>
    </row>
    <row r="642" spans="1:18" ht="34.049999999999997" customHeight="1" x14ac:dyDescent="0.3">
      <c r="A642" s="90">
        <v>631</v>
      </c>
      <c r="B642" s="91" t="s">
        <v>2143</v>
      </c>
      <c r="C642" s="91" t="s">
        <v>2216</v>
      </c>
      <c r="D642" s="91" t="s">
        <v>1148</v>
      </c>
      <c r="E642" s="91">
        <v>1985</v>
      </c>
      <c r="F642" s="91" t="s">
        <v>19</v>
      </c>
      <c r="G642" s="91" t="s">
        <v>1202</v>
      </c>
      <c r="H642" s="91" t="s">
        <v>1202</v>
      </c>
      <c r="I642" s="91" t="s">
        <v>1276</v>
      </c>
      <c r="J642" s="91">
        <v>3793</v>
      </c>
      <c r="K642" s="91">
        <f>1346+6278+4484+2332+2332+2332+2332+2332</f>
        <v>23768</v>
      </c>
      <c r="L642" s="91">
        <v>0</v>
      </c>
      <c r="M642" s="91">
        <v>0</v>
      </c>
      <c r="N642" s="91">
        <v>1793</v>
      </c>
      <c r="O642" s="91">
        <v>0</v>
      </c>
      <c r="P642" s="91">
        <v>0</v>
      </c>
      <c r="Q642" s="101">
        <f t="shared" si="18"/>
        <v>29354</v>
      </c>
      <c r="R642" s="95">
        <f t="shared" si="19"/>
        <v>24950.9</v>
      </c>
    </row>
    <row r="643" spans="1:18" ht="34.049999999999997" customHeight="1" x14ac:dyDescent="0.3">
      <c r="A643" s="96">
        <v>632</v>
      </c>
      <c r="B643" s="91" t="s">
        <v>2143</v>
      </c>
      <c r="C643" s="91" t="s">
        <v>2217</v>
      </c>
      <c r="D643" s="91" t="s">
        <v>2218</v>
      </c>
      <c r="E643" s="91">
        <v>2017</v>
      </c>
      <c r="F643" s="91" t="s">
        <v>18</v>
      </c>
      <c r="G643" s="91" t="s">
        <v>2348</v>
      </c>
      <c r="H643" s="91" t="s">
        <v>2412</v>
      </c>
      <c r="I643" s="91" t="s">
        <v>2458</v>
      </c>
      <c r="J643" s="91">
        <v>6199</v>
      </c>
      <c r="K643" s="91">
        <f>6278+4484+1346+4484+2332+1166+2332+2332+2332+2332+2332+6995+6995+2332+6995</f>
        <v>55067</v>
      </c>
      <c r="L643" s="91">
        <v>0</v>
      </c>
      <c r="M643" s="91">
        <v>0</v>
      </c>
      <c r="N643" s="91">
        <v>3148</v>
      </c>
      <c r="O643" s="91">
        <v>0</v>
      </c>
      <c r="P643" s="91">
        <v>0</v>
      </c>
      <c r="Q643" s="101">
        <f t="shared" si="18"/>
        <v>64414</v>
      </c>
      <c r="R643" s="95">
        <f t="shared" si="19"/>
        <v>54751.9</v>
      </c>
    </row>
    <row r="644" spans="1:18" ht="34.049999999999997" customHeight="1" x14ac:dyDescent="0.3">
      <c r="A644" s="90">
        <v>633</v>
      </c>
      <c r="B644" s="91" t="s">
        <v>2143</v>
      </c>
      <c r="C644" s="91" t="s">
        <v>2219</v>
      </c>
      <c r="D644" s="91" t="s">
        <v>2220</v>
      </c>
      <c r="E644" s="91">
        <v>2019</v>
      </c>
      <c r="F644" s="91" t="s">
        <v>18</v>
      </c>
      <c r="G644" s="91" t="s">
        <v>2349</v>
      </c>
      <c r="H644" s="91" t="s">
        <v>2412</v>
      </c>
      <c r="I644" s="91" t="s">
        <v>2459</v>
      </c>
      <c r="J644" s="91">
        <v>6199</v>
      </c>
      <c r="K644" s="91">
        <f>6278+4484+1346+4484+2332+2332+2332+2332+2332+6995+6995+2332+6995+3000+3000</f>
        <v>57569</v>
      </c>
      <c r="L644" s="91">
        <v>0</v>
      </c>
      <c r="M644" s="91">
        <v>0</v>
      </c>
      <c r="N644" s="91">
        <v>3148</v>
      </c>
      <c r="O644" s="91">
        <v>0</v>
      </c>
      <c r="P644" s="91">
        <v>0</v>
      </c>
      <c r="Q644" s="101">
        <f t="shared" si="18"/>
        <v>66916</v>
      </c>
      <c r="R644" s="95">
        <f t="shared" si="19"/>
        <v>56878.6</v>
      </c>
    </row>
    <row r="645" spans="1:18" ht="34.049999999999997" customHeight="1" x14ac:dyDescent="0.3">
      <c r="A645" s="90">
        <v>634</v>
      </c>
      <c r="B645" s="91" t="s">
        <v>2143</v>
      </c>
      <c r="C645" s="91" t="s">
        <v>2221</v>
      </c>
      <c r="D645" s="91" t="s">
        <v>2222</v>
      </c>
      <c r="E645" s="91">
        <v>1977</v>
      </c>
      <c r="F645" s="91" t="s">
        <v>19</v>
      </c>
      <c r="G645" s="91" t="s">
        <v>2350</v>
      </c>
      <c r="H645" s="91" t="s">
        <v>2350</v>
      </c>
      <c r="I645" s="91" t="s">
        <v>1464</v>
      </c>
      <c r="J645" s="91">
        <v>6199</v>
      </c>
      <c r="K645" s="91">
        <v>0</v>
      </c>
      <c r="L645" s="91">
        <v>13298</v>
      </c>
      <c r="M645" s="91">
        <v>0</v>
      </c>
      <c r="N645" s="91">
        <v>0</v>
      </c>
      <c r="O645" s="91">
        <v>0</v>
      </c>
      <c r="P645" s="91">
        <v>0</v>
      </c>
      <c r="Q645" s="101">
        <f t="shared" si="18"/>
        <v>19497</v>
      </c>
      <c r="R645" s="95">
        <f t="shared" si="19"/>
        <v>16572.45</v>
      </c>
    </row>
    <row r="646" spans="1:18" ht="34.049999999999997" customHeight="1" x14ac:dyDescent="0.3">
      <c r="A646" s="96">
        <v>635</v>
      </c>
      <c r="B646" s="91" t="s">
        <v>2143</v>
      </c>
      <c r="C646" s="91" t="s">
        <v>2223</v>
      </c>
      <c r="D646" s="91" t="s">
        <v>2224</v>
      </c>
      <c r="E646" s="91">
        <v>2023</v>
      </c>
      <c r="F646" s="91" t="s">
        <v>18</v>
      </c>
      <c r="G646" s="91" t="s">
        <v>2351</v>
      </c>
      <c r="H646" s="91" t="s">
        <v>2413</v>
      </c>
      <c r="I646" s="91" t="s">
        <v>2460</v>
      </c>
      <c r="J646" s="91">
        <v>6199</v>
      </c>
      <c r="K646" s="91">
        <v>0</v>
      </c>
      <c r="L646" s="91">
        <v>0</v>
      </c>
      <c r="M646" s="91">
        <v>0</v>
      </c>
      <c r="N646" s="91">
        <v>0</v>
      </c>
      <c r="O646" s="91">
        <v>0</v>
      </c>
      <c r="P646" s="91">
        <v>0</v>
      </c>
      <c r="Q646" s="101">
        <f t="shared" si="18"/>
        <v>6199</v>
      </c>
      <c r="R646" s="95">
        <f t="shared" si="19"/>
        <v>5269.15</v>
      </c>
    </row>
    <row r="647" spans="1:18" ht="34.049999999999997" customHeight="1" x14ac:dyDescent="0.3">
      <c r="A647" s="90">
        <v>636</v>
      </c>
      <c r="B647" s="91" t="s">
        <v>2143</v>
      </c>
      <c r="C647" s="91" t="s">
        <v>2225</v>
      </c>
      <c r="D647" s="91" t="s">
        <v>2226</v>
      </c>
      <c r="E647" s="91">
        <v>1999</v>
      </c>
      <c r="F647" s="91" t="s">
        <v>18</v>
      </c>
      <c r="G647" s="91" t="s">
        <v>2352</v>
      </c>
      <c r="H647" s="91" t="s">
        <v>2352</v>
      </c>
      <c r="I647" s="91" t="s">
        <v>2461</v>
      </c>
      <c r="J647" s="91">
        <v>6199</v>
      </c>
      <c r="K647" s="91">
        <f>6278+1166+2332</f>
        <v>9776</v>
      </c>
      <c r="L647" s="91">
        <v>0</v>
      </c>
      <c r="M647" s="91">
        <v>0</v>
      </c>
      <c r="N647" s="91">
        <v>1793</v>
      </c>
      <c r="O647" s="91">
        <v>0</v>
      </c>
      <c r="P647" s="91">
        <v>0</v>
      </c>
      <c r="Q647" s="101">
        <f t="shared" si="18"/>
        <v>17768</v>
      </c>
      <c r="R647" s="95">
        <f t="shared" si="19"/>
        <v>15102.8</v>
      </c>
    </row>
    <row r="648" spans="1:18" ht="34.049999999999997" customHeight="1" x14ac:dyDescent="0.3">
      <c r="A648" s="90">
        <v>637</v>
      </c>
      <c r="B648" s="91" t="s">
        <v>2143</v>
      </c>
      <c r="C648" s="91" t="s">
        <v>2227</v>
      </c>
      <c r="D648" s="91" t="s">
        <v>2228</v>
      </c>
      <c r="E648" s="91">
        <v>2013</v>
      </c>
      <c r="F648" s="91" t="s">
        <v>18</v>
      </c>
      <c r="G648" s="91" t="s">
        <v>2353</v>
      </c>
      <c r="H648" s="91" t="s">
        <v>2414</v>
      </c>
      <c r="I648" s="91" t="s">
        <v>1702</v>
      </c>
      <c r="J648" s="91">
        <v>6199</v>
      </c>
      <c r="K648" s="91">
        <f>6278+4484+1346+2332+4484+1166+2801+2332+2332+2332+2332+3000+3000+2332+2332</f>
        <v>42883</v>
      </c>
      <c r="L648" s="91">
        <v>0</v>
      </c>
      <c r="M648" s="91">
        <v>0</v>
      </c>
      <c r="N648" s="91">
        <v>3148</v>
      </c>
      <c r="O648" s="91">
        <v>0</v>
      </c>
      <c r="P648" s="91">
        <v>0</v>
      </c>
      <c r="Q648" s="101">
        <f t="shared" si="18"/>
        <v>52230</v>
      </c>
      <c r="R648" s="95">
        <f t="shared" si="19"/>
        <v>44395.5</v>
      </c>
    </row>
    <row r="649" spans="1:18" ht="34.049999999999997" customHeight="1" x14ac:dyDescent="0.3">
      <c r="A649" s="96">
        <v>638</v>
      </c>
      <c r="B649" s="91" t="s">
        <v>2143</v>
      </c>
      <c r="C649" s="91" t="s">
        <v>2229</v>
      </c>
      <c r="D649" s="91" t="s">
        <v>2230</v>
      </c>
      <c r="E649" s="91">
        <v>1958</v>
      </c>
      <c r="F649" s="91" t="s">
        <v>19</v>
      </c>
      <c r="G649" s="91" t="s">
        <v>2354</v>
      </c>
      <c r="H649" s="91" t="s">
        <v>2415</v>
      </c>
      <c r="I649" s="91" t="s">
        <v>1689</v>
      </c>
      <c r="J649" s="91">
        <v>6199</v>
      </c>
      <c r="K649" s="91">
        <f>2332+1166+6278+13452+4484+4484+2332+2332+2332+2332+2332</f>
        <v>43856</v>
      </c>
      <c r="L649" s="91">
        <v>13298</v>
      </c>
      <c r="M649" s="91">
        <v>0</v>
      </c>
      <c r="N649" s="91">
        <v>1793</v>
      </c>
      <c r="O649" s="91">
        <v>0</v>
      </c>
      <c r="P649" s="91">
        <v>0</v>
      </c>
      <c r="Q649" s="101">
        <f t="shared" si="18"/>
        <v>65146</v>
      </c>
      <c r="R649" s="95">
        <f t="shared" si="19"/>
        <v>55374.1</v>
      </c>
    </row>
    <row r="650" spans="1:18" ht="34.049999999999997" customHeight="1" x14ac:dyDescent="0.3">
      <c r="A650" s="90">
        <v>639</v>
      </c>
      <c r="B650" s="91" t="s">
        <v>2143</v>
      </c>
      <c r="C650" s="91" t="s">
        <v>2231</v>
      </c>
      <c r="D650" s="91" t="s">
        <v>2232</v>
      </c>
      <c r="E650" s="91">
        <v>1964</v>
      </c>
      <c r="F650" s="91" t="s">
        <v>18</v>
      </c>
      <c r="G650" s="91" t="s">
        <v>2355</v>
      </c>
      <c r="H650" s="91" t="s">
        <v>2416</v>
      </c>
      <c r="I650" s="91" t="s">
        <v>2462</v>
      </c>
      <c r="J650" s="91">
        <v>6199</v>
      </c>
      <c r="K650" s="91">
        <f>1166+2801+2332+2332+2332+2332+3000+3000+6278</f>
        <v>25573</v>
      </c>
      <c r="L650" s="91">
        <v>0</v>
      </c>
      <c r="M650" s="91">
        <v>0</v>
      </c>
      <c r="N650" s="91">
        <v>1793</v>
      </c>
      <c r="O650" s="91">
        <v>0</v>
      </c>
      <c r="P650" s="91">
        <v>0</v>
      </c>
      <c r="Q650" s="101">
        <f t="shared" si="18"/>
        <v>33565</v>
      </c>
      <c r="R650" s="95">
        <f t="shared" si="19"/>
        <v>28530.25</v>
      </c>
    </row>
    <row r="651" spans="1:18" ht="34.049999999999997" customHeight="1" x14ac:dyDescent="0.3">
      <c r="A651" s="90">
        <v>640</v>
      </c>
      <c r="B651" s="91" t="s">
        <v>2143</v>
      </c>
      <c r="C651" s="91" t="s">
        <v>2233</v>
      </c>
      <c r="D651" s="91" t="s">
        <v>2234</v>
      </c>
      <c r="E651" s="91">
        <v>1972</v>
      </c>
      <c r="F651" s="91" t="s">
        <v>18</v>
      </c>
      <c r="G651" s="91" t="s">
        <v>2356</v>
      </c>
      <c r="H651" s="91" t="s">
        <v>2356</v>
      </c>
      <c r="I651" s="91" t="s">
        <v>839</v>
      </c>
      <c r="J651" s="91">
        <v>6199</v>
      </c>
      <c r="K651" s="91">
        <f>2332+2332+6278+2332+2332+2332+4484+4484</f>
        <v>26906</v>
      </c>
      <c r="L651" s="91">
        <v>0</v>
      </c>
      <c r="M651" s="91">
        <v>0</v>
      </c>
      <c r="N651" s="91">
        <v>1793</v>
      </c>
      <c r="O651" s="91">
        <v>0</v>
      </c>
      <c r="P651" s="91">
        <v>0</v>
      </c>
      <c r="Q651" s="101">
        <f t="shared" si="18"/>
        <v>34898</v>
      </c>
      <c r="R651" s="95">
        <f t="shared" si="19"/>
        <v>29663.3</v>
      </c>
    </row>
    <row r="652" spans="1:18" ht="34.049999999999997" customHeight="1" x14ac:dyDescent="0.3">
      <c r="A652" s="96">
        <v>641</v>
      </c>
      <c r="B652" s="91" t="s">
        <v>2143</v>
      </c>
      <c r="C652" s="91" t="s">
        <v>2235</v>
      </c>
      <c r="D652" s="91" t="s">
        <v>2236</v>
      </c>
      <c r="E652" s="91">
        <v>2012</v>
      </c>
      <c r="F652" s="91" t="s">
        <v>18</v>
      </c>
      <c r="G652" s="91" t="s">
        <v>2357</v>
      </c>
      <c r="H652" s="91" t="s">
        <v>2417</v>
      </c>
      <c r="I652" s="91" t="s">
        <v>265</v>
      </c>
      <c r="J652" s="91">
        <v>6199</v>
      </c>
      <c r="K652" s="91">
        <f>1166+2801</f>
        <v>3967</v>
      </c>
      <c r="L652" s="91">
        <v>0</v>
      </c>
      <c r="M652" s="91">
        <v>0</v>
      </c>
      <c r="N652" s="91">
        <v>0</v>
      </c>
      <c r="O652" s="91">
        <v>0</v>
      </c>
      <c r="P652" s="91">
        <v>0</v>
      </c>
      <c r="Q652" s="101">
        <f t="shared" ref="Q652:Q715" si="20">SUM(J652:P652)</f>
        <v>10166</v>
      </c>
      <c r="R652" s="95">
        <f t="shared" si="19"/>
        <v>8641.1</v>
      </c>
    </row>
    <row r="653" spans="1:18" ht="34.049999999999997" customHeight="1" x14ac:dyDescent="0.3">
      <c r="A653" s="90">
        <v>642</v>
      </c>
      <c r="B653" s="91" t="s">
        <v>2143</v>
      </c>
      <c r="C653" s="91" t="s">
        <v>2237</v>
      </c>
      <c r="D653" s="91" t="s">
        <v>2238</v>
      </c>
      <c r="E653" s="91">
        <v>1952</v>
      </c>
      <c r="F653" s="91" t="s">
        <v>18</v>
      </c>
      <c r="G653" s="91" t="s">
        <v>2358</v>
      </c>
      <c r="H653" s="91" t="s">
        <v>2358</v>
      </c>
      <c r="I653" s="91" t="s">
        <v>824</v>
      </c>
      <c r="J653" s="91">
        <v>6199</v>
      </c>
      <c r="K653" s="91">
        <v>0</v>
      </c>
      <c r="L653" s="91">
        <v>0</v>
      </c>
      <c r="M653" s="91">
        <v>0</v>
      </c>
      <c r="N653" s="91">
        <v>0</v>
      </c>
      <c r="O653" s="91">
        <v>0</v>
      </c>
      <c r="P653" s="91">
        <v>0</v>
      </c>
      <c r="Q653" s="101">
        <f t="shared" si="20"/>
        <v>6199</v>
      </c>
      <c r="R653" s="95">
        <f t="shared" ref="R653:R716" si="21">Q653*85/100</f>
        <v>5269.15</v>
      </c>
    </row>
    <row r="654" spans="1:18" ht="34.049999999999997" customHeight="1" x14ac:dyDescent="0.3">
      <c r="A654" s="90">
        <v>643</v>
      </c>
      <c r="B654" s="91" t="s">
        <v>2143</v>
      </c>
      <c r="C654" s="91" t="s">
        <v>2239</v>
      </c>
      <c r="D654" s="91" t="s">
        <v>2240</v>
      </c>
      <c r="E654" s="91">
        <v>1996</v>
      </c>
      <c r="F654" s="91" t="s">
        <v>19</v>
      </c>
      <c r="G654" s="91" t="s">
        <v>2359</v>
      </c>
      <c r="H654" s="91" t="s">
        <v>2359</v>
      </c>
      <c r="I654" s="91" t="s">
        <v>272</v>
      </c>
      <c r="J654" s="91">
        <v>6199</v>
      </c>
      <c r="K654" s="91">
        <v>0</v>
      </c>
      <c r="L654" s="91">
        <v>0</v>
      </c>
      <c r="M654" s="91">
        <v>0</v>
      </c>
      <c r="N654" s="91">
        <v>0</v>
      </c>
      <c r="O654" s="91">
        <v>0</v>
      </c>
      <c r="P654" s="91">
        <v>0</v>
      </c>
      <c r="Q654" s="101">
        <f t="shared" si="20"/>
        <v>6199</v>
      </c>
      <c r="R654" s="95">
        <f t="shared" si="21"/>
        <v>5269.15</v>
      </c>
    </row>
    <row r="655" spans="1:18" ht="34.049999999999997" customHeight="1" x14ac:dyDescent="0.3">
      <c r="A655" s="96">
        <v>644</v>
      </c>
      <c r="B655" s="91" t="s">
        <v>2143</v>
      </c>
      <c r="C655" s="91" t="s">
        <v>2241</v>
      </c>
      <c r="D655" s="91" t="s">
        <v>2242</v>
      </c>
      <c r="E655" s="91">
        <v>1992</v>
      </c>
      <c r="F655" s="91" t="s">
        <v>19</v>
      </c>
      <c r="G655" s="91" t="s">
        <v>2360</v>
      </c>
      <c r="H655" s="91" t="s">
        <v>2360</v>
      </c>
      <c r="I655" s="91" t="s">
        <v>2463</v>
      </c>
      <c r="J655" s="91">
        <v>6199</v>
      </c>
      <c r="K655" s="91">
        <v>0</v>
      </c>
      <c r="L655" s="91">
        <v>0</v>
      </c>
      <c r="M655" s="91">
        <v>0</v>
      </c>
      <c r="N655" s="91">
        <v>0</v>
      </c>
      <c r="O655" s="91">
        <v>0</v>
      </c>
      <c r="P655" s="91">
        <v>0</v>
      </c>
      <c r="Q655" s="101">
        <f t="shared" si="20"/>
        <v>6199</v>
      </c>
      <c r="R655" s="95">
        <f t="shared" si="21"/>
        <v>5269.15</v>
      </c>
    </row>
    <row r="656" spans="1:18" ht="34.049999999999997" customHeight="1" x14ac:dyDescent="0.3">
      <c r="A656" s="90">
        <v>645</v>
      </c>
      <c r="B656" s="91" t="s">
        <v>2143</v>
      </c>
      <c r="C656" s="91" t="s">
        <v>2243</v>
      </c>
      <c r="D656" s="91" t="s">
        <v>2244</v>
      </c>
      <c r="E656" s="91">
        <v>1994</v>
      </c>
      <c r="F656" s="91" t="s">
        <v>19</v>
      </c>
      <c r="G656" s="91" t="s">
        <v>2361</v>
      </c>
      <c r="H656" s="91" t="s">
        <v>2418</v>
      </c>
      <c r="I656" s="91" t="s">
        <v>251</v>
      </c>
      <c r="J656" s="91">
        <v>3582</v>
      </c>
      <c r="K656" s="91">
        <v>0</v>
      </c>
      <c r="L656" s="91">
        <v>0</v>
      </c>
      <c r="M656" s="91">
        <v>0</v>
      </c>
      <c r="N656" s="91">
        <v>0</v>
      </c>
      <c r="O656" s="91">
        <v>0</v>
      </c>
      <c r="P656" s="91">
        <v>0</v>
      </c>
      <c r="Q656" s="101">
        <f t="shared" si="20"/>
        <v>3582</v>
      </c>
      <c r="R656" s="95">
        <f t="shared" si="21"/>
        <v>3044.7</v>
      </c>
    </row>
    <row r="657" spans="1:23" ht="34.049999999999997" customHeight="1" x14ac:dyDescent="0.3">
      <c r="A657" s="90">
        <v>646</v>
      </c>
      <c r="B657" s="91" t="s">
        <v>2143</v>
      </c>
      <c r="C657" s="91" t="s">
        <v>2245</v>
      </c>
      <c r="D657" s="91" t="s">
        <v>2246</v>
      </c>
      <c r="E657" s="91">
        <v>2017</v>
      </c>
      <c r="F657" s="91" t="s">
        <v>18</v>
      </c>
      <c r="G657" s="91" t="s">
        <v>2362</v>
      </c>
      <c r="H657" s="91" t="s">
        <v>2419</v>
      </c>
      <c r="I657" s="91" t="s">
        <v>2464</v>
      </c>
      <c r="J657" s="91">
        <v>6199</v>
      </c>
      <c r="K657" s="91">
        <v>0</v>
      </c>
      <c r="L657" s="91">
        <v>0</v>
      </c>
      <c r="M657" s="91">
        <v>0</v>
      </c>
      <c r="N657" s="91">
        <v>0</v>
      </c>
      <c r="O657" s="91">
        <v>0</v>
      </c>
      <c r="P657" s="91">
        <v>0</v>
      </c>
      <c r="Q657" s="101">
        <f t="shared" si="20"/>
        <v>6199</v>
      </c>
      <c r="R657" s="95">
        <f t="shared" si="21"/>
        <v>5269.15</v>
      </c>
    </row>
    <row r="658" spans="1:23" ht="34.049999999999997" customHeight="1" x14ac:dyDescent="0.3">
      <c r="A658" s="96">
        <v>647</v>
      </c>
      <c r="B658" s="91" t="s">
        <v>2143</v>
      </c>
      <c r="C658" s="91" t="s">
        <v>2247</v>
      </c>
      <c r="D658" s="91" t="s">
        <v>2248</v>
      </c>
      <c r="E658" s="91">
        <v>1990</v>
      </c>
      <c r="F658" s="91" t="s">
        <v>19</v>
      </c>
      <c r="G658" s="91" t="s">
        <v>2363</v>
      </c>
      <c r="H658" s="91" t="s">
        <v>2419</v>
      </c>
      <c r="I658" s="91" t="s">
        <v>24</v>
      </c>
      <c r="J658" s="91">
        <v>3582</v>
      </c>
      <c r="K658" s="91">
        <v>0</v>
      </c>
      <c r="L658" s="91">
        <v>0</v>
      </c>
      <c r="M658" s="91">
        <v>0</v>
      </c>
      <c r="N658" s="91">
        <f>15443+21194+19239</f>
        <v>55876</v>
      </c>
      <c r="O658" s="91">
        <v>0</v>
      </c>
      <c r="P658" s="91">
        <v>0</v>
      </c>
      <c r="Q658" s="101">
        <f t="shared" si="20"/>
        <v>59458</v>
      </c>
      <c r="R658" s="95">
        <f t="shared" si="21"/>
        <v>50539.3</v>
      </c>
    </row>
    <row r="659" spans="1:23" ht="34.049999999999997" customHeight="1" x14ac:dyDescent="0.3">
      <c r="A659" s="90">
        <v>648</v>
      </c>
      <c r="B659" s="91" t="s">
        <v>2143</v>
      </c>
      <c r="C659" s="91" t="s">
        <v>2249</v>
      </c>
      <c r="D659" s="91" t="s">
        <v>1154</v>
      </c>
      <c r="E659" s="91">
        <v>2022</v>
      </c>
      <c r="F659" s="91" t="s">
        <v>18</v>
      </c>
      <c r="G659" s="91" t="s">
        <v>1208</v>
      </c>
      <c r="H659" s="91" t="s">
        <v>1245</v>
      </c>
      <c r="I659" s="91" t="s">
        <v>1267</v>
      </c>
      <c r="J659" s="91">
        <v>3793</v>
      </c>
      <c r="K659" s="91">
        <v>0</v>
      </c>
      <c r="L659" s="91">
        <v>0</v>
      </c>
      <c r="M659" s="91">
        <v>0</v>
      </c>
      <c r="N659" s="91">
        <v>0</v>
      </c>
      <c r="O659" s="91">
        <v>0</v>
      </c>
      <c r="P659" s="91">
        <v>0</v>
      </c>
      <c r="Q659" s="102">
        <f t="shared" si="20"/>
        <v>3793</v>
      </c>
      <c r="R659" s="95">
        <f t="shared" si="21"/>
        <v>3224.05</v>
      </c>
    </row>
    <row r="660" spans="1:23" ht="34.049999999999997" customHeight="1" x14ac:dyDescent="0.3">
      <c r="A660" s="90">
        <v>649</v>
      </c>
      <c r="B660" s="91" t="s">
        <v>2143</v>
      </c>
      <c r="C660" s="91" t="s">
        <v>2250</v>
      </c>
      <c r="D660" s="91" t="s">
        <v>2251</v>
      </c>
      <c r="E660" s="91">
        <v>1993</v>
      </c>
      <c r="F660" s="91" t="s">
        <v>19</v>
      </c>
      <c r="G660" s="91" t="s">
        <v>2364</v>
      </c>
      <c r="H660" s="91" t="s">
        <v>2364</v>
      </c>
      <c r="I660" s="91" t="s">
        <v>2465</v>
      </c>
      <c r="J660" s="91">
        <v>6199</v>
      </c>
      <c r="K660" s="91">
        <f>2332+2332</f>
        <v>4664</v>
      </c>
      <c r="L660" s="91">
        <v>20807</v>
      </c>
      <c r="M660" s="91">
        <v>0</v>
      </c>
      <c r="N660" s="91">
        <v>0</v>
      </c>
      <c r="O660" s="91">
        <v>0</v>
      </c>
      <c r="P660" s="91">
        <v>0</v>
      </c>
      <c r="Q660" s="101">
        <f t="shared" si="20"/>
        <v>31670</v>
      </c>
      <c r="R660" s="95">
        <f t="shared" si="21"/>
        <v>26919.5</v>
      </c>
    </row>
    <row r="661" spans="1:23" ht="34.049999999999997" customHeight="1" x14ac:dyDescent="0.3">
      <c r="A661" s="96">
        <v>650</v>
      </c>
      <c r="B661" s="91" t="s">
        <v>2143</v>
      </c>
      <c r="C661" s="91" t="s">
        <v>2252</v>
      </c>
      <c r="D661" s="91" t="s">
        <v>2253</v>
      </c>
      <c r="E661" s="91">
        <v>2022</v>
      </c>
      <c r="F661" s="91" t="s">
        <v>18</v>
      </c>
      <c r="G661" s="91" t="s">
        <v>2365</v>
      </c>
      <c r="H661" s="91" t="s">
        <v>2420</v>
      </c>
      <c r="I661" s="91" t="s">
        <v>34</v>
      </c>
      <c r="J661" s="91">
        <v>6199</v>
      </c>
      <c r="K661" s="91">
        <f>1346+6278+4484+4484+2332+2332+2332+6995+6995+2332+6995+2332+2332+2332</f>
        <v>53901</v>
      </c>
      <c r="L661" s="91">
        <v>0</v>
      </c>
      <c r="M661" s="91">
        <v>0</v>
      </c>
      <c r="N661" s="91">
        <v>3148</v>
      </c>
      <c r="O661" s="91">
        <v>0</v>
      </c>
      <c r="P661" s="91">
        <v>0</v>
      </c>
      <c r="Q661" s="101">
        <f t="shared" si="20"/>
        <v>63248</v>
      </c>
      <c r="R661" s="95">
        <f t="shared" si="21"/>
        <v>53760.800000000003</v>
      </c>
    </row>
    <row r="662" spans="1:23" ht="34.049999999999997" customHeight="1" x14ac:dyDescent="0.3">
      <c r="A662" s="90">
        <v>651</v>
      </c>
      <c r="B662" s="91" t="s">
        <v>2143</v>
      </c>
      <c r="C662" s="91" t="s">
        <v>2254</v>
      </c>
      <c r="D662" s="91" t="s">
        <v>2255</v>
      </c>
      <c r="E662" s="91">
        <v>2024</v>
      </c>
      <c r="F662" s="91" t="s">
        <v>19</v>
      </c>
      <c r="G662" s="91" t="s">
        <v>2366</v>
      </c>
      <c r="H662" s="91" t="s">
        <v>2421</v>
      </c>
      <c r="I662" s="91" t="s">
        <v>1060</v>
      </c>
      <c r="J662" s="91">
        <v>6199</v>
      </c>
      <c r="K662" s="91">
        <f>1346+6278+4484+2332+2332+2332+4484+2332+2332+2332+6995+6995+2332+6995</f>
        <v>53901</v>
      </c>
      <c r="L662" s="91">
        <v>0</v>
      </c>
      <c r="M662" s="91">
        <v>0</v>
      </c>
      <c r="N662" s="91">
        <v>3148</v>
      </c>
      <c r="O662" s="91">
        <v>0</v>
      </c>
      <c r="P662" s="91">
        <v>0</v>
      </c>
      <c r="Q662" s="101">
        <f t="shared" si="20"/>
        <v>63248</v>
      </c>
      <c r="R662" s="95">
        <f t="shared" si="21"/>
        <v>53760.800000000003</v>
      </c>
    </row>
    <row r="663" spans="1:23" ht="34.049999999999997" customHeight="1" x14ac:dyDescent="0.3">
      <c r="A663" s="90">
        <v>652</v>
      </c>
      <c r="B663" s="91" t="s">
        <v>2143</v>
      </c>
      <c r="C663" s="91" t="s">
        <v>2256</v>
      </c>
      <c r="D663" s="91" t="s">
        <v>2257</v>
      </c>
      <c r="E663" s="91">
        <v>1985</v>
      </c>
      <c r="F663" s="91" t="s">
        <v>18</v>
      </c>
      <c r="G663" s="91" t="s">
        <v>2367</v>
      </c>
      <c r="H663" s="91" t="s">
        <v>2367</v>
      </c>
      <c r="I663" s="91" t="s">
        <v>297</v>
      </c>
      <c r="J663" s="91">
        <v>6199</v>
      </c>
      <c r="K663" s="91">
        <f>2332+2332</f>
        <v>4664</v>
      </c>
      <c r="L663" s="91">
        <v>0</v>
      </c>
      <c r="M663" s="91">
        <v>0</v>
      </c>
      <c r="N663" s="91">
        <v>0</v>
      </c>
      <c r="O663" s="91">
        <v>0</v>
      </c>
      <c r="P663" s="91">
        <v>0</v>
      </c>
      <c r="Q663" s="101">
        <f t="shared" si="20"/>
        <v>10863</v>
      </c>
      <c r="R663" s="95">
        <f t="shared" si="21"/>
        <v>9233.5499999999993</v>
      </c>
    </row>
    <row r="664" spans="1:23" ht="34.049999999999997" customHeight="1" x14ac:dyDescent="0.3">
      <c r="A664" s="96">
        <v>653</v>
      </c>
      <c r="B664" s="91" t="s">
        <v>2143</v>
      </c>
      <c r="C664" s="91" t="s">
        <v>2258</v>
      </c>
      <c r="D664" s="91" t="s">
        <v>2259</v>
      </c>
      <c r="E664" s="91">
        <v>1965</v>
      </c>
      <c r="F664" s="91" t="s">
        <v>18</v>
      </c>
      <c r="G664" s="91" t="s">
        <v>2368</v>
      </c>
      <c r="H664" s="91" t="s">
        <v>2368</v>
      </c>
      <c r="I664" s="91" t="s">
        <v>2466</v>
      </c>
      <c r="J664" s="91">
        <v>6199</v>
      </c>
      <c r="K664" s="91">
        <v>0</v>
      </c>
      <c r="L664" s="91">
        <v>0</v>
      </c>
      <c r="M664" s="91">
        <v>0</v>
      </c>
      <c r="N664" s="91">
        <v>0</v>
      </c>
      <c r="O664" s="91">
        <v>0</v>
      </c>
      <c r="P664" s="91">
        <v>0</v>
      </c>
      <c r="Q664" s="101">
        <f t="shared" si="20"/>
        <v>6199</v>
      </c>
      <c r="R664" s="95">
        <f t="shared" si="21"/>
        <v>5269.15</v>
      </c>
    </row>
    <row r="665" spans="1:23" ht="34.049999999999997" customHeight="1" x14ac:dyDescent="0.3">
      <c r="A665" s="90">
        <v>654</v>
      </c>
      <c r="B665" s="98" t="s">
        <v>2143</v>
      </c>
      <c r="C665" s="98" t="s">
        <v>2260</v>
      </c>
      <c r="D665" s="98" t="s">
        <v>2261</v>
      </c>
      <c r="E665" s="98">
        <v>2011</v>
      </c>
      <c r="F665" s="98" t="s">
        <v>19</v>
      </c>
      <c r="G665" s="98" t="s">
        <v>2369</v>
      </c>
      <c r="H665" s="98" t="s">
        <v>220</v>
      </c>
      <c r="I665" s="98" t="s">
        <v>262</v>
      </c>
      <c r="J665" s="98">
        <v>6199</v>
      </c>
      <c r="K665" s="98">
        <v>0</v>
      </c>
      <c r="L665" s="98">
        <v>0</v>
      </c>
      <c r="M665" s="98">
        <v>0</v>
      </c>
      <c r="N665" s="98">
        <v>15868</v>
      </c>
      <c r="O665" s="98">
        <v>0</v>
      </c>
      <c r="P665" s="98">
        <v>0</v>
      </c>
      <c r="Q665" s="101">
        <f t="shared" si="20"/>
        <v>22067</v>
      </c>
      <c r="R665" s="95">
        <f t="shared" si="21"/>
        <v>18756.95</v>
      </c>
      <c r="S665" s="41"/>
      <c r="T665" s="41"/>
      <c r="U665" s="41"/>
      <c r="V665" s="41"/>
      <c r="W665" s="41"/>
    </row>
    <row r="666" spans="1:23" ht="34.049999999999997" customHeight="1" x14ac:dyDescent="0.3">
      <c r="A666" s="90">
        <v>655</v>
      </c>
      <c r="B666" s="91" t="s">
        <v>2143</v>
      </c>
      <c r="C666" s="91" t="s">
        <v>2262</v>
      </c>
      <c r="D666" s="91" t="s">
        <v>2263</v>
      </c>
      <c r="E666" s="91">
        <v>2020</v>
      </c>
      <c r="F666" s="91" t="s">
        <v>18</v>
      </c>
      <c r="G666" s="91" t="s">
        <v>2370</v>
      </c>
      <c r="H666" s="91" t="s">
        <v>2422</v>
      </c>
      <c r="I666" s="91" t="s">
        <v>2467</v>
      </c>
      <c r="J666" s="91">
        <v>6199</v>
      </c>
      <c r="K666" s="91">
        <f>6278+4484+1346+4484+2332+2332+2332+2332+2332</f>
        <v>28252</v>
      </c>
      <c r="L666" s="91">
        <v>0</v>
      </c>
      <c r="M666" s="91">
        <v>0</v>
      </c>
      <c r="N666" s="91">
        <v>3148</v>
      </c>
      <c r="O666" s="91">
        <v>0</v>
      </c>
      <c r="P666" s="91">
        <v>0</v>
      </c>
      <c r="Q666" s="101">
        <f t="shared" si="20"/>
        <v>37599</v>
      </c>
      <c r="R666" s="95">
        <f t="shared" si="21"/>
        <v>31959.15</v>
      </c>
    </row>
    <row r="667" spans="1:23" ht="34.049999999999997" customHeight="1" x14ac:dyDescent="0.3">
      <c r="A667" s="96">
        <v>656</v>
      </c>
      <c r="B667" s="91" t="s">
        <v>2143</v>
      </c>
      <c r="C667" s="91" t="s">
        <v>2264</v>
      </c>
      <c r="D667" s="91" t="s">
        <v>1362</v>
      </c>
      <c r="E667" s="91">
        <v>1991</v>
      </c>
      <c r="F667" s="91" t="s">
        <v>19</v>
      </c>
      <c r="G667" s="91" t="s">
        <v>1419</v>
      </c>
      <c r="H667" s="91" t="s">
        <v>1419</v>
      </c>
      <c r="I667" s="91" t="s">
        <v>290</v>
      </c>
      <c r="J667" s="91">
        <v>3793</v>
      </c>
      <c r="K667" s="91">
        <v>0</v>
      </c>
      <c r="L667" s="91">
        <v>9422</v>
      </c>
      <c r="M667" s="91">
        <v>0</v>
      </c>
      <c r="N667" s="91">
        <v>0</v>
      </c>
      <c r="O667" s="91">
        <v>0</v>
      </c>
      <c r="P667" s="91">
        <v>0</v>
      </c>
      <c r="Q667" s="101">
        <f t="shared" si="20"/>
        <v>13215</v>
      </c>
      <c r="R667" s="95">
        <f t="shared" si="21"/>
        <v>11232.75</v>
      </c>
    </row>
    <row r="668" spans="1:23" ht="34.049999999999997" customHeight="1" x14ac:dyDescent="0.3">
      <c r="A668" s="90">
        <v>657</v>
      </c>
      <c r="B668" s="91" t="s">
        <v>2143</v>
      </c>
      <c r="C668" s="91" t="s">
        <v>2265</v>
      </c>
      <c r="D668" s="91" t="s">
        <v>2266</v>
      </c>
      <c r="E668" s="91">
        <v>2024</v>
      </c>
      <c r="F668" s="91" t="s">
        <v>18</v>
      </c>
      <c r="G668" s="91" t="s">
        <v>2371</v>
      </c>
      <c r="H668" s="91" t="s">
        <v>2423</v>
      </c>
      <c r="I668" s="91" t="s">
        <v>1278</v>
      </c>
      <c r="J668" s="91">
        <v>6199</v>
      </c>
      <c r="K668" s="91">
        <v>0</v>
      </c>
      <c r="L668" s="91">
        <v>0</v>
      </c>
      <c r="M668" s="91">
        <v>0</v>
      </c>
      <c r="N668" s="91">
        <v>0</v>
      </c>
      <c r="O668" s="91">
        <v>0</v>
      </c>
      <c r="P668" s="91">
        <v>0</v>
      </c>
      <c r="Q668" s="101">
        <f t="shared" si="20"/>
        <v>6199</v>
      </c>
      <c r="R668" s="95">
        <f t="shared" si="21"/>
        <v>5269.15</v>
      </c>
    </row>
    <row r="669" spans="1:23" ht="34.049999999999997" customHeight="1" x14ac:dyDescent="0.3">
      <c r="A669" s="90">
        <v>658</v>
      </c>
      <c r="B669" s="91" t="s">
        <v>2143</v>
      </c>
      <c r="C669" s="91" t="s">
        <v>2267</v>
      </c>
      <c r="D669" s="91" t="s">
        <v>2268</v>
      </c>
      <c r="E669" s="91">
        <v>2007</v>
      </c>
      <c r="F669" s="91" t="s">
        <v>19</v>
      </c>
      <c r="G669" s="91" t="s">
        <v>2372</v>
      </c>
      <c r="H669" s="91" t="s">
        <v>2424</v>
      </c>
      <c r="I669" s="91" t="s">
        <v>276</v>
      </c>
      <c r="J669" s="91">
        <v>6199</v>
      </c>
      <c r="K669" s="91">
        <v>0</v>
      </c>
      <c r="L669" s="91">
        <v>0</v>
      </c>
      <c r="M669" s="91">
        <v>0</v>
      </c>
      <c r="N669" s="91">
        <v>0</v>
      </c>
      <c r="O669" s="91">
        <v>0</v>
      </c>
      <c r="P669" s="91">
        <v>0</v>
      </c>
      <c r="Q669" s="101">
        <f t="shared" si="20"/>
        <v>6199</v>
      </c>
      <c r="R669" s="95">
        <f t="shared" si="21"/>
        <v>5269.15</v>
      </c>
    </row>
    <row r="670" spans="1:23" ht="34.049999999999997" customHeight="1" x14ac:dyDescent="0.3">
      <c r="A670" s="96">
        <v>659</v>
      </c>
      <c r="B670" s="91" t="s">
        <v>2143</v>
      </c>
      <c r="C670" s="91" t="s">
        <v>2269</v>
      </c>
      <c r="D670" s="91" t="s">
        <v>2270</v>
      </c>
      <c r="E670" s="91">
        <v>1988</v>
      </c>
      <c r="F670" s="91" t="s">
        <v>19</v>
      </c>
      <c r="G670" s="91" t="s">
        <v>2373</v>
      </c>
      <c r="H670" s="91" t="s">
        <v>2373</v>
      </c>
      <c r="I670" s="91" t="s">
        <v>299</v>
      </c>
      <c r="J670" s="91">
        <v>6199</v>
      </c>
      <c r="K670" s="91">
        <f>2332+2332+2243</f>
        <v>6907</v>
      </c>
      <c r="L670" s="91">
        <v>9422</v>
      </c>
      <c r="M670" s="91">
        <v>0</v>
      </c>
      <c r="N670" s="91">
        <v>0</v>
      </c>
      <c r="O670" s="91">
        <v>0</v>
      </c>
      <c r="P670" s="91">
        <v>0</v>
      </c>
      <c r="Q670" s="101">
        <f t="shared" si="20"/>
        <v>22528</v>
      </c>
      <c r="R670" s="95">
        <f t="shared" si="21"/>
        <v>19148.8</v>
      </c>
    </row>
    <row r="671" spans="1:23" ht="34.049999999999997" customHeight="1" x14ac:dyDescent="0.3">
      <c r="A671" s="90">
        <v>660</v>
      </c>
      <c r="B671" s="91" t="s">
        <v>2143</v>
      </c>
      <c r="C671" s="91" t="s">
        <v>2271</v>
      </c>
      <c r="D671" s="91" t="s">
        <v>2272</v>
      </c>
      <c r="E671" s="91">
        <v>1994</v>
      </c>
      <c r="F671" s="91" t="s">
        <v>18</v>
      </c>
      <c r="G671" s="91" t="s">
        <v>2374</v>
      </c>
      <c r="H671" s="91" t="s">
        <v>2374</v>
      </c>
      <c r="I671" s="91" t="s">
        <v>2468</v>
      </c>
      <c r="J671" s="91">
        <v>6199</v>
      </c>
      <c r="K671" s="91">
        <v>0</v>
      </c>
      <c r="L671" s="91">
        <v>0</v>
      </c>
      <c r="M671" s="91">
        <v>0</v>
      </c>
      <c r="N671" s="91">
        <v>0</v>
      </c>
      <c r="O671" s="91">
        <v>0</v>
      </c>
      <c r="P671" s="91">
        <v>0</v>
      </c>
      <c r="Q671" s="101">
        <f t="shared" si="20"/>
        <v>6199</v>
      </c>
      <c r="R671" s="95">
        <f t="shared" si="21"/>
        <v>5269.15</v>
      </c>
    </row>
    <row r="672" spans="1:23" ht="34.049999999999997" customHeight="1" x14ac:dyDescent="0.3">
      <c r="A672" s="90">
        <v>661</v>
      </c>
      <c r="B672" s="91" t="s">
        <v>2143</v>
      </c>
      <c r="C672" s="91" t="s">
        <v>2273</v>
      </c>
      <c r="D672" s="91" t="s">
        <v>2274</v>
      </c>
      <c r="E672" s="91">
        <v>2022</v>
      </c>
      <c r="F672" s="91" t="s">
        <v>18</v>
      </c>
      <c r="G672" s="91" t="s">
        <v>2375</v>
      </c>
      <c r="H672" s="91" t="s">
        <v>2425</v>
      </c>
      <c r="I672" s="91" t="s">
        <v>576</v>
      </c>
      <c r="J672" s="91">
        <v>6199</v>
      </c>
      <c r="K672" s="91">
        <f>1346+6278+4484+1166</f>
        <v>13274</v>
      </c>
      <c r="L672" s="91">
        <v>0</v>
      </c>
      <c r="M672" s="91">
        <v>0</v>
      </c>
      <c r="N672" s="91">
        <v>3148</v>
      </c>
      <c r="O672" s="91">
        <v>0</v>
      </c>
      <c r="P672" s="91">
        <v>0</v>
      </c>
      <c r="Q672" s="101">
        <f t="shared" si="20"/>
        <v>22621</v>
      </c>
      <c r="R672" s="95">
        <f t="shared" si="21"/>
        <v>19227.849999999999</v>
      </c>
    </row>
    <row r="673" spans="1:23" ht="34.049999999999997" customHeight="1" x14ac:dyDescent="0.3">
      <c r="A673" s="96">
        <v>662</v>
      </c>
      <c r="B673" s="91" t="s">
        <v>2143</v>
      </c>
      <c r="C673" s="91" t="s">
        <v>2275</v>
      </c>
      <c r="D673" s="91" t="s">
        <v>2276</v>
      </c>
      <c r="E673" s="91">
        <v>2019</v>
      </c>
      <c r="F673" s="91" t="s">
        <v>18</v>
      </c>
      <c r="G673" s="91" t="s">
        <v>2376</v>
      </c>
      <c r="H673" s="91" t="s">
        <v>2426</v>
      </c>
      <c r="I673" s="91" t="s">
        <v>2469</v>
      </c>
      <c r="J673" s="91">
        <v>6199</v>
      </c>
      <c r="K673" s="91">
        <f>1346+6278+4484+4484+1166+2332+2332+2332+2332+2332+2332+6995+6995+2332+6995</f>
        <v>55067</v>
      </c>
      <c r="L673" s="91">
        <v>0</v>
      </c>
      <c r="M673" s="91">
        <v>0</v>
      </c>
      <c r="N673" s="91">
        <v>3148</v>
      </c>
      <c r="O673" s="91">
        <v>0</v>
      </c>
      <c r="P673" s="91">
        <v>0</v>
      </c>
      <c r="Q673" s="101">
        <f t="shared" si="20"/>
        <v>64414</v>
      </c>
      <c r="R673" s="95">
        <f t="shared" si="21"/>
        <v>54751.9</v>
      </c>
    </row>
    <row r="674" spans="1:23" ht="34.049999999999997" customHeight="1" x14ac:dyDescent="0.3">
      <c r="A674" s="90">
        <v>663</v>
      </c>
      <c r="B674" s="91" t="s">
        <v>2143</v>
      </c>
      <c r="C674" s="91" t="s">
        <v>2277</v>
      </c>
      <c r="D674" s="91" t="s">
        <v>2278</v>
      </c>
      <c r="E674" s="91">
        <v>1989</v>
      </c>
      <c r="F674" s="91" t="s">
        <v>18</v>
      </c>
      <c r="G674" s="91" t="s">
        <v>2377</v>
      </c>
      <c r="H674" s="91" t="s">
        <v>2377</v>
      </c>
      <c r="I674" s="91" t="s">
        <v>2470</v>
      </c>
      <c r="J674" s="91">
        <v>6199</v>
      </c>
      <c r="K674" s="91">
        <v>0</v>
      </c>
      <c r="L674" s="91">
        <v>0</v>
      </c>
      <c r="M674" s="91">
        <v>0</v>
      </c>
      <c r="N674" s="91">
        <v>0</v>
      </c>
      <c r="O674" s="91">
        <v>0</v>
      </c>
      <c r="P674" s="91">
        <v>0</v>
      </c>
      <c r="Q674" s="101">
        <f t="shared" si="20"/>
        <v>6199</v>
      </c>
      <c r="R674" s="95">
        <f t="shared" si="21"/>
        <v>5269.15</v>
      </c>
    </row>
    <row r="675" spans="1:23" ht="34.049999999999997" customHeight="1" x14ac:dyDescent="0.3">
      <c r="A675" s="90">
        <v>664</v>
      </c>
      <c r="B675" s="91" t="s">
        <v>2143</v>
      </c>
      <c r="C675" s="91" t="s">
        <v>2279</v>
      </c>
      <c r="D675" s="91" t="s">
        <v>2280</v>
      </c>
      <c r="E675" s="91">
        <v>2019</v>
      </c>
      <c r="F675" s="91" t="s">
        <v>18</v>
      </c>
      <c r="G675" s="91" t="s">
        <v>2378</v>
      </c>
      <c r="H675" s="91" t="s">
        <v>2427</v>
      </c>
      <c r="I675" s="91" t="s">
        <v>2471</v>
      </c>
      <c r="J675" s="91">
        <v>3582</v>
      </c>
      <c r="K675" s="91">
        <v>0</v>
      </c>
      <c r="L675" s="91">
        <v>0</v>
      </c>
      <c r="M675" s="91">
        <v>0</v>
      </c>
      <c r="N675" s="91">
        <f>15443+35836</f>
        <v>51279</v>
      </c>
      <c r="O675" s="91">
        <v>0</v>
      </c>
      <c r="P675" s="91">
        <v>0</v>
      </c>
      <c r="Q675" s="101">
        <f t="shared" si="20"/>
        <v>54861</v>
      </c>
      <c r="R675" s="95">
        <f t="shared" si="21"/>
        <v>46631.85</v>
      </c>
    </row>
    <row r="676" spans="1:23" ht="34.049999999999997" customHeight="1" x14ac:dyDescent="0.3">
      <c r="A676" s="96">
        <v>665</v>
      </c>
      <c r="B676" s="98" t="s">
        <v>2143</v>
      </c>
      <c r="C676" s="98" t="s">
        <v>2281</v>
      </c>
      <c r="D676" s="98" t="s">
        <v>2282</v>
      </c>
      <c r="E676" s="98">
        <v>1994</v>
      </c>
      <c r="F676" s="98" t="s">
        <v>19</v>
      </c>
      <c r="G676" s="98" t="s">
        <v>2379</v>
      </c>
      <c r="H676" s="98" t="s">
        <v>2379</v>
      </c>
      <c r="I676" s="98" t="s">
        <v>544</v>
      </c>
      <c r="J676" s="98">
        <v>6199</v>
      </c>
      <c r="K676" s="98">
        <v>0</v>
      </c>
      <c r="L676" s="98">
        <v>0</v>
      </c>
      <c r="M676" s="98">
        <v>0</v>
      </c>
      <c r="N676" s="98">
        <v>0</v>
      </c>
      <c r="O676" s="98">
        <v>0</v>
      </c>
      <c r="P676" s="98">
        <v>0</v>
      </c>
      <c r="Q676" s="101">
        <f t="shared" si="20"/>
        <v>6199</v>
      </c>
      <c r="R676" s="95">
        <f t="shared" si="21"/>
        <v>5269.15</v>
      </c>
      <c r="S676" s="41"/>
      <c r="T676" s="41"/>
      <c r="U676" s="41"/>
      <c r="V676" s="41"/>
      <c r="W676" s="41"/>
    </row>
    <row r="677" spans="1:23" ht="34.049999999999997" customHeight="1" x14ac:dyDescent="0.3">
      <c r="A677" s="90">
        <v>666</v>
      </c>
      <c r="B677" s="98" t="s">
        <v>2143</v>
      </c>
      <c r="C677" s="98" t="s">
        <v>2283</v>
      </c>
      <c r="D677" s="98" t="s">
        <v>2284</v>
      </c>
      <c r="E677" s="98">
        <v>2022</v>
      </c>
      <c r="F677" s="98" t="s">
        <v>18</v>
      </c>
      <c r="G677" s="98" t="s">
        <v>2380</v>
      </c>
      <c r="H677" s="98" t="s">
        <v>2428</v>
      </c>
      <c r="I677" s="98" t="s">
        <v>544</v>
      </c>
      <c r="J677" s="98">
        <v>6199</v>
      </c>
      <c r="K677" s="98">
        <v>0</v>
      </c>
      <c r="L677" s="98">
        <v>0</v>
      </c>
      <c r="M677" s="98">
        <v>0</v>
      </c>
      <c r="N677" s="98">
        <v>0</v>
      </c>
      <c r="O677" s="98">
        <v>0</v>
      </c>
      <c r="P677" s="98">
        <v>0</v>
      </c>
      <c r="Q677" s="101">
        <f t="shared" si="20"/>
        <v>6199</v>
      </c>
      <c r="R677" s="95">
        <f t="shared" si="21"/>
        <v>5269.15</v>
      </c>
      <c r="S677" s="41"/>
      <c r="T677" s="41"/>
      <c r="U677" s="41"/>
      <c r="V677" s="41"/>
      <c r="W677" s="41"/>
    </row>
    <row r="678" spans="1:23" ht="34.049999999999997" customHeight="1" x14ac:dyDescent="0.3">
      <c r="A678" s="90">
        <v>667</v>
      </c>
      <c r="B678" s="91" t="s">
        <v>2143</v>
      </c>
      <c r="C678" s="91" t="s">
        <v>2285</v>
      </c>
      <c r="D678" s="91" t="s">
        <v>2286</v>
      </c>
      <c r="E678" s="91">
        <v>2018</v>
      </c>
      <c r="F678" s="91" t="s">
        <v>18</v>
      </c>
      <c r="G678" s="91" t="s">
        <v>2381</v>
      </c>
      <c r="H678" s="91" t="s">
        <v>2429</v>
      </c>
      <c r="I678" s="91" t="s">
        <v>1069</v>
      </c>
      <c r="J678" s="91">
        <v>6199</v>
      </c>
      <c r="K678" s="91">
        <f>1346+6278+4484+4484+2332+2332+2332+2332+2332+2332+6995+6995+2332+6995</f>
        <v>53901</v>
      </c>
      <c r="L678" s="91">
        <v>0</v>
      </c>
      <c r="M678" s="91">
        <v>0</v>
      </c>
      <c r="N678" s="91">
        <v>3148</v>
      </c>
      <c r="O678" s="91">
        <v>0</v>
      </c>
      <c r="P678" s="91">
        <v>0</v>
      </c>
      <c r="Q678" s="101">
        <f t="shared" si="20"/>
        <v>63248</v>
      </c>
      <c r="R678" s="95">
        <f t="shared" si="21"/>
        <v>53760.800000000003</v>
      </c>
    </row>
    <row r="679" spans="1:23" ht="34.049999999999997" customHeight="1" x14ac:dyDescent="0.3">
      <c r="A679" s="96">
        <v>668</v>
      </c>
      <c r="B679" s="98" t="s">
        <v>2143</v>
      </c>
      <c r="C679" s="98" t="s">
        <v>2287</v>
      </c>
      <c r="D679" s="98" t="s">
        <v>2288</v>
      </c>
      <c r="E679" s="98">
        <v>2023</v>
      </c>
      <c r="F679" s="98" t="s">
        <v>18</v>
      </c>
      <c r="G679" s="98" t="s">
        <v>2382</v>
      </c>
      <c r="H679" s="98" t="s">
        <v>2430</v>
      </c>
      <c r="I679" s="98" t="s">
        <v>2472</v>
      </c>
      <c r="J679" s="98">
        <v>6199</v>
      </c>
      <c r="K679" s="98">
        <f>1346+6278+4484+4484+2332+2332+2332+2332+2332+2332+6995+6995+2332+6995</f>
        <v>53901</v>
      </c>
      <c r="L679" s="98">
        <v>0</v>
      </c>
      <c r="M679" s="98">
        <v>0</v>
      </c>
      <c r="N679" s="98">
        <v>3148</v>
      </c>
      <c r="O679" s="98">
        <v>0</v>
      </c>
      <c r="P679" s="98">
        <v>0</v>
      </c>
      <c r="Q679" s="101">
        <f t="shared" si="20"/>
        <v>63248</v>
      </c>
      <c r="R679" s="95">
        <f t="shared" si="21"/>
        <v>53760.800000000003</v>
      </c>
      <c r="S679" s="41"/>
      <c r="T679" s="41"/>
      <c r="U679" s="41"/>
      <c r="V679" s="41"/>
      <c r="W679" s="41"/>
    </row>
    <row r="680" spans="1:23" ht="34.049999999999997" customHeight="1" x14ac:dyDescent="0.3">
      <c r="A680" s="90">
        <v>669</v>
      </c>
      <c r="B680" s="91" t="s">
        <v>2143</v>
      </c>
      <c r="C680" s="91" t="s">
        <v>2289</v>
      </c>
      <c r="D680" s="91" t="s">
        <v>2290</v>
      </c>
      <c r="E680" s="91">
        <v>2022</v>
      </c>
      <c r="F680" s="91" t="s">
        <v>19</v>
      </c>
      <c r="G680" s="91" t="s">
        <v>2383</v>
      </c>
      <c r="H680" s="91" t="s">
        <v>2431</v>
      </c>
      <c r="I680" s="91" t="s">
        <v>2473</v>
      </c>
      <c r="J680" s="91">
        <v>6199</v>
      </c>
      <c r="K680" s="91">
        <f>1346+6278+4484+4484+2332+2332+2332+2332+2332+2332+6995+6995+2332+6995</f>
        <v>53901</v>
      </c>
      <c r="L680" s="91">
        <v>0</v>
      </c>
      <c r="M680" s="91">
        <v>0</v>
      </c>
      <c r="N680" s="91">
        <v>3148</v>
      </c>
      <c r="O680" s="91">
        <v>0</v>
      </c>
      <c r="P680" s="91">
        <v>0</v>
      </c>
      <c r="Q680" s="101">
        <f t="shared" si="20"/>
        <v>63248</v>
      </c>
      <c r="R680" s="95">
        <f t="shared" si="21"/>
        <v>53760.800000000003</v>
      </c>
    </row>
    <row r="681" spans="1:23" ht="34.049999999999997" customHeight="1" x14ac:dyDescent="0.3">
      <c r="A681" s="90">
        <v>670</v>
      </c>
      <c r="B681" s="91" t="s">
        <v>2143</v>
      </c>
      <c r="C681" s="91" t="s">
        <v>2291</v>
      </c>
      <c r="D681" s="91" t="s">
        <v>2292</v>
      </c>
      <c r="E681" s="91">
        <v>2005</v>
      </c>
      <c r="F681" s="91" t="s">
        <v>18</v>
      </c>
      <c r="G681" s="91" t="s">
        <v>2384</v>
      </c>
      <c r="H681" s="91" t="s">
        <v>2432</v>
      </c>
      <c r="I681" s="91" t="s">
        <v>2474</v>
      </c>
      <c r="J681" s="91">
        <v>6199</v>
      </c>
      <c r="K681" s="91">
        <f>6278+4484+6995+3228+2332+2332+2243</f>
        <v>27892</v>
      </c>
      <c r="L681" s="91">
        <v>0</v>
      </c>
      <c r="M681" s="91">
        <v>0</v>
      </c>
      <c r="N681" s="91">
        <f>1793+1681</f>
        <v>3474</v>
      </c>
      <c r="O681" s="91">
        <v>0</v>
      </c>
      <c r="P681" s="91">
        <f>624+112</f>
        <v>736</v>
      </c>
      <c r="Q681" s="101">
        <f t="shared" si="20"/>
        <v>38301</v>
      </c>
      <c r="R681" s="95">
        <f t="shared" si="21"/>
        <v>32555.85</v>
      </c>
    </row>
    <row r="682" spans="1:23" ht="34.049999999999997" customHeight="1" x14ac:dyDescent="0.3">
      <c r="A682" s="96">
        <v>671</v>
      </c>
      <c r="B682" s="91" t="s">
        <v>2143</v>
      </c>
      <c r="C682" s="91" t="s">
        <v>2293</v>
      </c>
      <c r="D682" s="91" t="s">
        <v>2294</v>
      </c>
      <c r="E682" s="91">
        <v>2009</v>
      </c>
      <c r="F682" s="91" t="s">
        <v>18</v>
      </c>
      <c r="G682" s="91" t="s">
        <v>2385</v>
      </c>
      <c r="H682" s="91" t="s">
        <v>2433</v>
      </c>
      <c r="I682" s="91" t="s">
        <v>2475</v>
      </c>
      <c r="J682" s="91">
        <v>6199</v>
      </c>
      <c r="K682" s="91">
        <f>1346+6278+4484</f>
        <v>12108</v>
      </c>
      <c r="L682" s="91">
        <v>0</v>
      </c>
      <c r="M682" s="91">
        <v>0</v>
      </c>
      <c r="N682" s="91">
        <f>1793+4053</f>
        <v>5846</v>
      </c>
      <c r="O682" s="91">
        <v>0</v>
      </c>
      <c r="P682" s="91">
        <f>624+112</f>
        <v>736</v>
      </c>
      <c r="Q682" s="101">
        <f t="shared" si="20"/>
        <v>24889</v>
      </c>
      <c r="R682" s="95">
        <f t="shared" si="21"/>
        <v>21155.65</v>
      </c>
    </row>
    <row r="683" spans="1:23" ht="34.049999999999997" customHeight="1" x14ac:dyDescent="0.3">
      <c r="A683" s="90">
        <v>672</v>
      </c>
      <c r="B683" s="91" t="s">
        <v>2143</v>
      </c>
      <c r="C683" s="91" t="s">
        <v>2295</v>
      </c>
      <c r="D683" s="91" t="s">
        <v>1358</v>
      </c>
      <c r="E683" s="91">
        <v>1992</v>
      </c>
      <c r="F683" s="91" t="s">
        <v>19</v>
      </c>
      <c r="G683" s="91" t="s">
        <v>1417</v>
      </c>
      <c r="H683" s="91" t="s">
        <v>1452</v>
      </c>
      <c r="I683" s="91" t="s">
        <v>282</v>
      </c>
      <c r="J683" s="91">
        <v>3793</v>
      </c>
      <c r="K683" s="91">
        <v>0</v>
      </c>
      <c r="L683" s="91">
        <v>0</v>
      </c>
      <c r="M683" s="91">
        <v>0</v>
      </c>
      <c r="N683" s="91">
        <v>0</v>
      </c>
      <c r="O683" s="91">
        <v>0</v>
      </c>
      <c r="P683" s="91">
        <v>0</v>
      </c>
      <c r="Q683" s="101">
        <f t="shared" si="20"/>
        <v>3793</v>
      </c>
      <c r="R683" s="95">
        <f t="shared" si="21"/>
        <v>3224.05</v>
      </c>
    </row>
    <row r="684" spans="1:23" ht="34.049999999999997" customHeight="1" x14ac:dyDescent="0.3">
      <c r="A684" s="90">
        <v>673</v>
      </c>
      <c r="B684" s="91" t="s">
        <v>2143</v>
      </c>
      <c r="C684" s="91" t="s">
        <v>2296</v>
      </c>
      <c r="D684" s="91" t="s">
        <v>2297</v>
      </c>
      <c r="E684" s="91">
        <v>2021</v>
      </c>
      <c r="F684" s="91" t="s">
        <v>18</v>
      </c>
      <c r="G684" s="91" t="s">
        <v>2386</v>
      </c>
      <c r="H684" s="91" t="s">
        <v>2434</v>
      </c>
      <c r="I684" s="91" t="s">
        <v>571</v>
      </c>
      <c r="J684" s="91">
        <v>6199</v>
      </c>
      <c r="K684" s="91">
        <f>1346+6278+4484+1166</f>
        <v>13274</v>
      </c>
      <c r="L684" s="91">
        <v>0</v>
      </c>
      <c r="M684" s="91">
        <v>0</v>
      </c>
      <c r="N684" s="91">
        <v>3148</v>
      </c>
      <c r="O684" s="91">
        <v>0</v>
      </c>
      <c r="P684" s="91">
        <v>0</v>
      </c>
      <c r="Q684" s="101">
        <f t="shared" si="20"/>
        <v>22621</v>
      </c>
      <c r="R684" s="95">
        <f t="shared" si="21"/>
        <v>19227.849999999999</v>
      </c>
    </row>
    <row r="685" spans="1:23" ht="34.049999999999997" customHeight="1" x14ac:dyDescent="0.3">
      <c r="A685" s="96">
        <v>674</v>
      </c>
      <c r="B685" s="91" t="s">
        <v>2143</v>
      </c>
      <c r="C685" s="91" t="s">
        <v>2298</v>
      </c>
      <c r="D685" s="91" t="s">
        <v>2299</v>
      </c>
      <c r="E685" s="91">
        <v>2024</v>
      </c>
      <c r="F685" s="91" t="s">
        <v>19</v>
      </c>
      <c r="G685" s="91" t="s">
        <v>2387</v>
      </c>
      <c r="H685" s="91" t="s">
        <v>1452</v>
      </c>
      <c r="I685" s="91" t="s">
        <v>282</v>
      </c>
      <c r="J685" s="91">
        <v>6199</v>
      </c>
      <c r="K685" s="91">
        <v>0</v>
      </c>
      <c r="L685" s="91">
        <v>0</v>
      </c>
      <c r="M685" s="91">
        <v>0</v>
      </c>
      <c r="N685" s="91">
        <v>0</v>
      </c>
      <c r="O685" s="91">
        <v>0</v>
      </c>
      <c r="P685" s="91">
        <v>0</v>
      </c>
      <c r="Q685" s="101">
        <f t="shared" si="20"/>
        <v>6199</v>
      </c>
      <c r="R685" s="95">
        <f t="shared" si="21"/>
        <v>5269.15</v>
      </c>
    </row>
    <row r="686" spans="1:23" ht="34.049999999999997" customHeight="1" x14ac:dyDescent="0.3">
      <c r="A686" s="90">
        <v>675</v>
      </c>
      <c r="B686" s="91" t="s">
        <v>2143</v>
      </c>
      <c r="C686" s="91" t="s">
        <v>2300</v>
      </c>
      <c r="D686" s="91" t="s">
        <v>1163</v>
      </c>
      <c r="E686" s="91">
        <v>1985</v>
      </c>
      <c r="F686" s="91" t="s">
        <v>18</v>
      </c>
      <c r="G686" s="91" t="s">
        <v>1217</v>
      </c>
      <c r="H686" s="91" t="s">
        <v>1217</v>
      </c>
      <c r="I686" s="91" t="s">
        <v>300</v>
      </c>
      <c r="J686" s="91">
        <v>3793</v>
      </c>
      <c r="K686" s="91">
        <v>0</v>
      </c>
      <c r="L686" s="91">
        <v>0</v>
      </c>
      <c r="M686" s="91">
        <v>0</v>
      </c>
      <c r="N686" s="91">
        <v>0</v>
      </c>
      <c r="O686" s="91">
        <v>0</v>
      </c>
      <c r="P686" s="91">
        <v>0</v>
      </c>
      <c r="Q686" s="101">
        <f t="shared" si="20"/>
        <v>3793</v>
      </c>
      <c r="R686" s="95">
        <f t="shared" si="21"/>
        <v>3224.05</v>
      </c>
    </row>
    <row r="687" spans="1:23" ht="34.049999999999997" customHeight="1" x14ac:dyDescent="0.3">
      <c r="A687" s="90">
        <v>676</v>
      </c>
      <c r="B687" s="91" t="s">
        <v>2143</v>
      </c>
      <c r="C687" s="91" t="s">
        <v>2301</v>
      </c>
      <c r="D687" s="91" t="s">
        <v>2302</v>
      </c>
      <c r="E687" s="91">
        <v>2021</v>
      </c>
      <c r="F687" s="91" t="s">
        <v>18</v>
      </c>
      <c r="G687" s="91" t="s">
        <v>2388</v>
      </c>
      <c r="H687" s="91" t="s">
        <v>2435</v>
      </c>
      <c r="I687" s="91" t="s">
        <v>1068</v>
      </c>
      <c r="J687" s="91">
        <v>6199</v>
      </c>
      <c r="K687" s="91">
        <f>1346+6278+4484+4484+2332+2332+2332+2332+2332+2332+6995+6995+2332+6995</f>
        <v>53901</v>
      </c>
      <c r="L687" s="91">
        <v>0</v>
      </c>
      <c r="M687" s="91">
        <v>0</v>
      </c>
      <c r="N687" s="91">
        <v>3148</v>
      </c>
      <c r="O687" s="91">
        <v>0</v>
      </c>
      <c r="P687" s="91">
        <v>0</v>
      </c>
      <c r="Q687" s="101">
        <f t="shared" si="20"/>
        <v>63248</v>
      </c>
      <c r="R687" s="95">
        <f t="shared" si="21"/>
        <v>53760.800000000003</v>
      </c>
    </row>
    <row r="688" spans="1:23" ht="34.049999999999997" customHeight="1" x14ac:dyDescent="0.3">
      <c r="A688" s="96">
        <v>677</v>
      </c>
      <c r="B688" s="91" t="s">
        <v>2143</v>
      </c>
      <c r="C688" s="91" t="s">
        <v>2303</v>
      </c>
      <c r="D688" s="91" t="s">
        <v>2304</v>
      </c>
      <c r="E688" s="91">
        <v>1978</v>
      </c>
      <c r="F688" s="91" t="s">
        <v>18</v>
      </c>
      <c r="G688" s="91" t="s">
        <v>2389</v>
      </c>
      <c r="H688" s="91" t="s">
        <v>2389</v>
      </c>
      <c r="I688" s="91" t="s">
        <v>1478</v>
      </c>
      <c r="J688" s="91">
        <v>6199</v>
      </c>
      <c r="K688" s="91">
        <v>0</v>
      </c>
      <c r="L688" s="91">
        <v>0</v>
      </c>
      <c r="M688" s="91">
        <v>0</v>
      </c>
      <c r="N688" s="91">
        <v>0</v>
      </c>
      <c r="O688" s="91">
        <v>0</v>
      </c>
      <c r="P688" s="91">
        <v>0</v>
      </c>
      <c r="Q688" s="101">
        <f t="shared" si="20"/>
        <v>6199</v>
      </c>
      <c r="R688" s="95">
        <f t="shared" si="21"/>
        <v>5269.15</v>
      </c>
    </row>
    <row r="689" spans="1:23" ht="34.049999999999997" customHeight="1" x14ac:dyDescent="0.3">
      <c r="A689" s="90">
        <v>678</v>
      </c>
      <c r="B689" s="91" t="s">
        <v>2143</v>
      </c>
      <c r="C689" s="91" t="s">
        <v>2305</v>
      </c>
      <c r="D689" s="91" t="s">
        <v>2306</v>
      </c>
      <c r="E689" s="91">
        <v>1988</v>
      </c>
      <c r="F689" s="91" t="s">
        <v>18</v>
      </c>
      <c r="G689" s="91" t="s">
        <v>2390</v>
      </c>
      <c r="H689" s="91" t="s">
        <v>2390</v>
      </c>
      <c r="I689" s="91" t="s">
        <v>1081</v>
      </c>
      <c r="J689" s="91">
        <v>6199</v>
      </c>
      <c r="K689" s="91">
        <v>0</v>
      </c>
      <c r="L689" s="91">
        <v>0</v>
      </c>
      <c r="M689" s="91">
        <v>0</v>
      </c>
      <c r="N689" s="91">
        <v>0</v>
      </c>
      <c r="O689" s="91">
        <v>0</v>
      </c>
      <c r="P689" s="91">
        <v>0</v>
      </c>
      <c r="Q689" s="101">
        <f t="shared" si="20"/>
        <v>6199</v>
      </c>
      <c r="R689" s="95">
        <f t="shared" si="21"/>
        <v>5269.15</v>
      </c>
    </row>
    <row r="690" spans="1:23" ht="34.049999999999997" customHeight="1" x14ac:dyDescent="0.3">
      <c r="A690" s="90">
        <v>679</v>
      </c>
      <c r="B690" s="91" t="s">
        <v>2143</v>
      </c>
      <c r="C690" s="91" t="s">
        <v>2307</v>
      </c>
      <c r="D690" s="91" t="s">
        <v>2308</v>
      </c>
      <c r="E690" s="91">
        <v>1999</v>
      </c>
      <c r="F690" s="91" t="s">
        <v>19</v>
      </c>
      <c r="G690" s="91" t="s">
        <v>2391</v>
      </c>
      <c r="H690" s="91" t="s">
        <v>2391</v>
      </c>
      <c r="I690" s="91" t="s">
        <v>1479</v>
      </c>
      <c r="J690" s="91">
        <v>6199</v>
      </c>
      <c r="K690" s="91">
        <f>6278+4484+6995+3228+2332+2332+2243+3000+3000</f>
        <v>33892</v>
      </c>
      <c r="L690" s="91">
        <v>0</v>
      </c>
      <c r="M690" s="91">
        <v>0</v>
      </c>
      <c r="N690" s="91">
        <v>1793</v>
      </c>
      <c r="O690" s="91">
        <v>0</v>
      </c>
      <c r="P690" s="91">
        <v>0</v>
      </c>
      <c r="Q690" s="101">
        <f t="shared" si="20"/>
        <v>41884</v>
      </c>
      <c r="R690" s="95">
        <f t="shared" si="21"/>
        <v>35601.4</v>
      </c>
    </row>
    <row r="691" spans="1:23" ht="34.049999999999997" customHeight="1" x14ac:dyDescent="0.3">
      <c r="A691" s="96">
        <v>680</v>
      </c>
      <c r="B691" s="91" t="s">
        <v>2143</v>
      </c>
      <c r="C691" s="91" t="s">
        <v>2309</v>
      </c>
      <c r="D691" s="91" t="s">
        <v>2310</v>
      </c>
      <c r="E691" s="91">
        <v>2024</v>
      </c>
      <c r="F691" s="91" t="s">
        <v>19</v>
      </c>
      <c r="G691" s="91" t="s">
        <v>2392</v>
      </c>
      <c r="H691" s="91" t="s">
        <v>2436</v>
      </c>
      <c r="I691" s="91" t="s">
        <v>32</v>
      </c>
      <c r="J691" s="91">
        <v>6199</v>
      </c>
      <c r="K691" s="91">
        <v>0</v>
      </c>
      <c r="L691" s="91">
        <v>0</v>
      </c>
      <c r="M691" s="91">
        <v>0</v>
      </c>
      <c r="N691" s="91">
        <v>24937</v>
      </c>
      <c r="O691" s="91">
        <v>0</v>
      </c>
      <c r="P691" s="91">
        <v>0</v>
      </c>
      <c r="Q691" s="101">
        <f t="shared" si="20"/>
        <v>31136</v>
      </c>
      <c r="R691" s="95">
        <f t="shared" si="21"/>
        <v>26465.599999999999</v>
      </c>
    </row>
    <row r="692" spans="1:23" ht="34.049999999999997" customHeight="1" x14ac:dyDescent="0.3">
      <c r="A692" s="90">
        <v>681</v>
      </c>
      <c r="B692" s="91" t="s">
        <v>2143</v>
      </c>
      <c r="C692" s="91" t="s">
        <v>2311</v>
      </c>
      <c r="D692" s="91" t="s">
        <v>2312</v>
      </c>
      <c r="E692" s="91">
        <v>1988</v>
      </c>
      <c r="F692" s="91" t="s">
        <v>19</v>
      </c>
      <c r="G692" s="91" t="s">
        <v>2393</v>
      </c>
      <c r="H692" s="91" t="s">
        <v>2437</v>
      </c>
      <c r="I692" s="91" t="s">
        <v>2476</v>
      </c>
      <c r="J692" s="91">
        <v>6199</v>
      </c>
      <c r="K692" s="91">
        <v>0</v>
      </c>
      <c r="L692" s="91">
        <v>20807</v>
      </c>
      <c r="M692" s="91">
        <v>0</v>
      </c>
      <c r="N692" s="91">
        <v>0</v>
      </c>
      <c r="O692" s="91">
        <v>0</v>
      </c>
      <c r="P692" s="91">
        <v>0</v>
      </c>
      <c r="Q692" s="101">
        <f t="shared" si="20"/>
        <v>27006</v>
      </c>
      <c r="R692" s="95">
        <f t="shared" si="21"/>
        <v>22955.1</v>
      </c>
    </row>
    <row r="693" spans="1:23" ht="34.049999999999997" customHeight="1" x14ac:dyDescent="0.3">
      <c r="A693" s="90">
        <v>682</v>
      </c>
      <c r="B693" s="91" t="s">
        <v>2143</v>
      </c>
      <c r="C693" s="91" t="s">
        <v>7236</v>
      </c>
      <c r="D693" s="93" t="s">
        <v>2511</v>
      </c>
      <c r="E693" s="91">
        <v>2006</v>
      </c>
      <c r="F693" s="91" t="s">
        <v>19</v>
      </c>
      <c r="G693" s="91" t="s">
        <v>2564</v>
      </c>
      <c r="H693" s="91" t="s">
        <v>2597</v>
      </c>
      <c r="I693" s="91" t="s">
        <v>278</v>
      </c>
      <c r="J693" s="91">
        <v>6199</v>
      </c>
      <c r="K693" s="91">
        <f>6278+4484+2332+2332+2332+6995+2332+2332+2332+3000+3228+6995+6995+2332+6995+1346</f>
        <v>62640</v>
      </c>
      <c r="L693" s="91">
        <v>0</v>
      </c>
      <c r="M693" s="91">
        <v>0</v>
      </c>
      <c r="N693" s="91">
        <v>1793</v>
      </c>
      <c r="O693" s="91">
        <v>0</v>
      </c>
      <c r="P693" s="91">
        <v>0</v>
      </c>
      <c r="Q693" s="101">
        <f t="shared" si="20"/>
        <v>70632</v>
      </c>
      <c r="R693" s="95">
        <f t="shared" si="21"/>
        <v>60037.2</v>
      </c>
    </row>
    <row r="694" spans="1:23" ht="34.049999999999997" customHeight="1" x14ac:dyDescent="0.3">
      <c r="A694" s="96">
        <v>683</v>
      </c>
      <c r="B694" s="91" t="s">
        <v>2143</v>
      </c>
      <c r="C694" s="91" t="s">
        <v>7236</v>
      </c>
      <c r="D694" s="93" t="s">
        <v>2511</v>
      </c>
      <c r="E694" s="91">
        <v>2006</v>
      </c>
      <c r="F694" s="91" t="s">
        <v>19</v>
      </c>
      <c r="G694" s="91" t="s">
        <v>2564</v>
      </c>
      <c r="H694" s="91" t="s">
        <v>2597</v>
      </c>
      <c r="I694" s="91" t="s">
        <v>278</v>
      </c>
      <c r="J694" s="91">
        <v>0</v>
      </c>
      <c r="K694" s="91">
        <v>0</v>
      </c>
      <c r="L694" s="91">
        <v>0</v>
      </c>
      <c r="M694" s="91">
        <v>17688</v>
      </c>
      <c r="N694" s="91">
        <f>2088+1178</f>
        <v>3266</v>
      </c>
      <c r="O694" s="91">
        <v>0</v>
      </c>
      <c r="P694" s="91">
        <f>720+1080+312+144+720</f>
        <v>2976</v>
      </c>
      <c r="Q694" s="101">
        <f t="shared" si="20"/>
        <v>23930</v>
      </c>
      <c r="R694" s="95">
        <f t="shared" si="21"/>
        <v>20340.5</v>
      </c>
    </row>
    <row r="695" spans="1:23" ht="34.049999999999997" customHeight="1" x14ac:dyDescent="0.3">
      <c r="A695" s="90">
        <v>684</v>
      </c>
      <c r="B695" s="98" t="s">
        <v>2143</v>
      </c>
      <c r="C695" s="98" t="s">
        <v>7237</v>
      </c>
      <c r="D695" s="99" t="s">
        <v>1777</v>
      </c>
      <c r="E695" s="98">
        <v>2021</v>
      </c>
      <c r="F695" s="98" t="s">
        <v>19</v>
      </c>
      <c r="G695" s="98" t="s">
        <v>1835</v>
      </c>
      <c r="H695" s="98" t="s">
        <v>1875</v>
      </c>
      <c r="I695" s="98" t="s">
        <v>1267</v>
      </c>
      <c r="J695" s="98">
        <v>0</v>
      </c>
      <c r="K695" s="98">
        <f>1346+6278+4484+4484+2332+2332+2332+2332+2332+2332+6995+6995+2332+6995</f>
        <v>53901</v>
      </c>
      <c r="L695" s="98">
        <v>0</v>
      </c>
      <c r="M695" s="98">
        <v>0</v>
      </c>
      <c r="N695" s="98">
        <f>3148+4053+1178+2088</f>
        <v>10467</v>
      </c>
      <c r="O695" s="98">
        <v>0</v>
      </c>
      <c r="P695" s="98">
        <f>720+1080+360+56+1200</f>
        <v>3416</v>
      </c>
      <c r="Q695" s="101">
        <f t="shared" si="20"/>
        <v>67784</v>
      </c>
      <c r="R695" s="95">
        <f t="shared" si="21"/>
        <v>57616.4</v>
      </c>
      <c r="S695" s="41"/>
      <c r="T695" s="41"/>
      <c r="U695" s="41"/>
      <c r="V695" s="41"/>
      <c r="W695" s="41"/>
    </row>
    <row r="696" spans="1:23" ht="34.049999999999997" customHeight="1" x14ac:dyDescent="0.3">
      <c r="A696" s="90">
        <v>685</v>
      </c>
      <c r="B696" s="91" t="s">
        <v>2143</v>
      </c>
      <c r="C696" s="91" t="s">
        <v>7237</v>
      </c>
      <c r="D696" s="93" t="s">
        <v>1777</v>
      </c>
      <c r="E696" s="91">
        <v>2021</v>
      </c>
      <c r="F696" s="91" t="s">
        <v>19</v>
      </c>
      <c r="G696" s="91" t="s">
        <v>1835</v>
      </c>
      <c r="H696" s="91" t="s">
        <v>1875</v>
      </c>
      <c r="I696" s="91" t="s">
        <v>1267</v>
      </c>
      <c r="J696" s="91">
        <v>0</v>
      </c>
      <c r="K696" s="91">
        <v>0</v>
      </c>
      <c r="L696" s="91">
        <v>0</v>
      </c>
      <c r="M696" s="91">
        <v>17688</v>
      </c>
      <c r="N696" s="91">
        <v>0</v>
      </c>
      <c r="O696" s="91">
        <v>0</v>
      </c>
      <c r="P696" s="91">
        <f>360+56+1200</f>
        <v>1616</v>
      </c>
      <c r="Q696" s="101">
        <f t="shared" si="20"/>
        <v>19304</v>
      </c>
      <c r="R696" s="95">
        <f t="shared" si="21"/>
        <v>16408.400000000001</v>
      </c>
    </row>
    <row r="697" spans="1:23" ht="34.049999999999997" customHeight="1" x14ac:dyDescent="0.3">
      <c r="A697" s="96">
        <v>686</v>
      </c>
      <c r="B697" s="91" t="s">
        <v>2143</v>
      </c>
      <c r="C697" s="91" t="s">
        <v>7238</v>
      </c>
      <c r="D697" s="93" t="s">
        <v>3697</v>
      </c>
      <c r="E697" s="91">
        <v>2020</v>
      </c>
      <c r="F697" s="91" t="s">
        <v>19</v>
      </c>
      <c r="G697" s="91" t="s">
        <v>3698</v>
      </c>
      <c r="H697" s="91" t="s">
        <v>2423</v>
      </c>
      <c r="I697" s="91" t="s">
        <v>3699</v>
      </c>
      <c r="J697" s="91">
        <v>6199</v>
      </c>
      <c r="K697" s="91">
        <f>1346+6278+4484+2332+2332+2332+2332+2332+2332+6995+6995+2332+6995+4484</f>
        <v>53901</v>
      </c>
      <c r="L697" s="91">
        <v>0</v>
      </c>
      <c r="M697" s="91">
        <v>0</v>
      </c>
      <c r="N697" s="91">
        <f>3148+1178+4053+2088</f>
        <v>10467</v>
      </c>
      <c r="O697" s="91">
        <v>0</v>
      </c>
      <c r="P697" s="91">
        <f>720+1080+120+360+56</f>
        <v>2336</v>
      </c>
      <c r="Q697" s="101">
        <f t="shared" si="20"/>
        <v>72903</v>
      </c>
      <c r="R697" s="95">
        <f t="shared" si="21"/>
        <v>61967.55</v>
      </c>
    </row>
    <row r="698" spans="1:23" ht="34.049999999999997" customHeight="1" x14ac:dyDescent="0.3">
      <c r="A698" s="90">
        <v>687</v>
      </c>
      <c r="B698" s="91" t="s">
        <v>2143</v>
      </c>
      <c r="C698" s="91" t="s">
        <v>7238</v>
      </c>
      <c r="D698" s="93" t="s">
        <v>3697</v>
      </c>
      <c r="E698" s="91">
        <v>2020</v>
      </c>
      <c r="F698" s="91" t="s">
        <v>19</v>
      </c>
      <c r="G698" s="91" t="s">
        <v>3698</v>
      </c>
      <c r="H698" s="91" t="s">
        <v>2423</v>
      </c>
      <c r="I698" s="91" t="s">
        <v>3699</v>
      </c>
      <c r="J698" s="91">
        <v>0</v>
      </c>
      <c r="K698" s="91">
        <v>0</v>
      </c>
      <c r="L698" s="91">
        <v>0</v>
      </c>
      <c r="M698" s="91">
        <v>17688</v>
      </c>
      <c r="N698" s="91">
        <v>0</v>
      </c>
      <c r="O698" s="91">
        <v>0</v>
      </c>
      <c r="P698" s="91">
        <f>360+56</f>
        <v>416</v>
      </c>
      <c r="Q698" s="101">
        <f t="shared" si="20"/>
        <v>18104</v>
      </c>
      <c r="R698" s="95">
        <f t="shared" si="21"/>
        <v>15388.4</v>
      </c>
    </row>
    <row r="699" spans="1:23" ht="34.049999999999997" customHeight="1" x14ac:dyDescent="0.3">
      <c r="A699" s="90">
        <v>688</v>
      </c>
      <c r="B699" s="91" t="s">
        <v>2143</v>
      </c>
      <c r="C699" s="91" t="s">
        <v>7239</v>
      </c>
      <c r="D699" s="93" t="s">
        <v>3700</v>
      </c>
      <c r="E699" s="91">
        <v>2021</v>
      </c>
      <c r="F699" s="91" t="s">
        <v>19</v>
      </c>
      <c r="G699" s="91" t="s">
        <v>3701</v>
      </c>
      <c r="H699" s="91" t="s">
        <v>3702</v>
      </c>
      <c r="I699" s="91" t="s">
        <v>3703</v>
      </c>
      <c r="J699" s="91">
        <v>6199</v>
      </c>
      <c r="K699" s="91">
        <f>6278+4484+1346+4484+2332+2332+2332+2332+1166+2332+6995+6995+2332+6995</f>
        <v>52735</v>
      </c>
      <c r="L699" s="91">
        <v>0</v>
      </c>
      <c r="M699" s="91">
        <v>0</v>
      </c>
      <c r="N699" s="91">
        <f>3148+2088+4053</f>
        <v>9289</v>
      </c>
      <c r="O699" s="91">
        <v>0</v>
      </c>
      <c r="P699" s="91">
        <f>720+1080+1200+360+56</f>
        <v>3416</v>
      </c>
      <c r="Q699" s="101">
        <f t="shared" si="20"/>
        <v>71639</v>
      </c>
      <c r="R699" s="95">
        <f t="shared" si="21"/>
        <v>60893.15</v>
      </c>
    </row>
    <row r="700" spans="1:23" ht="34.049999999999997" customHeight="1" x14ac:dyDescent="0.3">
      <c r="A700" s="96">
        <v>689</v>
      </c>
      <c r="B700" s="91" t="s">
        <v>2143</v>
      </c>
      <c r="C700" s="91" t="s">
        <v>7239</v>
      </c>
      <c r="D700" s="93" t="s">
        <v>3700</v>
      </c>
      <c r="E700" s="91">
        <v>2021</v>
      </c>
      <c r="F700" s="91" t="s">
        <v>19</v>
      </c>
      <c r="G700" s="91" t="s">
        <v>3701</v>
      </c>
      <c r="H700" s="91" t="s">
        <v>3702</v>
      </c>
      <c r="I700" s="91" t="s">
        <v>3703</v>
      </c>
      <c r="J700" s="91">
        <v>0</v>
      </c>
      <c r="K700" s="91">
        <v>0</v>
      </c>
      <c r="L700" s="91">
        <v>0</v>
      </c>
      <c r="M700" s="91">
        <v>17688</v>
      </c>
      <c r="N700" s="91">
        <v>0</v>
      </c>
      <c r="O700" s="91">
        <v>0</v>
      </c>
      <c r="P700" s="91">
        <f>360+56</f>
        <v>416</v>
      </c>
      <c r="Q700" s="101">
        <f t="shared" si="20"/>
        <v>18104</v>
      </c>
      <c r="R700" s="95">
        <f t="shared" si="21"/>
        <v>15388.4</v>
      </c>
    </row>
    <row r="701" spans="1:23" ht="34.049999999999997" customHeight="1" x14ac:dyDescent="0.3">
      <c r="A701" s="90">
        <v>690</v>
      </c>
      <c r="B701" s="91" t="s">
        <v>2143</v>
      </c>
      <c r="C701" s="91" t="s">
        <v>7240</v>
      </c>
      <c r="D701" s="93" t="s">
        <v>1788</v>
      </c>
      <c r="E701" s="91">
        <v>2025</v>
      </c>
      <c r="F701" s="91" t="s">
        <v>19</v>
      </c>
      <c r="G701" s="91" t="s">
        <v>1840</v>
      </c>
      <c r="H701" s="91" t="s">
        <v>1878</v>
      </c>
      <c r="I701" s="91" t="s">
        <v>1901</v>
      </c>
      <c r="J701" s="91">
        <v>2900</v>
      </c>
      <c r="K701" s="91">
        <v>0</v>
      </c>
      <c r="L701" s="91">
        <v>0</v>
      </c>
      <c r="M701" s="91">
        <v>0</v>
      </c>
      <c r="N701" s="91">
        <v>2088</v>
      </c>
      <c r="O701" s="91">
        <v>0</v>
      </c>
      <c r="P701" s="91">
        <f>360+56</f>
        <v>416</v>
      </c>
      <c r="Q701" s="101">
        <f t="shared" si="20"/>
        <v>5404</v>
      </c>
      <c r="R701" s="95">
        <f t="shared" si="21"/>
        <v>4593.3999999999996</v>
      </c>
      <c r="S701" s="41"/>
    </row>
    <row r="702" spans="1:23" ht="34.049999999999997" customHeight="1" x14ac:dyDescent="0.3">
      <c r="A702" s="90">
        <v>691</v>
      </c>
      <c r="B702" s="91" t="s">
        <v>2477</v>
      </c>
      <c r="C702" s="91" t="s">
        <v>2478</v>
      </c>
      <c r="D702" s="93" t="s">
        <v>2479</v>
      </c>
      <c r="E702" s="91">
        <v>2025</v>
      </c>
      <c r="F702" s="91" t="s">
        <v>18</v>
      </c>
      <c r="G702" s="91" t="s">
        <v>2550</v>
      </c>
      <c r="H702" s="91" t="s">
        <v>2586</v>
      </c>
      <c r="I702" s="91" t="s">
        <v>2615</v>
      </c>
      <c r="J702" s="91">
        <v>6199</v>
      </c>
      <c r="K702" s="91">
        <f>1346+6278+4484</f>
        <v>12108</v>
      </c>
      <c r="L702" s="91">
        <v>0</v>
      </c>
      <c r="M702" s="91">
        <v>0</v>
      </c>
      <c r="N702" s="91">
        <v>3148</v>
      </c>
      <c r="O702" s="91">
        <v>0</v>
      </c>
      <c r="P702" s="91">
        <v>0</v>
      </c>
      <c r="Q702" s="101">
        <f t="shared" si="20"/>
        <v>21455</v>
      </c>
      <c r="R702" s="95">
        <f t="shared" si="21"/>
        <v>18236.75</v>
      </c>
    </row>
    <row r="703" spans="1:23" ht="34.049999999999997" customHeight="1" x14ac:dyDescent="0.3">
      <c r="A703" s="96">
        <v>692</v>
      </c>
      <c r="B703" s="91" t="s">
        <v>2477</v>
      </c>
      <c r="C703" s="91" t="s">
        <v>2480</v>
      </c>
      <c r="D703" s="91" t="s">
        <v>2481</v>
      </c>
      <c r="E703" s="91">
        <v>1982</v>
      </c>
      <c r="F703" s="91" t="s">
        <v>18</v>
      </c>
      <c r="G703" s="91" t="s">
        <v>2551</v>
      </c>
      <c r="H703" s="91" t="s">
        <v>2551</v>
      </c>
      <c r="I703" s="91" t="s">
        <v>2616</v>
      </c>
      <c r="J703" s="91">
        <v>6199</v>
      </c>
      <c r="K703" s="91">
        <f>6278+4484+4484+2332+2332+2332+2332+2332+2332+3000+3000+2332+2332+1346+1346+3228+4484+4484+2332+4484</f>
        <v>61606</v>
      </c>
      <c r="L703" s="91">
        <v>13298</v>
      </c>
      <c r="M703" s="91">
        <v>0</v>
      </c>
      <c r="N703" s="91">
        <v>1793</v>
      </c>
      <c r="O703" s="91">
        <v>0</v>
      </c>
      <c r="P703" s="91">
        <v>0</v>
      </c>
      <c r="Q703" s="101">
        <f t="shared" si="20"/>
        <v>82896</v>
      </c>
      <c r="R703" s="95">
        <f t="shared" si="21"/>
        <v>70461.600000000006</v>
      </c>
    </row>
    <row r="704" spans="1:23" ht="34.049999999999997" customHeight="1" x14ac:dyDescent="0.3">
      <c r="A704" s="90">
        <v>693</v>
      </c>
      <c r="B704" s="91" t="s">
        <v>2477</v>
      </c>
      <c r="C704" s="91" t="s">
        <v>2482</v>
      </c>
      <c r="D704" s="91" t="s">
        <v>2483</v>
      </c>
      <c r="E704" s="91">
        <v>2022</v>
      </c>
      <c r="F704" s="91" t="s">
        <v>19</v>
      </c>
      <c r="G704" s="91" t="s">
        <v>2552</v>
      </c>
      <c r="H704" s="91" t="s">
        <v>1875</v>
      </c>
      <c r="I704" s="91" t="s">
        <v>1267</v>
      </c>
      <c r="J704" s="91">
        <v>3793</v>
      </c>
      <c r="K704" s="91">
        <f>1346+6278+4484+4484+2332+2332+2332+2332+2332+2332+6995+6995+2332+6995</f>
        <v>53901</v>
      </c>
      <c r="L704" s="91">
        <v>0</v>
      </c>
      <c r="M704" s="91">
        <v>0</v>
      </c>
      <c r="N704" s="91">
        <v>3148</v>
      </c>
      <c r="O704" s="91">
        <v>0</v>
      </c>
      <c r="P704" s="91">
        <v>63</v>
      </c>
      <c r="Q704" s="101">
        <f t="shared" si="20"/>
        <v>60905</v>
      </c>
      <c r="R704" s="95">
        <f t="shared" si="21"/>
        <v>51769.25</v>
      </c>
    </row>
    <row r="705" spans="1:23" ht="34.049999999999997" customHeight="1" x14ac:dyDescent="0.3">
      <c r="A705" s="90">
        <v>694</v>
      </c>
      <c r="B705" s="91" t="s">
        <v>2477</v>
      </c>
      <c r="C705" s="91" t="s">
        <v>2484</v>
      </c>
      <c r="D705" s="91" t="s">
        <v>871</v>
      </c>
      <c r="E705" s="91">
        <v>1990</v>
      </c>
      <c r="F705" s="91" t="s">
        <v>19</v>
      </c>
      <c r="G705" s="91" t="s">
        <v>969</v>
      </c>
      <c r="H705" s="91" t="s">
        <v>1017</v>
      </c>
      <c r="I705" s="91" t="s">
        <v>1048</v>
      </c>
      <c r="J705" s="91">
        <v>0</v>
      </c>
      <c r="K705" s="91">
        <v>0</v>
      </c>
      <c r="L705" s="91">
        <v>0</v>
      </c>
      <c r="M705" s="91">
        <v>0</v>
      </c>
      <c r="N705" s="91">
        <f>303362+15443</f>
        <v>318805</v>
      </c>
      <c r="O705" s="91">
        <v>0</v>
      </c>
      <c r="P705" s="91">
        <v>0</v>
      </c>
      <c r="Q705" s="101">
        <f t="shared" si="20"/>
        <v>318805</v>
      </c>
      <c r="R705" s="95">
        <f t="shared" si="21"/>
        <v>270984.25</v>
      </c>
    </row>
    <row r="706" spans="1:23" ht="34.049999999999997" customHeight="1" x14ac:dyDescent="0.3">
      <c r="A706" s="96">
        <v>695</v>
      </c>
      <c r="B706" s="91" t="s">
        <v>2477</v>
      </c>
      <c r="C706" s="91" t="s">
        <v>2485</v>
      </c>
      <c r="D706" s="91" t="s">
        <v>2486</v>
      </c>
      <c r="E706" s="91">
        <v>2022</v>
      </c>
      <c r="F706" s="91" t="s">
        <v>19</v>
      </c>
      <c r="G706" s="91" t="s">
        <v>2553</v>
      </c>
      <c r="H706" s="91" t="s">
        <v>2554</v>
      </c>
      <c r="I706" s="91" t="s">
        <v>2617</v>
      </c>
      <c r="J706" s="91">
        <v>6199</v>
      </c>
      <c r="K706" s="91">
        <f>1346+6278+4484+1166+4484</f>
        <v>17758</v>
      </c>
      <c r="L706" s="91">
        <v>0</v>
      </c>
      <c r="M706" s="91">
        <v>0</v>
      </c>
      <c r="N706" s="91">
        <v>3148</v>
      </c>
      <c r="O706" s="91">
        <v>0</v>
      </c>
      <c r="P706" s="91">
        <v>0</v>
      </c>
      <c r="Q706" s="101">
        <f t="shared" si="20"/>
        <v>27105</v>
      </c>
      <c r="R706" s="95">
        <f t="shared" si="21"/>
        <v>23039.25</v>
      </c>
    </row>
    <row r="707" spans="1:23" ht="34.049999999999997" customHeight="1" x14ac:dyDescent="0.3">
      <c r="A707" s="90">
        <v>696</v>
      </c>
      <c r="B707" s="91" t="s">
        <v>2477</v>
      </c>
      <c r="C707" s="91" t="s">
        <v>2487</v>
      </c>
      <c r="D707" s="91" t="s">
        <v>2488</v>
      </c>
      <c r="E707" s="91">
        <v>1995</v>
      </c>
      <c r="F707" s="91" t="s">
        <v>19</v>
      </c>
      <c r="G707" s="91" t="s">
        <v>2554</v>
      </c>
      <c r="H707" s="91" t="s">
        <v>2554</v>
      </c>
      <c r="I707" s="91" t="s">
        <v>2617</v>
      </c>
      <c r="J707" s="91">
        <v>6199</v>
      </c>
      <c r="K707" s="91">
        <v>0</v>
      </c>
      <c r="L707" s="91">
        <v>0</v>
      </c>
      <c r="M707" s="91">
        <v>0</v>
      </c>
      <c r="N707" s="91">
        <v>9871</v>
      </c>
      <c r="O707" s="91">
        <v>0</v>
      </c>
      <c r="P707" s="91">
        <v>0</v>
      </c>
      <c r="Q707" s="101">
        <f t="shared" si="20"/>
        <v>16070</v>
      </c>
      <c r="R707" s="95">
        <f t="shared" si="21"/>
        <v>13659.5</v>
      </c>
    </row>
    <row r="708" spans="1:23" ht="34.049999999999997" customHeight="1" x14ac:dyDescent="0.3">
      <c r="A708" s="90">
        <v>697</v>
      </c>
      <c r="B708" s="91" t="s">
        <v>2477</v>
      </c>
      <c r="C708" s="91" t="s">
        <v>2489</v>
      </c>
      <c r="D708" s="91" t="s">
        <v>2490</v>
      </c>
      <c r="E708" s="91">
        <v>2022</v>
      </c>
      <c r="F708" s="91" t="s">
        <v>19</v>
      </c>
      <c r="G708" s="91" t="s">
        <v>2555</v>
      </c>
      <c r="H708" s="91" t="s">
        <v>2587</v>
      </c>
      <c r="I708" s="91" t="s">
        <v>2618</v>
      </c>
      <c r="J708" s="91">
        <v>6199</v>
      </c>
      <c r="K708" s="91">
        <f>1346+6278+4484+4484+2332+2332+2332+2332+2332+2332+6995+6995+2332+6995</f>
        <v>53901</v>
      </c>
      <c r="L708" s="91">
        <v>0</v>
      </c>
      <c r="M708" s="91">
        <v>0</v>
      </c>
      <c r="N708" s="91">
        <f>3148+4053+1178+2088</f>
        <v>10467</v>
      </c>
      <c r="O708" s="91">
        <v>0</v>
      </c>
      <c r="P708" s="91">
        <f>720+1080+120+720+112</f>
        <v>2752</v>
      </c>
      <c r="Q708" s="101">
        <f t="shared" si="20"/>
        <v>73319</v>
      </c>
      <c r="R708" s="95">
        <f t="shared" si="21"/>
        <v>62321.15</v>
      </c>
    </row>
    <row r="709" spans="1:23" ht="34.049999999999997" customHeight="1" x14ac:dyDescent="0.3">
      <c r="A709" s="96">
        <v>698</v>
      </c>
      <c r="B709" s="91" t="s">
        <v>2477</v>
      </c>
      <c r="C709" s="91" t="s">
        <v>2491</v>
      </c>
      <c r="D709" s="91" t="s">
        <v>1792</v>
      </c>
      <c r="E709" s="91">
        <v>2019</v>
      </c>
      <c r="F709" s="91" t="s">
        <v>18</v>
      </c>
      <c r="G709" s="91" t="s">
        <v>1841</v>
      </c>
      <c r="H709" s="91" t="s">
        <v>1879</v>
      </c>
      <c r="I709" s="91" t="s">
        <v>1902</v>
      </c>
      <c r="J709" s="91">
        <v>3793</v>
      </c>
      <c r="K709" s="91">
        <f>1346+6278+4484+2332+2332+2332+2332+2332</f>
        <v>23768</v>
      </c>
      <c r="L709" s="91">
        <v>0</v>
      </c>
      <c r="M709" s="91">
        <v>0</v>
      </c>
      <c r="N709" s="91">
        <v>0</v>
      </c>
      <c r="O709" s="91">
        <v>0</v>
      </c>
      <c r="P709" s="91">
        <v>0</v>
      </c>
      <c r="Q709" s="101">
        <f t="shared" si="20"/>
        <v>27561</v>
      </c>
      <c r="R709" s="95">
        <f t="shared" si="21"/>
        <v>23426.85</v>
      </c>
    </row>
    <row r="710" spans="1:23" ht="34.049999999999997" customHeight="1" x14ac:dyDescent="0.3">
      <c r="A710" s="90">
        <v>699</v>
      </c>
      <c r="B710" s="91" t="s">
        <v>2477</v>
      </c>
      <c r="C710" s="91" t="s">
        <v>2492</v>
      </c>
      <c r="D710" s="91" t="s">
        <v>2493</v>
      </c>
      <c r="E710" s="91">
        <v>2025</v>
      </c>
      <c r="F710" s="91" t="s">
        <v>19</v>
      </c>
      <c r="G710" s="91" t="s">
        <v>2556</v>
      </c>
      <c r="H710" s="91" t="s">
        <v>2588</v>
      </c>
      <c r="I710" s="91" t="s">
        <v>2619</v>
      </c>
      <c r="J710" s="91">
        <v>6199</v>
      </c>
      <c r="K710" s="91">
        <f>1346+6278+4484+4484</f>
        <v>16592</v>
      </c>
      <c r="L710" s="91">
        <v>0</v>
      </c>
      <c r="M710" s="91">
        <v>0</v>
      </c>
      <c r="N710" s="91">
        <v>3148</v>
      </c>
      <c r="O710" s="91">
        <v>0</v>
      </c>
      <c r="P710" s="91">
        <v>0</v>
      </c>
      <c r="Q710" s="101">
        <f t="shared" si="20"/>
        <v>25939</v>
      </c>
      <c r="R710" s="95">
        <f t="shared" si="21"/>
        <v>22048.15</v>
      </c>
    </row>
    <row r="711" spans="1:23" ht="34.049999999999997" customHeight="1" x14ac:dyDescent="0.3">
      <c r="A711" s="90">
        <v>700</v>
      </c>
      <c r="B711" s="91" t="s">
        <v>2477</v>
      </c>
      <c r="C711" s="91" t="s">
        <v>2494</v>
      </c>
      <c r="D711" s="91" t="s">
        <v>2495</v>
      </c>
      <c r="E711" s="91">
        <v>2020</v>
      </c>
      <c r="F711" s="91" t="s">
        <v>18</v>
      </c>
      <c r="G711" s="91" t="s">
        <v>2557</v>
      </c>
      <c r="H711" s="91" t="s">
        <v>2589</v>
      </c>
      <c r="I711" s="91" t="s">
        <v>2620</v>
      </c>
      <c r="J711" s="91">
        <v>6199</v>
      </c>
      <c r="K711" s="91">
        <f>2332+2332</f>
        <v>4664</v>
      </c>
      <c r="L711" s="91">
        <v>0</v>
      </c>
      <c r="M711" s="91">
        <v>0</v>
      </c>
      <c r="N711" s="91">
        <v>0</v>
      </c>
      <c r="O711" s="91">
        <v>0</v>
      </c>
      <c r="P711" s="91">
        <v>0</v>
      </c>
      <c r="Q711" s="101">
        <f t="shared" si="20"/>
        <v>10863</v>
      </c>
      <c r="R711" s="95">
        <f t="shared" si="21"/>
        <v>9233.5499999999993</v>
      </c>
    </row>
    <row r="712" spans="1:23" ht="34.049999999999997" customHeight="1" x14ac:dyDescent="0.3">
      <c r="A712" s="96">
        <v>701</v>
      </c>
      <c r="B712" s="91" t="s">
        <v>2477</v>
      </c>
      <c r="C712" s="91" t="s">
        <v>2496</v>
      </c>
      <c r="D712" s="91" t="s">
        <v>2497</v>
      </c>
      <c r="E712" s="91">
        <v>2022</v>
      </c>
      <c r="F712" s="91" t="s">
        <v>18</v>
      </c>
      <c r="G712" s="91" t="s">
        <v>2558</v>
      </c>
      <c r="H712" s="91" t="s">
        <v>2590</v>
      </c>
      <c r="I712" s="91" t="s">
        <v>2621</v>
      </c>
      <c r="J712" s="91">
        <v>6199</v>
      </c>
      <c r="K712" s="91">
        <v>0</v>
      </c>
      <c r="L712" s="91">
        <v>0</v>
      </c>
      <c r="M712" s="91">
        <v>0</v>
      </c>
      <c r="N712" s="91">
        <v>0</v>
      </c>
      <c r="O712" s="91">
        <v>0</v>
      </c>
      <c r="P712" s="91">
        <v>0</v>
      </c>
      <c r="Q712" s="101">
        <f t="shared" si="20"/>
        <v>6199</v>
      </c>
      <c r="R712" s="95">
        <f t="shared" si="21"/>
        <v>5269.15</v>
      </c>
    </row>
    <row r="713" spans="1:23" ht="34.049999999999997" customHeight="1" x14ac:dyDescent="0.3">
      <c r="A713" s="90">
        <v>702</v>
      </c>
      <c r="B713" s="91" t="s">
        <v>2477</v>
      </c>
      <c r="C713" s="91" t="s">
        <v>2498</v>
      </c>
      <c r="D713" s="91" t="s">
        <v>2499</v>
      </c>
      <c r="E713" s="91">
        <v>1989</v>
      </c>
      <c r="F713" s="91" t="s">
        <v>19</v>
      </c>
      <c r="G713" s="91" t="s">
        <v>2559</v>
      </c>
      <c r="H713" s="91" t="s">
        <v>2591</v>
      </c>
      <c r="I713" s="91" t="s">
        <v>2622</v>
      </c>
      <c r="J713" s="91">
        <v>6199</v>
      </c>
      <c r="K713" s="91">
        <v>0</v>
      </c>
      <c r="L713" s="91">
        <v>0</v>
      </c>
      <c r="M713" s="91">
        <v>0</v>
      </c>
      <c r="N713" s="91">
        <v>38478</v>
      </c>
      <c r="O713" s="91">
        <v>0</v>
      </c>
      <c r="P713" s="91">
        <v>0</v>
      </c>
      <c r="Q713" s="101">
        <f t="shared" si="20"/>
        <v>44677</v>
      </c>
      <c r="R713" s="95">
        <f t="shared" si="21"/>
        <v>37975.449999999997</v>
      </c>
    </row>
    <row r="714" spans="1:23" ht="34.049999999999997" customHeight="1" x14ac:dyDescent="0.3">
      <c r="A714" s="90">
        <v>703</v>
      </c>
      <c r="B714" s="91" t="s">
        <v>2477</v>
      </c>
      <c r="C714" s="91" t="s">
        <v>2500</v>
      </c>
      <c r="D714" s="91" t="s">
        <v>2499</v>
      </c>
      <c r="E714" s="91">
        <v>1989</v>
      </c>
      <c r="F714" s="91" t="s">
        <v>19</v>
      </c>
      <c r="G714" s="91" t="s">
        <v>2559</v>
      </c>
      <c r="H714" s="91" t="s">
        <v>2591</v>
      </c>
      <c r="I714" s="91" t="s">
        <v>2622</v>
      </c>
      <c r="J714" s="91">
        <v>6199</v>
      </c>
      <c r="K714" s="91">
        <v>0</v>
      </c>
      <c r="L714" s="91">
        <v>0</v>
      </c>
      <c r="M714" s="91">
        <v>0</v>
      </c>
      <c r="N714" s="91">
        <v>0</v>
      </c>
      <c r="O714" s="91">
        <v>0</v>
      </c>
      <c r="P714" s="91">
        <v>0</v>
      </c>
      <c r="Q714" s="101">
        <f t="shared" si="20"/>
        <v>6199</v>
      </c>
      <c r="R714" s="95">
        <f t="shared" si="21"/>
        <v>5269.15</v>
      </c>
    </row>
    <row r="715" spans="1:23" ht="34.049999999999997" customHeight="1" x14ac:dyDescent="0.3">
      <c r="A715" s="96">
        <v>704</v>
      </c>
      <c r="B715" s="91" t="s">
        <v>2477</v>
      </c>
      <c r="C715" s="91" t="s">
        <v>2501</v>
      </c>
      <c r="D715" s="91" t="s">
        <v>2502</v>
      </c>
      <c r="E715" s="91">
        <v>2003</v>
      </c>
      <c r="F715" s="91" t="s">
        <v>19</v>
      </c>
      <c r="G715" s="91" t="s">
        <v>980</v>
      </c>
      <c r="H715" s="91" t="s">
        <v>2592</v>
      </c>
      <c r="I715" s="91" t="s">
        <v>1084</v>
      </c>
      <c r="J715" s="91">
        <v>6199</v>
      </c>
      <c r="K715" s="91">
        <f>6278+6995+4484+2332+2332+2332+2332+2332+2332+3228+3000+3000+1346+1346+2332+2332+4484+3500+3500</f>
        <v>59817</v>
      </c>
      <c r="L715" s="91">
        <v>9422</v>
      </c>
      <c r="M715" s="91">
        <v>0</v>
      </c>
      <c r="N715" s="91">
        <v>1793</v>
      </c>
      <c r="O715" s="91">
        <v>0</v>
      </c>
      <c r="P715" s="91">
        <v>2400</v>
      </c>
      <c r="Q715" s="101">
        <f t="shared" si="20"/>
        <v>79631</v>
      </c>
      <c r="R715" s="95">
        <f t="shared" si="21"/>
        <v>67686.350000000006</v>
      </c>
    </row>
    <row r="716" spans="1:23" ht="34.049999999999997" customHeight="1" x14ac:dyDescent="0.3">
      <c r="A716" s="90">
        <v>705</v>
      </c>
      <c r="B716" s="98" t="s">
        <v>2477</v>
      </c>
      <c r="C716" s="98" t="s">
        <v>2503</v>
      </c>
      <c r="D716" s="98" t="s">
        <v>2504</v>
      </c>
      <c r="E716" s="98">
        <v>2014</v>
      </c>
      <c r="F716" s="98" t="s">
        <v>19</v>
      </c>
      <c r="G716" s="98" t="s">
        <v>2560</v>
      </c>
      <c r="H716" s="98" t="s">
        <v>2593</v>
      </c>
      <c r="I716" s="98" t="s">
        <v>2623</v>
      </c>
      <c r="J716" s="98">
        <v>6199</v>
      </c>
      <c r="K716" s="98">
        <v>0</v>
      </c>
      <c r="L716" s="98">
        <v>0</v>
      </c>
      <c r="M716" s="98">
        <v>0</v>
      </c>
      <c r="N716" s="98">
        <v>0</v>
      </c>
      <c r="O716" s="98">
        <v>0</v>
      </c>
      <c r="P716" s="98">
        <v>0</v>
      </c>
      <c r="Q716" s="101">
        <f t="shared" ref="Q716:Q779" si="22">SUM(J716:P716)</f>
        <v>6199</v>
      </c>
      <c r="R716" s="95">
        <f t="shared" si="21"/>
        <v>5269.15</v>
      </c>
      <c r="S716" s="41"/>
      <c r="T716" s="41"/>
      <c r="U716" s="41"/>
      <c r="V716" s="41"/>
      <c r="W716" s="41"/>
    </row>
    <row r="717" spans="1:23" ht="34.049999999999997" customHeight="1" x14ac:dyDescent="0.3">
      <c r="A717" s="90">
        <v>706</v>
      </c>
      <c r="B717" s="91" t="s">
        <v>2477</v>
      </c>
      <c r="C717" s="91" t="s">
        <v>2505</v>
      </c>
      <c r="D717" s="91" t="s">
        <v>2506</v>
      </c>
      <c r="E717" s="91">
        <v>2013</v>
      </c>
      <c r="F717" s="91" t="s">
        <v>18</v>
      </c>
      <c r="G717" s="91" t="s">
        <v>2561</v>
      </c>
      <c r="H717" s="91" t="s">
        <v>2594</v>
      </c>
      <c r="I717" s="91" t="s">
        <v>2624</v>
      </c>
      <c r="J717" s="91">
        <v>6199</v>
      </c>
      <c r="K717" s="91">
        <v>0</v>
      </c>
      <c r="L717" s="91">
        <v>0</v>
      </c>
      <c r="M717" s="91">
        <v>0</v>
      </c>
      <c r="N717" s="91">
        <v>0</v>
      </c>
      <c r="O717" s="91">
        <v>0</v>
      </c>
      <c r="P717" s="91">
        <v>0</v>
      </c>
      <c r="Q717" s="101">
        <f t="shared" si="22"/>
        <v>6199</v>
      </c>
      <c r="R717" s="95">
        <f t="shared" ref="R717:R780" si="23">Q717*85/100</f>
        <v>5269.15</v>
      </c>
    </row>
    <row r="718" spans="1:23" ht="34.049999999999997" customHeight="1" x14ac:dyDescent="0.3">
      <c r="A718" s="96">
        <v>707</v>
      </c>
      <c r="B718" s="91" t="s">
        <v>2477</v>
      </c>
      <c r="C718" s="91" t="s">
        <v>2507</v>
      </c>
      <c r="D718" s="91" t="s">
        <v>2508</v>
      </c>
      <c r="E718" s="91">
        <v>2005</v>
      </c>
      <c r="F718" s="91" t="s">
        <v>19</v>
      </c>
      <c r="G718" s="91" t="s">
        <v>2562</v>
      </c>
      <c r="H718" s="91" t="s">
        <v>2595</v>
      </c>
      <c r="I718" s="91" t="s">
        <v>2625</v>
      </c>
      <c r="J718" s="91">
        <v>6199</v>
      </c>
      <c r="K718" s="91">
        <f>6278+4484+6995+2332+2332+2332+1166+2332+2332+2243+3587+3228+3000+3000</f>
        <v>45641</v>
      </c>
      <c r="L718" s="91">
        <v>0</v>
      </c>
      <c r="M718" s="91">
        <v>0</v>
      </c>
      <c r="N718" s="91">
        <v>1793</v>
      </c>
      <c r="O718" s="91">
        <v>0</v>
      </c>
      <c r="P718" s="91">
        <v>0</v>
      </c>
      <c r="Q718" s="101">
        <f t="shared" si="22"/>
        <v>53633</v>
      </c>
      <c r="R718" s="95">
        <f t="shared" si="23"/>
        <v>45588.05</v>
      </c>
    </row>
    <row r="719" spans="1:23" ht="34.049999999999997" customHeight="1" x14ac:dyDescent="0.3">
      <c r="A719" s="90">
        <v>708</v>
      </c>
      <c r="B719" s="91" t="s">
        <v>2477</v>
      </c>
      <c r="C719" s="91" t="s">
        <v>2509</v>
      </c>
      <c r="D719" s="91" t="s">
        <v>2510</v>
      </c>
      <c r="E719" s="91">
        <v>2024</v>
      </c>
      <c r="F719" s="91" t="s">
        <v>18</v>
      </c>
      <c r="G719" s="91" t="s">
        <v>2563</v>
      </c>
      <c r="H719" s="91" t="s">
        <v>2596</v>
      </c>
      <c r="I719" s="91" t="s">
        <v>2626</v>
      </c>
      <c r="J719" s="91">
        <v>6199</v>
      </c>
      <c r="K719" s="91">
        <v>0</v>
      </c>
      <c r="L719" s="91">
        <v>0</v>
      </c>
      <c r="M719" s="91">
        <v>0</v>
      </c>
      <c r="N719" s="91">
        <v>0</v>
      </c>
      <c r="O719" s="91">
        <v>0</v>
      </c>
      <c r="P719" s="91">
        <v>0</v>
      </c>
      <c r="Q719" s="101">
        <f t="shared" si="22"/>
        <v>6199</v>
      </c>
      <c r="R719" s="95">
        <f t="shared" si="23"/>
        <v>5269.15</v>
      </c>
    </row>
    <row r="720" spans="1:23" ht="34.049999999999997" customHeight="1" x14ac:dyDescent="0.3">
      <c r="A720" s="90">
        <v>709</v>
      </c>
      <c r="B720" s="91" t="s">
        <v>2477</v>
      </c>
      <c r="C720" s="91" t="s">
        <v>2512</v>
      </c>
      <c r="D720" s="91" t="s">
        <v>2513</v>
      </c>
      <c r="E720" s="91">
        <v>1987</v>
      </c>
      <c r="F720" s="91" t="s">
        <v>18</v>
      </c>
      <c r="G720" s="91" t="s">
        <v>2565</v>
      </c>
      <c r="H720" s="91" t="s">
        <v>2565</v>
      </c>
      <c r="I720" s="91" t="s">
        <v>2627</v>
      </c>
      <c r="J720" s="91">
        <v>6199</v>
      </c>
      <c r="K720" s="91">
        <f>6278+4484+2332+2332+2332+2332+2332+2332+4484+3000+3000+1166+6995+6995+2332+6995+6995</f>
        <v>66716</v>
      </c>
      <c r="L720" s="91">
        <v>0</v>
      </c>
      <c r="M720" s="91">
        <v>0</v>
      </c>
      <c r="N720" s="91">
        <v>1793</v>
      </c>
      <c r="O720" s="91">
        <v>0</v>
      </c>
      <c r="P720" s="91">
        <v>0</v>
      </c>
      <c r="Q720" s="101">
        <f t="shared" si="22"/>
        <v>74708</v>
      </c>
      <c r="R720" s="95">
        <f t="shared" si="23"/>
        <v>63501.8</v>
      </c>
    </row>
    <row r="721" spans="1:23" ht="34.049999999999997" customHeight="1" x14ac:dyDescent="0.3">
      <c r="A721" s="96">
        <v>710</v>
      </c>
      <c r="B721" s="91" t="s">
        <v>2477</v>
      </c>
      <c r="C721" s="91" t="s">
        <v>2514</v>
      </c>
      <c r="D721" s="91" t="s">
        <v>2515</v>
      </c>
      <c r="E721" s="91">
        <v>1988</v>
      </c>
      <c r="F721" s="91" t="s">
        <v>18</v>
      </c>
      <c r="G721" s="91" t="s">
        <v>2566</v>
      </c>
      <c r="H721" s="91" t="s">
        <v>2566</v>
      </c>
      <c r="I721" s="91" t="s">
        <v>1075</v>
      </c>
      <c r="J721" s="91">
        <v>6199</v>
      </c>
      <c r="K721" s="91">
        <v>0</v>
      </c>
      <c r="L721" s="91">
        <f>13298+13298</f>
        <v>26596</v>
      </c>
      <c r="M721" s="91">
        <v>0</v>
      </c>
      <c r="N721" s="91">
        <v>0</v>
      </c>
      <c r="O721" s="91">
        <v>0</v>
      </c>
      <c r="P721" s="91">
        <v>0</v>
      </c>
      <c r="Q721" s="101">
        <f t="shared" si="22"/>
        <v>32795</v>
      </c>
      <c r="R721" s="95">
        <f t="shared" si="23"/>
        <v>27875.75</v>
      </c>
    </row>
    <row r="722" spans="1:23" ht="34.049999999999997" customHeight="1" x14ac:dyDescent="0.3">
      <c r="A722" s="90">
        <v>711</v>
      </c>
      <c r="B722" s="91" t="s">
        <v>2477</v>
      </c>
      <c r="C722" s="91" t="s">
        <v>2516</v>
      </c>
      <c r="D722" s="91" t="s">
        <v>2517</v>
      </c>
      <c r="E722" s="91">
        <v>1986</v>
      </c>
      <c r="F722" s="91" t="s">
        <v>18</v>
      </c>
      <c r="G722" s="91" t="s">
        <v>2567</v>
      </c>
      <c r="H722" s="91" t="s">
        <v>2598</v>
      </c>
      <c r="I722" s="91" t="s">
        <v>580</v>
      </c>
      <c r="J722" s="91">
        <v>6199</v>
      </c>
      <c r="K722" s="91">
        <v>0</v>
      </c>
      <c r="L722" s="91">
        <v>0</v>
      </c>
      <c r="M722" s="91">
        <v>0</v>
      </c>
      <c r="N722" s="91">
        <v>7052</v>
      </c>
      <c r="O722" s="91">
        <v>0</v>
      </c>
      <c r="P722" s="91">
        <v>0</v>
      </c>
      <c r="Q722" s="101">
        <f t="shared" si="22"/>
        <v>13251</v>
      </c>
      <c r="R722" s="95">
        <f t="shared" si="23"/>
        <v>11263.35</v>
      </c>
    </row>
    <row r="723" spans="1:23" ht="34.049999999999997" customHeight="1" x14ac:dyDescent="0.3">
      <c r="A723" s="90">
        <v>712</v>
      </c>
      <c r="B723" s="91" t="s">
        <v>2477</v>
      </c>
      <c r="C723" s="91" t="s">
        <v>2518</v>
      </c>
      <c r="D723" s="91" t="s">
        <v>2519</v>
      </c>
      <c r="E723" s="91">
        <v>2020</v>
      </c>
      <c r="F723" s="91" t="s">
        <v>19</v>
      </c>
      <c r="G723" s="91" t="s">
        <v>2568</v>
      </c>
      <c r="H723" s="91" t="s">
        <v>2599</v>
      </c>
      <c r="I723" s="91" t="s">
        <v>1277</v>
      </c>
      <c r="J723" s="91">
        <v>6199</v>
      </c>
      <c r="K723" s="91">
        <v>0</v>
      </c>
      <c r="L723" s="91">
        <v>0</v>
      </c>
      <c r="M723" s="91">
        <v>0</v>
      </c>
      <c r="N723" s="91">
        <v>0</v>
      </c>
      <c r="O723" s="91">
        <v>0</v>
      </c>
      <c r="P723" s="91">
        <v>0</v>
      </c>
      <c r="Q723" s="101">
        <f t="shared" si="22"/>
        <v>6199</v>
      </c>
      <c r="R723" s="95">
        <f t="shared" si="23"/>
        <v>5269.15</v>
      </c>
    </row>
    <row r="724" spans="1:23" ht="34.049999999999997" customHeight="1" x14ac:dyDescent="0.3">
      <c r="A724" s="96">
        <v>713</v>
      </c>
      <c r="B724" s="91" t="s">
        <v>2477</v>
      </c>
      <c r="C724" s="91" t="s">
        <v>2520</v>
      </c>
      <c r="D724" s="93" t="s">
        <v>2521</v>
      </c>
      <c r="E724" s="91">
        <v>2023</v>
      </c>
      <c r="F724" s="91" t="s">
        <v>18</v>
      </c>
      <c r="G724" s="91" t="s">
        <v>2569</v>
      </c>
      <c r="H724" s="91" t="s">
        <v>2600</v>
      </c>
      <c r="I724" s="91" t="s">
        <v>2628</v>
      </c>
      <c r="J724" s="91">
        <v>6199</v>
      </c>
      <c r="K724" s="91">
        <f>1346+6278+4484+2332+2332+2332+2332+2332+2332+6995+6995+2332+6995+4484</f>
        <v>53901</v>
      </c>
      <c r="L724" s="91">
        <v>0</v>
      </c>
      <c r="M724" s="91">
        <v>0</v>
      </c>
      <c r="N724" s="91">
        <v>3148</v>
      </c>
      <c r="O724" s="91">
        <v>0</v>
      </c>
      <c r="P724" s="91">
        <v>0</v>
      </c>
      <c r="Q724" s="101">
        <f t="shared" si="22"/>
        <v>63248</v>
      </c>
      <c r="R724" s="95">
        <f t="shared" si="23"/>
        <v>53760.800000000003</v>
      </c>
    </row>
    <row r="725" spans="1:23" ht="34.049999999999997" customHeight="1" x14ac:dyDescent="0.3">
      <c r="A725" s="90">
        <v>714</v>
      </c>
      <c r="B725" s="91" t="s">
        <v>2477</v>
      </c>
      <c r="C725" s="91" t="s">
        <v>2520</v>
      </c>
      <c r="D725" s="93" t="s">
        <v>2521</v>
      </c>
      <c r="E725" s="91">
        <v>2023</v>
      </c>
      <c r="F725" s="91" t="s">
        <v>18</v>
      </c>
      <c r="G725" s="91" t="s">
        <v>2569</v>
      </c>
      <c r="H725" s="91" t="s">
        <v>2600</v>
      </c>
      <c r="I725" s="91" t="s">
        <v>2628</v>
      </c>
      <c r="J725" s="91">
        <v>0</v>
      </c>
      <c r="K725" s="91">
        <v>0</v>
      </c>
      <c r="L725" s="91">
        <v>0</v>
      </c>
      <c r="M725" s="91">
        <v>17688</v>
      </c>
      <c r="N725" s="91">
        <v>0</v>
      </c>
      <c r="O725" s="91">
        <v>0</v>
      </c>
      <c r="P725" s="91">
        <f>360+56</f>
        <v>416</v>
      </c>
      <c r="Q725" s="101">
        <f t="shared" si="22"/>
        <v>18104</v>
      </c>
      <c r="R725" s="95">
        <f t="shared" si="23"/>
        <v>15388.4</v>
      </c>
    </row>
    <row r="726" spans="1:23" ht="34.049999999999997" customHeight="1" x14ac:dyDescent="0.3">
      <c r="A726" s="90">
        <v>715</v>
      </c>
      <c r="B726" s="91" t="s">
        <v>2477</v>
      </c>
      <c r="C726" s="91" t="s">
        <v>2522</v>
      </c>
      <c r="D726" s="91" t="s">
        <v>2523</v>
      </c>
      <c r="E726" s="91">
        <v>2020</v>
      </c>
      <c r="F726" s="91" t="s">
        <v>19</v>
      </c>
      <c r="G726" s="91" t="s">
        <v>2570</v>
      </c>
      <c r="H726" s="91" t="s">
        <v>2601</v>
      </c>
      <c r="I726" s="91" t="s">
        <v>2629</v>
      </c>
      <c r="J726" s="91">
        <v>6199</v>
      </c>
      <c r="K726" s="91">
        <f>6278+4484+1346+2332+2332</f>
        <v>16772</v>
      </c>
      <c r="L726" s="91">
        <v>0</v>
      </c>
      <c r="M726" s="91">
        <v>0</v>
      </c>
      <c r="N726" s="91">
        <v>3148</v>
      </c>
      <c r="O726" s="91">
        <v>0</v>
      </c>
      <c r="P726" s="91">
        <v>0</v>
      </c>
      <c r="Q726" s="101">
        <f t="shared" si="22"/>
        <v>26119</v>
      </c>
      <c r="R726" s="95">
        <f t="shared" si="23"/>
        <v>22201.15</v>
      </c>
    </row>
    <row r="727" spans="1:23" ht="34.049999999999997" customHeight="1" x14ac:dyDescent="0.3">
      <c r="A727" s="96">
        <v>716</v>
      </c>
      <c r="B727" s="91" t="s">
        <v>2477</v>
      </c>
      <c r="C727" s="91" t="s">
        <v>2524</v>
      </c>
      <c r="D727" s="91" t="s">
        <v>2525</v>
      </c>
      <c r="E727" s="91">
        <v>1984</v>
      </c>
      <c r="F727" s="91" t="s">
        <v>18</v>
      </c>
      <c r="G727" s="91" t="s">
        <v>2571</v>
      </c>
      <c r="H727" s="91" t="s">
        <v>2602</v>
      </c>
      <c r="I727" s="91" t="s">
        <v>2630</v>
      </c>
      <c r="J727" s="91">
        <v>6199</v>
      </c>
      <c r="K727" s="91">
        <v>0</v>
      </c>
      <c r="L727" s="91">
        <v>0</v>
      </c>
      <c r="M727" s="91">
        <v>0</v>
      </c>
      <c r="N727" s="91">
        <f>15443+60299</f>
        <v>75742</v>
      </c>
      <c r="O727" s="91">
        <v>0</v>
      </c>
      <c r="P727" s="91">
        <v>0</v>
      </c>
      <c r="Q727" s="101">
        <f t="shared" si="22"/>
        <v>81941</v>
      </c>
      <c r="R727" s="95">
        <f t="shared" si="23"/>
        <v>69649.850000000006</v>
      </c>
    </row>
    <row r="728" spans="1:23" ht="34.049999999999997" customHeight="1" x14ac:dyDescent="0.3">
      <c r="A728" s="90">
        <v>717</v>
      </c>
      <c r="B728" s="91" t="s">
        <v>2477</v>
      </c>
      <c r="C728" s="91" t="s">
        <v>2526</v>
      </c>
      <c r="D728" s="91" t="s">
        <v>2527</v>
      </c>
      <c r="E728" s="91">
        <v>1996</v>
      </c>
      <c r="F728" s="91" t="s">
        <v>19</v>
      </c>
      <c r="G728" s="91" t="s">
        <v>1239</v>
      </c>
      <c r="H728" s="91" t="s">
        <v>1239</v>
      </c>
      <c r="I728" s="91" t="s">
        <v>267</v>
      </c>
      <c r="J728" s="91">
        <v>6199</v>
      </c>
      <c r="K728" s="91">
        <f>6278+4484+1346+2332+2332+3587+2332+2332+2332+2332+2332+3000+3000+2332+4484+6995</f>
        <v>51830</v>
      </c>
      <c r="L728" s="91">
        <v>0</v>
      </c>
      <c r="M728" s="91">
        <v>0</v>
      </c>
      <c r="N728" s="91">
        <v>1793</v>
      </c>
      <c r="O728" s="91">
        <v>0</v>
      </c>
      <c r="P728" s="91"/>
      <c r="Q728" s="101">
        <f t="shared" si="22"/>
        <v>59822</v>
      </c>
      <c r="R728" s="95">
        <f t="shared" si="23"/>
        <v>50848.7</v>
      </c>
    </row>
    <row r="729" spans="1:23" ht="34.049999999999997" customHeight="1" x14ac:dyDescent="0.3">
      <c r="A729" s="90">
        <v>718</v>
      </c>
      <c r="B729" s="98" t="s">
        <v>2477</v>
      </c>
      <c r="C729" s="98" t="s">
        <v>2528</v>
      </c>
      <c r="D729" s="98" t="s">
        <v>2529</v>
      </c>
      <c r="E729" s="98">
        <v>2025</v>
      </c>
      <c r="F729" s="98" t="s">
        <v>19</v>
      </c>
      <c r="G729" s="98" t="s">
        <v>2572</v>
      </c>
      <c r="H729" s="98" t="s">
        <v>2603</v>
      </c>
      <c r="I729" s="98" t="s">
        <v>2631</v>
      </c>
      <c r="J729" s="98">
        <v>6199</v>
      </c>
      <c r="K729" s="98">
        <v>0</v>
      </c>
      <c r="L729" s="98">
        <v>0</v>
      </c>
      <c r="M729" s="98">
        <v>0</v>
      </c>
      <c r="N729" s="98">
        <v>0</v>
      </c>
      <c r="O729" s="98">
        <v>0</v>
      </c>
      <c r="P729" s="98">
        <v>0</v>
      </c>
      <c r="Q729" s="101">
        <f t="shared" si="22"/>
        <v>6199</v>
      </c>
      <c r="R729" s="95">
        <f t="shared" si="23"/>
        <v>5269.15</v>
      </c>
      <c r="S729" s="41"/>
      <c r="T729" s="41"/>
      <c r="U729" s="41"/>
      <c r="V729" s="41"/>
      <c r="W729" s="41"/>
    </row>
    <row r="730" spans="1:23" ht="34.049999999999997" customHeight="1" x14ac:dyDescent="0.3">
      <c r="A730" s="96">
        <v>719</v>
      </c>
      <c r="B730" s="91" t="s">
        <v>2477</v>
      </c>
      <c r="C730" s="91" t="s">
        <v>2530</v>
      </c>
      <c r="D730" s="91" t="s">
        <v>2531</v>
      </c>
      <c r="E730" s="91">
        <v>2003</v>
      </c>
      <c r="F730" s="91" t="s">
        <v>19</v>
      </c>
      <c r="G730" s="91" t="s">
        <v>2573</v>
      </c>
      <c r="H730" s="91" t="s">
        <v>2573</v>
      </c>
      <c r="I730" s="91" t="s">
        <v>2632</v>
      </c>
      <c r="J730" s="91">
        <v>6199</v>
      </c>
      <c r="K730" s="91">
        <f>1166+2801+6278+4484+2332+2332+2332+2332+2332+2332+3000+3000+6995+4484</f>
        <v>46200</v>
      </c>
      <c r="L730" s="91">
        <v>0</v>
      </c>
      <c r="M730" s="91">
        <v>0</v>
      </c>
      <c r="N730" s="91">
        <v>1793</v>
      </c>
      <c r="O730" s="91">
        <v>0</v>
      </c>
      <c r="P730" s="91">
        <v>0</v>
      </c>
      <c r="Q730" s="101">
        <f t="shared" si="22"/>
        <v>54192</v>
      </c>
      <c r="R730" s="95">
        <f t="shared" si="23"/>
        <v>46063.199999999997</v>
      </c>
    </row>
    <row r="731" spans="1:23" ht="34.049999999999997" customHeight="1" x14ac:dyDescent="0.3">
      <c r="A731" s="90">
        <v>720</v>
      </c>
      <c r="B731" s="91" t="s">
        <v>2477</v>
      </c>
      <c r="C731" s="91" t="s">
        <v>2532</v>
      </c>
      <c r="D731" s="91" t="s">
        <v>2533</v>
      </c>
      <c r="E731" s="91">
        <v>2022</v>
      </c>
      <c r="F731" s="91" t="s">
        <v>19</v>
      </c>
      <c r="G731" s="91" t="s">
        <v>2574</v>
      </c>
      <c r="H731" s="91" t="s">
        <v>2604</v>
      </c>
      <c r="I731" s="91" t="s">
        <v>2633</v>
      </c>
      <c r="J731" s="91">
        <v>6199</v>
      </c>
      <c r="K731" s="91">
        <f>6278+4484+1346+4484+2332+2332+2332+2332+2332+1166</f>
        <v>29418</v>
      </c>
      <c r="L731" s="91">
        <v>0</v>
      </c>
      <c r="M731" s="91">
        <v>0</v>
      </c>
      <c r="N731" s="91">
        <v>3148</v>
      </c>
      <c r="O731" s="91">
        <v>0</v>
      </c>
      <c r="P731" s="91">
        <v>0</v>
      </c>
      <c r="Q731" s="101">
        <f t="shared" si="22"/>
        <v>38765</v>
      </c>
      <c r="R731" s="95">
        <f t="shared" si="23"/>
        <v>32950.25</v>
      </c>
    </row>
    <row r="732" spans="1:23" ht="34.049999999999997" customHeight="1" x14ac:dyDescent="0.3">
      <c r="A732" s="90">
        <v>721</v>
      </c>
      <c r="B732" s="91" t="s">
        <v>2477</v>
      </c>
      <c r="C732" s="91" t="s">
        <v>2534</v>
      </c>
      <c r="D732" s="91" t="s">
        <v>2535</v>
      </c>
      <c r="E732" s="91">
        <v>1987</v>
      </c>
      <c r="F732" s="91" t="s">
        <v>18</v>
      </c>
      <c r="G732" s="91" t="s">
        <v>2575</v>
      </c>
      <c r="H732" s="91" t="s">
        <v>2575</v>
      </c>
      <c r="I732" s="91" t="s">
        <v>34</v>
      </c>
      <c r="J732" s="91">
        <v>6199</v>
      </c>
      <c r="K732" s="91">
        <v>0</v>
      </c>
      <c r="L732" s="91">
        <v>0</v>
      </c>
      <c r="M732" s="91">
        <v>0</v>
      </c>
      <c r="N732" s="91">
        <v>0</v>
      </c>
      <c r="O732" s="91">
        <v>0</v>
      </c>
      <c r="P732" s="91">
        <v>0</v>
      </c>
      <c r="Q732" s="101">
        <f t="shared" si="22"/>
        <v>6199</v>
      </c>
      <c r="R732" s="95">
        <f t="shared" si="23"/>
        <v>5269.15</v>
      </c>
    </row>
    <row r="733" spans="1:23" ht="34.049999999999997" customHeight="1" x14ac:dyDescent="0.3">
      <c r="A733" s="96">
        <v>722</v>
      </c>
      <c r="B733" s="98" t="s">
        <v>2477</v>
      </c>
      <c r="C733" s="98" t="s">
        <v>2536</v>
      </c>
      <c r="D733" s="98" t="s">
        <v>2537</v>
      </c>
      <c r="E733" s="98">
        <v>1991</v>
      </c>
      <c r="F733" s="98" t="s">
        <v>18</v>
      </c>
      <c r="G733" s="98" t="s">
        <v>3705</v>
      </c>
      <c r="H733" s="98" t="s">
        <v>2605</v>
      </c>
      <c r="I733" s="98" t="s">
        <v>2634</v>
      </c>
      <c r="J733" s="98">
        <v>6199</v>
      </c>
      <c r="K733" s="98">
        <f>2332+2332+2243</f>
        <v>6907</v>
      </c>
      <c r="L733" s="98">
        <v>0</v>
      </c>
      <c r="M733" s="98">
        <v>0</v>
      </c>
      <c r="N733" s="98">
        <v>0</v>
      </c>
      <c r="O733" s="98">
        <v>0</v>
      </c>
      <c r="P733" s="98">
        <v>0</v>
      </c>
      <c r="Q733" s="101">
        <f t="shared" si="22"/>
        <v>13106</v>
      </c>
      <c r="R733" s="95">
        <f t="shared" si="23"/>
        <v>11140.1</v>
      </c>
      <c r="S733" s="41"/>
      <c r="T733" s="41"/>
      <c r="U733" s="41"/>
      <c r="V733" s="41"/>
      <c r="W733" s="41"/>
    </row>
    <row r="734" spans="1:23" ht="34.049999999999997" customHeight="1" x14ac:dyDescent="0.3">
      <c r="A734" s="90">
        <v>723</v>
      </c>
      <c r="B734" s="91" t="s">
        <v>2477</v>
      </c>
      <c r="C734" s="91" t="s">
        <v>2538</v>
      </c>
      <c r="D734" s="91" t="s">
        <v>2539</v>
      </c>
      <c r="E734" s="91">
        <v>1993</v>
      </c>
      <c r="F734" s="91" t="s">
        <v>19</v>
      </c>
      <c r="G734" s="91" t="s">
        <v>2576</v>
      </c>
      <c r="H734" s="91" t="s">
        <v>2606</v>
      </c>
      <c r="I734" s="91" t="s">
        <v>1065</v>
      </c>
      <c r="J734" s="91">
        <v>6199</v>
      </c>
      <c r="K734" s="91">
        <f>1346+6278+4484+3500+6995+2332+2332+2332</f>
        <v>29599</v>
      </c>
      <c r="L734" s="91">
        <v>0</v>
      </c>
      <c r="M734" s="91">
        <v>0</v>
      </c>
      <c r="N734" s="91">
        <v>1793</v>
      </c>
      <c r="O734" s="91">
        <v>0</v>
      </c>
      <c r="P734" s="91">
        <v>0</v>
      </c>
      <c r="Q734" s="101">
        <f t="shared" si="22"/>
        <v>37591</v>
      </c>
      <c r="R734" s="95">
        <f t="shared" si="23"/>
        <v>31952.35</v>
      </c>
    </row>
    <row r="735" spans="1:23" ht="34.049999999999997" customHeight="1" x14ac:dyDescent="0.3">
      <c r="A735" s="90">
        <v>724</v>
      </c>
      <c r="B735" s="91" t="s">
        <v>2477</v>
      </c>
      <c r="C735" s="91" t="s">
        <v>2540</v>
      </c>
      <c r="D735" s="91" t="s">
        <v>2541</v>
      </c>
      <c r="E735" s="91">
        <v>1980</v>
      </c>
      <c r="F735" s="91" t="s">
        <v>18</v>
      </c>
      <c r="G735" s="91" t="s">
        <v>2577</v>
      </c>
      <c r="H735" s="91" t="s">
        <v>2577</v>
      </c>
      <c r="I735" s="91" t="s">
        <v>1262</v>
      </c>
      <c r="J735" s="91">
        <v>6199</v>
      </c>
      <c r="K735" s="91">
        <v>0</v>
      </c>
      <c r="L735" s="91">
        <v>0</v>
      </c>
      <c r="M735" s="91">
        <v>0</v>
      </c>
      <c r="N735" s="91">
        <v>0</v>
      </c>
      <c r="O735" s="91">
        <v>0</v>
      </c>
      <c r="P735" s="91">
        <v>0</v>
      </c>
      <c r="Q735" s="101">
        <f t="shared" si="22"/>
        <v>6199</v>
      </c>
      <c r="R735" s="95">
        <f t="shared" si="23"/>
        <v>5269.15</v>
      </c>
    </row>
    <row r="736" spans="1:23" ht="34.049999999999997" customHeight="1" x14ac:dyDescent="0.3">
      <c r="A736" s="96">
        <v>725</v>
      </c>
      <c r="B736" s="91" t="s">
        <v>2477</v>
      </c>
      <c r="C736" s="91" t="s">
        <v>7447</v>
      </c>
      <c r="D736" s="91" t="s">
        <v>2542</v>
      </c>
      <c r="E736" s="91">
        <v>2022</v>
      </c>
      <c r="F736" s="91" t="s">
        <v>18</v>
      </c>
      <c r="G736" s="91" t="s">
        <v>2578</v>
      </c>
      <c r="H736" s="91" t="s">
        <v>2607</v>
      </c>
      <c r="I736" s="91" t="s">
        <v>2130</v>
      </c>
      <c r="J736" s="91">
        <v>6199</v>
      </c>
      <c r="K736" s="91">
        <f>1346+6278+4484+2332+2332+2332+6995+6995+2332+6995+2332+2332+2332+4484</f>
        <v>53901</v>
      </c>
      <c r="L736" s="91">
        <v>0</v>
      </c>
      <c r="M736" s="91">
        <v>0</v>
      </c>
      <c r="N736" s="91">
        <v>3148</v>
      </c>
      <c r="O736" s="91">
        <v>0</v>
      </c>
      <c r="P736" s="91">
        <v>0</v>
      </c>
      <c r="Q736" s="101">
        <f t="shared" si="22"/>
        <v>63248</v>
      </c>
      <c r="R736" s="95">
        <f t="shared" si="23"/>
        <v>53760.800000000003</v>
      </c>
    </row>
    <row r="737" spans="1:23" ht="34.049999999999997" customHeight="1" x14ac:dyDescent="0.3">
      <c r="A737" s="90">
        <v>726</v>
      </c>
      <c r="B737" s="91" t="s">
        <v>2477</v>
      </c>
      <c r="C737" s="91" t="s">
        <v>7448</v>
      </c>
      <c r="D737" s="91" t="s">
        <v>2543</v>
      </c>
      <c r="E737" s="91">
        <v>1967</v>
      </c>
      <c r="F737" s="91" t="s">
        <v>18</v>
      </c>
      <c r="G737" s="91" t="s">
        <v>2579</v>
      </c>
      <c r="H737" s="91" t="s">
        <v>2608</v>
      </c>
      <c r="I737" s="91" t="s">
        <v>28</v>
      </c>
      <c r="J737" s="91">
        <v>6199</v>
      </c>
      <c r="K737" s="91">
        <v>0</v>
      </c>
      <c r="L737" s="91">
        <v>0</v>
      </c>
      <c r="M737" s="91">
        <v>0</v>
      </c>
      <c r="N737" s="91">
        <v>0</v>
      </c>
      <c r="O737" s="91">
        <v>0</v>
      </c>
      <c r="P737" s="91">
        <v>0</v>
      </c>
      <c r="Q737" s="101">
        <f t="shared" si="22"/>
        <v>6199</v>
      </c>
      <c r="R737" s="95">
        <f t="shared" si="23"/>
        <v>5269.15</v>
      </c>
    </row>
    <row r="738" spans="1:23" ht="34.049999999999997" customHeight="1" x14ac:dyDescent="0.3">
      <c r="A738" s="90">
        <v>727</v>
      </c>
      <c r="B738" s="91" t="s">
        <v>2477</v>
      </c>
      <c r="C738" s="91" t="s">
        <v>7449</v>
      </c>
      <c r="D738" s="91" t="s">
        <v>2544</v>
      </c>
      <c r="E738" s="91">
        <v>2022</v>
      </c>
      <c r="F738" s="91" t="s">
        <v>19</v>
      </c>
      <c r="G738" s="91" t="s">
        <v>2580</v>
      </c>
      <c r="H738" s="91" t="s">
        <v>2609</v>
      </c>
      <c r="I738" s="91" t="s">
        <v>1065</v>
      </c>
      <c r="J738" s="91">
        <v>6199</v>
      </c>
      <c r="K738" s="91">
        <f>1346+6278+4484</f>
        <v>12108</v>
      </c>
      <c r="L738" s="91">
        <v>0</v>
      </c>
      <c r="M738" s="91">
        <v>0</v>
      </c>
      <c r="N738" s="91">
        <v>3148</v>
      </c>
      <c r="O738" s="91">
        <v>0</v>
      </c>
      <c r="P738" s="91">
        <v>0</v>
      </c>
      <c r="Q738" s="101">
        <f t="shared" si="22"/>
        <v>21455</v>
      </c>
      <c r="R738" s="95">
        <f t="shared" si="23"/>
        <v>18236.75</v>
      </c>
    </row>
    <row r="739" spans="1:23" ht="34.049999999999997" customHeight="1" x14ac:dyDescent="0.3">
      <c r="A739" s="96">
        <v>728</v>
      </c>
      <c r="B739" s="91" t="s">
        <v>2477</v>
      </c>
      <c r="C739" s="91" t="s">
        <v>7450</v>
      </c>
      <c r="D739" s="91" t="s">
        <v>2545</v>
      </c>
      <c r="E739" s="91">
        <v>2024</v>
      </c>
      <c r="F739" s="91" t="s">
        <v>19</v>
      </c>
      <c r="G739" s="91" t="s">
        <v>2581</v>
      </c>
      <c r="H739" s="91" t="s">
        <v>2610</v>
      </c>
      <c r="I739" s="91" t="s">
        <v>20</v>
      </c>
      <c r="J739" s="91">
        <v>6199</v>
      </c>
      <c r="K739" s="91">
        <f>1346+6278+4484+4484+2332+2332+2332+2332+2332+2332+6995+6995+2332+6995</f>
        <v>53901</v>
      </c>
      <c r="L739" s="91">
        <v>0</v>
      </c>
      <c r="M739" s="91">
        <v>0</v>
      </c>
      <c r="N739" s="91">
        <v>3148</v>
      </c>
      <c r="O739" s="91">
        <v>0</v>
      </c>
      <c r="P739" s="91">
        <v>0</v>
      </c>
      <c r="Q739" s="101">
        <f t="shared" si="22"/>
        <v>63248</v>
      </c>
      <c r="R739" s="95">
        <f t="shared" si="23"/>
        <v>53760.800000000003</v>
      </c>
    </row>
    <row r="740" spans="1:23" ht="34.049999999999997" customHeight="1" x14ac:dyDescent="0.3">
      <c r="A740" s="90">
        <v>729</v>
      </c>
      <c r="B740" s="91" t="s">
        <v>2477</v>
      </c>
      <c r="C740" s="91" t="s">
        <v>7451</v>
      </c>
      <c r="D740" s="91" t="s">
        <v>2546</v>
      </c>
      <c r="E740" s="91">
        <v>2021</v>
      </c>
      <c r="F740" s="91" t="s">
        <v>19</v>
      </c>
      <c r="G740" s="91" t="s">
        <v>2582</v>
      </c>
      <c r="H740" s="91" t="s">
        <v>2611</v>
      </c>
      <c r="I740" s="91" t="s">
        <v>300</v>
      </c>
      <c r="J740" s="91">
        <v>6199</v>
      </c>
      <c r="K740" s="91">
        <v>0</v>
      </c>
      <c r="L740" s="91">
        <v>0</v>
      </c>
      <c r="M740" s="91">
        <v>0</v>
      </c>
      <c r="N740" s="91">
        <v>0</v>
      </c>
      <c r="O740" s="91">
        <v>0</v>
      </c>
      <c r="P740" s="91">
        <v>0</v>
      </c>
      <c r="Q740" s="101">
        <f t="shared" si="22"/>
        <v>6199</v>
      </c>
      <c r="R740" s="95">
        <f t="shared" si="23"/>
        <v>5269.15</v>
      </c>
    </row>
    <row r="741" spans="1:23" ht="34.049999999999997" customHeight="1" x14ac:dyDescent="0.3">
      <c r="A741" s="90">
        <v>730</v>
      </c>
      <c r="B741" s="91" t="s">
        <v>2477</v>
      </c>
      <c r="C741" s="91" t="s">
        <v>7452</v>
      </c>
      <c r="D741" s="91" t="s">
        <v>2547</v>
      </c>
      <c r="E741" s="91">
        <v>2018</v>
      </c>
      <c r="F741" s="91" t="s">
        <v>19</v>
      </c>
      <c r="G741" s="91" t="s">
        <v>2583</v>
      </c>
      <c r="H741" s="91" t="s">
        <v>2612</v>
      </c>
      <c r="I741" s="91" t="s">
        <v>300</v>
      </c>
      <c r="J741" s="91">
        <v>6199</v>
      </c>
      <c r="K741" s="91">
        <v>0</v>
      </c>
      <c r="L741" s="91">
        <v>0</v>
      </c>
      <c r="M741" s="91">
        <v>0</v>
      </c>
      <c r="N741" s="91">
        <v>0</v>
      </c>
      <c r="O741" s="91">
        <v>0</v>
      </c>
      <c r="P741" s="91">
        <v>0</v>
      </c>
      <c r="Q741" s="101">
        <f t="shared" si="22"/>
        <v>6199</v>
      </c>
      <c r="R741" s="95">
        <f t="shared" si="23"/>
        <v>5269.15</v>
      </c>
    </row>
    <row r="742" spans="1:23" ht="34.049999999999997" customHeight="1" x14ac:dyDescent="0.3">
      <c r="A742" s="96">
        <v>731</v>
      </c>
      <c r="B742" s="98" t="s">
        <v>2477</v>
      </c>
      <c r="C742" s="98" t="s">
        <v>7453</v>
      </c>
      <c r="D742" s="98" t="s">
        <v>2548</v>
      </c>
      <c r="E742" s="98">
        <v>2022</v>
      </c>
      <c r="F742" s="98" t="s">
        <v>19</v>
      </c>
      <c r="G742" s="98" t="s">
        <v>2584</v>
      </c>
      <c r="H742" s="98" t="s">
        <v>2613</v>
      </c>
      <c r="I742" s="98" t="s">
        <v>34</v>
      </c>
      <c r="J742" s="98">
        <v>6199</v>
      </c>
      <c r="K742" s="98">
        <v>0</v>
      </c>
      <c r="L742" s="98">
        <v>0</v>
      </c>
      <c r="M742" s="98">
        <v>0</v>
      </c>
      <c r="N742" s="98">
        <v>0</v>
      </c>
      <c r="O742" s="98">
        <v>0</v>
      </c>
      <c r="P742" s="98">
        <v>0</v>
      </c>
      <c r="Q742" s="101">
        <f t="shared" si="22"/>
        <v>6199</v>
      </c>
      <c r="R742" s="95">
        <f t="shared" si="23"/>
        <v>5269.15</v>
      </c>
      <c r="S742" s="41"/>
      <c r="T742" s="41"/>
      <c r="U742" s="41"/>
      <c r="V742" s="41"/>
      <c r="W742" s="41"/>
    </row>
    <row r="743" spans="1:23" ht="34.049999999999997" customHeight="1" x14ac:dyDescent="0.3">
      <c r="A743" s="90">
        <v>732</v>
      </c>
      <c r="B743" s="91" t="s">
        <v>2477</v>
      </c>
      <c r="C743" s="91" t="s">
        <v>7454</v>
      </c>
      <c r="D743" s="91" t="s">
        <v>2549</v>
      </c>
      <c r="E743" s="91">
        <v>2019</v>
      </c>
      <c r="F743" s="91" t="s">
        <v>18</v>
      </c>
      <c r="G743" s="91" t="s">
        <v>2585</v>
      </c>
      <c r="H743" s="91" t="s">
        <v>2614</v>
      </c>
      <c r="I743" s="91" t="s">
        <v>34</v>
      </c>
      <c r="J743" s="91">
        <v>6199</v>
      </c>
      <c r="K743" s="91">
        <v>0</v>
      </c>
      <c r="L743" s="91">
        <v>0</v>
      </c>
      <c r="M743" s="91">
        <v>0</v>
      </c>
      <c r="N743" s="91">
        <v>0</v>
      </c>
      <c r="O743" s="91">
        <v>0</v>
      </c>
      <c r="P743" s="91">
        <v>0</v>
      </c>
      <c r="Q743" s="101">
        <f t="shared" si="22"/>
        <v>6199</v>
      </c>
      <c r="R743" s="95">
        <f t="shared" si="23"/>
        <v>5269.15</v>
      </c>
    </row>
    <row r="744" spans="1:23" ht="34.049999999999997" customHeight="1" x14ac:dyDescent="0.3">
      <c r="A744" s="90">
        <v>733</v>
      </c>
      <c r="B744" s="91" t="s">
        <v>2477</v>
      </c>
      <c r="C744" s="91" t="s">
        <v>7455</v>
      </c>
      <c r="D744" s="93" t="s">
        <v>3707</v>
      </c>
      <c r="E744" s="91">
        <v>1975</v>
      </c>
      <c r="F744" s="91" t="s">
        <v>18</v>
      </c>
      <c r="G744" s="91" t="s">
        <v>2401</v>
      </c>
      <c r="H744" s="91" t="s">
        <v>2401</v>
      </c>
      <c r="I744" s="91" t="s">
        <v>278</v>
      </c>
      <c r="J744" s="91">
        <v>6199</v>
      </c>
      <c r="K744" s="91">
        <f>6278+4484+1346+2332+2332+2332+2332+2332+6995+6995+2332+6995+3000+3000+2801+2332+6995+3228</f>
        <v>68441</v>
      </c>
      <c r="L744" s="91">
        <v>0</v>
      </c>
      <c r="M744" s="91">
        <v>0</v>
      </c>
      <c r="N744" s="91">
        <f>1793+3179</f>
        <v>4972</v>
      </c>
      <c r="O744" s="91">
        <v>0</v>
      </c>
      <c r="P744" s="91">
        <f>1440+1320+120+374+1080</f>
        <v>4334</v>
      </c>
      <c r="Q744" s="101">
        <f t="shared" si="22"/>
        <v>83946</v>
      </c>
      <c r="R744" s="95">
        <f t="shared" si="23"/>
        <v>71354.100000000006</v>
      </c>
    </row>
    <row r="745" spans="1:23" ht="34.049999999999997" customHeight="1" x14ac:dyDescent="0.3">
      <c r="A745" s="96">
        <v>734</v>
      </c>
      <c r="B745" s="91" t="s">
        <v>2477</v>
      </c>
      <c r="C745" s="91" t="s">
        <v>7456</v>
      </c>
      <c r="D745" s="93" t="s">
        <v>3708</v>
      </c>
      <c r="E745" s="91">
        <v>2020</v>
      </c>
      <c r="F745" s="91" t="s">
        <v>18</v>
      </c>
      <c r="G745" s="91" t="s">
        <v>3709</v>
      </c>
      <c r="H745" s="91" t="s">
        <v>3710</v>
      </c>
      <c r="I745" s="91" t="s">
        <v>25</v>
      </c>
      <c r="J745" s="91">
        <v>6199</v>
      </c>
      <c r="K745" s="91">
        <f>6278+4484+1346+2332+2332+2332+2332+2332+6995+6995+2332+6995+2332</f>
        <v>49417</v>
      </c>
      <c r="L745" s="91">
        <v>0</v>
      </c>
      <c r="M745" s="91">
        <v>0</v>
      </c>
      <c r="N745" s="91">
        <v>3148</v>
      </c>
      <c r="O745" s="91">
        <v>0</v>
      </c>
      <c r="P745" s="91">
        <v>0</v>
      </c>
      <c r="Q745" s="101">
        <f t="shared" si="22"/>
        <v>58764</v>
      </c>
      <c r="R745" s="95">
        <f t="shared" si="23"/>
        <v>49949.4</v>
      </c>
    </row>
    <row r="746" spans="1:23" ht="34.049999999999997" customHeight="1" x14ac:dyDescent="0.3">
      <c r="A746" s="90">
        <v>735</v>
      </c>
      <c r="B746" s="91" t="s">
        <v>2477</v>
      </c>
      <c r="C746" s="91" t="s">
        <v>7456</v>
      </c>
      <c r="D746" s="93" t="s">
        <v>3708</v>
      </c>
      <c r="E746" s="91">
        <v>2020</v>
      </c>
      <c r="F746" s="91" t="s">
        <v>18</v>
      </c>
      <c r="G746" s="91" t="s">
        <v>3709</v>
      </c>
      <c r="H746" s="91" t="s">
        <v>3710</v>
      </c>
      <c r="I746" s="91" t="s">
        <v>25</v>
      </c>
      <c r="J746" s="91">
        <v>0</v>
      </c>
      <c r="K746" s="91">
        <v>0</v>
      </c>
      <c r="L746" s="91">
        <v>0</v>
      </c>
      <c r="M746" s="91">
        <v>17688</v>
      </c>
      <c r="N746" s="91">
        <v>0</v>
      </c>
      <c r="O746" s="91">
        <v>0</v>
      </c>
      <c r="P746" s="91">
        <f>360+56</f>
        <v>416</v>
      </c>
      <c r="Q746" s="101">
        <f t="shared" si="22"/>
        <v>18104</v>
      </c>
      <c r="R746" s="95">
        <f t="shared" si="23"/>
        <v>15388.4</v>
      </c>
    </row>
    <row r="747" spans="1:23" ht="34.049999999999997" customHeight="1" x14ac:dyDescent="0.3">
      <c r="A747" s="90">
        <v>736</v>
      </c>
      <c r="B747" s="91" t="s">
        <v>2477</v>
      </c>
      <c r="C747" s="91" t="s">
        <v>7457</v>
      </c>
      <c r="D747" s="93" t="s">
        <v>1914</v>
      </c>
      <c r="E747" s="91">
        <v>2016</v>
      </c>
      <c r="F747" s="91" t="s">
        <v>19</v>
      </c>
      <c r="G747" s="91" t="s">
        <v>2028</v>
      </c>
      <c r="H747" s="91" t="s">
        <v>2084</v>
      </c>
      <c r="I747" s="91" t="s">
        <v>2621</v>
      </c>
      <c r="J747" s="91">
        <v>3793</v>
      </c>
      <c r="K747" s="91">
        <v>0</v>
      </c>
      <c r="L747" s="91">
        <v>0</v>
      </c>
      <c r="M747" s="91">
        <v>0</v>
      </c>
      <c r="N747" s="91">
        <f>4053+2088</f>
        <v>6141</v>
      </c>
      <c r="O747" s="91">
        <v>0</v>
      </c>
      <c r="P747" s="91">
        <f>720+1080+336+120+360+56</f>
        <v>2672</v>
      </c>
      <c r="Q747" s="101">
        <f t="shared" si="22"/>
        <v>12606</v>
      </c>
      <c r="R747" s="95">
        <f t="shared" si="23"/>
        <v>10715.1</v>
      </c>
    </row>
    <row r="748" spans="1:23" ht="34.049999999999997" customHeight="1" x14ac:dyDescent="0.3">
      <c r="A748" s="96">
        <v>737</v>
      </c>
      <c r="B748" s="91" t="s">
        <v>2477</v>
      </c>
      <c r="C748" s="91" t="s">
        <v>7457</v>
      </c>
      <c r="D748" s="93" t="s">
        <v>1914</v>
      </c>
      <c r="E748" s="91">
        <v>2016</v>
      </c>
      <c r="F748" s="91" t="s">
        <v>19</v>
      </c>
      <c r="G748" s="91" t="s">
        <v>2028</v>
      </c>
      <c r="H748" s="91" t="s">
        <v>2084</v>
      </c>
      <c r="I748" s="91" t="s">
        <v>2621</v>
      </c>
      <c r="J748" s="91">
        <v>0</v>
      </c>
      <c r="K748" s="91">
        <v>0</v>
      </c>
      <c r="L748" s="91">
        <v>0</v>
      </c>
      <c r="M748" s="91">
        <v>17688</v>
      </c>
      <c r="N748" s="91">
        <v>0</v>
      </c>
      <c r="O748" s="91">
        <v>0</v>
      </c>
      <c r="P748" s="91">
        <f>360+56+720+374</f>
        <v>1510</v>
      </c>
      <c r="Q748" s="101">
        <f t="shared" si="22"/>
        <v>19198</v>
      </c>
      <c r="R748" s="95">
        <f t="shared" si="23"/>
        <v>16318.3</v>
      </c>
    </row>
    <row r="749" spans="1:23" ht="34.049999999999997" customHeight="1" x14ac:dyDescent="0.3">
      <c r="A749" s="90">
        <v>738</v>
      </c>
      <c r="B749" s="91" t="s">
        <v>2477</v>
      </c>
      <c r="C749" s="91" t="s">
        <v>7458</v>
      </c>
      <c r="D749" s="93" t="s">
        <v>2299</v>
      </c>
      <c r="E749" s="91">
        <v>2024</v>
      </c>
      <c r="F749" s="91" t="s">
        <v>19</v>
      </c>
      <c r="G749" s="91" t="s">
        <v>2387</v>
      </c>
      <c r="H749" s="91" t="s">
        <v>1452</v>
      </c>
      <c r="I749" s="91" t="s">
        <v>282</v>
      </c>
      <c r="J749" s="91">
        <v>3793</v>
      </c>
      <c r="K749" s="91">
        <f>6278+4484+1346+4484+2332+2332+2332+2332+2332+2332+6995+6995+2332+6995</f>
        <v>53901</v>
      </c>
      <c r="L749" s="91">
        <v>0</v>
      </c>
      <c r="M749" s="91">
        <v>0</v>
      </c>
      <c r="N749" s="91">
        <f>3148+2088+4053</f>
        <v>9289</v>
      </c>
      <c r="O749" s="91">
        <v>0</v>
      </c>
      <c r="P749" s="91">
        <f>720+1080+120+720+112</f>
        <v>2752</v>
      </c>
      <c r="Q749" s="101">
        <f t="shared" si="22"/>
        <v>69735</v>
      </c>
      <c r="R749" s="95">
        <f t="shared" si="23"/>
        <v>59274.75</v>
      </c>
    </row>
    <row r="750" spans="1:23" ht="34.049999999999997" customHeight="1" x14ac:dyDescent="0.3">
      <c r="A750" s="90">
        <v>739</v>
      </c>
      <c r="B750" s="91" t="s">
        <v>2477</v>
      </c>
      <c r="C750" s="91" t="s">
        <v>7458</v>
      </c>
      <c r="D750" s="93" t="s">
        <v>2299</v>
      </c>
      <c r="E750" s="91">
        <v>2024</v>
      </c>
      <c r="F750" s="91" t="s">
        <v>19</v>
      </c>
      <c r="G750" s="91" t="s">
        <v>2387</v>
      </c>
      <c r="H750" s="91" t="s">
        <v>1452</v>
      </c>
      <c r="I750" s="91" t="s">
        <v>282</v>
      </c>
      <c r="J750" s="91">
        <v>0</v>
      </c>
      <c r="K750" s="91">
        <v>0</v>
      </c>
      <c r="L750" s="91">
        <v>0</v>
      </c>
      <c r="M750" s="91">
        <v>17688</v>
      </c>
      <c r="N750" s="91">
        <v>0</v>
      </c>
      <c r="O750" s="91">
        <v>0</v>
      </c>
      <c r="P750" s="91">
        <v>0</v>
      </c>
      <c r="Q750" s="101">
        <f t="shared" si="22"/>
        <v>17688</v>
      </c>
      <c r="R750" s="95">
        <f t="shared" si="23"/>
        <v>15034.8</v>
      </c>
    </row>
    <row r="751" spans="1:23" ht="34.049999999999997" customHeight="1" x14ac:dyDescent="0.3">
      <c r="A751" s="96">
        <v>740</v>
      </c>
      <c r="B751" s="91" t="s">
        <v>2477</v>
      </c>
      <c r="C751" s="91" t="s">
        <v>7459</v>
      </c>
      <c r="D751" s="93" t="s">
        <v>2511</v>
      </c>
      <c r="E751" s="91">
        <v>2006</v>
      </c>
      <c r="F751" s="91" t="s">
        <v>19</v>
      </c>
      <c r="G751" s="91" t="s">
        <v>2564</v>
      </c>
      <c r="H751" s="91" t="s">
        <v>2597</v>
      </c>
      <c r="I751" s="91" t="s">
        <v>278</v>
      </c>
      <c r="J751" s="91">
        <v>2900</v>
      </c>
      <c r="K751" s="91">
        <v>3000</v>
      </c>
      <c r="L751" s="91">
        <v>0</v>
      </c>
      <c r="M751" s="91">
        <v>0</v>
      </c>
      <c r="N751" s="91">
        <v>2088</v>
      </c>
      <c r="O751" s="91">
        <v>0</v>
      </c>
      <c r="P751" s="91">
        <f>360+56</f>
        <v>416</v>
      </c>
      <c r="Q751" s="101">
        <f t="shared" si="22"/>
        <v>8404</v>
      </c>
      <c r="R751" s="95">
        <f t="shared" si="23"/>
        <v>7143.4</v>
      </c>
    </row>
    <row r="752" spans="1:23" ht="34.049999999999997" customHeight="1" x14ac:dyDescent="0.3">
      <c r="A752" s="90">
        <v>741</v>
      </c>
      <c r="B752" s="91" t="s">
        <v>2477</v>
      </c>
      <c r="C752" s="91" t="s">
        <v>7460</v>
      </c>
      <c r="D752" s="93" t="s">
        <v>3700</v>
      </c>
      <c r="E752" s="91">
        <v>2021</v>
      </c>
      <c r="F752" s="91" t="s">
        <v>19</v>
      </c>
      <c r="G752" s="91" t="s">
        <v>3701</v>
      </c>
      <c r="H752" s="91" t="s">
        <v>3702</v>
      </c>
      <c r="I752" s="91" t="s">
        <v>3703</v>
      </c>
      <c r="J752" s="91">
        <v>2900</v>
      </c>
      <c r="K752" s="91">
        <v>0</v>
      </c>
      <c r="L752" s="91">
        <v>0</v>
      </c>
      <c r="M752" s="91">
        <v>17688</v>
      </c>
      <c r="N752" s="91">
        <v>1681</v>
      </c>
      <c r="O752" s="91">
        <v>0</v>
      </c>
      <c r="P752" s="91">
        <f>1080+168</f>
        <v>1248</v>
      </c>
      <c r="Q752" s="101">
        <f t="shared" si="22"/>
        <v>23517</v>
      </c>
      <c r="R752" s="95">
        <f t="shared" si="23"/>
        <v>19989.45</v>
      </c>
    </row>
    <row r="753" spans="1:23" ht="34.049999999999997" customHeight="1" x14ac:dyDescent="0.3">
      <c r="A753" s="90">
        <v>742</v>
      </c>
      <c r="B753" s="98" t="s">
        <v>2477</v>
      </c>
      <c r="C753" s="98" t="s">
        <v>7461</v>
      </c>
      <c r="D753" s="99" t="s">
        <v>2176</v>
      </c>
      <c r="E753" s="98">
        <v>2004</v>
      </c>
      <c r="F753" s="98" t="s">
        <v>19</v>
      </c>
      <c r="G753" s="98" t="s">
        <v>2328</v>
      </c>
      <c r="H753" s="98" t="s">
        <v>2402</v>
      </c>
      <c r="I753" s="98" t="s">
        <v>2445</v>
      </c>
      <c r="J753" s="98">
        <v>2900</v>
      </c>
      <c r="K753" s="98">
        <v>0</v>
      </c>
      <c r="L753" s="98">
        <v>0</v>
      </c>
      <c r="M753" s="98">
        <v>0</v>
      </c>
      <c r="N753" s="98">
        <v>0</v>
      </c>
      <c r="O753" s="98">
        <v>0</v>
      </c>
      <c r="P753" s="98">
        <v>0</v>
      </c>
      <c r="Q753" s="101">
        <f t="shared" si="22"/>
        <v>2900</v>
      </c>
      <c r="R753" s="95">
        <f t="shared" si="23"/>
        <v>2465</v>
      </c>
      <c r="S753" s="41"/>
      <c r="T753" s="41"/>
      <c r="U753" s="41"/>
      <c r="V753" s="41"/>
      <c r="W753" s="41"/>
    </row>
    <row r="754" spans="1:23" ht="34.049999999999997" customHeight="1" x14ac:dyDescent="0.3">
      <c r="A754" s="96">
        <v>743</v>
      </c>
      <c r="B754" s="91" t="s">
        <v>2477</v>
      </c>
      <c r="C754" s="91" t="s">
        <v>7462</v>
      </c>
      <c r="D754" s="93" t="s">
        <v>2153</v>
      </c>
      <c r="E754" s="91">
        <v>1998</v>
      </c>
      <c r="F754" s="91" t="s">
        <v>19</v>
      </c>
      <c r="G754" s="91" t="s">
        <v>2317</v>
      </c>
      <c r="H754" s="91" t="s">
        <v>2396</v>
      </c>
      <c r="I754" s="91" t="s">
        <v>539</v>
      </c>
      <c r="J754" s="91">
        <v>2900</v>
      </c>
      <c r="K754" s="91">
        <v>0</v>
      </c>
      <c r="L754" s="91">
        <v>0</v>
      </c>
      <c r="M754" s="91">
        <v>0</v>
      </c>
      <c r="N754" s="91">
        <v>1681</v>
      </c>
      <c r="O754" s="91">
        <v>0</v>
      </c>
      <c r="P754" s="91">
        <f>56+312+396</f>
        <v>764</v>
      </c>
      <c r="Q754" s="101">
        <f t="shared" si="22"/>
        <v>5345</v>
      </c>
      <c r="R754" s="95">
        <f t="shared" si="23"/>
        <v>4543.25</v>
      </c>
    </row>
    <row r="755" spans="1:23" ht="34.049999999999997" customHeight="1" x14ac:dyDescent="0.3">
      <c r="A755" s="90">
        <v>744</v>
      </c>
      <c r="B755" s="91" t="s">
        <v>2477</v>
      </c>
      <c r="C755" s="91" t="s">
        <v>7463</v>
      </c>
      <c r="D755" s="93" t="s">
        <v>1777</v>
      </c>
      <c r="E755" s="91">
        <v>2021</v>
      </c>
      <c r="F755" s="91" t="s">
        <v>19</v>
      </c>
      <c r="G755" s="91" t="s">
        <v>1835</v>
      </c>
      <c r="H755" s="91" t="s">
        <v>1875</v>
      </c>
      <c r="I755" s="91" t="s">
        <v>1267</v>
      </c>
      <c r="J755" s="91">
        <v>2900</v>
      </c>
      <c r="K755" s="91">
        <v>0</v>
      </c>
      <c r="L755" s="91">
        <v>0</v>
      </c>
      <c r="M755" s="91">
        <v>17688</v>
      </c>
      <c r="N755" s="91">
        <v>2088</v>
      </c>
      <c r="O755" s="91">
        <v>0</v>
      </c>
      <c r="P755" s="91">
        <f>1080+168</f>
        <v>1248</v>
      </c>
      <c r="Q755" s="101">
        <f t="shared" si="22"/>
        <v>23924</v>
      </c>
      <c r="R755" s="95">
        <f t="shared" si="23"/>
        <v>20335.400000000001</v>
      </c>
    </row>
    <row r="756" spans="1:23" ht="34.049999999999997" customHeight="1" x14ac:dyDescent="0.3">
      <c r="A756" s="90">
        <v>745</v>
      </c>
      <c r="B756" s="91" t="s">
        <v>2477</v>
      </c>
      <c r="C756" s="91" t="s">
        <v>7464</v>
      </c>
      <c r="D756" s="93" t="s">
        <v>3697</v>
      </c>
      <c r="E756" s="91">
        <v>2020</v>
      </c>
      <c r="F756" s="91" t="s">
        <v>19</v>
      </c>
      <c r="G756" s="91" t="s">
        <v>3698</v>
      </c>
      <c r="H756" s="91" t="s">
        <v>2423</v>
      </c>
      <c r="I756" s="91" t="s">
        <v>1278</v>
      </c>
      <c r="J756" s="91">
        <v>2900</v>
      </c>
      <c r="K756" s="91">
        <v>0</v>
      </c>
      <c r="L756" s="91">
        <v>0</v>
      </c>
      <c r="M756" s="91">
        <v>17688</v>
      </c>
      <c r="N756" s="91">
        <v>2088</v>
      </c>
      <c r="O756" s="91">
        <v>0</v>
      </c>
      <c r="P756" s="91">
        <f>312+168+720+60</f>
        <v>1260</v>
      </c>
      <c r="Q756" s="101">
        <f t="shared" si="22"/>
        <v>23936</v>
      </c>
      <c r="R756" s="95">
        <f t="shared" si="23"/>
        <v>20345.599999999999</v>
      </c>
    </row>
    <row r="757" spans="1:23" ht="34.049999999999997" customHeight="1" x14ac:dyDescent="0.3">
      <c r="A757" s="96">
        <v>746</v>
      </c>
      <c r="B757" s="91" t="s">
        <v>2655</v>
      </c>
      <c r="C757" s="91" t="s">
        <v>2656</v>
      </c>
      <c r="D757" s="91" t="s">
        <v>2657</v>
      </c>
      <c r="E757" s="91">
        <v>2009</v>
      </c>
      <c r="F757" s="91" t="s">
        <v>19</v>
      </c>
      <c r="G757" s="91" t="s">
        <v>2758</v>
      </c>
      <c r="H757" s="91" t="s">
        <v>2806</v>
      </c>
      <c r="I757" s="91" t="s">
        <v>2843</v>
      </c>
      <c r="J757" s="91">
        <v>6199</v>
      </c>
      <c r="K757" s="91">
        <f>2332+2332+1166+2801+2332+2332+2332+2332+6995+6278+4484+1346+2332+2332</f>
        <v>41726</v>
      </c>
      <c r="L757" s="91">
        <v>0</v>
      </c>
      <c r="M757" s="91">
        <v>0</v>
      </c>
      <c r="N757" s="91">
        <v>1793</v>
      </c>
      <c r="O757" s="91">
        <v>0</v>
      </c>
      <c r="P757" s="91">
        <v>0</v>
      </c>
      <c r="Q757" s="101">
        <f t="shared" si="22"/>
        <v>49718</v>
      </c>
      <c r="R757" s="95">
        <f t="shared" si="23"/>
        <v>42260.3</v>
      </c>
    </row>
    <row r="758" spans="1:23" ht="34.049999999999997" customHeight="1" x14ac:dyDescent="0.3">
      <c r="A758" s="90">
        <v>747</v>
      </c>
      <c r="B758" s="91" t="s">
        <v>2655</v>
      </c>
      <c r="C758" s="91" t="s">
        <v>2658</v>
      </c>
      <c r="D758" s="91" t="s">
        <v>2659</v>
      </c>
      <c r="E758" s="91">
        <v>2008</v>
      </c>
      <c r="F758" s="91" t="s">
        <v>18</v>
      </c>
      <c r="G758" s="91" t="s">
        <v>2759</v>
      </c>
      <c r="H758" s="91" t="s">
        <v>2807</v>
      </c>
      <c r="I758" s="91" t="s">
        <v>2844</v>
      </c>
      <c r="J758" s="91">
        <v>6199</v>
      </c>
      <c r="K758" s="91">
        <v>0</v>
      </c>
      <c r="L758" s="91">
        <v>0</v>
      </c>
      <c r="M758" s="91">
        <v>0</v>
      </c>
      <c r="N758" s="91">
        <v>0</v>
      </c>
      <c r="O758" s="91">
        <v>0</v>
      </c>
      <c r="P758" s="91">
        <v>0</v>
      </c>
      <c r="Q758" s="101">
        <f t="shared" si="22"/>
        <v>6199</v>
      </c>
      <c r="R758" s="95">
        <f t="shared" si="23"/>
        <v>5269.15</v>
      </c>
    </row>
    <row r="759" spans="1:23" ht="34.049999999999997" customHeight="1" x14ac:dyDescent="0.3">
      <c r="A759" s="90">
        <v>748</v>
      </c>
      <c r="B759" s="91" t="s">
        <v>2655</v>
      </c>
      <c r="C759" s="91" t="s">
        <v>2660</v>
      </c>
      <c r="D759" s="91" t="s">
        <v>2661</v>
      </c>
      <c r="E759" s="91">
        <v>2009</v>
      </c>
      <c r="F759" s="91" t="s">
        <v>19</v>
      </c>
      <c r="G759" s="91" t="s">
        <v>2760</v>
      </c>
      <c r="H759" s="91" t="s">
        <v>2808</v>
      </c>
      <c r="I759" s="91" t="s">
        <v>2645</v>
      </c>
      <c r="J759" s="91">
        <v>6199</v>
      </c>
      <c r="K759" s="91">
        <v>0</v>
      </c>
      <c r="L759" s="91">
        <v>0</v>
      </c>
      <c r="M759" s="91">
        <v>0</v>
      </c>
      <c r="N759" s="91">
        <v>0</v>
      </c>
      <c r="O759" s="91">
        <v>0</v>
      </c>
      <c r="P759" s="91">
        <v>0</v>
      </c>
      <c r="Q759" s="101">
        <f t="shared" si="22"/>
        <v>6199</v>
      </c>
      <c r="R759" s="95">
        <f t="shared" si="23"/>
        <v>5269.15</v>
      </c>
    </row>
    <row r="760" spans="1:23" ht="34.049999999999997" customHeight="1" x14ac:dyDescent="0.3">
      <c r="A760" s="96">
        <v>749</v>
      </c>
      <c r="B760" s="91" t="s">
        <v>2655</v>
      </c>
      <c r="C760" s="91" t="s">
        <v>2662</v>
      </c>
      <c r="D760" s="91" t="s">
        <v>2663</v>
      </c>
      <c r="E760" s="91">
        <v>2008</v>
      </c>
      <c r="F760" s="91" t="s">
        <v>19</v>
      </c>
      <c r="G760" s="91" t="s">
        <v>2761</v>
      </c>
      <c r="H760" s="91" t="s">
        <v>2809</v>
      </c>
      <c r="I760" s="91" t="s">
        <v>2845</v>
      </c>
      <c r="J760" s="91">
        <v>6199</v>
      </c>
      <c r="K760" s="91">
        <f>2332+2332+2243</f>
        <v>6907</v>
      </c>
      <c r="L760" s="91">
        <v>0</v>
      </c>
      <c r="M760" s="91">
        <v>0</v>
      </c>
      <c r="N760" s="91">
        <v>0</v>
      </c>
      <c r="O760" s="91">
        <v>0</v>
      </c>
      <c r="P760" s="91">
        <v>0</v>
      </c>
      <c r="Q760" s="101">
        <f t="shared" si="22"/>
        <v>13106</v>
      </c>
      <c r="R760" s="95">
        <f t="shared" si="23"/>
        <v>11140.1</v>
      </c>
    </row>
    <row r="761" spans="1:23" ht="34.049999999999997" customHeight="1" x14ac:dyDescent="0.3">
      <c r="A761" s="90">
        <v>750</v>
      </c>
      <c r="B761" s="91" t="s">
        <v>2655</v>
      </c>
      <c r="C761" s="91" t="s">
        <v>2664</v>
      </c>
      <c r="D761" s="91" t="s">
        <v>2665</v>
      </c>
      <c r="E761" s="91">
        <v>1983</v>
      </c>
      <c r="F761" s="91" t="s">
        <v>19</v>
      </c>
      <c r="G761" s="91" t="s">
        <v>2762</v>
      </c>
      <c r="H761" s="91" t="s">
        <v>2810</v>
      </c>
      <c r="I761" s="91" t="s">
        <v>576</v>
      </c>
      <c r="J761" s="91">
        <v>3582</v>
      </c>
      <c r="K761" s="91">
        <v>0</v>
      </c>
      <c r="L761" s="91">
        <v>0</v>
      </c>
      <c r="M761" s="91">
        <v>0</v>
      </c>
      <c r="N761" s="91">
        <f>15443+13563+20859</f>
        <v>49865</v>
      </c>
      <c r="O761" s="91">
        <v>0</v>
      </c>
      <c r="P761" s="91">
        <v>0</v>
      </c>
      <c r="Q761" s="101">
        <f t="shared" si="22"/>
        <v>53447</v>
      </c>
      <c r="R761" s="95">
        <f t="shared" si="23"/>
        <v>45429.95</v>
      </c>
    </row>
    <row r="762" spans="1:23" ht="34.049999999999997" customHeight="1" x14ac:dyDescent="0.3">
      <c r="A762" s="90">
        <v>751</v>
      </c>
      <c r="B762" s="91" t="s">
        <v>2655</v>
      </c>
      <c r="C762" s="91" t="s">
        <v>2666</v>
      </c>
      <c r="D762" s="91" t="s">
        <v>2667</v>
      </c>
      <c r="E762" s="91">
        <v>2016</v>
      </c>
      <c r="F762" s="91" t="s">
        <v>19</v>
      </c>
      <c r="G762" s="91" t="s">
        <v>2763</v>
      </c>
      <c r="H762" s="91" t="s">
        <v>2811</v>
      </c>
      <c r="I762" s="91" t="s">
        <v>2127</v>
      </c>
      <c r="J762" s="91">
        <v>6199</v>
      </c>
      <c r="K762" s="91">
        <f>6278+4484+1346+4484+2332+2332+2332+2332+2332+2332+1166+6995+6995+2332+6995</f>
        <v>55067</v>
      </c>
      <c r="L762" s="91">
        <v>0</v>
      </c>
      <c r="M762" s="91">
        <v>0</v>
      </c>
      <c r="N762" s="91">
        <v>3148</v>
      </c>
      <c r="O762" s="91">
        <v>0</v>
      </c>
      <c r="P762" s="91">
        <v>0</v>
      </c>
      <c r="Q762" s="101">
        <f t="shared" si="22"/>
        <v>64414</v>
      </c>
      <c r="R762" s="95">
        <f t="shared" si="23"/>
        <v>54751.9</v>
      </c>
    </row>
    <row r="763" spans="1:23" ht="34.049999999999997" customHeight="1" x14ac:dyDescent="0.3">
      <c r="A763" s="96">
        <v>752</v>
      </c>
      <c r="B763" s="91" t="s">
        <v>2655</v>
      </c>
      <c r="C763" s="91" t="s">
        <v>2668</v>
      </c>
      <c r="D763" s="91" t="s">
        <v>2669</v>
      </c>
      <c r="E763" s="91">
        <v>2023</v>
      </c>
      <c r="F763" s="91" t="s">
        <v>18</v>
      </c>
      <c r="G763" s="91" t="s">
        <v>2764</v>
      </c>
      <c r="H763" s="91" t="s">
        <v>2812</v>
      </c>
      <c r="I763" s="91" t="s">
        <v>2846</v>
      </c>
      <c r="J763" s="91">
        <v>6199</v>
      </c>
      <c r="K763" s="91">
        <f>1346+6278+4484+4484</f>
        <v>16592</v>
      </c>
      <c r="L763" s="91">
        <v>0</v>
      </c>
      <c r="M763" s="91">
        <v>0</v>
      </c>
      <c r="N763" s="91">
        <v>3148</v>
      </c>
      <c r="O763" s="91">
        <v>0</v>
      </c>
      <c r="P763" s="91">
        <v>0</v>
      </c>
      <c r="Q763" s="101">
        <f t="shared" si="22"/>
        <v>25939</v>
      </c>
      <c r="R763" s="95">
        <f t="shared" si="23"/>
        <v>22048.15</v>
      </c>
    </row>
    <row r="764" spans="1:23" ht="34.049999999999997" customHeight="1" x14ac:dyDescent="0.3">
      <c r="A764" s="90">
        <v>753</v>
      </c>
      <c r="B764" s="91" t="s">
        <v>2655</v>
      </c>
      <c r="C764" s="91" t="s">
        <v>2670</v>
      </c>
      <c r="D764" s="91" t="s">
        <v>1149</v>
      </c>
      <c r="E764" s="91">
        <v>2002</v>
      </c>
      <c r="F764" s="91" t="s">
        <v>18</v>
      </c>
      <c r="G764" s="91" t="s">
        <v>1203</v>
      </c>
      <c r="H764" s="91" t="s">
        <v>1203</v>
      </c>
      <c r="I764" s="91" t="s">
        <v>1257</v>
      </c>
      <c r="J764" s="91">
        <v>3793</v>
      </c>
      <c r="K764" s="91">
        <f>1346+6278+4484+6995+2332+2332+2332+2332+2332+2332+1166+2801+3000+3000+3228+6995+6995+2332+6995</f>
        <v>69607</v>
      </c>
      <c r="L764" s="91">
        <v>0</v>
      </c>
      <c r="M764" s="91">
        <v>0</v>
      </c>
      <c r="N764" s="91">
        <v>1793</v>
      </c>
      <c r="O764" s="91">
        <v>0</v>
      </c>
      <c r="P764" s="91">
        <v>0</v>
      </c>
      <c r="Q764" s="101">
        <f t="shared" si="22"/>
        <v>75193</v>
      </c>
      <c r="R764" s="95">
        <f t="shared" si="23"/>
        <v>63914.05</v>
      </c>
    </row>
    <row r="765" spans="1:23" ht="34.049999999999997" customHeight="1" x14ac:dyDescent="0.3">
      <c r="A765" s="90">
        <v>754</v>
      </c>
      <c r="B765" s="91" t="s">
        <v>2655</v>
      </c>
      <c r="C765" s="91" t="s">
        <v>2671</v>
      </c>
      <c r="D765" s="91" t="s">
        <v>2672</v>
      </c>
      <c r="E765" s="91">
        <v>2002</v>
      </c>
      <c r="F765" s="91" t="s">
        <v>19</v>
      </c>
      <c r="G765" s="91" t="s">
        <v>2765</v>
      </c>
      <c r="H765" s="91" t="s">
        <v>2765</v>
      </c>
      <c r="I765" s="91" t="s">
        <v>2847</v>
      </c>
      <c r="J765" s="91">
        <v>6199</v>
      </c>
      <c r="K765" s="91">
        <v>0</v>
      </c>
      <c r="L765" s="91">
        <v>9422</v>
      </c>
      <c r="M765" s="91">
        <v>0</v>
      </c>
      <c r="N765" s="91">
        <v>0</v>
      </c>
      <c r="O765" s="91">
        <v>0</v>
      </c>
      <c r="P765" s="91">
        <v>0</v>
      </c>
      <c r="Q765" s="101">
        <f t="shared" si="22"/>
        <v>15621</v>
      </c>
      <c r="R765" s="95">
        <f t="shared" si="23"/>
        <v>13277.85</v>
      </c>
    </row>
    <row r="766" spans="1:23" ht="34.049999999999997" customHeight="1" x14ac:dyDescent="0.3">
      <c r="A766" s="96">
        <v>755</v>
      </c>
      <c r="B766" s="91" t="s">
        <v>2655</v>
      </c>
      <c r="C766" s="91" t="s">
        <v>2673</v>
      </c>
      <c r="D766" s="91" t="s">
        <v>2674</v>
      </c>
      <c r="E766" s="91">
        <v>2022</v>
      </c>
      <c r="F766" s="91" t="s">
        <v>19</v>
      </c>
      <c r="G766" s="91" t="s">
        <v>2766</v>
      </c>
      <c r="H766" s="91" t="s">
        <v>2813</v>
      </c>
      <c r="I766" s="91" t="s">
        <v>2848</v>
      </c>
      <c r="J766" s="91">
        <v>6199</v>
      </c>
      <c r="K766" s="91">
        <v>0</v>
      </c>
      <c r="L766" s="91">
        <v>0</v>
      </c>
      <c r="M766" s="91">
        <v>0</v>
      </c>
      <c r="N766" s="91">
        <v>0</v>
      </c>
      <c r="O766" s="91">
        <v>0</v>
      </c>
      <c r="P766" s="91">
        <v>0</v>
      </c>
      <c r="Q766" s="101">
        <f t="shared" si="22"/>
        <v>6199</v>
      </c>
      <c r="R766" s="95">
        <f t="shared" si="23"/>
        <v>5269.15</v>
      </c>
    </row>
    <row r="767" spans="1:23" ht="34.049999999999997" customHeight="1" x14ac:dyDescent="0.3">
      <c r="A767" s="90">
        <v>756</v>
      </c>
      <c r="B767" s="91" t="s">
        <v>2655</v>
      </c>
      <c r="C767" s="91" t="s">
        <v>2675</v>
      </c>
      <c r="D767" s="91" t="s">
        <v>2676</v>
      </c>
      <c r="E767" s="91">
        <v>1990</v>
      </c>
      <c r="F767" s="91" t="s">
        <v>18</v>
      </c>
      <c r="G767" s="91" t="s">
        <v>2767</v>
      </c>
      <c r="H767" s="91" t="s">
        <v>2767</v>
      </c>
      <c r="I767" s="91" t="s">
        <v>2849</v>
      </c>
      <c r="J767" s="91">
        <v>6199</v>
      </c>
      <c r="K767" s="91">
        <v>0</v>
      </c>
      <c r="L767" s="91">
        <v>0</v>
      </c>
      <c r="M767" s="91">
        <v>0</v>
      </c>
      <c r="N767" s="91">
        <v>0</v>
      </c>
      <c r="O767" s="91">
        <v>0</v>
      </c>
      <c r="P767" s="91">
        <v>0</v>
      </c>
      <c r="Q767" s="101">
        <f t="shared" si="22"/>
        <v>6199</v>
      </c>
      <c r="R767" s="95">
        <f t="shared" si="23"/>
        <v>5269.15</v>
      </c>
    </row>
    <row r="768" spans="1:23" ht="34.049999999999997" customHeight="1" x14ac:dyDescent="0.3">
      <c r="A768" s="90">
        <v>757</v>
      </c>
      <c r="B768" s="91" t="s">
        <v>2655</v>
      </c>
      <c r="C768" s="91" t="s">
        <v>2677</v>
      </c>
      <c r="D768" s="91" t="s">
        <v>2678</v>
      </c>
      <c r="E768" s="91">
        <v>1994</v>
      </c>
      <c r="F768" s="91" t="s">
        <v>19</v>
      </c>
      <c r="G768" s="91" t="s">
        <v>2768</v>
      </c>
      <c r="H768" s="91" t="s">
        <v>2814</v>
      </c>
      <c r="I768" s="91" t="s">
        <v>27</v>
      </c>
      <c r="J768" s="91">
        <v>6199</v>
      </c>
      <c r="K768" s="91">
        <f>6278+4484+1346+2332+4484+2332+3000+3000+2332+2332+3228+2332+2332+6995+6995</f>
        <v>53802</v>
      </c>
      <c r="L768" s="91">
        <v>0</v>
      </c>
      <c r="M768" s="91">
        <v>0</v>
      </c>
      <c r="N768" s="91">
        <v>1793</v>
      </c>
      <c r="O768" s="91">
        <v>0</v>
      </c>
      <c r="P768" s="91">
        <v>0</v>
      </c>
      <c r="Q768" s="101">
        <f t="shared" si="22"/>
        <v>61794</v>
      </c>
      <c r="R768" s="95">
        <f t="shared" si="23"/>
        <v>52524.9</v>
      </c>
    </row>
    <row r="769" spans="1:18" ht="34.049999999999997" customHeight="1" x14ac:dyDescent="0.3">
      <c r="A769" s="96">
        <v>758</v>
      </c>
      <c r="B769" s="91" t="s">
        <v>2655</v>
      </c>
      <c r="C769" s="91" t="s">
        <v>2679</v>
      </c>
      <c r="D769" s="91" t="s">
        <v>2680</v>
      </c>
      <c r="E769" s="91">
        <v>2019</v>
      </c>
      <c r="F769" s="91" t="s">
        <v>19</v>
      </c>
      <c r="G769" s="91" t="s">
        <v>2769</v>
      </c>
      <c r="H769" s="91" t="s">
        <v>2815</v>
      </c>
      <c r="I769" s="91" t="s">
        <v>2850</v>
      </c>
      <c r="J769" s="91">
        <v>6199</v>
      </c>
      <c r="K769" s="91">
        <f>1346+6278+4484+4484+2332+2332+2332+2332+2332+2332+6995+6995+2332+6995+1166</f>
        <v>55067</v>
      </c>
      <c r="L769" s="91">
        <v>0</v>
      </c>
      <c r="M769" s="91">
        <v>0</v>
      </c>
      <c r="N769" s="91">
        <v>3148</v>
      </c>
      <c r="O769" s="91">
        <v>0</v>
      </c>
      <c r="P769" s="91">
        <v>0</v>
      </c>
      <c r="Q769" s="101">
        <f t="shared" si="22"/>
        <v>64414</v>
      </c>
      <c r="R769" s="95">
        <f t="shared" si="23"/>
        <v>54751.9</v>
      </c>
    </row>
    <row r="770" spans="1:18" ht="34.049999999999997" customHeight="1" x14ac:dyDescent="0.3">
      <c r="A770" s="90">
        <v>759</v>
      </c>
      <c r="B770" s="91" t="s">
        <v>2655</v>
      </c>
      <c r="C770" s="91" t="s">
        <v>2681</v>
      </c>
      <c r="D770" s="91" t="s">
        <v>2682</v>
      </c>
      <c r="E770" s="91">
        <v>2017</v>
      </c>
      <c r="F770" s="91" t="s">
        <v>18</v>
      </c>
      <c r="G770" s="91" t="s">
        <v>2770</v>
      </c>
      <c r="H770" s="91" t="s">
        <v>2816</v>
      </c>
      <c r="I770" s="91" t="s">
        <v>2851</v>
      </c>
      <c r="J770" s="91">
        <v>6199</v>
      </c>
      <c r="K770" s="91">
        <f>1346+6278+4484+4484</f>
        <v>16592</v>
      </c>
      <c r="L770" s="91">
        <v>0</v>
      </c>
      <c r="M770" s="91">
        <v>0</v>
      </c>
      <c r="N770" s="91">
        <v>3148</v>
      </c>
      <c r="O770" s="91">
        <v>0</v>
      </c>
      <c r="P770" s="91">
        <v>0</v>
      </c>
      <c r="Q770" s="101">
        <f t="shared" si="22"/>
        <v>25939</v>
      </c>
      <c r="R770" s="95">
        <f t="shared" si="23"/>
        <v>22048.15</v>
      </c>
    </row>
    <row r="771" spans="1:18" ht="34.049999999999997" customHeight="1" x14ac:dyDescent="0.3">
      <c r="A771" s="90">
        <v>760</v>
      </c>
      <c r="B771" s="91" t="s">
        <v>2655</v>
      </c>
      <c r="C771" s="91" t="s">
        <v>2683</v>
      </c>
      <c r="D771" s="91" t="s">
        <v>2684</v>
      </c>
      <c r="E771" s="91">
        <v>2024</v>
      </c>
      <c r="F771" s="91" t="s">
        <v>18</v>
      </c>
      <c r="G771" s="91" t="s">
        <v>2771</v>
      </c>
      <c r="H771" s="91" t="s">
        <v>2817</v>
      </c>
      <c r="I771" s="91" t="s">
        <v>2852</v>
      </c>
      <c r="J771" s="91">
        <v>6199</v>
      </c>
      <c r="K771" s="91">
        <v>0</v>
      </c>
      <c r="L771" s="91">
        <v>13298</v>
      </c>
      <c r="M771" s="91">
        <v>0</v>
      </c>
      <c r="N771" s="91">
        <v>0</v>
      </c>
      <c r="O771" s="91">
        <v>0</v>
      </c>
      <c r="P771" s="91">
        <v>0</v>
      </c>
      <c r="Q771" s="101">
        <f t="shared" si="22"/>
        <v>19497</v>
      </c>
      <c r="R771" s="95">
        <f t="shared" si="23"/>
        <v>16572.45</v>
      </c>
    </row>
    <row r="772" spans="1:18" ht="34.049999999999997" customHeight="1" x14ac:dyDescent="0.3">
      <c r="A772" s="96">
        <v>761</v>
      </c>
      <c r="B772" s="91" t="s">
        <v>2655</v>
      </c>
      <c r="C772" s="91" t="s">
        <v>2685</v>
      </c>
      <c r="D772" s="91" t="s">
        <v>2686</v>
      </c>
      <c r="E772" s="91">
        <v>1994</v>
      </c>
      <c r="F772" s="91" t="s">
        <v>19</v>
      </c>
      <c r="G772" s="91" t="s">
        <v>2772</v>
      </c>
      <c r="H772" s="91" t="s">
        <v>2772</v>
      </c>
      <c r="I772" s="91" t="s">
        <v>2853</v>
      </c>
      <c r="J772" s="91">
        <v>6199</v>
      </c>
      <c r="K772" s="91">
        <f>6278+4484+2332+3000+3000+3228+4484+6995+2332+2332+2332+2332</f>
        <v>43129</v>
      </c>
      <c r="L772" s="91">
        <v>0</v>
      </c>
      <c r="M772" s="91">
        <v>0</v>
      </c>
      <c r="N772" s="91">
        <v>1793</v>
      </c>
      <c r="O772" s="91">
        <v>0</v>
      </c>
      <c r="P772" s="91">
        <v>0</v>
      </c>
      <c r="Q772" s="101">
        <f t="shared" si="22"/>
        <v>51121</v>
      </c>
      <c r="R772" s="95">
        <f t="shared" si="23"/>
        <v>43452.85</v>
      </c>
    </row>
    <row r="773" spans="1:18" ht="34.049999999999997" customHeight="1" x14ac:dyDescent="0.3">
      <c r="A773" s="90">
        <v>762</v>
      </c>
      <c r="B773" s="91" t="s">
        <v>2655</v>
      </c>
      <c r="C773" s="91" t="s">
        <v>2687</v>
      </c>
      <c r="D773" s="91" t="s">
        <v>2688</v>
      </c>
      <c r="E773" s="91">
        <v>2011</v>
      </c>
      <c r="F773" s="91" t="s">
        <v>18</v>
      </c>
      <c r="G773" s="91" t="s">
        <v>2773</v>
      </c>
      <c r="H773" s="91" t="s">
        <v>2818</v>
      </c>
      <c r="I773" s="91" t="s">
        <v>276</v>
      </c>
      <c r="J773" s="91">
        <v>6199</v>
      </c>
      <c r="K773" s="91">
        <f>1346+6278+4484+6995+2332+2332+2332+1166+3500+2332+2332+2332+6995+6995+2332+6995+3000+3000</f>
        <v>67078</v>
      </c>
      <c r="L773" s="91">
        <v>0</v>
      </c>
      <c r="M773" s="91">
        <v>0</v>
      </c>
      <c r="N773" s="91">
        <v>1793</v>
      </c>
      <c r="O773" s="91">
        <v>0</v>
      </c>
      <c r="P773" s="91">
        <v>0</v>
      </c>
      <c r="Q773" s="101">
        <f t="shared" si="22"/>
        <v>75070</v>
      </c>
      <c r="R773" s="95">
        <f t="shared" si="23"/>
        <v>63809.5</v>
      </c>
    </row>
    <row r="774" spans="1:18" ht="34.049999999999997" customHeight="1" x14ac:dyDescent="0.3">
      <c r="A774" s="90">
        <v>763</v>
      </c>
      <c r="B774" s="91" t="s">
        <v>2655</v>
      </c>
      <c r="C774" s="91" t="s">
        <v>2689</v>
      </c>
      <c r="D774" s="91" t="s">
        <v>2690</v>
      </c>
      <c r="E774" s="91">
        <v>2019</v>
      </c>
      <c r="F774" s="91" t="s">
        <v>19</v>
      </c>
      <c r="G774" s="91" t="s">
        <v>2774</v>
      </c>
      <c r="H774" s="91" t="s">
        <v>2819</v>
      </c>
      <c r="I774" s="91" t="s">
        <v>2854</v>
      </c>
      <c r="J774" s="91">
        <v>6199</v>
      </c>
      <c r="K774" s="91">
        <f>6278+4484+1346+2332+4484+2332+2332+2332+2332+2332+6995+6995+2332+6995</f>
        <v>53901</v>
      </c>
      <c r="L774" s="91">
        <v>0</v>
      </c>
      <c r="M774" s="91">
        <v>0</v>
      </c>
      <c r="N774" s="91">
        <v>3148</v>
      </c>
      <c r="O774" s="91">
        <v>0</v>
      </c>
      <c r="P774" s="91">
        <v>0</v>
      </c>
      <c r="Q774" s="101">
        <f t="shared" si="22"/>
        <v>63248</v>
      </c>
      <c r="R774" s="95">
        <f t="shared" si="23"/>
        <v>53760.800000000003</v>
      </c>
    </row>
    <row r="775" spans="1:18" ht="34.049999999999997" customHeight="1" x14ac:dyDescent="0.3">
      <c r="A775" s="96">
        <v>764</v>
      </c>
      <c r="B775" s="91" t="s">
        <v>2655</v>
      </c>
      <c r="C775" s="91" t="s">
        <v>2691</v>
      </c>
      <c r="D775" s="91" t="s">
        <v>2692</v>
      </c>
      <c r="E775" s="91">
        <v>2023</v>
      </c>
      <c r="F775" s="91" t="s">
        <v>18</v>
      </c>
      <c r="G775" s="91" t="s">
        <v>2775</v>
      </c>
      <c r="H775" s="91" t="s">
        <v>2820</v>
      </c>
      <c r="I775" s="91" t="s">
        <v>25</v>
      </c>
      <c r="J775" s="91">
        <v>6199</v>
      </c>
      <c r="K775" s="91">
        <f>1346+6278+4484+4484</f>
        <v>16592</v>
      </c>
      <c r="L775" s="91">
        <v>0</v>
      </c>
      <c r="M775" s="91">
        <v>0</v>
      </c>
      <c r="N775" s="91">
        <v>3148</v>
      </c>
      <c r="O775" s="91">
        <v>0</v>
      </c>
      <c r="P775" s="91">
        <v>0</v>
      </c>
      <c r="Q775" s="101">
        <f t="shared" si="22"/>
        <v>25939</v>
      </c>
      <c r="R775" s="95">
        <f t="shared" si="23"/>
        <v>22048.15</v>
      </c>
    </row>
    <row r="776" spans="1:18" ht="34.049999999999997" customHeight="1" x14ac:dyDescent="0.3">
      <c r="A776" s="90">
        <v>765</v>
      </c>
      <c r="B776" s="91" t="s">
        <v>2655</v>
      </c>
      <c r="C776" s="91" t="s">
        <v>2693</v>
      </c>
      <c r="D776" s="91" t="s">
        <v>2684</v>
      </c>
      <c r="E776" s="91">
        <v>2024</v>
      </c>
      <c r="F776" s="91" t="s">
        <v>18</v>
      </c>
      <c r="G776" s="91" t="s">
        <v>2771</v>
      </c>
      <c r="H776" s="91" t="s">
        <v>2817</v>
      </c>
      <c r="I776" s="91" t="s">
        <v>2852</v>
      </c>
      <c r="J776" s="91">
        <v>6199</v>
      </c>
      <c r="K776" s="91">
        <v>0</v>
      </c>
      <c r="L776" s="91">
        <v>0</v>
      </c>
      <c r="M776" s="91">
        <v>0</v>
      </c>
      <c r="N776" s="91">
        <v>0</v>
      </c>
      <c r="O776" s="91">
        <v>0</v>
      </c>
      <c r="P776" s="91">
        <v>0</v>
      </c>
      <c r="Q776" s="101">
        <f t="shared" si="22"/>
        <v>6199</v>
      </c>
      <c r="R776" s="95">
        <f t="shared" si="23"/>
        <v>5269.15</v>
      </c>
    </row>
    <row r="777" spans="1:18" ht="34.049999999999997" customHeight="1" x14ac:dyDescent="0.3">
      <c r="A777" s="90">
        <v>766</v>
      </c>
      <c r="B777" s="91" t="s">
        <v>2655</v>
      </c>
      <c r="C777" s="91" t="s">
        <v>2694</v>
      </c>
      <c r="D777" s="91" t="s">
        <v>2695</v>
      </c>
      <c r="E777" s="91">
        <v>1973</v>
      </c>
      <c r="F777" s="91" t="s">
        <v>18</v>
      </c>
      <c r="G777" s="91" t="s">
        <v>2776</v>
      </c>
      <c r="H777" s="91" t="s">
        <v>2821</v>
      </c>
      <c r="I777" s="91" t="s">
        <v>2855</v>
      </c>
      <c r="J777" s="91">
        <v>3582</v>
      </c>
      <c r="K777" s="91">
        <v>0</v>
      </c>
      <c r="L777" s="91">
        <v>0</v>
      </c>
      <c r="M777" s="91">
        <v>0</v>
      </c>
      <c r="N777" s="91">
        <f>34016+21194+13563</f>
        <v>68773</v>
      </c>
      <c r="O777" s="91">
        <v>0</v>
      </c>
      <c r="P777" s="91">
        <v>0</v>
      </c>
      <c r="Q777" s="101">
        <f t="shared" si="22"/>
        <v>72355</v>
      </c>
      <c r="R777" s="95">
        <f t="shared" si="23"/>
        <v>61501.75</v>
      </c>
    </row>
    <row r="778" spans="1:18" ht="34.049999999999997" customHeight="1" x14ac:dyDescent="0.3">
      <c r="A778" s="96">
        <v>767</v>
      </c>
      <c r="B778" s="91" t="s">
        <v>2655</v>
      </c>
      <c r="C778" s="91" t="s">
        <v>2696</v>
      </c>
      <c r="D778" s="91" t="s">
        <v>2697</v>
      </c>
      <c r="E778" s="91">
        <v>1978</v>
      </c>
      <c r="F778" s="91" t="s">
        <v>18</v>
      </c>
      <c r="G778" s="91" t="s">
        <v>516</v>
      </c>
      <c r="H778" s="91" t="s">
        <v>516</v>
      </c>
      <c r="I778" s="91" t="s">
        <v>1050</v>
      </c>
      <c r="J778" s="91">
        <v>6199</v>
      </c>
      <c r="K778" s="91">
        <v>0</v>
      </c>
      <c r="L778" s="91">
        <v>0</v>
      </c>
      <c r="M778" s="91">
        <v>0</v>
      </c>
      <c r="N778" s="91">
        <v>0</v>
      </c>
      <c r="O778" s="91">
        <v>0</v>
      </c>
      <c r="P778" s="91">
        <v>0</v>
      </c>
      <c r="Q778" s="101">
        <f t="shared" si="22"/>
        <v>6199</v>
      </c>
      <c r="R778" s="95">
        <f t="shared" si="23"/>
        <v>5269.15</v>
      </c>
    </row>
    <row r="779" spans="1:18" ht="34.049999999999997" customHeight="1" x14ac:dyDescent="0.3">
      <c r="A779" s="90">
        <v>768</v>
      </c>
      <c r="B779" s="91" t="s">
        <v>2655</v>
      </c>
      <c r="C779" s="91" t="s">
        <v>2698</v>
      </c>
      <c r="D779" s="91" t="s">
        <v>2699</v>
      </c>
      <c r="E779" s="91">
        <v>1966</v>
      </c>
      <c r="F779" s="91" t="s">
        <v>19</v>
      </c>
      <c r="G779" s="91" t="s">
        <v>2777</v>
      </c>
      <c r="H779" s="91" t="s">
        <v>2822</v>
      </c>
      <c r="I779" s="91" t="s">
        <v>1480</v>
      </c>
      <c r="J779" s="91">
        <v>6199</v>
      </c>
      <c r="K779" s="91">
        <f>1346+6278+4484+6995+6995+3228+2332+2332+2243+1166+3500+2332+2332+2332+3000+3000+2332+2332+2332+4484+4484+2332+4484</f>
        <v>76675</v>
      </c>
      <c r="L779" s="91">
        <v>0</v>
      </c>
      <c r="M779" s="91">
        <v>0</v>
      </c>
      <c r="N779" s="91">
        <f>1793+1681</f>
        <v>3474</v>
      </c>
      <c r="O779" s="91">
        <v>0</v>
      </c>
      <c r="P779" s="91">
        <f>312+56+240</f>
        <v>608</v>
      </c>
      <c r="Q779" s="101">
        <f t="shared" si="22"/>
        <v>86956</v>
      </c>
      <c r="R779" s="95">
        <f t="shared" si="23"/>
        <v>73912.600000000006</v>
      </c>
    </row>
    <row r="780" spans="1:18" ht="34.049999999999997" customHeight="1" x14ac:dyDescent="0.3">
      <c r="A780" s="90">
        <v>769</v>
      </c>
      <c r="B780" s="91" t="s">
        <v>2655</v>
      </c>
      <c r="C780" s="91" t="s">
        <v>2700</v>
      </c>
      <c r="D780" s="91" t="s">
        <v>2701</v>
      </c>
      <c r="E780" s="91">
        <v>2022</v>
      </c>
      <c r="F780" s="91" t="s">
        <v>18</v>
      </c>
      <c r="G780" s="91" t="s">
        <v>2778</v>
      </c>
      <c r="H780" s="91" t="s">
        <v>2823</v>
      </c>
      <c r="I780" s="91" t="s">
        <v>2856</v>
      </c>
      <c r="J780" s="91">
        <v>6199</v>
      </c>
      <c r="K780" s="91">
        <f>6278+4484+1166+1166+2332+2332+2332+2332</f>
        <v>22422</v>
      </c>
      <c r="L780" s="91">
        <v>13298</v>
      </c>
      <c r="M780" s="91">
        <v>0</v>
      </c>
      <c r="N780" s="91">
        <v>3148</v>
      </c>
      <c r="O780" s="91">
        <v>0</v>
      </c>
      <c r="P780" s="91">
        <v>0</v>
      </c>
      <c r="Q780" s="102">
        <f t="shared" ref="Q780:Q843" si="24">SUM(J780:P780)</f>
        <v>45067</v>
      </c>
      <c r="R780" s="95">
        <f t="shared" si="23"/>
        <v>38306.949999999997</v>
      </c>
    </row>
    <row r="781" spans="1:18" ht="34.049999999999997" customHeight="1" x14ac:dyDescent="0.3">
      <c r="A781" s="96">
        <v>770</v>
      </c>
      <c r="B781" s="91" t="s">
        <v>2655</v>
      </c>
      <c r="C781" s="91" t="s">
        <v>2702</v>
      </c>
      <c r="D781" s="91" t="s">
        <v>2703</v>
      </c>
      <c r="E781" s="91">
        <v>1980</v>
      </c>
      <c r="F781" s="91" t="s">
        <v>18</v>
      </c>
      <c r="G781" s="91" t="s">
        <v>2779</v>
      </c>
      <c r="H781" s="91" t="s">
        <v>2779</v>
      </c>
      <c r="I781" s="91" t="s">
        <v>1050</v>
      </c>
      <c r="J781" s="91">
        <v>6199</v>
      </c>
      <c r="K781" s="91">
        <f>6278+4484+1346+2332+4484+2332+2332+2332+2332+3000+3000+4484+4484+2332+4484</f>
        <v>50036</v>
      </c>
      <c r="L781" s="91">
        <v>0</v>
      </c>
      <c r="M781" s="91">
        <v>0</v>
      </c>
      <c r="N781" s="91">
        <v>1793</v>
      </c>
      <c r="O781" s="91">
        <v>0</v>
      </c>
      <c r="P781" s="91">
        <v>0</v>
      </c>
      <c r="Q781" s="101">
        <f t="shared" si="24"/>
        <v>58028</v>
      </c>
      <c r="R781" s="95">
        <f t="shared" ref="R781:R844" si="25">Q781*85/100</f>
        <v>49323.8</v>
      </c>
    </row>
    <row r="782" spans="1:18" ht="34.049999999999997" customHeight="1" x14ac:dyDescent="0.3">
      <c r="A782" s="90">
        <v>771</v>
      </c>
      <c r="B782" s="91" t="s">
        <v>2655</v>
      </c>
      <c r="C782" s="91" t="s">
        <v>2704</v>
      </c>
      <c r="D782" s="91" t="s">
        <v>2705</v>
      </c>
      <c r="E782" s="91">
        <v>1968</v>
      </c>
      <c r="F782" s="91" t="s">
        <v>19</v>
      </c>
      <c r="G782" s="91" t="s">
        <v>2780</v>
      </c>
      <c r="H782" s="91" t="s">
        <v>2824</v>
      </c>
      <c r="I782" s="91" t="s">
        <v>1279</v>
      </c>
      <c r="J782" s="91">
        <v>6199</v>
      </c>
      <c r="K782" s="91">
        <v>0</v>
      </c>
      <c r="L782" s="91">
        <v>0</v>
      </c>
      <c r="M782" s="91">
        <v>0</v>
      </c>
      <c r="N782" s="91">
        <v>0</v>
      </c>
      <c r="O782" s="91">
        <v>0</v>
      </c>
      <c r="P782" s="91">
        <v>0</v>
      </c>
      <c r="Q782" s="101">
        <f t="shared" si="24"/>
        <v>6199</v>
      </c>
      <c r="R782" s="95">
        <f t="shared" si="25"/>
        <v>5269.15</v>
      </c>
    </row>
    <row r="783" spans="1:18" ht="34.049999999999997" customHeight="1" x14ac:dyDescent="0.3">
      <c r="A783" s="90">
        <v>772</v>
      </c>
      <c r="B783" s="91" t="s">
        <v>2655</v>
      </c>
      <c r="C783" s="91" t="s">
        <v>2706</v>
      </c>
      <c r="D783" s="91" t="s">
        <v>2663</v>
      </c>
      <c r="E783" s="91">
        <v>2008</v>
      </c>
      <c r="F783" s="91" t="s">
        <v>19</v>
      </c>
      <c r="G783" s="91" t="s">
        <v>2761</v>
      </c>
      <c r="H783" s="91" t="s">
        <v>2809</v>
      </c>
      <c r="I783" s="91" t="s">
        <v>2857</v>
      </c>
      <c r="J783" s="91">
        <v>3582</v>
      </c>
      <c r="K783" s="91">
        <v>0</v>
      </c>
      <c r="L783" s="91">
        <v>0</v>
      </c>
      <c r="M783" s="91">
        <v>0</v>
      </c>
      <c r="N783" s="91">
        <v>68032</v>
      </c>
      <c r="O783" s="91">
        <v>0</v>
      </c>
      <c r="P783" s="91">
        <v>0</v>
      </c>
      <c r="Q783" s="101">
        <f t="shared" si="24"/>
        <v>71614</v>
      </c>
      <c r="R783" s="95">
        <f t="shared" si="25"/>
        <v>60871.9</v>
      </c>
    </row>
    <row r="784" spans="1:18" ht="34.049999999999997" customHeight="1" x14ac:dyDescent="0.3">
      <c r="A784" s="96">
        <v>773</v>
      </c>
      <c r="B784" s="91" t="s">
        <v>2655</v>
      </c>
      <c r="C784" s="91" t="s">
        <v>2707</v>
      </c>
      <c r="D784" s="91" t="s">
        <v>2708</v>
      </c>
      <c r="E784" s="91">
        <v>2025</v>
      </c>
      <c r="F784" s="91" t="s">
        <v>19</v>
      </c>
      <c r="G784" s="91" t="s">
        <v>2781</v>
      </c>
      <c r="H784" s="91" t="s">
        <v>2825</v>
      </c>
      <c r="I784" s="91" t="s">
        <v>1050</v>
      </c>
      <c r="J784" s="91">
        <v>6199</v>
      </c>
      <c r="K784" s="91">
        <v>0</v>
      </c>
      <c r="L784" s="91">
        <v>0</v>
      </c>
      <c r="M784" s="91">
        <v>0</v>
      </c>
      <c r="N784" s="91">
        <v>0</v>
      </c>
      <c r="O784" s="91">
        <v>0</v>
      </c>
      <c r="P784" s="91">
        <v>0</v>
      </c>
      <c r="Q784" s="101">
        <f t="shared" si="24"/>
        <v>6199</v>
      </c>
      <c r="R784" s="95">
        <f t="shared" si="25"/>
        <v>5269.15</v>
      </c>
    </row>
    <row r="785" spans="1:23" ht="34.049999999999997" customHeight="1" x14ac:dyDescent="0.3">
      <c r="A785" s="90">
        <v>774</v>
      </c>
      <c r="B785" s="91" t="s">
        <v>2655</v>
      </c>
      <c r="C785" s="91" t="s">
        <v>2709</v>
      </c>
      <c r="D785" s="91" t="s">
        <v>142</v>
      </c>
      <c r="E785" s="91">
        <v>2025</v>
      </c>
      <c r="F785" s="91" t="s">
        <v>18</v>
      </c>
      <c r="G785" s="91" t="s">
        <v>2782</v>
      </c>
      <c r="H785" s="91" t="s">
        <v>204</v>
      </c>
      <c r="I785" s="91" t="s">
        <v>296</v>
      </c>
      <c r="J785" s="91">
        <v>6199</v>
      </c>
      <c r="K785" s="91">
        <v>0</v>
      </c>
      <c r="L785" s="91">
        <v>0</v>
      </c>
      <c r="M785" s="91">
        <v>0</v>
      </c>
      <c r="N785" s="91">
        <v>0</v>
      </c>
      <c r="O785" s="91">
        <v>0</v>
      </c>
      <c r="P785" s="91">
        <v>0</v>
      </c>
      <c r="Q785" s="101">
        <f t="shared" si="24"/>
        <v>6199</v>
      </c>
      <c r="R785" s="95">
        <f t="shared" si="25"/>
        <v>5269.15</v>
      </c>
    </row>
    <row r="786" spans="1:23" ht="34.049999999999997" customHeight="1" x14ac:dyDescent="0.3">
      <c r="A786" s="90">
        <v>775</v>
      </c>
      <c r="B786" s="91" t="s">
        <v>2655</v>
      </c>
      <c r="C786" s="91" t="s">
        <v>2710</v>
      </c>
      <c r="D786" s="91" t="s">
        <v>2711</v>
      </c>
      <c r="E786" s="91">
        <v>2020</v>
      </c>
      <c r="F786" s="91" t="s">
        <v>18</v>
      </c>
      <c r="G786" s="91" t="s">
        <v>2783</v>
      </c>
      <c r="H786" s="91" t="s">
        <v>2826</v>
      </c>
      <c r="I786" s="91" t="s">
        <v>2858</v>
      </c>
      <c r="J786" s="91">
        <v>6199</v>
      </c>
      <c r="K786" s="91">
        <f>6278+4484</f>
        <v>10762</v>
      </c>
      <c r="L786" s="91">
        <v>0</v>
      </c>
      <c r="M786" s="91">
        <v>0</v>
      </c>
      <c r="N786" s="91">
        <v>3148</v>
      </c>
      <c r="O786" s="91">
        <v>0</v>
      </c>
      <c r="P786" s="91">
        <v>0</v>
      </c>
      <c r="Q786" s="101">
        <f t="shared" si="24"/>
        <v>20109</v>
      </c>
      <c r="R786" s="95">
        <f t="shared" si="25"/>
        <v>17092.650000000001</v>
      </c>
    </row>
    <row r="787" spans="1:23" ht="34.049999999999997" customHeight="1" x14ac:dyDescent="0.3">
      <c r="A787" s="96">
        <v>776</v>
      </c>
      <c r="B787" s="91" t="s">
        <v>2655</v>
      </c>
      <c r="C787" s="91" t="s">
        <v>2712</v>
      </c>
      <c r="D787" s="91" t="s">
        <v>2701</v>
      </c>
      <c r="E787" s="91">
        <v>2022</v>
      </c>
      <c r="F787" s="91" t="s">
        <v>18</v>
      </c>
      <c r="G787" s="91" t="s">
        <v>2778</v>
      </c>
      <c r="H787" s="91" t="s">
        <v>2823</v>
      </c>
      <c r="I787" s="91" t="s">
        <v>2856</v>
      </c>
      <c r="J787" s="91">
        <v>3582</v>
      </c>
      <c r="K787" s="91">
        <v>0</v>
      </c>
      <c r="L787" s="91">
        <v>0</v>
      </c>
      <c r="M787" s="91">
        <v>0</v>
      </c>
      <c r="N787" s="91">
        <v>0</v>
      </c>
      <c r="O787" s="91">
        <v>0</v>
      </c>
      <c r="P787" s="91">
        <v>0</v>
      </c>
      <c r="Q787" s="102">
        <f t="shared" si="24"/>
        <v>3582</v>
      </c>
      <c r="R787" s="95">
        <f t="shared" si="25"/>
        <v>3044.7</v>
      </c>
    </row>
    <row r="788" spans="1:23" ht="34.049999999999997" customHeight="1" x14ac:dyDescent="0.3">
      <c r="A788" s="90">
        <v>777</v>
      </c>
      <c r="B788" s="91" t="s">
        <v>2655</v>
      </c>
      <c r="C788" s="91" t="s">
        <v>2713</v>
      </c>
      <c r="D788" s="91" t="s">
        <v>2714</v>
      </c>
      <c r="E788" s="91">
        <v>2024</v>
      </c>
      <c r="F788" s="91" t="s">
        <v>19</v>
      </c>
      <c r="G788" s="91" t="s">
        <v>2784</v>
      </c>
      <c r="H788" s="91" t="s">
        <v>2827</v>
      </c>
      <c r="I788" s="91" t="s">
        <v>272</v>
      </c>
      <c r="J788" s="91">
        <v>6199</v>
      </c>
      <c r="K788" s="91">
        <f>6278+4484+1346+2332+4484+2332+2332+2332+2332+2332</f>
        <v>30584</v>
      </c>
      <c r="L788" s="91">
        <v>0</v>
      </c>
      <c r="M788" s="91">
        <v>0</v>
      </c>
      <c r="N788" s="91">
        <v>3148</v>
      </c>
      <c r="O788" s="91">
        <v>0</v>
      </c>
      <c r="P788" s="91">
        <v>0</v>
      </c>
      <c r="Q788" s="101">
        <f t="shared" si="24"/>
        <v>39931</v>
      </c>
      <c r="R788" s="95">
        <f t="shared" si="25"/>
        <v>33941.35</v>
      </c>
    </row>
    <row r="789" spans="1:23" ht="34.049999999999997" customHeight="1" x14ac:dyDescent="0.3">
      <c r="A789" s="90">
        <v>778</v>
      </c>
      <c r="B789" s="91" t="s">
        <v>2655</v>
      </c>
      <c r="C789" s="91" t="s">
        <v>2715</v>
      </c>
      <c r="D789" s="91" t="s">
        <v>2716</v>
      </c>
      <c r="E789" s="91">
        <v>1992</v>
      </c>
      <c r="F789" s="91" t="s">
        <v>18</v>
      </c>
      <c r="G789" s="91" t="s">
        <v>2785</v>
      </c>
      <c r="H789" s="91" t="s">
        <v>2785</v>
      </c>
      <c r="I789" s="91" t="s">
        <v>1278</v>
      </c>
      <c r="J789" s="91">
        <v>3582</v>
      </c>
      <c r="K789" s="91">
        <v>0</v>
      </c>
      <c r="L789" s="91">
        <v>0</v>
      </c>
      <c r="M789" s="91">
        <v>0</v>
      </c>
      <c r="N789" s="91">
        <f>15443+42388+27126</f>
        <v>84957</v>
      </c>
      <c r="O789" s="91">
        <v>0</v>
      </c>
      <c r="P789" s="91">
        <v>0</v>
      </c>
      <c r="Q789" s="101">
        <f t="shared" si="24"/>
        <v>88539</v>
      </c>
      <c r="R789" s="95">
        <f t="shared" si="25"/>
        <v>75258.149999999994</v>
      </c>
    </row>
    <row r="790" spans="1:23" ht="34.049999999999997" customHeight="1" x14ac:dyDescent="0.3">
      <c r="A790" s="96">
        <v>779</v>
      </c>
      <c r="B790" s="91" t="s">
        <v>2655</v>
      </c>
      <c r="C790" s="91" t="s">
        <v>2717</v>
      </c>
      <c r="D790" s="91" t="s">
        <v>2718</v>
      </c>
      <c r="E790" s="91">
        <v>1969</v>
      </c>
      <c r="F790" s="91" t="s">
        <v>19</v>
      </c>
      <c r="G790" s="91" t="s">
        <v>2786</v>
      </c>
      <c r="H790" s="91" t="s">
        <v>2828</v>
      </c>
      <c r="I790" s="91" t="s">
        <v>300</v>
      </c>
      <c r="J790" s="91">
        <v>6199</v>
      </c>
      <c r="K790" s="91">
        <f>2332+2332+2332</f>
        <v>6996</v>
      </c>
      <c r="L790" s="91">
        <v>0</v>
      </c>
      <c r="M790" s="91">
        <v>0</v>
      </c>
      <c r="N790" s="91">
        <v>1793</v>
      </c>
      <c r="O790" s="91">
        <v>0</v>
      </c>
      <c r="P790" s="91">
        <v>0</v>
      </c>
      <c r="Q790" s="101">
        <f t="shared" si="24"/>
        <v>14988</v>
      </c>
      <c r="R790" s="95">
        <f t="shared" si="25"/>
        <v>12739.8</v>
      </c>
    </row>
    <row r="791" spans="1:23" ht="34.049999999999997" customHeight="1" x14ac:dyDescent="0.3">
      <c r="A791" s="90">
        <v>780</v>
      </c>
      <c r="B791" s="91" t="s">
        <v>2655</v>
      </c>
      <c r="C791" s="91" t="s">
        <v>2719</v>
      </c>
      <c r="D791" s="91" t="s">
        <v>2720</v>
      </c>
      <c r="E791" s="91">
        <v>2016</v>
      </c>
      <c r="F791" s="91" t="s">
        <v>19</v>
      </c>
      <c r="G791" s="91" t="s">
        <v>2787</v>
      </c>
      <c r="H791" s="91" t="s">
        <v>2829</v>
      </c>
      <c r="I791" s="91" t="s">
        <v>300</v>
      </c>
      <c r="J791" s="91">
        <v>3582</v>
      </c>
      <c r="K791" s="91">
        <v>0</v>
      </c>
      <c r="L791" s="91">
        <v>0</v>
      </c>
      <c r="M791" s="91">
        <v>0</v>
      </c>
      <c r="N791" s="91">
        <v>0</v>
      </c>
      <c r="O791" s="91">
        <v>0</v>
      </c>
      <c r="P791" s="91">
        <v>0</v>
      </c>
      <c r="Q791" s="101">
        <f t="shared" si="24"/>
        <v>3582</v>
      </c>
      <c r="R791" s="95">
        <f t="shared" si="25"/>
        <v>3044.7</v>
      </c>
    </row>
    <row r="792" spans="1:23" ht="34.049999999999997" customHeight="1" x14ac:dyDescent="0.3">
      <c r="A792" s="90">
        <v>781</v>
      </c>
      <c r="B792" s="91" t="s">
        <v>2655</v>
      </c>
      <c r="C792" s="91" t="s">
        <v>2721</v>
      </c>
      <c r="D792" s="91" t="s">
        <v>2722</v>
      </c>
      <c r="E792" s="91">
        <v>1995</v>
      </c>
      <c r="F792" s="91" t="s">
        <v>19</v>
      </c>
      <c r="G792" s="91" t="s">
        <v>2788</v>
      </c>
      <c r="H792" s="91" t="s">
        <v>2830</v>
      </c>
      <c r="I792" s="91" t="s">
        <v>1050</v>
      </c>
      <c r="J792" s="91">
        <v>6199</v>
      </c>
      <c r="K792" s="91">
        <v>0</v>
      </c>
      <c r="L792" s="91">
        <v>0</v>
      </c>
      <c r="M792" s="91">
        <v>0</v>
      </c>
      <c r="N792" s="91">
        <v>9871</v>
      </c>
      <c r="O792" s="91">
        <v>0</v>
      </c>
      <c r="P792" s="91">
        <v>0</v>
      </c>
      <c r="Q792" s="101">
        <f t="shared" si="24"/>
        <v>16070</v>
      </c>
      <c r="R792" s="95">
        <f t="shared" si="25"/>
        <v>13659.5</v>
      </c>
    </row>
    <row r="793" spans="1:23" ht="34.049999999999997" customHeight="1" x14ac:dyDescent="0.3">
      <c r="A793" s="96">
        <v>782</v>
      </c>
      <c r="B793" s="98" t="s">
        <v>2655</v>
      </c>
      <c r="C793" s="98" t="s">
        <v>2723</v>
      </c>
      <c r="D793" s="98" t="s">
        <v>2724</v>
      </c>
      <c r="E793" s="98">
        <v>1986</v>
      </c>
      <c r="F793" s="98" t="s">
        <v>18</v>
      </c>
      <c r="G793" s="98" t="s">
        <v>2789</v>
      </c>
      <c r="H793" s="98" t="s">
        <v>2789</v>
      </c>
      <c r="I793" s="98" t="s">
        <v>300</v>
      </c>
      <c r="J793" s="98">
        <v>6199</v>
      </c>
      <c r="K793" s="98">
        <v>0</v>
      </c>
      <c r="L793" s="98">
        <v>0</v>
      </c>
      <c r="M793" s="98">
        <v>0</v>
      </c>
      <c r="N793" s="98">
        <v>0</v>
      </c>
      <c r="O793" s="98">
        <v>0</v>
      </c>
      <c r="P793" s="98">
        <v>0</v>
      </c>
      <c r="Q793" s="101">
        <f t="shared" si="24"/>
        <v>6199</v>
      </c>
      <c r="R793" s="95">
        <f t="shared" si="25"/>
        <v>5269.15</v>
      </c>
      <c r="S793" s="41"/>
      <c r="T793" s="41"/>
      <c r="U793" s="41"/>
      <c r="V793" s="41"/>
      <c r="W793" s="41"/>
    </row>
    <row r="794" spans="1:23" ht="34.049999999999997" customHeight="1" x14ac:dyDescent="0.3">
      <c r="A794" s="90">
        <v>783</v>
      </c>
      <c r="B794" s="91" t="s">
        <v>2655</v>
      </c>
      <c r="C794" s="91" t="s">
        <v>2725</v>
      </c>
      <c r="D794" s="91" t="s">
        <v>2726</v>
      </c>
      <c r="E794" s="91">
        <v>2024</v>
      </c>
      <c r="F794" s="91" t="s">
        <v>19</v>
      </c>
      <c r="G794" s="91" t="s">
        <v>2790</v>
      </c>
      <c r="H794" s="91" t="s">
        <v>2831</v>
      </c>
      <c r="I794" s="91" t="s">
        <v>2859</v>
      </c>
      <c r="J794" s="91">
        <v>6199</v>
      </c>
      <c r="K794" s="91">
        <f>1346+6278+4484</f>
        <v>12108</v>
      </c>
      <c r="L794" s="91">
        <v>0</v>
      </c>
      <c r="M794" s="91">
        <v>0</v>
      </c>
      <c r="N794" s="91">
        <v>3148</v>
      </c>
      <c r="O794" s="91">
        <v>0</v>
      </c>
      <c r="P794" s="91">
        <v>0</v>
      </c>
      <c r="Q794" s="101">
        <f t="shared" si="24"/>
        <v>21455</v>
      </c>
      <c r="R794" s="95">
        <f t="shared" si="25"/>
        <v>18236.75</v>
      </c>
    </row>
    <row r="795" spans="1:23" ht="34.049999999999997" customHeight="1" x14ac:dyDescent="0.3">
      <c r="A795" s="90">
        <v>784</v>
      </c>
      <c r="B795" s="91" t="s">
        <v>2655</v>
      </c>
      <c r="C795" s="91" t="s">
        <v>2727</v>
      </c>
      <c r="D795" s="91" t="s">
        <v>2728</v>
      </c>
      <c r="E795" s="91">
        <v>1991</v>
      </c>
      <c r="F795" s="91" t="s">
        <v>19</v>
      </c>
      <c r="G795" s="91" t="s">
        <v>2791</v>
      </c>
      <c r="H795" s="91" t="s">
        <v>2791</v>
      </c>
      <c r="I795" s="91" t="s">
        <v>1280</v>
      </c>
      <c r="J795" s="91">
        <v>6199</v>
      </c>
      <c r="K795" s="91">
        <f>6278+1346+4484+1166+2332+2332+2332</f>
        <v>20270</v>
      </c>
      <c r="L795" s="91">
        <v>0</v>
      </c>
      <c r="M795" s="91">
        <v>0</v>
      </c>
      <c r="N795" s="91">
        <v>1793</v>
      </c>
      <c r="O795" s="91">
        <v>0</v>
      </c>
      <c r="P795" s="91">
        <v>0</v>
      </c>
      <c r="Q795" s="101">
        <f t="shared" si="24"/>
        <v>28262</v>
      </c>
      <c r="R795" s="95">
        <f t="shared" si="25"/>
        <v>24022.7</v>
      </c>
    </row>
    <row r="796" spans="1:23" ht="34.049999999999997" customHeight="1" x14ac:dyDescent="0.3">
      <c r="A796" s="96">
        <v>785</v>
      </c>
      <c r="B796" s="98" t="s">
        <v>2655</v>
      </c>
      <c r="C796" s="98" t="s">
        <v>2729</v>
      </c>
      <c r="D796" s="98" t="s">
        <v>2730</v>
      </c>
      <c r="E796" s="98">
        <v>2015</v>
      </c>
      <c r="F796" s="98" t="s">
        <v>18</v>
      </c>
      <c r="G796" s="98" t="s">
        <v>2792</v>
      </c>
      <c r="H796" s="98" t="s">
        <v>2832</v>
      </c>
      <c r="I796" s="98" t="s">
        <v>300</v>
      </c>
      <c r="J796" s="98">
        <v>6199</v>
      </c>
      <c r="K796" s="98">
        <v>1166</v>
      </c>
      <c r="L796" s="98">
        <v>0</v>
      </c>
      <c r="M796" s="98">
        <v>0</v>
      </c>
      <c r="N796" s="98">
        <v>0</v>
      </c>
      <c r="O796" s="98">
        <v>0</v>
      </c>
      <c r="P796" s="98">
        <v>0</v>
      </c>
      <c r="Q796" s="101">
        <f t="shared" si="24"/>
        <v>7365</v>
      </c>
      <c r="R796" s="95">
        <f t="shared" si="25"/>
        <v>6260.25</v>
      </c>
      <c r="S796" s="41"/>
      <c r="T796" s="41"/>
      <c r="U796" s="41"/>
      <c r="V796" s="41"/>
      <c r="W796" s="41"/>
    </row>
    <row r="797" spans="1:23" ht="34.049999999999997" customHeight="1" x14ac:dyDescent="0.3">
      <c r="A797" s="90">
        <v>786</v>
      </c>
      <c r="B797" s="91" t="s">
        <v>2655</v>
      </c>
      <c r="C797" s="91" t="s">
        <v>2731</v>
      </c>
      <c r="D797" s="91" t="s">
        <v>2732</v>
      </c>
      <c r="E797" s="91">
        <v>2019</v>
      </c>
      <c r="F797" s="91" t="s">
        <v>18</v>
      </c>
      <c r="G797" s="91" t="s">
        <v>2793</v>
      </c>
      <c r="H797" s="91" t="s">
        <v>2833</v>
      </c>
      <c r="I797" s="91" t="s">
        <v>1050</v>
      </c>
      <c r="J797" s="91">
        <v>6199</v>
      </c>
      <c r="K797" s="91">
        <f>1346+6278+4484</f>
        <v>12108</v>
      </c>
      <c r="L797" s="91">
        <v>0</v>
      </c>
      <c r="M797" s="91">
        <v>0</v>
      </c>
      <c r="N797" s="91">
        <v>3148</v>
      </c>
      <c r="O797" s="91">
        <v>0</v>
      </c>
      <c r="P797" s="91">
        <v>0</v>
      </c>
      <c r="Q797" s="101">
        <f t="shared" si="24"/>
        <v>21455</v>
      </c>
      <c r="R797" s="95">
        <f t="shared" si="25"/>
        <v>18236.75</v>
      </c>
    </row>
    <row r="798" spans="1:23" ht="34.049999999999997" customHeight="1" x14ac:dyDescent="0.3">
      <c r="A798" s="90">
        <v>787</v>
      </c>
      <c r="B798" s="91" t="s">
        <v>2655</v>
      </c>
      <c r="C798" s="91" t="s">
        <v>2733</v>
      </c>
      <c r="D798" s="91" t="s">
        <v>2734</v>
      </c>
      <c r="E798" s="91">
        <v>2014</v>
      </c>
      <c r="F798" s="91" t="s">
        <v>18</v>
      </c>
      <c r="G798" s="91" t="s">
        <v>2794</v>
      </c>
      <c r="H798" s="91" t="s">
        <v>2834</v>
      </c>
      <c r="I798" s="91" t="s">
        <v>2860</v>
      </c>
      <c r="J798" s="91">
        <v>6199</v>
      </c>
      <c r="K798" s="91">
        <v>0</v>
      </c>
      <c r="L798" s="91">
        <v>0</v>
      </c>
      <c r="M798" s="91">
        <v>0</v>
      </c>
      <c r="N798" s="91">
        <v>0</v>
      </c>
      <c r="O798" s="91">
        <v>0</v>
      </c>
      <c r="P798" s="91">
        <v>0</v>
      </c>
      <c r="Q798" s="101">
        <f t="shared" si="24"/>
        <v>6199</v>
      </c>
      <c r="R798" s="95">
        <f t="shared" si="25"/>
        <v>5269.15</v>
      </c>
    </row>
    <row r="799" spans="1:23" ht="34.049999999999997" customHeight="1" x14ac:dyDescent="0.3">
      <c r="A799" s="96">
        <v>788</v>
      </c>
      <c r="B799" s="98" t="s">
        <v>2655</v>
      </c>
      <c r="C799" s="98" t="s">
        <v>2735</v>
      </c>
      <c r="D799" s="98" t="s">
        <v>2736</v>
      </c>
      <c r="E799" s="98">
        <v>2025</v>
      </c>
      <c r="F799" s="98" t="s">
        <v>18</v>
      </c>
      <c r="G799" s="98" t="s">
        <v>2795</v>
      </c>
      <c r="H799" s="98" t="s">
        <v>2835</v>
      </c>
      <c r="I799" s="98" t="s">
        <v>2861</v>
      </c>
      <c r="J799" s="98">
        <v>6199</v>
      </c>
      <c r="K799" s="98">
        <v>0</v>
      </c>
      <c r="L799" s="98">
        <v>0</v>
      </c>
      <c r="M799" s="98">
        <v>0</v>
      </c>
      <c r="N799" s="98">
        <v>0</v>
      </c>
      <c r="O799" s="98">
        <v>0</v>
      </c>
      <c r="P799" s="98">
        <v>0</v>
      </c>
      <c r="Q799" s="101">
        <f t="shared" si="24"/>
        <v>6199</v>
      </c>
      <c r="R799" s="95">
        <f t="shared" si="25"/>
        <v>5269.15</v>
      </c>
      <c r="S799" s="41"/>
      <c r="T799" s="41"/>
      <c r="U799" s="41"/>
      <c r="V799" s="41"/>
      <c r="W799" s="41"/>
    </row>
    <row r="800" spans="1:23" ht="34.049999999999997" customHeight="1" x14ac:dyDescent="0.3">
      <c r="A800" s="90">
        <v>789</v>
      </c>
      <c r="B800" s="98" t="s">
        <v>2655</v>
      </c>
      <c r="C800" s="98" t="s">
        <v>2737</v>
      </c>
      <c r="D800" s="98" t="s">
        <v>2738</v>
      </c>
      <c r="E800" s="98">
        <v>2020</v>
      </c>
      <c r="F800" s="98" t="s">
        <v>18</v>
      </c>
      <c r="G800" s="98" t="s">
        <v>2796</v>
      </c>
      <c r="H800" s="98" t="s">
        <v>2836</v>
      </c>
      <c r="I800" s="98" t="s">
        <v>1063</v>
      </c>
      <c r="J800" s="98">
        <v>6199</v>
      </c>
      <c r="K800" s="98">
        <v>0</v>
      </c>
      <c r="L800" s="98">
        <v>0</v>
      </c>
      <c r="M800" s="98">
        <v>0</v>
      </c>
      <c r="N800" s="98">
        <v>0</v>
      </c>
      <c r="O800" s="98">
        <v>0</v>
      </c>
      <c r="P800" s="98">
        <v>0</v>
      </c>
      <c r="Q800" s="101">
        <f t="shared" si="24"/>
        <v>6199</v>
      </c>
      <c r="R800" s="95">
        <f t="shared" si="25"/>
        <v>5269.15</v>
      </c>
      <c r="S800" s="41"/>
      <c r="T800" s="41"/>
      <c r="U800" s="41"/>
      <c r="V800" s="41"/>
      <c r="W800" s="41"/>
    </row>
    <row r="801" spans="1:18" ht="34.049999999999997" customHeight="1" x14ac:dyDescent="0.3">
      <c r="A801" s="90">
        <v>790</v>
      </c>
      <c r="B801" s="91" t="s">
        <v>2655</v>
      </c>
      <c r="C801" s="91" t="s">
        <v>2739</v>
      </c>
      <c r="D801" s="91" t="s">
        <v>2740</v>
      </c>
      <c r="E801" s="91">
        <v>1979</v>
      </c>
      <c r="F801" s="91" t="s">
        <v>18</v>
      </c>
      <c r="G801" s="91" t="s">
        <v>2797</v>
      </c>
      <c r="H801" s="91" t="s">
        <v>2797</v>
      </c>
      <c r="I801" s="91" t="s">
        <v>557</v>
      </c>
      <c r="J801" s="91">
        <v>6199</v>
      </c>
      <c r="K801" s="91">
        <v>0</v>
      </c>
      <c r="L801" s="91">
        <v>0</v>
      </c>
      <c r="M801" s="91">
        <v>0</v>
      </c>
      <c r="N801" s="91">
        <v>0</v>
      </c>
      <c r="O801" s="91">
        <v>0</v>
      </c>
      <c r="P801" s="91">
        <v>0</v>
      </c>
      <c r="Q801" s="101">
        <f t="shared" si="24"/>
        <v>6199</v>
      </c>
      <c r="R801" s="95">
        <f t="shared" si="25"/>
        <v>5269.15</v>
      </c>
    </row>
    <row r="802" spans="1:18" ht="34.049999999999997" customHeight="1" x14ac:dyDescent="0.3">
      <c r="A802" s="96">
        <v>791</v>
      </c>
      <c r="B802" s="91" t="s">
        <v>2655</v>
      </c>
      <c r="C802" s="91" t="s">
        <v>2741</v>
      </c>
      <c r="D802" s="91" t="s">
        <v>2222</v>
      </c>
      <c r="E802" s="91">
        <v>1977</v>
      </c>
      <c r="F802" s="91" t="s">
        <v>19</v>
      </c>
      <c r="G802" s="91" t="s">
        <v>2350</v>
      </c>
      <c r="H802" s="91" t="s">
        <v>2350</v>
      </c>
      <c r="I802" s="91" t="s">
        <v>1464</v>
      </c>
      <c r="J802" s="91">
        <v>3793</v>
      </c>
      <c r="K802" s="91">
        <f>1346+6278+4484+2332+2332+2332</f>
        <v>19104</v>
      </c>
      <c r="L802" s="91">
        <v>0</v>
      </c>
      <c r="M802" s="91">
        <v>0</v>
      </c>
      <c r="N802" s="91">
        <v>1793</v>
      </c>
      <c r="O802" s="91">
        <v>0</v>
      </c>
      <c r="P802" s="91">
        <v>0</v>
      </c>
      <c r="Q802" s="101">
        <f t="shared" si="24"/>
        <v>24690</v>
      </c>
      <c r="R802" s="95">
        <f t="shared" si="25"/>
        <v>20986.5</v>
      </c>
    </row>
    <row r="803" spans="1:18" ht="34.049999999999997" customHeight="1" x14ac:dyDescent="0.3">
      <c r="A803" s="90">
        <v>792</v>
      </c>
      <c r="B803" s="91" t="s">
        <v>2655</v>
      </c>
      <c r="C803" s="91" t="s">
        <v>2742</v>
      </c>
      <c r="D803" s="91" t="s">
        <v>2743</v>
      </c>
      <c r="E803" s="91">
        <v>1994</v>
      </c>
      <c r="F803" s="91" t="s">
        <v>18</v>
      </c>
      <c r="G803" s="91" t="s">
        <v>2798</v>
      </c>
      <c r="H803" s="91" t="s">
        <v>2837</v>
      </c>
      <c r="I803" s="91" t="s">
        <v>1886</v>
      </c>
      <c r="J803" s="91">
        <v>6199</v>
      </c>
      <c r="K803" s="91">
        <f>1346+6278+4484+1166</f>
        <v>13274</v>
      </c>
      <c r="L803" s="91">
        <v>0</v>
      </c>
      <c r="M803" s="91">
        <v>0</v>
      </c>
      <c r="N803" s="91">
        <v>1793</v>
      </c>
      <c r="O803" s="91">
        <v>0</v>
      </c>
      <c r="P803" s="91">
        <v>0</v>
      </c>
      <c r="Q803" s="101">
        <f t="shared" si="24"/>
        <v>21266</v>
      </c>
      <c r="R803" s="95">
        <f t="shared" si="25"/>
        <v>18076.099999999999</v>
      </c>
    </row>
    <row r="804" spans="1:18" ht="34.049999999999997" customHeight="1" x14ac:dyDescent="0.3">
      <c r="A804" s="90">
        <v>793</v>
      </c>
      <c r="B804" s="91" t="s">
        <v>2655</v>
      </c>
      <c r="C804" s="91" t="s">
        <v>2744</v>
      </c>
      <c r="D804" s="91" t="s">
        <v>2745</v>
      </c>
      <c r="E804" s="91">
        <v>1981</v>
      </c>
      <c r="F804" s="91" t="s">
        <v>19</v>
      </c>
      <c r="G804" s="91" t="s">
        <v>2799</v>
      </c>
      <c r="H804" s="91" t="s">
        <v>2799</v>
      </c>
      <c r="I804" s="91" t="s">
        <v>2862</v>
      </c>
      <c r="J804" s="91">
        <v>6199</v>
      </c>
      <c r="K804" s="91">
        <f>6278+4484+2801+1166</f>
        <v>14729</v>
      </c>
      <c r="L804" s="91">
        <v>0</v>
      </c>
      <c r="M804" s="91">
        <v>0</v>
      </c>
      <c r="N804" s="91">
        <v>1793</v>
      </c>
      <c r="O804" s="91">
        <v>0</v>
      </c>
      <c r="P804" s="91">
        <v>0</v>
      </c>
      <c r="Q804" s="101">
        <f t="shared" si="24"/>
        <v>22721</v>
      </c>
      <c r="R804" s="95">
        <f t="shared" si="25"/>
        <v>19312.849999999999</v>
      </c>
    </row>
    <row r="805" spans="1:18" ht="34.049999999999997" customHeight="1" x14ac:dyDescent="0.3">
      <c r="A805" s="96">
        <v>794</v>
      </c>
      <c r="B805" s="91" t="s">
        <v>2655</v>
      </c>
      <c r="C805" s="91" t="s">
        <v>2746</v>
      </c>
      <c r="D805" s="91" t="s">
        <v>2747</v>
      </c>
      <c r="E805" s="91">
        <v>1992</v>
      </c>
      <c r="F805" s="91" t="s">
        <v>19</v>
      </c>
      <c r="G805" s="91" t="s">
        <v>2800</v>
      </c>
      <c r="H805" s="91" t="s">
        <v>2838</v>
      </c>
      <c r="I805" s="91" t="s">
        <v>1277</v>
      </c>
      <c r="J805" s="91">
        <v>6199</v>
      </c>
      <c r="K805" s="91">
        <v>0</v>
      </c>
      <c r="L805" s="91">
        <v>0</v>
      </c>
      <c r="M805" s="91">
        <v>0</v>
      </c>
      <c r="N805" s="91">
        <v>0</v>
      </c>
      <c r="O805" s="91">
        <v>0</v>
      </c>
      <c r="P805" s="91">
        <v>0</v>
      </c>
      <c r="Q805" s="101">
        <f t="shared" si="24"/>
        <v>6199</v>
      </c>
      <c r="R805" s="95">
        <f t="shared" si="25"/>
        <v>5269.15</v>
      </c>
    </row>
    <row r="806" spans="1:18" ht="34.049999999999997" customHeight="1" x14ac:dyDescent="0.3">
      <c r="A806" s="90">
        <v>795</v>
      </c>
      <c r="B806" s="91" t="s">
        <v>2655</v>
      </c>
      <c r="C806" s="91" t="s">
        <v>2748</v>
      </c>
      <c r="D806" s="91" t="s">
        <v>2749</v>
      </c>
      <c r="E806" s="91">
        <v>1987</v>
      </c>
      <c r="F806" s="91" t="s">
        <v>18</v>
      </c>
      <c r="G806" s="91" t="s">
        <v>2801</v>
      </c>
      <c r="H806" s="91" t="s">
        <v>2801</v>
      </c>
      <c r="I806" s="91" t="s">
        <v>2863</v>
      </c>
      <c r="J806" s="91">
        <v>6199</v>
      </c>
      <c r="K806" s="91">
        <f>1346+6278+4484+2332+2332+2332+1166</f>
        <v>20270</v>
      </c>
      <c r="L806" s="91">
        <v>0</v>
      </c>
      <c r="M806" s="91">
        <v>0</v>
      </c>
      <c r="N806" s="91">
        <v>1793</v>
      </c>
      <c r="O806" s="91">
        <v>0</v>
      </c>
      <c r="P806" s="91">
        <v>0</v>
      </c>
      <c r="Q806" s="101">
        <f t="shared" si="24"/>
        <v>28262</v>
      </c>
      <c r="R806" s="95">
        <f t="shared" si="25"/>
        <v>24022.7</v>
      </c>
    </row>
    <row r="807" spans="1:18" ht="34.049999999999997" customHeight="1" x14ac:dyDescent="0.3">
      <c r="A807" s="90">
        <v>796</v>
      </c>
      <c r="B807" s="91" t="s">
        <v>2655</v>
      </c>
      <c r="C807" s="91" t="s">
        <v>2750</v>
      </c>
      <c r="D807" s="91" t="s">
        <v>2751</v>
      </c>
      <c r="E807" s="91">
        <v>2019</v>
      </c>
      <c r="F807" s="91" t="s">
        <v>19</v>
      </c>
      <c r="G807" s="91" t="s">
        <v>2802</v>
      </c>
      <c r="H807" s="91" t="s">
        <v>2839</v>
      </c>
      <c r="I807" s="91" t="s">
        <v>299</v>
      </c>
      <c r="J807" s="91">
        <v>6199</v>
      </c>
      <c r="K807" s="91">
        <v>0</v>
      </c>
      <c r="L807" s="91">
        <v>0</v>
      </c>
      <c r="M807" s="91">
        <v>0</v>
      </c>
      <c r="N807" s="91">
        <v>0</v>
      </c>
      <c r="O807" s="91">
        <v>0</v>
      </c>
      <c r="P807" s="91">
        <v>0</v>
      </c>
      <c r="Q807" s="101">
        <f t="shared" si="24"/>
        <v>6199</v>
      </c>
      <c r="R807" s="95">
        <f t="shared" si="25"/>
        <v>5269.15</v>
      </c>
    </row>
    <row r="808" spans="1:18" ht="34.049999999999997" customHeight="1" x14ac:dyDescent="0.3">
      <c r="A808" s="96">
        <v>797</v>
      </c>
      <c r="B808" s="91" t="s">
        <v>2655</v>
      </c>
      <c r="C808" s="91" t="s">
        <v>2752</v>
      </c>
      <c r="D808" s="91" t="s">
        <v>2753</v>
      </c>
      <c r="E808" s="91">
        <v>1982</v>
      </c>
      <c r="F808" s="91" t="s">
        <v>18</v>
      </c>
      <c r="G808" s="91" t="s">
        <v>2803</v>
      </c>
      <c r="H808" s="91" t="s">
        <v>2840</v>
      </c>
      <c r="I808" s="91" t="s">
        <v>2864</v>
      </c>
      <c r="J808" s="91">
        <v>6199</v>
      </c>
      <c r="K808" s="91">
        <v>0</v>
      </c>
      <c r="L808" s="91">
        <v>0</v>
      </c>
      <c r="M808" s="91">
        <v>0</v>
      </c>
      <c r="N808" s="91">
        <v>0</v>
      </c>
      <c r="O808" s="91">
        <v>0</v>
      </c>
      <c r="P808" s="91">
        <v>0</v>
      </c>
      <c r="Q808" s="101">
        <f t="shared" si="24"/>
        <v>6199</v>
      </c>
      <c r="R808" s="95">
        <f t="shared" si="25"/>
        <v>5269.15</v>
      </c>
    </row>
    <row r="809" spans="1:18" ht="34.049999999999997" customHeight="1" x14ac:dyDescent="0.3">
      <c r="A809" s="90">
        <v>798</v>
      </c>
      <c r="B809" s="91" t="s">
        <v>2655</v>
      </c>
      <c r="C809" s="91" t="s">
        <v>2754</v>
      </c>
      <c r="D809" s="91" t="s">
        <v>2755</v>
      </c>
      <c r="E809" s="91">
        <v>2023</v>
      </c>
      <c r="F809" s="91" t="s">
        <v>18</v>
      </c>
      <c r="G809" s="91" t="s">
        <v>2804</v>
      </c>
      <c r="H809" s="91" t="s">
        <v>2841</v>
      </c>
      <c r="I809" s="91" t="s">
        <v>1473</v>
      </c>
      <c r="J809" s="91">
        <v>6199</v>
      </c>
      <c r="K809" s="91">
        <f>1346+6278+4484</f>
        <v>12108</v>
      </c>
      <c r="L809" s="91">
        <v>0</v>
      </c>
      <c r="M809" s="91">
        <v>0</v>
      </c>
      <c r="N809" s="91">
        <v>3148</v>
      </c>
      <c r="O809" s="91">
        <v>0</v>
      </c>
      <c r="P809" s="91">
        <v>0</v>
      </c>
      <c r="Q809" s="101">
        <f t="shared" si="24"/>
        <v>21455</v>
      </c>
      <c r="R809" s="95">
        <f t="shared" si="25"/>
        <v>18236.75</v>
      </c>
    </row>
    <row r="810" spans="1:18" ht="34.049999999999997" customHeight="1" x14ac:dyDescent="0.3">
      <c r="A810" s="90">
        <v>799</v>
      </c>
      <c r="B810" s="91" t="s">
        <v>2655</v>
      </c>
      <c r="C810" s="91" t="s">
        <v>2756</v>
      </c>
      <c r="D810" s="91" t="s">
        <v>2757</v>
      </c>
      <c r="E810" s="91">
        <v>2025</v>
      </c>
      <c r="F810" s="91" t="s">
        <v>19</v>
      </c>
      <c r="G810" s="91" t="s">
        <v>2805</v>
      </c>
      <c r="H810" s="91" t="s">
        <v>2842</v>
      </c>
      <c r="I810" s="91" t="s">
        <v>2865</v>
      </c>
      <c r="J810" s="91">
        <v>3793</v>
      </c>
      <c r="K810" s="91">
        <f>1346+6278+4484+4484+2332+2332+2332+2332+2332+2332+6995+6995+6995+2332</f>
        <v>53901</v>
      </c>
      <c r="L810" s="91">
        <v>0</v>
      </c>
      <c r="M810" s="91">
        <v>0</v>
      </c>
      <c r="N810" s="91">
        <v>3148</v>
      </c>
      <c r="O810" s="91">
        <v>0</v>
      </c>
      <c r="P810" s="91">
        <v>0</v>
      </c>
      <c r="Q810" s="101">
        <f t="shared" si="24"/>
        <v>60842</v>
      </c>
      <c r="R810" s="95">
        <f t="shared" si="25"/>
        <v>51715.7</v>
      </c>
    </row>
    <row r="811" spans="1:18" ht="34.049999999999997" customHeight="1" x14ac:dyDescent="0.3">
      <c r="A811" s="96">
        <v>800</v>
      </c>
      <c r="B811" s="91" t="s">
        <v>2655</v>
      </c>
      <c r="C811" s="91" t="s">
        <v>2756</v>
      </c>
      <c r="D811" s="91" t="s">
        <v>2757</v>
      </c>
      <c r="E811" s="91">
        <v>2025</v>
      </c>
      <c r="F811" s="91" t="s">
        <v>19</v>
      </c>
      <c r="G811" s="91" t="s">
        <v>2805</v>
      </c>
      <c r="H811" s="91" t="s">
        <v>2842</v>
      </c>
      <c r="I811" s="91" t="s">
        <v>2865</v>
      </c>
      <c r="J811" s="91">
        <v>0</v>
      </c>
      <c r="K811" s="91">
        <v>0</v>
      </c>
      <c r="L811" s="91">
        <v>0</v>
      </c>
      <c r="M811" s="91">
        <v>17688</v>
      </c>
      <c r="N811" s="91">
        <f>4053+2088</f>
        <v>6141</v>
      </c>
      <c r="O811" s="91">
        <v>0</v>
      </c>
      <c r="P811" s="91">
        <f>360+56</f>
        <v>416</v>
      </c>
      <c r="Q811" s="101">
        <f t="shared" si="24"/>
        <v>24245</v>
      </c>
      <c r="R811" s="95">
        <f t="shared" si="25"/>
        <v>20608.25</v>
      </c>
    </row>
    <row r="812" spans="1:18" ht="34.049999999999997" customHeight="1" x14ac:dyDescent="0.3">
      <c r="A812" s="90">
        <v>801</v>
      </c>
      <c r="B812" s="91" t="s">
        <v>2655</v>
      </c>
      <c r="C812" s="91" t="s">
        <v>7241</v>
      </c>
      <c r="D812" s="93" t="s">
        <v>3711</v>
      </c>
      <c r="E812" s="91">
        <v>2022</v>
      </c>
      <c r="F812" s="91" t="s">
        <v>18</v>
      </c>
      <c r="G812" s="91" t="s">
        <v>3712</v>
      </c>
      <c r="H812" s="91" t="s">
        <v>3713</v>
      </c>
      <c r="I812" s="91" t="s">
        <v>299</v>
      </c>
      <c r="J812" s="91">
        <v>6199</v>
      </c>
      <c r="K812" s="91">
        <f>1346+6278+4484+4484+2332+2332+2332+2332+2332+2332+6995+6995+2332+6995</f>
        <v>53901</v>
      </c>
      <c r="L812" s="91">
        <v>0</v>
      </c>
      <c r="M812" s="91">
        <v>0</v>
      </c>
      <c r="N812" s="91">
        <f>3148+1178+4053+2088</f>
        <v>10467</v>
      </c>
      <c r="O812" s="91">
        <v>0</v>
      </c>
      <c r="P812" s="91">
        <f>720+1080+120+1200+360+56</f>
        <v>3536</v>
      </c>
      <c r="Q812" s="101">
        <f t="shared" si="24"/>
        <v>74103</v>
      </c>
      <c r="R812" s="95">
        <f t="shared" si="25"/>
        <v>62987.55</v>
      </c>
    </row>
    <row r="813" spans="1:18" ht="34.049999999999997" customHeight="1" x14ac:dyDescent="0.3">
      <c r="A813" s="90">
        <v>802</v>
      </c>
      <c r="B813" s="91" t="s">
        <v>2655</v>
      </c>
      <c r="C813" s="91" t="s">
        <v>7241</v>
      </c>
      <c r="D813" s="93" t="s">
        <v>3711</v>
      </c>
      <c r="E813" s="91">
        <v>2022</v>
      </c>
      <c r="F813" s="91" t="s">
        <v>18</v>
      </c>
      <c r="G813" s="91" t="s">
        <v>3712</v>
      </c>
      <c r="H813" s="91" t="s">
        <v>3713</v>
      </c>
      <c r="I813" s="91" t="s">
        <v>299</v>
      </c>
      <c r="J813" s="91">
        <v>0</v>
      </c>
      <c r="K813" s="91">
        <v>0</v>
      </c>
      <c r="L813" s="91">
        <v>0</v>
      </c>
      <c r="M813" s="91">
        <v>17688</v>
      </c>
      <c r="N813" s="91">
        <v>0</v>
      </c>
      <c r="O813" s="91">
        <v>0</v>
      </c>
      <c r="P813" s="91">
        <f>60+360+56</f>
        <v>476</v>
      </c>
      <c r="Q813" s="101">
        <f t="shared" si="24"/>
        <v>18164</v>
      </c>
      <c r="R813" s="95">
        <f t="shared" si="25"/>
        <v>15439.4</v>
      </c>
    </row>
    <row r="814" spans="1:18" ht="34.049999999999997" customHeight="1" x14ac:dyDescent="0.3">
      <c r="A814" s="96">
        <v>803</v>
      </c>
      <c r="B814" s="91" t="s">
        <v>2655</v>
      </c>
      <c r="C814" s="91" t="s">
        <v>7242</v>
      </c>
      <c r="D814" s="93" t="s">
        <v>2021</v>
      </c>
      <c r="E814" s="91">
        <v>2025</v>
      </c>
      <c r="F814" s="91" t="s">
        <v>19</v>
      </c>
      <c r="G814" s="91" t="s">
        <v>2080</v>
      </c>
      <c r="H814" s="91" t="s">
        <v>2114</v>
      </c>
      <c r="I814" s="91" t="s">
        <v>2141</v>
      </c>
      <c r="J814" s="91">
        <v>3793</v>
      </c>
      <c r="K814" s="91">
        <f>1346+6278+4484+2332+2332+2332+2332+2332+2332+6995+6995+2332+6995</f>
        <v>49417</v>
      </c>
      <c r="L814" s="91">
        <v>0</v>
      </c>
      <c r="M814" s="91">
        <v>0</v>
      </c>
      <c r="N814" s="91">
        <f>3148+1178+4053+2088</f>
        <v>10467</v>
      </c>
      <c r="O814" s="91">
        <v>0</v>
      </c>
      <c r="P814" s="91">
        <f>720+1080+374+360+56</f>
        <v>2590</v>
      </c>
      <c r="Q814" s="101">
        <f t="shared" si="24"/>
        <v>66267</v>
      </c>
      <c r="R814" s="95">
        <f t="shared" si="25"/>
        <v>56326.95</v>
      </c>
    </row>
    <row r="815" spans="1:18" ht="34.049999999999997" customHeight="1" x14ac:dyDescent="0.3">
      <c r="A815" s="90">
        <v>804</v>
      </c>
      <c r="B815" s="91" t="s">
        <v>2655</v>
      </c>
      <c r="C815" s="91" t="s">
        <v>7242</v>
      </c>
      <c r="D815" s="93" t="s">
        <v>2021</v>
      </c>
      <c r="E815" s="91">
        <v>2025</v>
      </c>
      <c r="F815" s="91" t="s">
        <v>19</v>
      </c>
      <c r="G815" s="91" t="s">
        <v>2080</v>
      </c>
      <c r="H815" s="91" t="s">
        <v>2114</v>
      </c>
      <c r="I815" s="91" t="s">
        <v>2141</v>
      </c>
      <c r="J815" s="91">
        <v>0</v>
      </c>
      <c r="K815" s="91">
        <v>0</v>
      </c>
      <c r="L815" s="91">
        <v>0</v>
      </c>
      <c r="M815" s="91">
        <v>17688</v>
      </c>
      <c r="N815" s="91">
        <v>0</v>
      </c>
      <c r="O815" s="91">
        <v>0</v>
      </c>
      <c r="P815" s="91">
        <f>360+56</f>
        <v>416</v>
      </c>
      <c r="Q815" s="101">
        <f t="shared" si="24"/>
        <v>18104</v>
      </c>
      <c r="R815" s="95">
        <f t="shared" si="25"/>
        <v>15388.4</v>
      </c>
    </row>
    <row r="816" spans="1:18" ht="34.049999999999997" customHeight="1" x14ac:dyDescent="0.3">
      <c r="A816" s="90">
        <v>805</v>
      </c>
      <c r="B816" s="91" t="s">
        <v>2655</v>
      </c>
      <c r="C816" s="91" t="s">
        <v>7243</v>
      </c>
      <c r="D816" s="93" t="s">
        <v>3707</v>
      </c>
      <c r="E816" s="91">
        <v>1975</v>
      </c>
      <c r="F816" s="91" t="s">
        <v>18</v>
      </c>
      <c r="G816" s="91" t="s">
        <v>2401</v>
      </c>
      <c r="H816" s="91" t="s">
        <v>2401</v>
      </c>
      <c r="I816" s="91" t="s">
        <v>278</v>
      </c>
      <c r="J816" s="91">
        <v>2900</v>
      </c>
      <c r="K816" s="91">
        <v>1166</v>
      </c>
      <c r="L816" s="91">
        <v>0</v>
      </c>
      <c r="M816" s="91">
        <v>17688</v>
      </c>
      <c r="N816" s="91">
        <v>0</v>
      </c>
      <c r="O816" s="91">
        <v>0</v>
      </c>
      <c r="P816" s="91">
        <v>0</v>
      </c>
      <c r="Q816" s="101">
        <f t="shared" si="24"/>
        <v>21754</v>
      </c>
      <c r="R816" s="95">
        <f t="shared" si="25"/>
        <v>18490.900000000001</v>
      </c>
    </row>
    <row r="817" spans="1:23" ht="34.049999999999997" customHeight="1" x14ac:dyDescent="0.3">
      <c r="A817" s="96">
        <v>806</v>
      </c>
      <c r="B817" s="91" t="s">
        <v>2655</v>
      </c>
      <c r="C817" s="91" t="s">
        <v>7244</v>
      </c>
      <c r="D817" s="93" t="s">
        <v>1777</v>
      </c>
      <c r="E817" s="91">
        <v>2021</v>
      </c>
      <c r="F817" s="91" t="s">
        <v>19</v>
      </c>
      <c r="G817" s="91" t="s">
        <v>1835</v>
      </c>
      <c r="H817" s="91" t="s">
        <v>1875</v>
      </c>
      <c r="I817" s="91" t="s">
        <v>1267</v>
      </c>
      <c r="J817" s="91">
        <v>2900</v>
      </c>
      <c r="K817" s="91">
        <v>0</v>
      </c>
      <c r="L817" s="91">
        <v>0</v>
      </c>
      <c r="M817" s="91">
        <v>0</v>
      </c>
      <c r="N817" s="91">
        <v>2088</v>
      </c>
      <c r="O817" s="91">
        <v>0</v>
      </c>
      <c r="P817" s="91">
        <f>360+56</f>
        <v>416</v>
      </c>
      <c r="Q817" s="101">
        <f t="shared" si="24"/>
        <v>5404</v>
      </c>
      <c r="R817" s="95">
        <f t="shared" si="25"/>
        <v>4593.3999999999996</v>
      </c>
    </row>
    <row r="818" spans="1:23" ht="34.049999999999997" customHeight="1" x14ac:dyDescent="0.3">
      <c r="A818" s="90">
        <v>807</v>
      </c>
      <c r="B818" s="91" t="s">
        <v>2655</v>
      </c>
      <c r="C818" s="91" t="s">
        <v>7245</v>
      </c>
      <c r="D818" s="93" t="s">
        <v>3697</v>
      </c>
      <c r="E818" s="91">
        <v>2020</v>
      </c>
      <c r="F818" s="91" t="s">
        <v>19</v>
      </c>
      <c r="G818" s="91" t="s">
        <v>3698</v>
      </c>
      <c r="H818" s="91" t="s">
        <v>2423</v>
      </c>
      <c r="I818" s="91" t="s">
        <v>1278</v>
      </c>
      <c r="J818" s="91">
        <v>2900</v>
      </c>
      <c r="K818" s="91">
        <v>0</v>
      </c>
      <c r="L818" s="91">
        <v>0</v>
      </c>
      <c r="M818" s="91">
        <v>0</v>
      </c>
      <c r="N818" s="91">
        <v>2088</v>
      </c>
      <c r="O818" s="91">
        <v>0</v>
      </c>
      <c r="P818" s="91">
        <f>360+56</f>
        <v>416</v>
      </c>
      <c r="Q818" s="101">
        <f t="shared" si="24"/>
        <v>5404</v>
      </c>
      <c r="R818" s="95">
        <f t="shared" si="25"/>
        <v>4593.3999999999996</v>
      </c>
    </row>
    <row r="819" spans="1:23" ht="34.049999999999997" customHeight="1" x14ac:dyDescent="0.3">
      <c r="A819" s="90">
        <v>808</v>
      </c>
      <c r="B819" s="91" t="s">
        <v>2655</v>
      </c>
      <c r="C819" s="91" t="s">
        <v>7246</v>
      </c>
      <c r="D819" s="93" t="s">
        <v>3700</v>
      </c>
      <c r="E819" s="91">
        <v>2021</v>
      </c>
      <c r="F819" s="91" t="s">
        <v>19</v>
      </c>
      <c r="G819" s="91" t="s">
        <v>3701</v>
      </c>
      <c r="H819" s="91" t="s">
        <v>3702</v>
      </c>
      <c r="I819" s="91" t="s">
        <v>3703</v>
      </c>
      <c r="J819" s="91">
        <v>2900</v>
      </c>
      <c r="K819" s="91">
        <v>0</v>
      </c>
      <c r="L819" s="91">
        <v>0</v>
      </c>
      <c r="M819" s="91">
        <v>0</v>
      </c>
      <c r="N819" s="91">
        <v>2088</v>
      </c>
      <c r="O819" s="91">
        <v>0</v>
      </c>
      <c r="P819" s="91">
        <f>360+56</f>
        <v>416</v>
      </c>
      <c r="Q819" s="101">
        <f t="shared" si="24"/>
        <v>5404</v>
      </c>
      <c r="R819" s="95">
        <f t="shared" si="25"/>
        <v>4593.3999999999996</v>
      </c>
    </row>
    <row r="820" spans="1:23" ht="34.049999999999997" customHeight="1" x14ac:dyDescent="0.3">
      <c r="A820" s="96">
        <v>809</v>
      </c>
      <c r="B820" s="91" t="s">
        <v>2655</v>
      </c>
      <c r="C820" s="91" t="s">
        <v>7247</v>
      </c>
      <c r="D820" s="93" t="s">
        <v>3708</v>
      </c>
      <c r="E820" s="91">
        <v>2020</v>
      </c>
      <c r="F820" s="91" t="s">
        <v>18</v>
      </c>
      <c r="G820" s="91" t="s">
        <v>3709</v>
      </c>
      <c r="H820" s="91" t="s">
        <v>3710</v>
      </c>
      <c r="I820" s="91" t="s">
        <v>25</v>
      </c>
      <c r="J820" s="91">
        <v>2900</v>
      </c>
      <c r="K820" s="91">
        <v>0</v>
      </c>
      <c r="L820" s="91">
        <v>0</v>
      </c>
      <c r="M820" s="91">
        <v>0</v>
      </c>
      <c r="N820" s="91">
        <v>2088</v>
      </c>
      <c r="O820" s="91">
        <v>0</v>
      </c>
      <c r="P820" s="91">
        <f>720+112</f>
        <v>832</v>
      </c>
      <c r="Q820" s="101">
        <f t="shared" si="24"/>
        <v>5820</v>
      </c>
      <c r="R820" s="95">
        <f t="shared" si="25"/>
        <v>4947</v>
      </c>
    </row>
    <row r="821" spans="1:23" ht="34.049999999999997" customHeight="1" x14ac:dyDescent="0.3">
      <c r="A821" s="90">
        <v>810</v>
      </c>
      <c r="B821" s="91" t="s">
        <v>2655</v>
      </c>
      <c r="C821" s="91" t="s">
        <v>7248</v>
      </c>
      <c r="D821" s="93" t="s">
        <v>2299</v>
      </c>
      <c r="E821" s="91">
        <v>2024</v>
      </c>
      <c r="F821" s="91" t="s">
        <v>19</v>
      </c>
      <c r="G821" s="91" t="s">
        <v>2387</v>
      </c>
      <c r="H821" s="91" t="s">
        <v>1452</v>
      </c>
      <c r="I821" s="91" t="s">
        <v>282</v>
      </c>
      <c r="J821" s="91">
        <v>2900</v>
      </c>
      <c r="K821" s="91">
        <v>0</v>
      </c>
      <c r="L821" s="91">
        <v>0</v>
      </c>
      <c r="M821" s="91">
        <v>17688</v>
      </c>
      <c r="N821" s="91">
        <v>2088</v>
      </c>
      <c r="O821" s="91">
        <v>0</v>
      </c>
      <c r="P821" s="91">
        <f>1080+168+720+120+374+1080</f>
        <v>3542</v>
      </c>
      <c r="Q821" s="101">
        <f t="shared" si="24"/>
        <v>26218</v>
      </c>
      <c r="R821" s="95">
        <f t="shared" si="25"/>
        <v>22285.3</v>
      </c>
    </row>
    <row r="822" spans="1:23" ht="34.049999999999997" customHeight="1" x14ac:dyDescent="0.3">
      <c r="A822" s="90">
        <v>811</v>
      </c>
      <c r="B822" s="91" t="s">
        <v>2655</v>
      </c>
      <c r="C822" s="91" t="s">
        <v>7249</v>
      </c>
      <c r="D822" s="93" t="s">
        <v>1914</v>
      </c>
      <c r="E822" s="91">
        <v>2016</v>
      </c>
      <c r="F822" s="91" t="s">
        <v>19</v>
      </c>
      <c r="G822" s="91" t="s">
        <v>2028</v>
      </c>
      <c r="H822" s="91" t="s">
        <v>2084</v>
      </c>
      <c r="I822" s="91" t="s">
        <v>2621</v>
      </c>
      <c r="J822" s="91">
        <v>0</v>
      </c>
      <c r="K822" s="91">
        <v>0</v>
      </c>
      <c r="L822" s="91">
        <v>0</v>
      </c>
      <c r="M822" s="91">
        <v>17688</v>
      </c>
      <c r="N822" s="91">
        <v>0</v>
      </c>
      <c r="O822" s="91">
        <v>0</v>
      </c>
      <c r="P822" s="91">
        <f>720+112</f>
        <v>832</v>
      </c>
      <c r="Q822" s="101">
        <f t="shared" si="24"/>
        <v>18520</v>
      </c>
      <c r="R822" s="95">
        <f t="shared" si="25"/>
        <v>15742</v>
      </c>
    </row>
    <row r="823" spans="1:23" ht="34.049999999999997" customHeight="1" x14ac:dyDescent="0.3">
      <c r="A823" s="96">
        <v>812</v>
      </c>
      <c r="B823" s="91" t="s">
        <v>2655</v>
      </c>
      <c r="C823" s="91" t="s">
        <v>7250</v>
      </c>
      <c r="D823" s="93" t="s">
        <v>2521</v>
      </c>
      <c r="E823" s="91">
        <v>2023</v>
      </c>
      <c r="F823" s="91" t="s">
        <v>18</v>
      </c>
      <c r="G823" s="91" t="s">
        <v>2569</v>
      </c>
      <c r="H823" s="91" t="s">
        <v>2600</v>
      </c>
      <c r="I823" s="91" t="s">
        <v>2628</v>
      </c>
      <c r="J823" s="91">
        <v>2900</v>
      </c>
      <c r="K823" s="91">
        <v>0</v>
      </c>
      <c r="L823" s="91">
        <v>0</v>
      </c>
      <c r="M823" s="91">
        <v>0</v>
      </c>
      <c r="N823" s="91">
        <v>2088</v>
      </c>
      <c r="O823" s="91">
        <v>0</v>
      </c>
      <c r="P823" s="91">
        <f>360+56</f>
        <v>416</v>
      </c>
      <c r="Q823" s="101">
        <f t="shared" si="24"/>
        <v>5404</v>
      </c>
      <c r="R823" s="95">
        <f t="shared" si="25"/>
        <v>4593.3999999999996</v>
      </c>
    </row>
    <row r="824" spans="1:23" ht="34.049999999999997" customHeight="1" x14ac:dyDescent="0.3">
      <c r="A824" s="90">
        <v>813</v>
      </c>
      <c r="B824" s="91" t="s">
        <v>2866</v>
      </c>
      <c r="C824" s="91" t="s">
        <v>2867</v>
      </c>
      <c r="D824" s="91" t="s">
        <v>2868</v>
      </c>
      <c r="E824" s="91">
        <v>1960</v>
      </c>
      <c r="F824" s="91" t="s">
        <v>18</v>
      </c>
      <c r="G824" s="91" t="s">
        <v>2990</v>
      </c>
      <c r="H824" s="91" t="s">
        <v>1403</v>
      </c>
      <c r="I824" s="91" t="s">
        <v>1257</v>
      </c>
      <c r="J824" s="91">
        <v>6199</v>
      </c>
      <c r="K824" s="91">
        <v>0</v>
      </c>
      <c r="L824" s="91">
        <v>0</v>
      </c>
      <c r="M824" s="91">
        <v>0</v>
      </c>
      <c r="N824" s="91">
        <v>0</v>
      </c>
      <c r="O824" s="91">
        <v>0</v>
      </c>
      <c r="P824" s="91">
        <v>0</v>
      </c>
      <c r="Q824" s="101">
        <f t="shared" si="24"/>
        <v>6199</v>
      </c>
      <c r="R824" s="95">
        <f t="shared" si="25"/>
        <v>5269.15</v>
      </c>
    </row>
    <row r="825" spans="1:23" ht="34.049999999999997" customHeight="1" x14ac:dyDescent="0.3">
      <c r="A825" s="90">
        <v>814</v>
      </c>
      <c r="B825" s="91" t="s">
        <v>2866</v>
      </c>
      <c r="C825" s="91" t="s">
        <v>2869</v>
      </c>
      <c r="D825" s="91" t="s">
        <v>2870</v>
      </c>
      <c r="E825" s="91">
        <v>2010</v>
      </c>
      <c r="F825" s="91" t="s">
        <v>18</v>
      </c>
      <c r="G825" s="91" t="s">
        <v>2991</v>
      </c>
      <c r="H825" s="91" t="s">
        <v>3047</v>
      </c>
      <c r="I825" s="91" t="s">
        <v>1257</v>
      </c>
      <c r="J825" s="91">
        <v>6199</v>
      </c>
      <c r="K825" s="91">
        <v>0</v>
      </c>
      <c r="L825" s="91">
        <v>0</v>
      </c>
      <c r="M825" s="91">
        <v>0</v>
      </c>
      <c r="N825" s="91">
        <v>0</v>
      </c>
      <c r="O825" s="91">
        <v>0</v>
      </c>
      <c r="P825" s="91">
        <v>0</v>
      </c>
      <c r="Q825" s="101">
        <f t="shared" si="24"/>
        <v>6199</v>
      </c>
      <c r="R825" s="95">
        <f t="shared" si="25"/>
        <v>5269.15</v>
      </c>
    </row>
    <row r="826" spans="1:23" ht="34.049999999999997" customHeight="1" x14ac:dyDescent="0.3">
      <c r="A826" s="96">
        <v>815</v>
      </c>
      <c r="B826" s="91" t="s">
        <v>2866</v>
      </c>
      <c r="C826" s="91" t="s">
        <v>2871</v>
      </c>
      <c r="D826" s="91" t="s">
        <v>2872</v>
      </c>
      <c r="E826" s="91">
        <v>1988</v>
      </c>
      <c r="F826" s="91" t="s">
        <v>18</v>
      </c>
      <c r="G826" s="91" t="s">
        <v>2992</v>
      </c>
      <c r="H826" s="91" t="s">
        <v>2992</v>
      </c>
      <c r="I826" s="91" t="s">
        <v>1081</v>
      </c>
      <c r="J826" s="91">
        <v>3582</v>
      </c>
      <c r="K826" s="91">
        <v>0</v>
      </c>
      <c r="L826" s="91">
        <v>0</v>
      </c>
      <c r="M826" s="91">
        <v>0</v>
      </c>
      <c r="N826" s="91">
        <v>41718</v>
      </c>
      <c r="O826" s="91">
        <v>0</v>
      </c>
      <c r="P826" s="91">
        <v>0</v>
      </c>
      <c r="Q826" s="101">
        <f t="shared" si="24"/>
        <v>45300</v>
      </c>
      <c r="R826" s="95">
        <f t="shared" si="25"/>
        <v>38505</v>
      </c>
    </row>
    <row r="827" spans="1:23" ht="34.049999999999997" customHeight="1" x14ac:dyDescent="0.3">
      <c r="A827" s="90">
        <v>816</v>
      </c>
      <c r="B827" s="98" t="s">
        <v>2866</v>
      </c>
      <c r="C827" s="98" t="s">
        <v>2873</v>
      </c>
      <c r="D827" s="98" t="s">
        <v>2874</v>
      </c>
      <c r="E827" s="98">
        <v>2023</v>
      </c>
      <c r="F827" s="98" t="s">
        <v>18</v>
      </c>
      <c r="G827" s="98" t="s">
        <v>2993</v>
      </c>
      <c r="H827" s="98" t="s">
        <v>3048</v>
      </c>
      <c r="I827" s="98" t="s">
        <v>3082</v>
      </c>
      <c r="J827" s="98">
        <v>6199</v>
      </c>
      <c r="K827" s="98">
        <f>6278+4484+2332+1346+2332+2332+2332+2332+6995+6995+2332+6995+2332+4484+4484</f>
        <v>58385</v>
      </c>
      <c r="L827" s="98">
        <v>0</v>
      </c>
      <c r="M827" s="98">
        <v>0</v>
      </c>
      <c r="N827" s="98">
        <v>3148</v>
      </c>
      <c r="O827" s="98">
        <v>0</v>
      </c>
      <c r="P827" s="98">
        <v>0</v>
      </c>
      <c r="Q827" s="101">
        <f t="shared" si="24"/>
        <v>67732</v>
      </c>
      <c r="R827" s="95">
        <f t="shared" si="25"/>
        <v>57572.2</v>
      </c>
      <c r="S827" s="41"/>
      <c r="T827" s="41"/>
      <c r="U827" s="41"/>
      <c r="V827" s="41"/>
      <c r="W827" s="41"/>
    </row>
    <row r="828" spans="1:23" ht="34.049999999999997" customHeight="1" x14ac:dyDescent="0.3">
      <c r="A828" s="90">
        <v>817</v>
      </c>
      <c r="B828" s="91" t="s">
        <v>2866</v>
      </c>
      <c r="C828" s="91" t="s">
        <v>2875</v>
      </c>
      <c r="D828" s="91" t="s">
        <v>2876</v>
      </c>
      <c r="E828" s="91">
        <v>2023</v>
      </c>
      <c r="F828" s="91" t="s">
        <v>18</v>
      </c>
      <c r="G828" s="91" t="s">
        <v>2994</v>
      </c>
      <c r="H828" s="91" t="s">
        <v>3049</v>
      </c>
      <c r="I828" s="91" t="s">
        <v>2843</v>
      </c>
      <c r="J828" s="91">
        <v>6199</v>
      </c>
      <c r="K828" s="91">
        <v>0</v>
      </c>
      <c r="L828" s="91">
        <v>0</v>
      </c>
      <c r="M828" s="91">
        <v>0</v>
      </c>
      <c r="N828" s="91">
        <v>0</v>
      </c>
      <c r="O828" s="91">
        <v>0</v>
      </c>
      <c r="P828" s="91">
        <v>0</v>
      </c>
      <c r="Q828" s="101">
        <f t="shared" si="24"/>
        <v>6199</v>
      </c>
      <c r="R828" s="95">
        <f t="shared" si="25"/>
        <v>5269.15</v>
      </c>
    </row>
    <row r="829" spans="1:23" ht="34.049999999999997" customHeight="1" x14ac:dyDescent="0.3">
      <c r="A829" s="96">
        <v>818</v>
      </c>
      <c r="B829" s="91" t="s">
        <v>2866</v>
      </c>
      <c r="C829" s="91" t="s">
        <v>2877</v>
      </c>
      <c r="D829" s="91" t="s">
        <v>2872</v>
      </c>
      <c r="E829" s="91">
        <v>1988</v>
      </c>
      <c r="F829" s="91" t="s">
        <v>18</v>
      </c>
      <c r="G829" s="91" t="s">
        <v>2992</v>
      </c>
      <c r="H829" s="91" t="s">
        <v>2992</v>
      </c>
      <c r="I829" s="91" t="s">
        <v>1081</v>
      </c>
      <c r="J829" s="91">
        <v>6199</v>
      </c>
      <c r="K829" s="91">
        <v>0</v>
      </c>
      <c r="L829" s="91">
        <v>0</v>
      </c>
      <c r="M829" s="91">
        <v>0</v>
      </c>
      <c r="N829" s="91">
        <v>0</v>
      </c>
      <c r="O829" s="91">
        <v>0</v>
      </c>
      <c r="P829" s="91">
        <v>0</v>
      </c>
      <c r="Q829" s="101">
        <f t="shared" si="24"/>
        <v>6199</v>
      </c>
      <c r="R829" s="95">
        <f t="shared" si="25"/>
        <v>5269.15</v>
      </c>
    </row>
    <row r="830" spans="1:23" ht="34.049999999999997" customHeight="1" x14ac:dyDescent="0.3">
      <c r="A830" s="90">
        <v>819</v>
      </c>
      <c r="B830" s="91" t="s">
        <v>2866</v>
      </c>
      <c r="C830" s="91" t="s">
        <v>2878</v>
      </c>
      <c r="D830" s="91" t="s">
        <v>2879</v>
      </c>
      <c r="E830" s="91">
        <v>1992</v>
      </c>
      <c r="F830" s="91" t="s">
        <v>19</v>
      </c>
      <c r="G830" s="91" t="s">
        <v>2995</v>
      </c>
      <c r="H830" s="91" t="s">
        <v>2995</v>
      </c>
      <c r="I830" s="91" t="s">
        <v>3083</v>
      </c>
      <c r="J830" s="91">
        <v>3582</v>
      </c>
      <c r="K830" s="91">
        <v>0</v>
      </c>
      <c r="L830" s="91">
        <v>0</v>
      </c>
      <c r="M830" s="91">
        <v>0</v>
      </c>
      <c r="N830" s="91">
        <f>34016+27380</f>
        <v>61396</v>
      </c>
      <c r="O830" s="91">
        <v>0</v>
      </c>
      <c r="P830" s="91">
        <v>0</v>
      </c>
      <c r="Q830" s="101">
        <f t="shared" si="24"/>
        <v>64978</v>
      </c>
      <c r="R830" s="95">
        <f t="shared" si="25"/>
        <v>55231.3</v>
      </c>
    </row>
    <row r="831" spans="1:23" ht="34.049999999999997" customHeight="1" x14ac:dyDescent="0.3">
      <c r="A831" s="90">
        <v>820</v>
      </c>
      <c r="B831" s="98" t="s">
        <v>2866</v>
      </c>
      <c r="C831" s="98" t="s">
        <v>2880</v>
      </c>
      <c r="D831" s="98" t="s">
        <v>2881</v>
      </c>
      <c r="E831" s="98">
        <v>2022</v>
      </c>
      <c r="F831" s="98" t="s">
        <v>19</v>
      </c>
      <c r="G831" s="98" t="s">
        <v>2996</v>
      </c>
      <c r="H831" s="98" t="s">
        <v>1240</v>
      </c>
      <c r="I831" s="98" t="s">
        <v>1274</v>
      </c>
      <c r="J831" s="98">
        <v>6199</v>
      </c>
      <c r="K831" s="98">
        <f>6278+4484+2332+1346+2332+2332+2332+2332+6995+6995+2332+6995+4484+4484+2332+1166+2801</f>
        <v>62352</v>
      </c>
      <c r="L831" s="98">
        <v>0</v>
      </c>
      <c r="M831" s="98">
        <v>0</v>
      </c>
      <c r="N831" s="98">
        <v>3148</v>
      </c>
      <c r="O831" s="98">
        <v>0</v>
      </c>
      <c r="P831" s="98">
        <v>0</v>
      </c>
      <c r="Q831" s="101">
        <f t="shared" si="24"/>
        <v>71699</v>
      </c>
      <c r="R831" s="95">
        <f t="shared" si="25"/>
        <v>60944.15</v>
      </c>
      <c r="S831" s="41"/>
      <c r="T831" s="41"/>
      <c r="U831" s="41"/>
      <c r="V831" s="41"/>
      <c r="W831" s="41"/>
    </row>
    <row r="832" spans="1:23" ht="34.049999999999997" customHeight="1" x14ac:dyDescent="0.3">
      <c r="A832" s="96">
        <v>821</v>
      </c>
      <c r="B832" s="98" t="s">
        <v>2866</v>
      </c>
      <c r="C832" s="98" t="s">
        <v>2882</v>
      </c>
      <c r="D832" s="98" t="s">
        <v>2883</v>
      </c>
      <c r="E832" s="98">
        <v>2007</v>
      </c>
      <c r="F832" s="98" t="s">
        <v>18</v>
      </c>
      <c r="G832" s="98" t="s">
        <v>2997</v>
      </c>
      <c r="H832" s="98" t="s">
        <v>3050</v>
      </c>
      <c r="I832" s="98" t="s">
        <v>3084</v>
      </c>
      <c r="J832" s="98">
        <v>6199</v>
      </c>
      <c r="K832" s="98">
        <f>1166+2801</f>
        <v>3967</v>
      </c>
      <c r="L832" s="98">
        <v>0</v>
      </c>
      <c r="M832" s="98">
        <v>0</v>
      </c>
      <c r="N832" s="98">
        <v>0</v>
      </c>
      <c r="O832" s="98">
        <v>0</v>
      </c>
      <c r="P832" s="98">
        <v>0</v>
      </c>
      <c r="Q832" s="101">
        <f t="shared" si="24"/>
        <v>10166</v>
      </c>
      <c r="R832" s="95">
        <f t="shared" si="25"/>
        <v>8641.1</v>
      </c>
      <c r="S832" s="41"/>
      <c r="T832" s="41"/>
      <c r="U832" s="41"/>
      <c r="V832" s="41"/>
      <c r="W832" s="41"/>
    </row>
    <row r="833" spans="1:23" ht="34.049999999999997" customHeight="1" x14ac:dyDescent="0.3">
      <c r="A833" s="90">
        <v>822</v>
      </c>
      <c r="B833" s="91" t="s">
        <v>2866</v>
      </c>
      <c r="C833" s="91" t="s">
        <v>2884</v>
      </c>
      <c r="D833" s="91" t="s">
        <v>2657</v>
      </c>
      <c r="E833" s="91">
        <v>2009</v>
      </c>
      <c r="F833" s="91" t="s">
        <v>19</v>
      </c>
      <c r="G833" s="91" t="s">
        <v>2758</v>
      </c>
      <c r="H833" s="91" t="s">
        <v>2806</v>
      </c>
      <c r="I833" s="91" t="s">
        <v>2843</v>
      </c>
      <c r="J833" s="91">
        <v>3793</v>
      </c>
      <c r="K833" s="91">
        <v>0</v>
      </c>
      <c r="L833" s="91">
        <v>0</v>
      </c>
      <c r="M833" s="91">
        <v>0</v>
      </c>
      <c r="N833" s="91">
        <f>3179+1178</f>
        <v>4357</v>
      </c>
      <c r="O833" s="91">
        <v>0</v>
      </c>
      <c r="P833" s="91">
        <f>720+720+374</f>
        <v>1814</v>
      </c>
      <c r="Q833" s="101">
        <f t="shared" si="24"/>
        <v>9964</v>
      </c>
      <c r="R833" s="95">
        <f t="shared" si="25"/>
        <v>8469.4</v>
      </c>
    </row>
    <row r="834" spans="1:23" ht="34.049999999999997" customHeight="1" x14ac:dyDescent="0.3">
      <c r="A834" s="90">
        <v>823</v>
      </c>
      <c r="B834" s="98" t="s">
        <v>2866</v>
      </c>
      <c r="C834" s="98" t="s">
        <v>2885</v>
      </c>
      <c r="D834" s="98" t="s">
        <v>2886</v>
      </c>
      <c r="E834" s="98">
        <v>2023</v>
      </c>
      <c r="F834" s="98" t="s">
        <v>19</v>
      </c>
      <c r="G834" s="98" t="s">
        <v>2998</v>
      </c>
      <c r="H834" s="98" t="s">
        <v>3051</v>
      </c>
      <c r="I834" s="98" t="s">
        <v>3085</v>
      </c>
      <c r="J834" s="98">
        <v>6199</v>
      </c>
      <c r="K834" s="98">
        <f>6278+4484+2332+1346+2332+2332+2332+2332+6995+6995+2332+6995+2332+4484+4484</f>
        <v>58385</v>
      </c>
      <c r="L834" s="98">
        <v>0</v>
      </c>
      <c r="M834" s="98">
        <v>0</v>
      </c>
      <c r="N834" s="98">
        <v>3148</v>
      </c>
      <c r="O834" s="98">
        <v>0</v>
      </c>
      <c r="P834" s="98">
        <v>0</v>
      </c>
      <c r="Q834" s="101">
        <f t="shared" si="24"/>
        <v>67732</v>
      </c>
      <c r="R834" s="95">
        <f t="shared" si="25"/>
        <v>57572.2</v>
      </c>
      <c r="S834" s="41"/>
      <c r="T834" s="41"/>
      <c r="U834" s="41"/>
      <c r="V834" s="41"/>
      <c r="W834" s="41"/>
    </row>
    <row r="835" spans="1:23" ht="34.049999999999997" customHeight="1" x14ac:dyDescent="0.3">
      <c r="A835" s="96">
        <v>824</v>
      </c>
      <c r="B835" s="91" t="s">
        <v>2866</v>
      </c>
      <c r="C835" s="91" t="s">
        <v>2887</v>
      </c>
      <c r="D835" s="91" t="s">
        <v>2888</v>
      </c>
      <c r="E835" s="91">
        <v>1977</v>
      </c>
      <c r="F835" s="91" t="s">
        <v>18</v>
      </c>
      <c r="G835" s="91" t="s">
        <v>2999</v>
      </c>
      <c r="H835" s="91" t="s">
        <v>2999</v>
      </c>
      <c r="I835" s="91" t="s">
        <v>3086</v>
      </c>
      <c r="J835" s="91">
        <v>6199</v>
      </c>
      <c r="K835" s="91">
        <f>6278+4484+6995+3228+2332+2332+2332+2332+2332+2332+3000+3000+4484+4484+2332+4484</f>
        <v>56761</v>
      </c>
      <c r="L835" s="91">
        <v>0</v>
      </c>
      <c r="M835" s="91">
        <v>0</v>
      </c>
      <c r="N835" s="91">
        <v>1793</v>
      </c>
      <c r="O835" s="91">
        <v>0</v>
      </c>
      <c r="P835" s="91">
        <v>0</v>
      </c>
      <c r="Q835" s="101">
        <f t="shared" si="24"/>
        <v>64753</v>
      </c>
      <c r="R835" s="95">
        <f t="shared" si="25"/>
        <v>55040.05</v>
      </c>
    </row>
    <row r="836" spans="1:23" ht="34.049999999999997" customHeight="1" x14ac:dyDescent="0.3">
      <c r="A836" s="90">
        <v>825</v>
      </c>
      <c r="B836" s="91" t="s">
        <v>2866</v>
      </c>
      <c r="C836" s="91" t="s">
        <v>2889</v>
      </c>
      <c r="D836" s="91" t="s">
        <v>2890</v>
      </c>
      <c r="E836" s="91">
        <v>1999</v>
      </c>
      <c r="F836" s="91" t="s">
        <v>18</v>
      </c>
      <c r="G836" s="91" t="s">
        <v>3000</v>
      </c>
      <c r="H836" s="91" t="s">
        <v>3000</v>
      </c>
      <c r="I836" s="91" t="s">
        <v>2134</v>
      </c>
      <c r="J836" s="91">
        <v>3582</v>
      </c>
      <c r="K836" s="91">
        <v>0</v>
      </c>
      <c r="L836" s="91">
        <v>0</v>
      </c>
      <c r="M836" s="91">
        <v>0</v>
      </c>
      <c r="N836" s="91">
        <f>15433+42388+27126</f>
        <v>84947</v>
      </c>
      <c r="O836" s="91">
        <v>0</v>
      </c>
      <c r="P836" s="91">
        <v>0</v>
      </c>
      <c r="Q836" s="101">
        <f t="shared" si="24"/>
        <v>88529</v>
      </c>
      <c r="R836" s="95">
        <f t="shared" si="25"/>
        <v>75249.649999999994</v>
      </c>
    </row>
    <row r="837" spans="1:23" ht="34.049999999999997" customHeight="1" x14ac:dyDescent="0.3">
      <c r="A837" s="90">
        <v>826</v>
      </c>
      <c r="B837" s="91" t="s">
        <v>2866</v>
      </c>
      <c r="C837" s="91" t="s">
        <v>2891</v>
      </c>
      <c r="D837" s="91" t="s">
        <v>2892</v>
      </c>
      <c r="E837" s="91">
        <v>1988</v>
      </c>
      <c r="F837" s="91" t="s">
        <v>19</v>
      </c>
      <c r="G837" s="91" t="s">
        <v>3001</v>
      </c>
      <c r="H837" s="91" t="s">
        <v>2825</v>
      </c>
      <c r="I837" s="91" t="s">
        <v>24</v>
      </c>
      <c r="J837" s="91">
        <v>3582</v>
      </c>
      <c r="K837" s="91">
        <v>0</v>
      </c>
      <c r="L837" s="91">
        <v>0</v>
      </c>
      <c r="M837" s="91">
        <v>0</v>
      </c>
      <c r="N837" s="91">
        <f>42388+27126</f>
        <v>69514</v>
      </c>
      <c r="O837" s="91">
        <v>0</v>
      </c>
      <c r="P837" s="91">
        <v>0</v>
      </c>
      <c r="Q837" s="101">
        <f t="shared" si="24"/>
        <v>73096</v>
      </c>
      <c r="R837" s="95">
        <f t="shared" si="25"/>
        <v>62131.6</v>
      </c>
    </row>
    <row r="838" spans="1:23" ht="34.049999999999997" customHeight="1" x14ac:dyDescent="0.3">
      <c r="A838" s="96">
        <v>827</v>
      </c>
      <c r="B838" s="98" t="s">
        <v>2866</v>
      </c>
      <c r="C838" s="98" t="s">
        <v>2893</v>
      </c>
      <c r="D838" s="98" t="s">
        <v>2894</v>
      </c>
      <c r="E838" s="98">
        <v>2025</v>
      </c>
      <c r="F838" s="98" t="s">
        <v>19</v>
      </c>
      <c r="G838" s="98" t="s">
        <v>3002</v>
      </c>
      <c r="H838" s="98" t="s">
        <v>3052</v>
      </c>
      <c r="I838" s="98" t="s">
        <v>1064</v>
      </c>
      <c r="J838" s="98">
        <v>6199</v>
      </c>
      <c r="K838" s="98">
        <v>0</v>
      </c>
      <c r="L838" s="98">
        <v>13298</v>
      </c>
      <c r="M838" s="98">
        <v>0</v>
      </c>
      <c r="N838" s="98">
        <v>0</v>
      </c>
      <c r="O838" s="98">
        <v>0</v>
      </c>
      <c r="P838" s="98">
        <v>0</v>
      </c>
      <c r="Q838" s="101">
        <f t="shared" si="24"/>
        <v>19497</v>
      </c>
      <c r="R838" s="95">
        <f t="shared" si="25"/>
        <v>16572.45</v>
      </c>
      <c r="S838" s="41"/>
      <c r="T838" s="41"/>
      <c r="U838" s="41"/>
      <c r="V838" s="41"/>
      <c r="W838" s="41"/>
    </row>
    <row r="839" spans="1:23" ht="34.049999999999997" customHeight="1" x14ac:dyDescent="0.3">
      <c r="A839" s="90">
        <v>828</v>
      </c>
      <c r="B839" s="91" t="s">
        <v>2866</v>
      </c>
      <c r="C839" s="91" t="s">
        <v>2895</v>
      </c>
      <c r="D839" s="91" t="s">
        <v>2896</v>
      </c>
      <c r="E839" s="91">
        <v>2024</v>
      </c>
      <c r="F839" s="91" t="s">
        <v>19</v>
      </c>
      <c r="G839" s="91" t="s">
        <v>3003</v>
      </c>
      <c r="H839" s="91" t="s">
        <v>3053</v>
      </c>
      <c r="I839" s="91" t="s">
        <v>3087</v>
      </c>
      <c r="J839" s="91">
        <v>6199</v>
      </c>
      <c r="K839" s="91">
        <f>1346+6278+4484+4484+2332+2332+2332+2332+2332+2332+6995+6995+2332+6995</f>
        <v>53901</v>
      </c>
      <c r="L839" s="91">
        <v>0</v>
      </c>
      <c r="M839" s="91">
        <v>0</v>
      </c>
      <c r="N839" s="91">
        <v>3148</v>
      </c>
      <c r="O839" s="91">
        <v>0</v>
      </c>
      <c r="P839" s="91">
        <v>0</v>
      </c>
      <c r="Q839" s="101">
        <f t="shared" si="24"/>
        <v>63248</v>
      </c>
      <c r="R839" s="95">
        <f t="shared" si="25"/>
        <v>53760.800000000003</v>
      </c>
    </row>
    <row r="840" spans="1:23" ht="34.049999999999997" customHeight="1" x14ac:dyDescent="0.3">
      <c r="A840" s="90">
        <v>829</v>
      </c>
      <c r="B840" s="91" t="s">
        <v>2866</v>
      </c>
      <c r="C840" s="91" t="s">
        <v>2897</v>
      </c>
      <c r="D840" s="91" t="s">
        <v>2898</v>
      </c>
      <c r="E840" s="91">
        <v>1988</v>
      </c>
      <c r="F840" s="91" t="s">
        <v>19</v>
      </c>
      <c r="G840" s="91" t="s">
        <v>3004</v>
      </c>
      <c r="H840" s="91" t="s">
        <v>3004</v>
      </c>
      <c r="I840" s="91" t="s">
        <v>3088</v>
      </c>
      <c r="J840" s="91">
        <v>6199</v>
      </c>
      <c r="K840" s="91">
        <f>6278+4484+6995+6995+3228+2332+2332+2243+2801+2332+2332+2332+3000+3000+4484+4484+2332+4484+2332+2332+2332</f>
        <v>73464</v>
      </c>
      <c r="L840" s="91">
        <v>20807</v>
      </c>
      <c r="M840" s="91">
        <v>0</v>
      </c>
      <c r="N840" s="91">
        <v>1793</v>
      </c>
      <c r="O840" s="91">
        <v>0</v>
      </c>
      <c r="P840" s="91">
        <v>0</v>
      </c>
      <c r="Q840" s="101">
        <f t="shared" si="24"/>
        <v>102263</v>
      </c>
      <c r="R840" s="95">
        <f t="shared" si="25"/>
        <v>86923.55</v>
      </c>
    </row>
    <row r="841" spans="1:23" ht="34.049999999999997" customHeight="1" x14ac:dyDescent="0.3">
      <c r="A841" s="96">
        <v>830</v>
      </c>
      <c r="B841" s="98" t="s">
        <v>2866</v>
      </c>
      <c r="C841" s="98" t="s">
        <v>2899</v>
      </c>
      <c r="D841" s="98" t="s">
        <v>2900</v>
      </c>
      <c r="E841" s="98">
        <v>1951</v>
      </c>
      <c r="F841" s="98" t="s">
        <v>18</v>
      </c>
      <c r="G841" s="98" t="s">
        <v>3005</v>
      </c>
      <c r="H841" s="98" t="s">
        <v>3005</v>
      </c>
      <c r="I841" s="98" t="s">
        <v>253</v>
      </c>
      <c r="J841" s="98">
        <v>6199</v>
      </c>
      <c r="K841" s="98">
        <v>0</v>
      </c>
      <c r="L841" s="98">
        <v>13526</v>
      </c>
      <c r="M841" s="98">
        <v>0</v>
      </c>
      <c r="N841" s="98">
        <v>0</v>
      </c>
      <c r="O841" s="98">
        <v>0</v>
      </c>
      <c r="P841" s="98">
        <v>0</v>
      </c>
      <c r="Q841" s="101">
        <f t="shared" si="24"/>
        <v>19725</v>
      </c>
      <c r="R841" s="95">
        <f t="shared" si="25"/>
        <v>16766.25</v>
      </c>
      <c r="S841" s="41"/>
      <c r="T841" s="41"/>
      <c r="U841" s="41"/>
      <c r="V841" s="41"/>
      <c r="W841" s="41"/>
    </row>
    <row r="842" spans="1:23" ht="34.049999999999997" customHeight="1" x14ac:dyDescent="0.3">
      <c r="A842" s="90">
        <v>831</v>
      </c>
      <c r="B842" s="91" t="s">
        <v>2866</v>
      </c>
      <c r="C842" s="91" t="s">
        <v>2901</v>
      </c>
      <c r="D842" s="91" t="s">
        <v>2902</v>
      </c>
      <c r="E842" s="91">
        <v>1989</v>
      </c>
      <c r="F842" s="91" t="s">
        <v>19</v>
      </c>
      <c r="G842" s="91" t="s">
        <v>3006</v>
      </c>
      <c r="H842" s="91" t="s">
        <v>3006</v>
      </c>
      <c r="I842" s="91" t="s">
        <v>1046</v>
      </c>
      <c r="J842" s="91">
        <v>6199</v>
      </c>
      <c r="K842" s="91">
        <f>6278+4484+6995+3228+6995+2801+1166+2332+2332+2243+2332+2332+2332+3000+3000</f>
        <v>51850</v>
      </c>
      <c r="L842" s="91">
        <v>20807</v>
      </c>
      <c r="M842" s="91">
        <v>0</v>
      </c>
      <c r="N842" s="91">
        <v>1793</v>
      </c>
      <c r="O842" s="91">
        <v>0</v>
      </c>
      <c r="P842" s="91">
        <v>0</v>
      </c>
      <c r="Q842" s="101">
        <f t="shared" si="24"/>
        <v>80649</v>
      </c>
      <c r="R842" s="95">
        <f t="shared" si="25"/>
        <v>68551.649999999994</v>
      </c>
    </row>
    <row r="843" spans="1:23" ht="34.049999999999997" customHeight="1" x14ac:dyDescent="0.3">
      <c r="A843" s="90">
        <v>832</v>
      </c>
      <c r="B843" s="98" t="s">
        <v>2866</v>
      </c>
      <c r="C843" s="98" t="s">
        <v>2903</v>
      </c>
      <c r="D843" s="98" t="s">
        <v>2904</v>
      </c>
      <c r="E843" s="98">
        <v>1980</v>
      </c>
      <c r="F843" s="98" t="s">
        <v>18</v>
      </c>
      <c r="G843" s="98" t="s">
        <v>2430</v>
      </c>
      <c r="H843" s="98" t="s">
        <v>2430</v>
      </c>
      <c r="I843" s="98" t="s">
        <v>1069</v>
      </c>
      <c r="J843" s="98">
        <v>6199</v>
      </c>
      <c r="K843" s="98">
        <v>0</v>
      </c>
      <c r="L843" s="98">
        <v>0</v>
      </c>
      <c r="M843" s="98">
        <v>0</v>
      </c>
      <c r="N843" s="98">
        <v>0</v>
      </c>
      <c r="O843" s="98">
        <v>0</v>
      </c>
      <c r="P843" s="98">
        <v>0</v>
      </c>
      <c r="Q843" s="101">
        <f t="shared" si="24"/>
        <v>6199</v>
      </c>
      <c r="R843" s="95">
        <f t="shared" si="25"/>
        <v>5269.15</v>
      </c>
      <c r="S843" s="41"/>
      <c r="T843" s="41"/>
      <c r="U843" s="41"/>
      <c r="V843" s="41"/>
      <c r="W843" s="41"/>
    </row>
    <row r="844" spans="1:23" ht="34.049999999999997" customHeight="1" x14ac:dyDescent="0.3">
      <c r="A844" s="96">
        <v>833</v>
      </c>
      <c r="B844" s="98" t="s">
        <v>2866</v>
      </c>
      <c r="C844" s="98" t="s">
        <v>2905</v>
      </c>
      <c r="D844" s="98" t="s">
        <v>2906</v>
      </c>
      <c r="E844" s="98">
        <v>2023</v>
      </c>
      <c r="F844" s="98" t="s">
        <v>18</v>
      </c>
      <c r="G844" s="98" t="s">
        <v>3007</v>
      </c>
      <c r="H844" s="98" t="s">
        <v>3054</v>
      </c>
      <c r="I844" s="98" t="s">
        <v>1888</v>
      </c>
      <c r="J844" s="98">
        <v>6199</v>
      </c>
      <c r="K844" s="98">
        <f>6278+4484+1346+2332+2332+2332+2332+2332+6995+6995+2332+6995+2332+4484+4484</f>
        <v>58385</v>
      </c>
      <c r="L844" s="98">
        <v>0</v>
      </c>
      <c r="M844" s="98">
        <v>0</v>
      </c>
      <c r="N844" s="98">
        <v>3148</v>
      </c>
      <c r="O844" s="98">
        <v>0</v>
      </c>
      <c r="P844" s="98">
        <v>0</v>
      </c>
      <c r="Q844" s="101">
        <f t="shared" ref="Q844:Q907" si="26">SUM(J844:P844)</f>
        <v>67732</v>
      </c>
      <c r="R844" s="95">
        <f t="shared" si="25"/>
        <v>57572.2</v>
      </c>
      <c r="S844" s="41"/>
      <c r="T844" s="41"/>
      <c r="U844" s="41"/>
      <c r="V844" s="41"/>
      <c r="W844" s="41"/>
    </row>
    <row r="845" spans="1:23" ht="34.049999999999997" customHeight="1" x14ac:dyDescent="0.3">
      <c r="A845" s="90">
        <v>834</v>
      </c>
      <c r="B845" s="98" t="s">
        <v>2866</v>
      </c>
      <c r="C845" s="98" t="s">
        <v>2907</v>
      </c>
      <c r="D845" s="98" t="s">
        <v>2908</v>
      </c>
      <c r="E845" s="98">
        <v>2022</v>
      </c>
      <c r="F845" s="98" t="s">
        <v>18</v>
      </c>
      <c r="G845" s="98" t="s">
        <v>3008</v>
      </c>
      <c r="H845" s="98" t="s">
        <v>3055</v>
      </c>
      <c r="I845" s="98" t="s">
        <v>2130</v>
      </c>
      <c r="J845" s="98">
        <v>6199</v>
      </c>
      <c r="K845" s="98">
        <f>6278+4484+2332+1346+2332+2332+2332+2332+6995+6995+2332+6995+2332+4484+4484</f>
        <v>58385</v>
      </c>
      <c r="L845" s="98">
        <v>0</v>
      </c>
      <c r="M845" s="98">
        <v>0</v>
      </c>
      <c r="N845" s="98">
        <v>3148</v>
      </c>
      <c r="O845" s="98">
        <v>0</v>
      </c>
      <c r="P845" s="98">
        <v>0</v>
      </c>
      <c r="Q845" s="101">
        <f t="shared" si="26"/>
        <v>67732</v>
      </c>
      <c r="R845" s="95">
        <f t="shared" ref="R845:R908" si="27">Q845*85/100</f>
        <v>57572.2</v>
      </c>
      <c r="S845" s="41"/>
      <c r="T845" s="41"/>
      <c r="U845" s="41"/>
      <c r="V845" s="41"/>
      <c r="W845" s="41"/>
    </row>
    <row r="846" spans="1:23" ht="34.049999999999997" customHeight="1" x14ac:dyDescent="0.3">
      <c r="A846" s="90">
        <v>835</v>
      </c>
      <c r="B846" s="91" t="s">
        <v>2866</v>
      </c>
      <c r="C846" s="91" t="s">
        <v>2909</v>
      </c>
      <c r="D846" s="91" t="s">
        <v>2910</v>
      </c>
      <c r="E846" s="91">
        <v>2024</v>
      </c>
      <c r="F846" s="91" t="s">
        <v>18</v>
      </c>
      <c r="G846" s="91" t="s">
        <v>3009</v>
      </c>
      <c r="H846" s="91" t="s">
        <v>3056</v>
      </c>
      <c r="I846" s="91" t="s">
        <v>298</v>
      </c>
      <c r="J846" s="91">
        <v>6199</v>
      </c>
      <c r="K846" s="91">
        <v>0</v>
      </c>
      <c r="L846" s="91">
        <v>0</v>
      </c>
      <c r="M846" s="91">
        <v>0</v>
      </c>
      <c r="N846" s="91">
        <v>0</v>
      </c>
      <c r="O846" s="91">
        <v>0</v>
      </c>
      <c r="P846" s="91">
        <v>0</v>
      </c>
      <c r="Q846" s="101">
        <f t="shared" si="26"/>
        <v>6199</v>
      </c>
      <c r="R846" s="95">
        <f t="shared" si="27"/>
        <v>5269.15</v>
      </c>
    </row>
    <row r="847" spans="1:23" ht="34.049999999999997" customHeight="1" x14ac:dyDescent="0.3">
      <c r="A847" s="96">
        <v>836</v>
      </c>
      <c r="B847" s="91" t="s">
        <v>2866</v>
      </c>
      <c r="C847" s="91" t="s">
        <v>2911</v>
      </c>
      <c r="D847" s="91" t="s">
        <v>2912</v>
      </c>
      <c r="E847" s="91">
        <v>1991</v>
      </c>
      <c r="F847" s="91" t="s">
        <v>18</v>
      </c>
      <c r="G847" s="91" t="s">
        <v>3010</v>
      </c>
      <c r="H847" s="91" t="s">
        <v>3010</v>
      </c>
      <c r="I847" s="91" t="s">
        <v>570</v>
      </c>
      <c r="J847" s="91">
        <v>3582</v>
      </c>
      <c r="K847" s="91">
        <v>0</v>
      </c>
      <c r="L847" s="91">
        <v>0</v>
      </c>
      <c r="M847" s="91">
        <v>0</v>
      </c>
      <c r="N847" s="91">
        <v>0</v>
      </c>
      <c r="O847" s="91">
        <v>0</v>
      </c>
      <c r="P847" s="91">
        <v>0</v>
      </c>
      <c r="Q847" s="101">
        <f t="shared" si="26"/>
        <v>3582</v>
      </c>
      <c r="R847" s="95">
        <f t="shared" si="27"/>
        <v>3044.7</v>
      </c>
    </row>
    <row r="848" spans="1:23" ht="34.049999999999997" customHeight="1" x14ac:dyDescent="0.3">
      <c r="A848" s="90">
        <v>837</v>
      </c>
      <c r="B848" s="91" t="s">
        <v>2866</v>
      </c>
      <c r="C848" s="91" t="s">
        <v>2913</v>
      </c>
      <c r="D848" s="91" t="s">
        <v>2914</v>
      </c>
      <c r="E848" s="91">
        <v>2002</v>
      </c>
      <c r="F848" s="91" t="s">
        <v>19</v>
      </c>
      <c r="G848" s="91" t="s">
        <v>3011</v>
      </c>
      <c r="H848" s="91" t="s">
        <v>3057</v>
      </c>
      <c r="I848" s="91" t="s">
        <v>32</v>
      </c>
      <c r="J848" s="91">
        <v>6199</v>
      </c>
      <c r="K848" s="91">
        <v>0</v>
      </c>
      <c r="L848" s="91">
        <v>18406</v>
      </c>
      <c r="M848" s="91">
        <v>0</v>
      </c>
      <c r="N848" s="91">
        <v>0</v>
      </c>
      <c r="O848" s="91">
        <v>0</v>
      </c>
      <c r="P848" s="91">
        <v>0</v>
      </c>
      <c r="Q848" s="101">
        <f t="shared" si="26"/>
        <v>24605</v>
      </c>
      <c r="R848" s="95">
        <f t="shared" si="27"/>
        <v>20914.25</v>
      </c>
    </row>
    <row r="849" spans="1:23" ht="34.049999999999997" customHeight="1" x14ac:dyDescent="0.3">
      <c r="A849" s="90">
        <v>838</v>
      </c>
      <c r="B849" s="91" t="s">
        <v>2866</v>
      </c>
      <c r="C849" s="91" t="s">
        <v>2915</v>
      </c>
      <c r="D849" s="91" t="s">
        <v>2916</v>
      </c>
      <c r="E849" s="91">
        <v>2022</v>
      </c>
      <c r="F849" s="91" t="s">
        <v>19</v>
      </c>
      <c r="G849" s="91" t="s">
        <v>3012</v>
      </c>
      <c r="H849" s="91" t="s">
        <v>3058</v>
      </c>
      <c r="I849" s="91" t="s">
        <v>3089</v>
      </c>
      <c r="J849" s="91">
        <v>6199</v>
      </c>
      <c r="K849" s="91">
        <v>0</v>
      </c>
      <c r="L849" s="91">
        <v>0</v>
      </c>
      <c r="M849" s="91">
        <v>0</v>
      </c>
      <c r="N849" s="91">
        <v>0</v>
      </c>
      <c r="O849" s="91">
        <v>0</v>
      </c>
      <c r="P849" s="91">
        <v>0</v>
      </c>
      <c r="Q849" s="101">
        <f t="shared" si="26"/>
        <v>6199</v>
      </c>
      <c r="R849" s="95">
        <f t="shared" si="27"/>
        <v>5269.15</v>
      </c>
    </row>
    <row r="850" spans="1:23" ht="34.049999999999997" customHeight="1" x14ac:dyDescent="0.3">
      <c r="A850" s="96">
        <v>839</v>
      </c>
      <c r="B850" s="91" t="s">
        <v>2866</v>
      </c>
      <c r="C850" s="91" t="s">
        <v>2917</v>
      </c>
      <c r="D850" s="91" t="s">
        <v>2918</v>
      </c>
      <c r="E850" s="91">
        <v>2000</v>
      </c>
      <c r="F850" s="91" t="s">
        <v>19</v>
      </c>
      <c r="G850" s="91" t="s">
        <v>3013</v>
      </c>
      <c r="H850" s="91" t="s">
        <v>3059</v>
      </c>
      <c r="I850" s="91" t="s">
        <v>3090</v>
      </c>
      <c r="J850" s="91">
        <v>6199</v>
      </c>
      <c r="K850" s="91">
        <v>0</v>
      </c>
      <c r="L850" s="91">
        <v>0</v>
      </c>
      <c r="M850" s="91">
        <v>0</v>
      </c>
      <c r="N850" s="91">
        <f>1681+9871</f>
        <v>11552</v>
      </c>
      <c r="O850" s="91">
        <v>0</v>
      </c>
      <c r="P850" s="91">
        <v>0</v>
      </c>
      <c r="Q850" s="101">
        <f t="shared" si="26"/>
        <v>17751</v>
      </c>
      <c r="R850" s="95">
        <f t="shared" si="27"/>
        <v>15088.35</v>
      </c>
    </row>
    <row r="851" spans="1:23" ht="34.049999999999997" customHeight="1" x14ac:dyDescent="0.3">
      <c r="A851" s="90">
        <v>840</v>
      </c>
      <c r="B851" s="91" t="s">
        <v>2866</v>
      </c>
      <c r="C851" s="91" t="s">
        <v>2919</v>
      </c>
      <c r="D851" s="91" t="s">
        <v>2920</v>
      </c>
      <c r="E851" s="91">
        <v>2013</v>
      </c>
      <c r="F851" s="91" t="s">
        <v>19</v>
      </c>
      <c r="G851" s="91" t="s">
        <v>3014</v>
      </c>
      <c r="H851" s="91" t="s">
        <v>3060</v>
      </c>
      <c r="I851" s="91" t="s">
        <v>3091</v>
      </c>
      <c r="J851" s="91">
        <v>6199</v>
      </c>
      <c r="K851" s="91">
        <f>6278+4484+2332+2332+2332+6995+2332+2332+2332+1166+2801</f>
        <v>35716</v>
      </c>
      <c r="L851" s="91">
        <v>0</v>
      </c>
      <c r="M851" s="91">
        <v>0</v>
      </c>
      <c r="N851" s="91">
        <v>1793</v>
      </c>
      <c r="O851" s="91">
        <v>0</v>
      </c>
      <c r="P851" s="91">
        <v>0</v>
      </c>
      <c r="Q851" s="101">
        <f t="shared" si="26"/>
        <v>43708</v>
      </c>
      <c r="R851" s="95">
        <f t="shared" si="27"/>
        <v>37151.800000000003</v>
      </c>
    </row>
    <row r="852" spans="1:23" ht="34.049999999999997" customHeight="1" x14ac:dyDescent="0.3">
      <c r="A852" s="90">
        <v>841</v>
      </c>
      <c r="B852" s="98" t="s">
        <v>2866</v>
      </c>
      <c r="C852" s="98" t="s">
        <v>2921</v>
      </c>
      <c r="D852" s="98" t="s">
        <v>2922</v>
      </c>
      <c r="E852" s="98">
        <v>2020</v>
      </c>
      <c r="F852" s="98" t="s">
        <v>19</v>
      </c>
      <c r="G852" s="98" t="s">
        <v>3015</v>
      </c>
      <c r="H852" s="98" t="s">
        <v>3061</v>
      </c>
      <c r="I852" s="98" t="s">
        <v>289</v>
      </c>
      <c r="J852" s="98">
        <v>6199</v>
      </c>
      <c r="K852" s="98">
        <f>1166+2801</f>
        <v>3967</v>
      </c>
      <c r="L852" s="98">
        <v>0</v>
      </c>
      <c r="M852" s="98">
        <v>0</v>
      </c>
      <c r="N852" s="98">
        <v>0</v>
      </c>
      <c r="O852" s="98">
        <v>0</v>
      </c>
      <c r="P852" s="98">
        <v>0</v>
      </c>
      <c r="Q852" s="101">
        <f t="shared" si="26"/>
        <v>10166</v>
      </c>
      <c r="R852" s="95">
        <f t="shared" si="27"/>
        <v>8641.1</v>
      </c>
      <c r="S852" s="41"/>
      <c r="T852" s="41"/>
      <c r="U852" s="41"/>
      <c r="V852" s="41"/>
      <c r="W852" s="41"/>
    </row>
    <row r="853" spans="1:23" ht="34.049999999999997" customHeight="1" x14ac:dyDescent="0.3">
      <c r="A853" s="96">
        <v>842</v>
      </c>
      <c r="B853" s="91" t="s">
        <v>2866</v>
      </c>
      <c r="C853" s="91" t="s">
        <v>2923</v>
      </c>
      <c r="D853" s="91" t="s">
        <v>2924</v>
      </c>
      <c r="E853" s="91">
        <v>1996</v>
      </c>
      <c r="F853" s="91" t="s">
        <v>19</v>
      </c>
      <c r="G853" s="91" t="s">
        <v>3016</v>
      </c>
      <c r="H853" s="91" t="s">
        <v>3016</v>
      </c>
      <c r="I853" s="91" t="s">
        <v>1465</v>
      </c>
      <c r="J853" s="91">
        <v>6199</v>
      </c>
      <c r="K853" s="91">
        <v>0</v>
      </c>
      <c r="L853" s="91">
        <v>18406</v>
      </c>
      <c r="M853" s="91">
        <v>0</v>
      </c>
      <c r="N853" s="91">
        <v>0</v>
      </c>
      <c r="O853" s="91">
        <v>0</v>
      </c>
      <c r="P853" s="91">
        <v>0</v>
      </c>
      <c r="Q853" s="101">
        <f t="shared" si="26"/>
        <v>24605</v>
      </c>
      <c r="R853" s="95">
        <f t="shared" si="27"/>
        <v>20914.25</v>
      </c>
    </row>
    <row r="854" spans="1:23" ht="34.049999999999997" customHeight="1" x14ac:dyDescent="0.3">
      <c r="A854" s="90">
        <v>843</v>
      </c>
      <c r="B854" s="91" t="s">
        <v>2866</v>
      </c>
      <c r="C854" s="91" t="s">
        <v>2925</v>
      </c>
      <c r="D854" s="91" t="s">
        <v>2926</v>
      </c>
      <c r="E854" s="91">
        <v>2025</v>
      </c>
      <c r="F854" s="91" t="s">
        <v>18</v>
      </c>
      <c r="G854" s="91" t="s">
        <v>3017</v>
      </c>
      <c r="H854" s="91" t="s">
        <v>3062</v>
      </c>
      <c r="I854" s="91" t="s">
        <v>2141</v>
      </c>
      <c r="J854" s="91">
        <v>6199</v>
      </c>
      <c r="K854" s="91">
        <v>0</v>
      </c>
      <c r="L854" s="91">
        <v>0</v>
      </c>
      <c r="M854" s="91">
        <v>0</v>
      </c>
      <c r="N854" s="91">
        <v>0</v>
      </c>
      <c r="O854" s="91">
        <v>0</v>
      </c>
      <c r="P854" s="91">
        <v>0</v>
      </c>
      <c r="Q854" s="101">
        <f t="shared" si="26"/>
        <v>6199</v>
      </c>
      <c r="R854" s="95">
        <f t="shared" si="27"/>
        <v>5269.15</v>
      </c>
    </row>
    <row r="855" spans="1:23" ht="34.049999999999997" customHeight="1" x14ac:dyDescent="0.3">
      <c r="A855" s="90">
        <v>844</v>
      </c>
      <c r="B855" s="91" t="s">
        <v>2866</v>
      </c>
      <c r="C855" s="91" t="s">
        <v>2927</v>
      </c>
      <c r="D855" s="91" t="s">
        <v>2928</v>
      </c>
      <c r="E855" s="91">
        <v>2024</v>
      </c>
      <c r="F855" s="91" t="s">
        <v>19</v>
      </c>
      <c r="G855" s="91" t="s">
        <v>3018</v>
      </c>
      <c r="H855" s="91" t="s">
        <v>3063</v>
      </c>
      <c r="I855" s="91" t="s">
        <v>3092</v>
      </c>
      <c r="J855" s="91">
        <v>6199</v>
      </c>
      <c r="K855" s="91">
        <f>1346+6278+4484+4484+2332+2332+2332+2332+2332+2332+6995+6995+2332+6995</f>
        <v>53901</v>
      </c>
      <c r="L855" s="91">
        <v>0</v>
      </c>
      <c r="M855" s="91">
        <v>0</v>
      </c>
      <c r="N855" s="91">
        <v>3148</v>
      </c>
      <c r="O855" s="91">
        <v>0</v>
      </c>
      <c r="P855" s="91">
        <v>0</v>
      </c>
      <c r="Q855" s="101">
        <f t="shared" si="26"/>
        <v>63248</v>
      </c>
      <c r="R855" s="95">
        <f t="shared" si="27"/>
        <v>53760.800000000003</v>
      </c>
    </row>
    <row r="856" spans="1:23" ht="34.049999999999997" customHeight="1" x14ac:dyDescent="0.3">
      <c r="A856" s="96">
        <v>845</v>
      </c>
      <c r="B856" s="91" t="s">
        <v>2866</v>
      </c>
      <c r="C856" s="91" t="s">
        <v>2929</v>
      </c>
      <c r="D856" s="91" t="s">
        <v>2930</v>
      </c>
      <c r="E856" s="91">
        <v>2020</v>
      </c>
      <c r="F856" s="91" t="s">
        <v>19</v>
      </c>
      <c r="G856" s="91" t="s">
        <v>3019</v>
      </c>
      <c r="H856" s="91" t="s">
        <v>3064</v>
      </c>
      <c r="I856" s="91" t="s">
        <v>3093</v>
      </c>
      <c r="J856" s="91">
        <v>6199</v>
      </c>
      <c r="K856" s="91">
        <f>1346+6278+4484+4484+2332+2332+2332+2332+2332+6995+6995+2332+6995+2332+1166</f>
        <v>55067</v>
      </c>
      <c r="L856" s="91">
        <v>0</v>
      </c>
      <c r="M856" s="91">
        <v>0</v>
      </c>
      <c r="N856" s="91">
        <v>3148</v>
      </c>
      <c r="O856" s="91">
        <v>0</v>
      </c>
      <c r="P856" s="91">
        <v>0</v>
      </c>
      <c r="Q856" s="101">
        <f t="shared" si="26"/>
        <v>64414</v>
      </c>
      <c r="R856" s="95">
        <f t="shared" si="27"/>
        <v>54751.9</v>
      </c>
    </row>
    <row r="857" spans="1:23" ht="34.049999999999997" customHeight="1" x14ac:dyDescent="0.3">
      <c r="A857" s="90">
        <v>846</v>
      </c>
      <c r="B857" s="91" t="s">
        <v>2866</v>
      </c>
      <c r="C857" s="91" t="s">
        <v>2931</v>
      </c>
      <c r="D857" s="91" t="s">
        <v>2932</v>
      </c>
      <c r="E857" s="91">
        <v>1997</v>
      </c>
      <c r="F857" s="91" t="s">
        <v>19</v>
      </c>
      <c r="G857" s="91" t="s">
        <v>3020</v>
      </c>
      <c r="H857" s="91" t="s">
        <v>3065</v>
      </c>
      <c r="I857" s="91" t="s">
        <v>3094</v>
      </c>
      <c r="J857" s="91">
        <v>6199</v>
      </c>
      <c r="K857" s="91">
        <v>0</v>
      </c>
      <c r="L857" s="91">
        <v>0</v>
      </c>
      <c r="M857" s="91">
        <v>0</v>
      </c>
      <c r="N857" s="91">
        <v>0</v>
      </c>
      <c r="O857" s="91">
        <v>0</v>
      </c>
      <c r="P857" s="91">
        <v>0</v>
      </c>
      <c r="Q857" s="101">
        <f t="shared" si="26"/>
        <v>6199</v>
      </c>
      <c r="R857" s="95">
        <f t="shared" si="27"/>
        <v>5269.15</v>
      </c>
    </row>
    <row r="858" spans="1:23" ht="34.049999999999997" customHeight="1" x14ac:dyDescent="0.3">
      <c r="A858" s="90">
        <v>847</v>
      </c>
      <c r="B858" s="98" t="s">
        <v>2866</v>
      </c>
      <c r="C858" s="98" t="s">
        <v>2933</v>
      </c>
      <c r="D858" s="98" t="s">
        <v>2934</v>
      </c>
      <c r="E858" s="98">
        <v>1995</v>
      </c>
      <c r="F858" s="98" t="s">
        <v>18</v>
      </c>
      <c r="G858" s="98" t="s">
        <v>3021</v>
      </c>
      <c r="H858" s="98" t="s">
        <v>3021</v>
      </c>
      <c r="I858" s="98" t="s">
        <v>549</v>
      </c>
      <c r="J858" s="98">
        <v>6199</v>
      </c>
      <c r="K858" s="98">
        <v>0</v>
      </c>
      <c r="L858" s="98">
        <f>17620+13298</f>
        <v>30918</v>
      </c>
      <c r="M858" s="98">
        <v>0</v>
      </c>
      <c r="N858" s="98">
        <v>0</v>
      </c>
      <c r="O858" s="98">
        <v>0</v>
      </c>
      <c r="P858" s="98">
        <v>0</v>
      </c>
      <c r="Q858" s="101">
        <f t="shared" si="26"/>
        <v>37117</v>
      </c>
      <c r="R858" s="95">
        <f t="shared" si="27"/>
        <v>31549.45</v>
      </c>
      <c r="S858" s="41"/>
      <c r="T858" s="41"/>
      <c r="U858" s="41"/>
      <c r="V858" s="41"/>
      <c r="W858" s="41"/>
    </row>
    <row r="859" spans="1:23" ht="34.049999999999997" customHeight="1" x14ac:dyDescent="0.3">
      <c r="A859" s="96">
        <v>848</v>
      </c>
      <c r="B859" s="98" t="s">
        <v>2866</v>
      </c>
      <c r="C859" s="98" t="s">
        <v>2935</v>
      </c>
      <c r="D859" s="98" t="s">
        <v>2936</v>
      </c>
      <c r="E859" s="98">
        <v>2016</v>
      </c>
      <c r="F859" s="98" t="s">
        <v>19</v>
      </c>
      <c r="G859" s="98" t="s">
        <v>3022</v>
      </c>
      <c r="H859" s="98" t="s">
        <v>3066</v>
      </c>
      <c r="I859" s="98" t="s">
        <v>3095</v>
      </c>
      <c r="J859" s="98">
        <v>6199</v>
      </c>
      <c r="K859" s="98">
        <v>0</v>
      </c>
      <c r="L859" s="98">
        <v>0</v>
      </c>
      <c r="M859" s="98">
        <v>0</v>
      </c>
      <c r="N859" s="98">
        <v>0</v>
      </c>
      <c r="O859" s="98">
        <v>0</v>
      </c>
      <c r="P859" s="98">
        <v>0</v>
      </c>
      <c r="Q859" s="101">
        <f t="shared" si="26"/>
        <v>6199</v>
      </c>
      <c r="R859" s="95">
        <f t="shared" si="27"/>
        <v>5269.15</v>
      </c>
      <c r="S859" s="41"/>
      <c r="T859" s="41"/>
      <c r="U859" s="41"/>
      <c r="V859" s="41"/>
      <c r="W859" s="41"/>
    </row>
    <row r="860" spans="1:23" ht="34.049999999999997" customHeight="1" x14ac:dyDescent="0.3">
      <c r="A860" s="90">
        <v>849</v>
      </c>
      <c r="B860" s="98" t="s">
        <v>2866</v>
      </c>
      <c r="C860" s="98" t="s">
        <v>2937</v>
      </c>
      <c r="D860" s="98" t="s">
        <v>2938</v>
      </c>
      <c r="E860" s="98">
        <v>1979</v>
      </c>
      <c r="F860" s="98" t="s">
        <v>18</v>
      </c>
      <c r="G860" s="98" t="s">
        <v>3023</v>
      </c>
      <c r="H860" s="98" t="s">
        <v>3023</v>
      </c>
      <c r="I860" s="98" t="s">
        <v>3096</v>
      </c>
      <c r="J860" s="98">
        <v>6199</v>
      </c>
      <c r="K860" s="98">
        <f>2332+2332+6995+3228+2332+4484+4484+2332+4484+6278+2332+2332+2332+2332+2332+6995</f>
        <v>57936</v>
      </c>
      <c r="L860" s="98">
        <v>0</v>
      </c>
      <c r="M860" s="98">
        <v>0</v>
      </c>
      <c r="N860" s="98">
        <v>1793</v>
      </c>
      <c r="O860" s="98">
        <v>0</v>
      </c>
      <c r="P860" s="98">
        <v>0</v>
      </c>
      <c r="Q860" s="101">
        <f t="shared" si="26"/>
        <v>65928</v>
      </c>
      <c r="R860" s="95">
        <f t="shared" si="27"/>
        <v>56038.8</v>
      </c>
      <c r="S860" s="41"/>
      <c r="T860" s="41"/>
      <c r="U860" s="41"/>
      <c r="V860" s="41"/>
      <c r="W860" s="41"/>
    </row>
    <row r="861" spans="1:23" ht="34.049999999999997" customHeight="1" x14ac:dyDescent="0.3">
      <c r="A861" s="90">
        <v>850</v>
      </c>
      <c r="B861" s="98" t="s">
        <v>2866</v>
      </c>
      <c r="C861" s="98" t="s">
        <v>2939</v>
      </c>
      <c r="D861" s="98" t="s">
        <v>2940</v>
      </c>
      <c r="E861" s="98">
        <v>2022</v>
      </c>
      <c r="F861" s="98" t="s">
        <v>18</v>
      </c>
      <c r="G861" s="98" t="s">
        <v>3024</v>
      </c>
      <c r="H861" s="98" t="s">
        <v>3067</v>
      </c>
      <c r="I861" s="98" t="s">
        <v>3097</v>
      </c>
      <c r="J861" s="98">
        <v>6199</v>
      </c>
      <c r="K861" s="98">
        <f>6278+4484+2332+1346+2332+2332+2332+2332+2332+4484+6995+6995+2332+6995</f>
        <v>53901</v>
      </c>
      <c r="L861" s="98">
        <v>0</v>
      </c>
      <c r="M861" s="98">
        <v>0</v>
      </c>
      <c r="N861" s="98">
        <v>3148</v>
      </c>
      <c r="O861" s="98">
        <v>0</v>
      </c>
      <c r="P861" s="98">
        <v>0</v>
      </c>
      <c r="Q861" s="101">
        <f t="shared" si="26"/>
        <v>63248</v>
      </c>
      <c r="R861" s="95">
        <f t="shared" si="27"/>
        <v>53760.800000000003</v>
      </c>
      <c r="S861" s="41"/>
      <c r="T861" s="41"/>
      <c r="U861" s="41"/>
      <c r="V861" s="41"/>
      <c r="W861" s="41"/>
    </row>
    <row r="862" spans="1:23" ht="34.049999999999997" customHeight="1" x14ac:dyDescent="0.3">
      <c r="A862" s="96">
        <v>851</v>
      </c>
      <c r="B862" s="98" t="s">
        <v>2866</v>
      </c>
      <c r="C862" s="98" t="s">
        <v>2941</v>
      </c>
      <c r="D862" s="98" t="s">
        <v>2942</v>
      </c>
      <c r="E862" s="98">
        <v>2020</v>
      </c>
      <c r="F862" s="98" t="s">
        <v>19</v>
      </c>
      <c r="G862" s="98" t="s">
        <v>3025</v>
      </c>
      <c r="H862" s="98" t="s">
        <v>3068</v>
      </c>
      <c r="I862" s="98" t="s">
        <v>1066</v>
      </c>
      <c r="J862" s="98">
        <v>6199</v>
      </c>
      <c r="K862" s="98">
        <f>6278+4484+2332+1346+2332+2332+2332+2332+6995+6995+2332+6995+4484+2332+1166+2801</f>
        <v>57868</v>
      </c>
      <c r="L862" s="98">
        <v>0</v>
      </c>
      <c r="M862" s="98">
        <v>0</v>
      </c>
      <c r="N862" s="98">
        <v>3148</v>
      </c>
      <c r="O862" s="98">
        <v>0</v>
      </c>
      <c r="P862" s="98">
        <v>0</v>
      </c>
      <c r="Q862" s="101">
        <f t="shared" si="26"/>
        <v>67215</v>
      </c>
      <c r="R862" s="95">
        <f t="shared" si="27"/>
        <v>57132.75</v>
      </c>
      <c r="S862" s="41"/>
      <c r="T862" s="41"/>
      <c r="U862" s="41"/>
      <c r="V862" s="41"/>
      <c r="W862" s="41"/>
    </row>
    <row r="863" spans="1:23" ht="34.049999999999997" customHeight="1" x14ac:dyDescent="0.3">
      <c r="A863" s="90">
        <v>852</v>
      </c>
      <c r="B863" s="91" t="s">
        <v>2866</v>
      </c>
      <c r="C863" s="91" t="s">
        <v>2943</v>
      </c>
      <c r="D863" s="91" t="s">
        <v>2944</v>
      </c>
      <c r="E863" s="91">
        <v>1984</v>
      </c>
      <c r="F863" s="91" t="s">
        <v>19</v>
      </c>
      <c r="G863" s="91" t="s">
        <v>3026</v>
      </c>
      <c r="H863" s="91" t="s">
        <v>3026</v>
      </c>
      <c r="I863" s="91" t="s">
        <v>3098</v>
      </c>
      <c r="J863" s="91">
        <v>6199</v>
      </c>
      <c r="K863" s="91">
        <f>2332+2332+2243</f>
        <v>6907</v>
      </c>
      <c r="L863" s="91">
        <v>0</v>
      </c>
      <c r="M863" s="91">
        <v>0</v>
      </c>
      <c r="N863" s="91">
        <v>0</v>
      </c>
      <c r="O863" s="91">
        <v>0</v>
      </c>
      <c r="P863" s="91">
        <v>0</v>
      </c>
      <c r="Q863" s="101">
        <f t="shared" si="26"/>
        <v>13106</v>
      </c>
      <c r="R863" s="95">
        <f t="shared" si="27"/>
        <v>11140.1</v>
      </c>
    </row>
    <row r="864" spans="1:23" ht="34.049999999999997" customHeight="1" x14ac:dyDescent="0.3">
      <c r="A864" s="90">
        <v>853</v>
      </c>
      <c r="B864" s="98" t="s">
        <v>2866</v>
      </c>
      <c r="C864" s="98" t="s">
        <v>2945</v>
      </c>
      <c r="D864" s="98" t="s">
        <v>135</v>
      </c>
      <c r="E864" s="98">
        <v>2025</v>
      </c>
      <c r="F864" s="98" t="s">
        <v>19</v>
      </c>
      <c r="G864" s="98" t="s">
        <v>196</v>
      </c>
      <c r="H864" s="98" t="s">
        <v>239</v>
      </c>
      <c r="I864" s="98" t="s">
        <v>290</v>
      </c>
      <c r="J864" s="98">
        <v>3793</v>
      </c>
      <c r="K864" s="98">
        <f>6278+4484+2332+1346+2332+2332+2332+2332+6995+6995+2332+6995+2332+4484</f>
        <v>53901</v>
      </c>
      <c r="L864" s="98">
        <v>0</v>
      </c>
      <c r="M864" s="98">
        <v>0</v>
      </c>
      <c r="N864" s="98">
        <f>3148+4053+2088</f>
        <v>9289</v>
      </c>
      <c r="O864" s="98">
        <v>0</v>
      </c>
      <c r="P864" s="98">
        <f>720+112+720+1080</f>
        <v>2632</v>
      </c>
      <c r="Q864" s="101">
        <f t="shared" si="26"/>
        <v>69615</v>
      </c>
      <c r="R864" s="95">
        <f t="shared" si="27"/>
        <v>59172.75</v>
      </c>
      <c r="S864" s="41"/>
      <c r="T864" s="41"/>
      <c r="U864" s="41"/>
      <c r="V864" s="41"/>
      <c r="W864" s="41"/>
    </row>
    <row r="865" spans="1:23" ht="34.049999999999997" customHeight="1" x14ac:dyDescent="0.3">
      <c r="A865" s="96">
        <v>854</v>
      </c>
      <c r="B865" s="98" t="s">
        <v>2866</v>
      </c>
      <c r="C865" s="98" t="s">
        <v>2945</v>
      </c>
      <c r="D865" s="98" t="s">
        <v>135</v>
      </c>
      <c r="E865" s="98">
        <v>2025</v>
      </c>
      <c r="F865" s="98" t="s">
        <v>2635</v>
      </c>
      <c r="G865" s="98" t="s">
        <v>196</v>
      </c>
      <c r="H865" s="98" t="s">
        <v>239</v>
      </c>
      <c r="I865" s="98" t="s">
        <v>290</v>
      </c>
      <c r="J865" s="98">
        <v>0</v>
      </c>
      <c r="K865" s="98">
        <v>0</v>
      </c>
      <c r="L865" s="98">
        <v>0</v>
      </c>
      <c r="M865" s="98">
        <v>17688</v>
      </c>
      <c r="N865" s="98">
        <v>0</v>
      </c>
      <c r="O865" s="98">
        <v>0</v>
      </c>
      <c r="P865" s="98">
        <v>0</v>
      </c>
      <c r="Q865" s="101">
        <f t="shared" si="26"/>
        <v>17688</v>
      </c>
      <c r="R865" s="95">
        <f t="shared" si="27"/>
        <v>15034.8</v>
      </c>
      <c r="S865" s="41"/>
      <c r="T865" s="41"/>
      <c r="U865" s="41"/>
      <c r="V865" s="41"/>
      <c r="W865" s="41"/>
    </row>
    <row r="866" spans="1:23" ht="34.049999999999997" customHeight="1" x14ac:dyDescent="0.3">
      <c r="A866" s="90">
        <v>855</v>
      </c>
      <c r="B866" s="98" t="s">
        <v>2866</v>
      </c>
      <c r="C866" s="98" t="s">
        <v>2946</v>
      </c>
      <c r="D866" s="98" t="s">
        <v>2947</v>
      </c>
      <c r="E866" s="98">
        <v>2012</v>
      </c>
      <c r="F866" s="98" t="s">
        <v>18</v>
      </c>
      <c r="G866" s="98" t="s">
        <v>3027</v>
      </c>
      <c r="H866" s="98" t="s">
        <v>3069</v>
      </c>
      <c r="I866" s="98" t="s">
        <v>3099</v>
      </c>
      <c r="J866" s="98">
        <v>6199</v>
      </c>
      <c r="K866" s="98">
        <v>0</v>
      </c>
      <c r="L866" s="98">
        <v>0</v>
      </c>
      <c r="M866" s="98">
        <v>0</v>
      </c>
      <c r="N866" s="98">
        <v>0</v>
      </c>
      <c r="O866" s="98">
        <v>0</v>
      </c>
      <c r="P866" s="98">
        <v>0</v>
      </c>
      <c r="Q866" s="101">
        <f t="shared" si="26"/>
        <v>6199</v>
      </c>
      <c r="R866" s="95">
        <f t="shared" si="27"/>
        <v>5269.15</v>
      </c>
      <c r="S866" s="41"/>
      <c r="T866" s="41"/>
      <c r="U866" s="41"/>
      <c r="V866" s="41"/>
      <c r="W866" s="41"/>
    </row>
    <row r="867" spans="1:23" ht="34.049999999999997" customHeight="1" x14ac:dyDescent="0.3">
      <c r="A867" s="90">
        <v>856</v>
      </c>
      <c r="B867" s="91" t="s">
        <v>2866</v>
      </c>
      <c r="C867" s="91" t="s">
        <v>2948</v>
      </c>
      <c r="D867" s="91" t="s">
        <v>2949</v>
      </c>
      <c r="E867" s="91">
        <v>1989</v>
      </c>
      <c r="F867" s="91" t="s">
        <v>18</v>
      </c>
      <c r="G867" s="91" t="s">
        <v>3028</v>
      </c>
      <c r="H867" s="91" t="s">
        <v>3028</v>
      </c>
      <c r="I867" s="91" t="s">
        <v>1460</v>
      </c>
      <c r="J867" s="91">
        <v>3582</v>
      </c>
      <c r="K867" s="91">
        <v>0</v>
      </c>
      <c r="L867" s="91">
        <v>0</v>
      </c>
      <c r="M867" s="91">
        <v>0</v>
      </c>
      <c r="N867" s="91">
        <v>30886</v>
      </c>
      <c r="O867" s="91">
        <v>0</v>
      </c>
      <c r="P867" s="91">
        <v>0</v>
      </c>
      <c r="Q867" s="101">
        <f t="shared" si="26"/>
        <v>34468</v>
      </c>
      <c r="R867" s="95">
        <f t="shared" si="27"/>
        <v>29297.8</v>
      </c>
    </row>
    <row r="868" spans="1:23" ht="34.049999999999997" customHeight="1" x14ac:dyDescent="0.3">
      <c r="A868" s="96">
        <v>857</v>
      </c>
      <c r="B868" s="98" t="s">
        <v>2866</v>
      </c>
      <c r="C868" s="98" t="s">
        <v>2950</v>
      </c>
      <c r="D868" s="98" t="s">
        <v>2951</v>
      </c>
      <c r="E868" s="98">
        <v>1978</v>
      </c>
      <c r="F868" s="98" t="s">
        <v>19</v>
      </c>
      <c r="G868" s="98" t="s">
        <v>3029</v>
      </c>
      <c r="H868" s="98" t="s">
        <v>3029</v>
      </c>
      <c r="I868" s="98" t="s">
        <v>1069</v>
      </c>
      <c r="J868" s="98">
        <v>6199</v>
      </c>
      <c r="K868" s="98"/>
      <c r="L868" s="98">
        <v>0</v>
      </c>
      <c r="M868" s="98">
        <v>0</v>
      </c>
      <c r="N868" s="98">
        <v>0</v>
      </c>
      <c r="O868" s="98">
        <v>0</v>
      </c>
      <c r="P868" s="98">
        <v>0</v>
      </c>
      <c r="Q868" s="101">
        <f t="shared" si="26"/>
        <v>6199</v>
      </c>
      <c r="R868" s="95">
        <f t="shared" si="27"/>
        <v>5269.15</v>
      </c>
      <c r="S868" s="41"/>
      <c r="T868" s="41"/>
      <c r="U868" s="41"/>
      <c r="V868" s="41"/>
      <c r="W868" s="41"/>
    </row>
    <row r="869" spans="1:23" ht="34.049999999999997" customHeight="1" x14ac:dyDescent="0.3">
      <c r="A869" s="90">
        <v>858</v>
      </c>
      <c r="B869" s="98" t="s">
        <v>2866</v>
      </c>
      <c r="C869" s="98" t="s">
        <v>2952</v>
      </c>
      <c r="D869" s="98" t="s">
        <v>2953</v>
      </c>
      <c r="E869" s="98">
        <v>2019</v>
      </c>
      <c r="F869" s="98" t="s">
        <v>18</v>
      </c>
      <c r="G869" s="98" t="s">
        <v>3030</v>
      </c>
      <c r="H869" s="98" t="s">
        <v>3070</v>
      </c>
      <c r="I869" s="98" t="s">
        <v>3100</v>
      </c>
      <c r="J869" s="98">
        <v>6199</v>
      </c>
      <c r="K869" s="98">
        <v>0</v>
      </c>
      <c r="L869" s="98">
        <v>0</v>
      </c>
      <c r="M869" s="98">
        <v>0</v>
      </c>
      <c r="N869" s="98">
        <v>0</v>
      </c>
      <c r="O869" s="98">
        <v>0</v>
      </c>
      <c r="P869" s="98">
        <v>0</v>
      </c>
      <c r="Q869" s="101">
        <f t="shared" si="26"/>
        <v>6199</v>
      </c>
      <c r="R869" s="95">
        <f t="shared" si="27"/>
        <v>5269.15</v>
      </c>
      <c r="S869" s="41"/>
      <c r="T869" s="41"/>
      <c r="U869" s="41"/>
      <c r="V869" s="41"/>
      <c r="W869" s="41"/>
    </row>
    <row r="870" spans="1:23" ht="34.049999999999997" customHeight="1" x14ac:dyDescent="0.3">
      <c r="A870" s="90">
        <v>859</v>
      </c>
      <c r="B870" s="91" t="s">
        <v>2866</v>
      </c>
      <c r="C870" s="91" t="s">
        <v>2954</v>
      </c>
      <c r="D870" s="91" t="s">
        <v>2955</v>
      </c>
      <c r="E870" s="91">
        <v>2023</v>
      </c>
      <c r="F870" s="91" t="s">
        <v>18</v>
      </c>
      <c r="G870" s="91" t="s">
        <v>3031</v>
      </c>
      <c r="H870" s="91" t="s">
        <v>3071</v>
      </c>
      <c r="I870" s="91" t="s">
        <v>3101</v>
      </c>
      <c r="J870" s="91">
        <v>6199</v>
      </c>
      <c r="K870" s="91">
        <v>0</v>
      </c>
      <c r="L870" s="91">
        <v>0</v>
      </c>
      <c r="M870" s="91">
        <v>0</v>
      </c>
      <c r="N870" s="91">
        <v>0</v>
      </c>
      <c r="O870" s="91">
        <v>0</v>
      </c>
      <c r="P870" s="91">
        <v>0</v>
      </c>
      <c r="Q870" s="101">
        <f t="shared" si="26"/>
        <v>6199</v>
      </c>
      <c r="R870" s="95">
        <f t="shared" si="27"/>
        <v>5269.15</v>
      </c>
    </row>
    <row r="871" spans="1:23" ht="34.049999999999997" customHeight="1" x14ac:dyDescent="0.3">
      <c r="A871" s="96">
        <v>860</v>
      </c>
      <c r="B871" s="91" t="s">
        <v>2866</v>
      </c>
      <c r="C871" s="91" t="s">
        <v>2956</v>
      </c>
      <c r="D871" s="91" t="s">
        <v>2957</v>
      </c>
      <c r="E871" s="91">
        <v>1995</v>
      </c>
      <c r="F871" s="91" t="s">
        <v>19</v>
      </c>
      <c r="G871" s="91" t="s">
        <v>3032</v>
      </c>
      <c r="H871" s="91" t="s">
        <v>3032</v>
      </c>
      <c r="I871" s="91" t="s">
        <v>300</v>
      </c>
      <c r="J871" s="91">
        <v>6199</v>
      </c>
      <c r="K871" s="91">
        <v>0</v>
      </c>
      <c r="L871" s="91">
        <v>0</v>
      </c>
      <c r="M871" s="91">
        <v>0</v>
      </c>
      <c r="N871" s="91">
        <v>0</v>
      </c>
      <c r="O871" s="91">
        <v>0</v>
      </c>
      <c r="P871" s="91">
        <v>0</v>
      </c>
      <c r="Q871" s="101">
        <f t="shared" si="26"/>
        <v>6199</v>
      </c>
      <c r="R871" s="95">
        <f t="shared" si="27"/>
        <v>5269.15</v>
      </c>
    </row>
    <row r="872" spans="1:23" ht="34.049999999999997" customHeight="1" x14ac:dyDescent="0.3">
      <c r="A872" s="90">
        <v>861</v>
      </c>
      <c r="B872" s="91" t="s">
        <v>2866</v>
      </c>
      <c r="C872" s="91" t="s">
        <v>2958</v>
      </c>
      <c r="D872" s="91" t="s">
        <v>2959</v>
      </c>
      <c r="E872" s="91">
        <v>2021</v>
      </c>
      <c r="F872" s="91" t="s">
        <v>19</v>
      </c>
      <c r="G872" s="91" t="s">
        <v>3033</v>
      </c>
      <c r="H872" s="91" t="s">
        <v>3072</v>
      </c>
      <c r="I872" s="91" t="s">
        <v>3102</v>
      </c>
      <c r="J872" s="91">
        <v>3582</v>
      </c>
      <c r="K872" s="91">
        <v>0</v>
      </c>
      <c r="L872" s="91">
        <v>0</v>
      </c>
      <c r="M872" s="91">
        <v>0</v>
      </c>
      <c r="N872" s="91">
        <v>0</v>
      </c>
      <c r="O872" s="91">
        <v>0</v>
      </c>
      <c r="P872" s="91">
        <v>0</v>
      </c>
      <c r="Q872" s="101">
        <f t="shared" si="26"/>
        <v>3582</v>
      </c>
      <c r="R872" s="95">
        <f t="shared" si="27"/>
        <v>3044.7</v>
      </c>
    </row>
    <row r="873" spans="1:23" ht="34.049999999999997" customHeight="1" x14ac:dyDescent="0.3">
      <c r="A873" s="90">
        <v>862</v>
      </c>
      <c r="B873" s="91" t="s">
        <v>2866</v>
      </c>
      <c r="C873" s="91" t="s">
        <v>2960</v>
      </c>
      <c r="D873" s="91" t="s">
        <v>2961</v>
      </c>
      <c r="E873" s="91">
        <v>2018</v>
      </c>
      <c r="F873" s="91" t="s">
        <v>19</v>
      </c>
      <c r="G873" s="91" t="s">
        <v>3034</v>
      </c>
      <c r="H873" s="91" t="s">
        <v>3073</v>
      </c>
      <c r="I873" s="91" t="s">
        <v>1279</v>
      </c>
      <c r="J873" s="91">
        <v>3582</v>
      </c>
      <c r="K873" s="91">
        <v>0</v>
      </c>
      <c r="L873" s="91">
        <v>0</v>
      </c>
      <c r="M873" s="91">
        <v>0</v>
      </c>
      <c r="N873" s="91">
        <v>0</v>
      </c>
      <c r="O873" s="91">
        <v>0</v>
      </c>
      <c r="P873" s="91">
        <v>0</v>
      </c>
      <c r="Q873" s="101">
        <f t="shared" si="26"/>
        <v>3582</v>
      </c>
      <c r="R873" s="95">
        <f t="shared" si="27"/>
        <v>3044.7</v>
      </c>
    </row>
    <row r="874" spans="1:23" ht="34.049999999999997" customHeight="1" x14ac:dyDescent="0.3">
      <c r="A874" s="96">
        <v>863</v>
      </c>
      <c r="B874" s="91" t="s">
        <v>2866</v>
      </c>
      <c r="C874" s="91" t="s">
        <v>2962</v>
      </c>
      <c r="D874" s="91" t="s">
        <v>2963</v>
      </c>
      <c r="E874" s="91">
        <v>2016</v>
      </c>
      <c r="F874" s="91" t="s">
        <v>18</v>
      </c>
      <c r="G874" s="91" t="s">
        <v>3035</v>
      </c>
      <c r="H874" s="91" t="s">
        <v>3074</v>
      </c>
      <c r="I874" s="91" t="s">
        <v>2124</v>
      </c>
      <c r="J874" s="91">
        <v>3582</v>
      </c>
      <c r="K874" s="91">
        <v>0</v>
      </c>
      <c r="L874" s="91">
        <v>0</v>
      </c>
      <c r="M874" s="91">
        <v>0</v>
      </c>
      <c r="N874" s="91">
        <v>0</v>
      </c>
      <c r="O874" s="91">
        <v>0</v>
      </c>
      <c r="P874" s="91">
        <v>0</v>
      </c>
      <c r="Q874" s="101">
        <f t="shared" si="26"/>
        <v>3582</v>
      </c>
      <c r="R874" s="95">
        <f t="shared" si="27"/>
        <v>3044.7</v>
      </c>
    </row>
    <row r="875" spans="1:23" ht="34.049999999999997" customHeight="1" x14ac:dyDescent="0.3">
      <c r="A875" s="90">
        <v>864</v>
      </c>
      <c r="B875" s="91" t="s">
        <v>2866</v>
      </c>
      <c r="C875" s="91" t="s">
        <v>2964</v>
      </c>
      <c r="D875" s="91" t="s">
        <v>2965</v>
      </c>
      <c r="E875" s="91">
        <v>1984</v>
      </c>
      <c r="F875" s="91" t="s">
        <v>19</v>
      </c>
      <c r="G875" s="91" t="s">
        <v>3036</v>
      </c>
      <c r="H875" s="91" t="s">
        <v>3036</v>
      </c>
      <c r="I875" s="91" t="s">
        <v>1279</v>
      </c>
      <c r="J875" s="91">
        <v>3582</v>
      </c>
      <c r="K875" s="91">
        <v>0</v>
      </c>
      <c r="L875" s="91">
        <v>0</v>
      </c>
      <c r="M875" s="91">
        <v>0</v>
      </c>
      <c r="N875" s="91">
        <v>0</v>
      </c>
      <c r="O875" s="91">
        <v>0</v>
      </c>
      <c r="P875" s="91">
        <v>0</v>
      </c>
      <c r="Q875" s="101">
        <f t="shared" si="26"/>
        <v>3582</v>
      </c>
      <c r="R875" s="95">
        <f t="shared" si="27"/>
        <v>3044.7</v>
      </c>
    </row>
    <row r="876" spans="1:23" ht="34.049999999999997" customHeight="1" x14ac:dyDescent="0.3">
      <c r="A876" s="90">
        <v>865</v>
      </c>
      <c r="B876" s="91" t="s">
        <v>2866</v>
      </c>
      <c r="C876" s="91" t="s">
        <v>2966</v>
      </c>
      <c r="D876" s="91" t="s">
        <v>2949</v>
      </c>
      <c r="E876" s="91">
        <v>1989</v>
      </c>
      <c r="F876" s="91" t="s">
        <v>18</v>
      </c>
      <c r="G876" s="91" t="s">
        <v>3028</v>
      </c>
      <c r="H876" s="91" t="s">
        <v>3028</v>
      </c>
      <c r="I876" s="91" t="s">
        <v>1460</v>
      </c>
      <c r="J876" s="91">
        <v>6199</v>
      </c>
      <c r="K876" s="91">
        <f>4484+6278+3228+2332+2332+2332+2332+2332</f>
        <v>25650</v>
      </c>
      <c r="L876" s="91">
        <v>0</v>
      </c>
      <c r="M876" s="91">
        <v>0</v>
      </c>
      <c r="N876" s="91">
        <v>1793</v>
      </c>
      <c r="O876" s="91">
        <v>0</v>
      </c>
      <c r="P876" s="91">
        <v>0</v>
      </c>
      <c r="Q876" s="101">
        <f t="shared" si="26"/>
        <v>33642</v>
      </c>
      <c r="R876" s="95">
        <f t="shared" si="27"/>
        <v>28595.7</v>
      </c>
    </row>
    <row r="877" spans="1:23" ht="34.049999999999997" customHeight="1" x14ac:dyDescent="0.3">
      <c r="A877" s="96">
        <v>866</v>
      </c>
      <c r="B877" s="91" t="s">
        <v>2866</v>
      </c>
      <c r="C877" s="91" t="s">
        <v>2967</v>
      </c>
      <c r="D877" s="91" t="s">
        <v>2968</v>
      </c>
      <c r="E877" s="91">
        <v>2019</v>
      </c>
      <c r="F877" s="91" t="s">
        <v>18</v>
      </c>
      <c r="G877" s="91" t="s">
        <v>3037</v>
      </c>
      <c r="H877" s="91" t="s">
        <v>3075</v>
      </c>
      <c r="I877" s="91" t="s">
        <v>1279</v>
      </c>
      <c r="J877" s="91">
        <v>3582</v>
      </c>
      <c r="K877" s="91">
        <v>0</v>
      </c>
      <c r="L877" s="91">
        <v>0</v>
      </c>
      <c r="M877" s="91">
        <v>0</v>
      </c>
      <c r="N877" s="91">
        <v>0</v>
      </c>
      <c r="O877" s="91">
        <v>0</v>
      </c>
      <c r="P877" s="91">
        <v>0</v>
      </c>
      <c r="Q877" s="101">
        <f t="shared" si="26"/>
        <v>3582</v>
      </c>
      <c r="R877" s="95">
        <f t="shared" si="27"/>
        <v>3044.7</v>
      </c>
    </row>
    <row r="878" spans="1:23" ht="34.049999999999997" customHeight="1" x14ac:dyDescent="0.3">
      <c r="A878" s="90">
        <v>867</v>
      </c>
      <c r="B878" s="91" t="s">
        <v>2866</v>
      </c>
      <c r="C878" s="91" t="s">
        <v>2969</v>
      </c>
      <c r="D878" s="91" t="s">
        <v>1364</v>
      </c>
      <c r="E878" s="91">
        <v>1977</v>
      </c>
      <c r="F878" s="91" t="s">
        <v>18</v>
      </c>
      <c r="G878" s="91" t="s">
        <v>1420</v>
      </c>
      <c r="H878" s="91" t="s">
        <v>1453</v>
      </c>
      <c r="I878" s="91" t="s">
        <v>1481</v>
      </c>
      <c r="J878" s="91">
        <v>0</v>
      </c>
      <c r="K878" s="91">
        <v>0</v>
      </c>
      <c r="L878" s="91">
        <v>0</v>
      </c>
      <c r="M878" s="91">
        <v>0</v>
      </c>
      <c r="N878" s="91">
        <v>1681</v>
      </c>
      <c r="O878" s="91">
        <v>0</v>
      </c>
      <c r="P878" s="91">
        <f>240+56</f>
        <v>296</v>
      </c>
      <c r="Q878" s="101">
        <f t="shared" si="26"/>
        <v>1977</v>
      </c>
      <c r="R878" s="95">
        <f t="shared" si="27"/>
        <v>1680.45</v>
      </c>
    </row>
    <row r="879" spans="1:23" ht="34.049999999999997" customHeight="1" x14ac:dyDescent="0.3">
      <c r="A879" s="90">
        <v>868</v>
      </c>
      <c r="B879" s="91" t="s">
        <v>2866</v>
      </c>
      <c r="C879" s="91" t="s">
        <v>2970</v>
      </c>
      <c r="D879" s="91" t="s">
        <v>2971</v>
      </c>
      <c r="E879" s="91">
        <v>2023</v>
      </c>
      <c r="F879" s="91" t="s">
        <v>19</v>
      </c>
      <c r="G879" s="91" t="s">
        <v>3038</v>
      </c>
      <c r="H879" s="91" t="s">
        <v>3076</v>
      </c>
      <c r="I879" s="91" t="s">
        <v>3103</v>
      </c>
      <c r="J879" s="91">
        <v>6199</v>
      </c>
      <c r="K879" s="91">
        <f>6278+4484+1166+4484</f>
        <v>16412</v>
      </c>
      <c r="L879" s="91">
        <v>0</v>
      </c>
      <c r="M879" s="91">
        <v>0</v>
      </c>
      <c r="N879" s="91">
        <v>3148</v>
      </c>
      <c r="O879" s="91">
        <v>0</v>
      </c>
      <c r="P879" s="91">
        <v>0</v>
      </c>
      <c r="Q879" s="101">
        <f t="shared" si="26"/>
        <v>25759</v>
      </c>
      <c r="R879" s="95">
        <f t="shared" si="27"/>
        <v>21895.15</v>
      </c>
    </row>
    <row r="880" spans="1:23" ht="34.049999999999997" customHeight="1" x14ac:dyDescent="0.3">
      <c r="A880" s="96">
        <v>869</v>
      </c>
      <c r="B880" s="91" t="s">
        <v>2866</v>
      </c>
      <c r="C880" s="91" t="s">
        <v>2972</v>
      </c>
      <c r="D880" s="91" t="s">
        <v>2973</v>
      </c>
      <c r="E880" s="91">
        <v>1985</v>
      </c>
      <c r="F880" s="91" t="s">
        <v>18</v>
      </c>
      <c r="G880" s="91" t="s">
        <v>3039</v>
      </c>
      <c r="H880" s="91" t="s">
        <v>3039</v>
      </c>
      <c r="I880" s="91" t="s">
        <v>34</v>
      </c>
      <c r="J880" s="91">
        <v>6199</v>
      </c>
      <c r="K880" s="91">
        <v>0</v>
      </c>
      <c r="L880" s="91">
        <v>0</v>
      </c>
      <c r="M880" s="91">
        <v>0</v>
      </c>
      <c r="N880" s="91">
        <v>0</v>
      </c>
      <c r="O880" s="91">
        <v>0</v>
      </c>
      <c r="P880" s="91">
        <v>0</v>
      </c>
      <c r="Q880" s="101">
        <f t="shared" si="26"/>
        <v>6199</v>
      </c>
      <c r="R880" s="95">
        <f t="shared" si="27"/>
        <v>5269.15</v>
      </c>
    </row>
    <row r="881" spans="1:23" ht="34.049999999999997" customHeight="1" x14ac:dyDescent="0.3">
      <c r="A881" s="90">
        <v>870</v>
      </c>
      <c r="B881" s="98" t="s">
        <v>2866</v>
      </c>
      <c r="C881" s="98" t="s">
        <v>2974</v>
      </c>
      <c r="D881" s="98" t="s">
        <v>2718</v>
      </c>
      <c r="E881" s="98">
        <v>1969</v>
      </c>
      <c r="F881" s="98" t="s">
        <v>19</v>
      </c>
      <c r="G881" s="98" t="s">
        <v>2786</v>
      </c>
      <c r="H881" s="98" t="s">
        <v>2828</v>
      </c>
      <c r="I881" s="98" t="s">
        <v>300</v>
      </c>
      <c r="J881" s="98">
        <v>0</v>
      </c>
      <c r="K881" s="98">
        <f>1346+6278+4484+2332+2332+2332+6995+6995+2332+6995+3228+4484</f>
        <v>50133</v>
      </c>
      <c r="L881" s="98">
        <v>0</v>
      </c>
      <c r="M881" s="98">
        <v>0</v>
      </c>
      <c r="N881" s="98">
        <f>3179+1178+1793</f>
        <v>6150</v>
      </c>
      <c r="O881" s="98">
        <v>0</v>
      </c>
      <c r="P881" s="98">
        <f>1200+720+360</f>
        <v>2280</v>
      </c>
      <c r="Q881" s="101">
        <f t="shared" si="26"/>
        <v>58563</v>
      </c>
      <c r="R881" s="95">
        <f t="shared" si="27"/>
        <v>49778.55</v>
      </c>
      <c r="S881" s="41"/>
      <c r="T881" s="41"/>
      <c r="U881" s="41"/>
      <c r="V881" s="41"/>
      <c r="W881" s="41"/>
    </row>
    <row r="882" spans="1:23" ht="34.049999999999997" customHeight="1" x14ac:dyDescent="0.3">
      <c r="A882" s="90">
        <v>871</v>
      </c>
      <c r="B882" s="98" t="s">
        <v>2866</v>
      </c>
      <c r="C882" s="98" t="s">
        <v>2974</v>
      </c>
      <c r="D882" s="98" t="s">
        <v>2718</v>
      </c>
      <c r="E882" s="98">
        <v>1969</v>
      </c>
      <c r="F882" s="98" t="s">
        <v>19</v>
      </c>
      <c r="G882" s="98" t="s">
        <v>2786</v>
      </c>
      <c r="H882" s="98" t="s">
        <v>2828</v>
      </c>
      <c r="I882" s="98" t="s">
        <v>300</v>
      </c>
      <c r="J882" s="98">
        <v>0</v>
      </c>
      <c r="K882" s="98">
        <v>0</v>
      </c>
      <c r="L882" s="98">
        <v>0</v>
      </c>
      <c r="M882" s="98">
        <v>17688</v>
      </c>
      <c r="N882" s="98">
        <v>1681</v>
      </c>
      <c r="O882" s="98">
        <v>0</v>
      </c>
      <c r="P882" s="98">
        <f>312+56</f>
        <v>368</v>
      </c>
      <c r="Q882" s="101">
        <f t="shared" si="26"/>
        <v>19737</v>
      </c>
      <c r="R882" s="95">
        <f t="shared" si="27"/>
        <v>16776.45</v>
      </c>
      <c r="S882" s="41"/>
      <c r="T882" s="41"/>
      <c r="U882" s="41"/>
      <c r="V882" s="41"/>
      <c r="W882" s="41"/>
    </row>
    <row r="883" spans="1:23" ht="34.049999999999997" customHeight="1" x14ac:dyDescent="0.3">
      <c r="A883" s="96">
        <v>872</v>
      </c>
      <c r="B883" s="91" t="s">
        <v>2866</v>
      </c>
      <c r="C883" s="91" t="s">
        <v>2975</v>
      </c>
      <c r="D883" s="91" t="s">
        <v>2976</v>
      </c>
      <c r="E883" s="91">
        <v>2022</v>
      </c>
      <c r="F883" s="91" t="s">
        <v>19</v>
      </c>
      <c r="G883" s="91" t="s">
        <v>3040</v>
      </c>
      <c r="H883" s="91" t="s">
        <v>3077</v>
      </c>
      <c r="I883" s="91" t="s">
        <v>3104</v>
      </c>
      <c r="J883" s="91">
        <v>6199</v>
      </c>
      <c r="K883" s="91">
        <v>0</v>
      </c>
      <c r="L883" s="91">
        <v>0</v>
      </c>
      <c r="M883" s="91">
        <v>0</v>
      </c>
      <c r="N883" s="91">
        <v>0</v>
      </c>
      <c r="O883" s="91">
        <v>0</v>
      </c>
      <c r="P883" s="91">
        <v>0</v>
      </c>
      <c r="Q883" s="101">
        <f t="shared" si="26"/>
        <v>6199</v>
      </c>
      <c r="R883" s="95">
        <f t="shared" si="27"/>
        <v>5269.15</v>
      </c>
    </row>
    <row r="884" spans="1:23" ht="34.049999999999997" customHeight="1" x14ac:dyDescent="0.3">
      <c r="A884" s="90">
        <v>873</v>
      </c>
      <c r="B884" s="91" t="s">
        <v>2866</v>
      </c>
      <c r="C884" s="91" t="s">
        <v>2977</v>
      </c>
      <c r="D884" s="91" t="s">
        <v>2978</v>
      </c>
      <c r="E884" s="91">
        <v>2024</v>
      </c>
      <c r="F884" s="91" t="s">
        <v>19</v>
      </c>
      <c r="G884" s="91" t="s">
        <v>3041</v>
      </c>
      <c r="H884" s="91" t="s">
        <v>1045</v>
      </c>
      <c r="I884" s="91" t="s">
        <v>1083</v>
      </c>
      <c r="J884" s="91">
        <v>6199</v>
      </c>
      <c r="K884" s="91">
        <v>0</v>
      </c>
      <c r="L884" s="91">
        <v>0</v>
      </c>
      <c r="M884" s="91">
        <v>0</v>
      </c>
      <c r="N884" s="91">
        <v>0</v>
      </c>
      <c r="O884" s="91">
        <v>0</v>
      </c>
      <c r="P884" s="91">
        <v>0</v>
      </c>
      <c r="Q884" s="101">
        <f t="shared" si="26"/>
        <v>6199</v>
      </c>
      <c r="R884" s="95">
        <f t="shared" si="27"/>
        <v>5269.15</v>
      </c>
    </row>
    <row r="885" spans="1:23" ht="34.049999999999997" customHeight="1" x14ac:dyDescent="0.3">
      <c r="A885" s="90">
        <v>874</v>
      </c>
      <c r="B885" s="91" t="s">
        <v>2866</v>
      </c>
      <c r="C885" s="91" t="s">
        <v>2979</v>
      </c>
      <c r="D885" s="91" t="s">
        <v>2980</v>
      </c>
      <c r="E885" s="91">
        <v>1986</v>
      </c>
      <c r="F885" s="91" t="s">
        <v>18</v>
      </c>
      <c r="G885" s="91" t="s">
        <v>3042</v>
      </c>
      <c r="H885" s="91" t="s">
        <v>3042</v>
      </c>
      <c r="I885" s="91" t="s">
        <v>27</v>
      </c>
      <c r="J885" s="91">
        <v>6199</v>
      </c>
      <c r="K885" s="91">
        <f>6278+4484+1166</f>
        <v>11928</v>
      </c>
      <c r="L885" s="91">
        <v>0</v>
      </c>
      <c r="M885" s="91">
        <v>0</v>
      </c>
      <c r="N885" s="91">
        <v>1793</v>
      </c>
      <c r="O885" s="91">
        <v>0</v>
      </c>
      <c r="P885" s="91">
        <v>0</v>
      </c>
      <c r="Q885" s="101">
        <f t="shared" si="26"/>
        <v>19920</v>
      </c>
      <c r="R885" s="95">
        <f t="shared" si="27"/>
        <v>16932</v>
      </c>
    </row>
    <row r="886" spans="1:23" ht="34.049999999999997" customHeight="1" x14ac:dyDescent="0.3">
      <c r="A886" s="96">
        <v>875</v>
      </c>
      <c r="B886" s="91" t="s">
        <v>2866</v>
      </c>
      <c r="C886" s="91" t="s">
        <v>2981</v>
      </c>
      <c r="D886" s="91" t="s">
        <v>2982</v>
      </c>
      <c r="E886" s="91">
        <v>2019</v>
      </c>
      <c r="F886" s="91" t="s">
        <v>18</v>
      </c>
      <c r="G886" s="91" t="s">
        <v>3043</v>
      </c>
      <c r="H886" s="91" t="s">
        <v>3078</v>
      </c>
      <c r="I886" s="91" t="s">
        <v>3105</v>
      </c>
      <c r="J886" s="91">
        <v>6199</v>
      </c>
      <c r="K886" s="91">
        <v>0</v>
      </c>
      <c r="L886" s="91">
        <v>0</v>
      </c>
      <c r="M886" s="91">
        <v>0</v>
      </c>
      <c r="N886" s="91">
        <v>0</v>
      </c>
      <c r="O886" s="91">
        <v>0</v>
      </c>
      <c r="P886" s="91">
        <v>0</v>
      </c>
      <c r="Q886" s="101">
        <f t="shared" si="26"/>
        <v>6199</v>
      </c>
      <c r="R886" s="95">
        <f t="shared" si="27"/>
        <v>5269.15</v>
      </c>
    </row>
    <row r="887" spans="1:23" ht="34.049999999999997" customHeight="1" x14ac:dyDescent="0.3">
      <c r="A887" s="90">
        <v>876</v>
      </c>
      <c r="B887" s="91" t="s">
        <v>2866</v>
      </c>
      <c r="C887" s="91" t="s">
        <v>2983</v>
      </c>
      <c r="D887" s="91" t="s">
        <v>2984</v>
      </c>
      <c r="E887" s="91">
        <v>2023</v>
      </c>
      <c r="F887" s="91" t="s">
        <v>19</v>
      </c>
      <c r="G887" s="91" t="s">
        <v>3044</v>
      </c>
      <c r="H887" s="91" t="s">
        <v>3079</v>
      </c>
      <c r="I887" s="91" t="s">
        <v>3106</v>
      </c>
      <c r="J887" s="91">
        <v>6199</v>
      </c>
      <c r="K887" s="91">
        <f>1346+6278+4484+4484+2332+2332+2332+2332+2332+6995+2332+6995+2332+6995</f>
        <v>53901</v>
      </c>
      <c r="L887" s="91">
        <v>0</v>
      </c>
      <c r="M887" s="91">
        <v>0</v>
      </c>
      <c r="N887" s="91">
        <v>3148</v>
      </c>
      <c r="O887" s="91">
        <v>0</v>
      </c>
      <c r="P887" s="91">
        <v>0</v>
      </c>
      <c r="Q887" s="101">
        <f t="shared" si="26"/>
        <v>63248</v>
      </c>
      <c r="R887" s="95">
        <f t="shared" si="27"/>
        <v>53760.800000000003</v>
      </c>
    </row>
    <row r="888" spans="1:23" ht="34.049999999999997" customHeight="1" x14ac:dyDescent="0.3">
      <c r="A888" s="90">
        <v>877</v>
      </c>
      <c r="B888" s="91" t="s">
        <v>2866</v>
      </c>
      <c r="C888" s="91" t="s">
        <v>2985</v>
      </c>
      <c r="D888" s="91" t="s">
        <v>2986</v>
      </c>
      <c r="E888" s="91">
        <v>2009</v>
      </c>
      <c r="F888" s="91" t="s">
        <v>19</v>
      </c>
      <c r="G888" s="91" t="s">
        <v>3045</v>
      </c>
      <c r="H888" s="91" t="s">
        <v>3080</v>
      </c>
      <c r="I888" s="91" t="s">
        <v>3107</v>
      </c>
      <c r="J888" s="91">
        <v>6199</v>
      </c>
      <c r="K888" s="91">
        <f>1346+6278+4484+6995+2332+2332+2332+2801+1166+2332+2332+2332+6995+6995+2332+6995</f>
        <v>60379</v>
      </c>
      <c r="L888" s="91">
        <v>0</v>
      </c>
      <c r="M888" s="91">
        <v>0</v>
      </c>
      <c r="N888" s="91">
        <f>1793+3179+1178</f>
        <v>6150</v>
      </c>
      <c r="O888" s="91">
        <v>0</v>
      </c>
      <c r="P888" s="91">
        <f>720+144+720</f>
        <v>1584</v>
      </c>
      <c r="Q888" s="102">
        <f t="shared" si="26"/>
        <v>74312</v>
      </c>
      <c r="R888" s="95">
        <f t="shared" si="27"/>
        <v>63165.2</v>
      </c>
    </row>
    <row r="889" spans="1:23" ht="34.049999999999997" customHeight="1" x14ac:dyDescent="0.3">
      <c r="A889" s="96">
        <v>878</v>
      </c>
      <c r="B889" s="91" t="s">
        <v>2866</v>
      </c>
      <c r="C889" s="91" t="s">
        <v>2985</v>
      </c>
      <c r="D889" s="91" t="s">
        <v>2986</v>
      </c>
      <c r="E889" s="91">
        <v>2009</v>
      </c>
      <c r="F889" s="91" t="s">
        <v>19</v>
      </c>
      <c r="G889" s="91" t="s">
        <v>3045</v>
      </c>
      <c r="H889" s="91" t="s">
        <v>3080</v>
      </c>
      <c r="I889" s="91" t="s">
        <v>3107</v>
      </c>
      <c r="J889" s="91">
        <v>0</v>
      </c>
      <c r="K889" s="91">
        <v>0</v>
      </c>
      <c r="L889" s="91">
        <v>0</v>
      </c>
      <c r="M889" s="91">
        <v>17688</v>
      </c>
      <c r="N889" s="91">
        <v>0</v>
      </c>
      <c r="O889" s="91">
        <v>0</v>
      </c>
      <c r="P889" s="91">
        <v>0</v>
      </c>
      <c r="Q889" s="102">
        <f t="shared" si="26"/>
        <v>17688</v>
      </c>
      <c r="R889" s="95">
        <f t="shared" si="27"/>
        <v>15034.8</v>
      </c>
    </row>
    <row r="890" spans="1:23" ht="34.049999999999997" customHeight="1" x14ac:dyDescent="0.3">
      <c r="A890" s="90">
        <v>879</v>
      </c>
      <c r="B890" s="91" t="s">
        <v>2866</v>
      </c>
      <c r="C890" s="91" t="s">
        <v>2987</v>
      </c>
      <c r="D890" s="91" t="s">
        <v>426</v>
      </c>
      <c r="E890" s="91">
        <v>2024</v>
      </c>
      <c r="F890" s="91" t="s">
        <v>18</v>
      </c>
      <c r="G890" s="91" t="s">
        <v>492</v>
      </c>
      <c r="H890" s="91" t="s">
        <v>529</v>
      </c>
      <c r="I890" s="91" t="s">
        <v>577</v>
      </c>
      <c r="J890" s="91">
        <v>3793</v>
      </c>
      <c r="K890" s="91">
        <v>0</v>
      </c>
      <c r="L890" s="91">
        <v>0</v>
      </c>
      <c r="M890" s="91">
        <v>0</v>
      </c>
      <c r="N890" s="91">
        <v>0</v>
      </c>
      <c r="O890" s="91">
        <v>0</v>
      </c>
      <c r="P890" s="91">
        <v>0</v>
      </c>
      <c r="Q890" s="101">
        <f t="shared" si="26"/>
        <v>3793</v>
      </c>
      <c r="R890" s="95">
        <f t="shared" si="27"/>
        <v>3224.05</v>
      </c>
    </row>
    <row r="891" spans="1:23" ht="34.049999999999997" customHeight="1" x14ac:dyDescent="0.3">
      <c r="A891" s="90">
        <v>880</v>
      </c>
      <c r="B891" s="91" t="s">
        <v>2866</v>
      </c>
      <c r="C891" s="91" t="s">
        <v>2988</v>
      </c>
      <c r="D891" s="91" t="s">
        <v>2989</v>
      </c>
      <c r="E891" s="91">
        <v>1994</v>
      </c>
      <c r="F891" s="91" t="s">
        <v>19</v>
      </c>
      <c r="G891" s="91" t="s">
        <v>3046</v>
      </c>
      <c r="H891" s="91" t="s">
        <v>3081</v>
      </c>
      <c r="I891" s="91" t="s">
        <v>3108</v>
      </c>
      <c r="J891" s="91">
        <v>6199</v>
      </c>
      <c r="K891" s="91">
        <v>0</v>
      </c>
      <c r="L891" s="91">
        <v>0</v>
      </c>
      <c r="M891" s="91">
        <v>0</v>
      </c>
      <c r="N891" s="91">
        <v>0</v>
      </c>
      <c r="O891" s="91">
        <v>0</v>
      </c>
      <c r="P891" s="91">
        <v>0</v>
      </c>
      <c r="Q891" s="101">
        <f t="shared" si="26"/>
        <v>6199</v>
      </c>
      <c r="R891" s="95">
        <f t="shared" si="27"/>
        <v>5269.15</v>
      </c>
    </row>
    <row r="892" spans="1:23" ht="34.049999999999997" customHeight="1" x14ac:dyDescent="0.3">
      <c r="A892" s="96">
        <v>881</v>
      </c>
      <c r="B892" s="91" t="s">
        <v>2866</v>
      </c>
      <c r="C892" s="91" t="s">
        <v>7251</v>
      </c>
      <c r="D892" s="93" t="s">
        <v>2299</v>
      </c>
      <c r="E892" s="91">
        <v>2024</v>
      </c>
      <c r="F892" s="91" t="s">
        <v>19</v>
      </c>
      <c r="G892" s="91" t="s">
        <v>2387</v>
      </c>
      <c r="H892" s="91" t="s">
        <v>1452</v>
      </c>
      <c r="I892" s="91" t="s">
        <v>282</v>
      </c>
      <c r="J892" s="91">
        <v>2900</v>
      </c>
      <c r="K892" s="91">
        <v>0</v>
      </c>
      <c r="L892" s="91">
        <v>0</v>
      </c>
      <c r="M892" s="91">
        <v>0</v>
      </c>
      <c r="N892" s="91">
        <v>2088</v>
      </c>
      <c r="O892" s="91">
        <v>0</v>
      </c>
      <c r="P892" s="91">
        <f>1080+168</f>
        <v>1248</v>
      </c>
      <c r="Q892" s="101">
        <f t="shared" si="26"/>
        <v>6236</v>
      </c>
      <c r="R892" s="95">
        <f t="shared" si="27"/>
        <v>5300.6</v>
      </c>
    </row>
    <row r="893" spans="1:23" ht="34.049999999999997" customHeight="1" x14ac:dyDescent="0.3">
      <c r="A893" s="90">
        <v>882</v>
      </c>
      <c r="B893" s="91" t="s">
        <v>2866</v>
      </c>
      <c r="C893" s="91" t="s">
        <v>7252</v>
      </c>
      <c r="D893" s="93" t="s">
        <v>1914</v>
      </c>
      <c r="E893" s="91">
        <v>2016</v>
      </c>
      <c r="F893" s="91" t="s">
        <v>19</v>
      </c>
      <c r="G893" s="91" t="s">
        <v>2028</v>
      </c>
      <c r="H893" s="91" t="s">
        <v>2084</v>
      </c>
      <c r="I893" s="91" t="s">
        <v>2621</v>
      </c>
      <c r="J893" s="91">
        <v>2900</v>
      </c>
      <c r="K893" s="91">
        <v>0</v>
      </c>
      <c r="L893" s="91">
        <v>0</v>
      </c>
      <c r="M893" s="91">
        <v>0</v>
      </c>
      <c r="N893" s="91">
        <v>2088</v>
      </c>
      <c r="O893" s="91">
        <v>0</v>
      </c>
      <c r="P893" s="91">
        <f>720+112</f>
        <v>832</v>
      </c>
      <c r="Q893" s="101">
        <f t="shared" si="26"/>
        <v>5820</v>
      </c>
      <c r="R893" s="95">
        <f t="shared" si="27"/>
        <v>4947</v>
      </c>
    </row>
    <row r="894" spans="1:23" ht="34.049999999999997" customHeight="1" x14ac:dyDescent="0.3">
      <c r="A894" s="90">
        <v>883</v>
      </c>
      <c r="B894" s="91" t="s">
        <v>2866</v>
      </c>
      <c r="C894" s="91" t="s">
        <v>7253</v>
      </c>
      <c r="D894" s="93" t="s">
        <v>2757</v>
      </c>
      <c r="E894" s="91">
        <v>2025</v>
      </c>
      <c r="F894" s="91" t="s">
        <v>19</v>
      </c>
      <c r="G894" s="91" t="s">
        <v>2805</v>
      </c>
      <c r="H894" s="91" t="s">
        <v>2842</v>
      </c>
      <c r="I894" s="91" t="s">
        <v>2865</v>
      </c>
      <c r="J894" s="91">
        <v>2900</v>
      </c>
      <c r="K894" s="91">
        <v>0</v>
      </c>
      <c r="L894" s="91">
        <v>0</v>
      </c>
      <c r="M894" s="91">
        <v>0</v>
      </c>
      <c r="N894" s="91">
        <v>2088</v>
      </c>
      <c r="O894" s="91">
        <v>0</v>
      </c>
      <c r="P894" s="91">
        <f>360+56</f>
        <v>416</v>
      </c>
      <c r="Q894" s="101">
        <f t="shared" si="26"/>
        <v>5404</v>
      </c>
      <c r="R894" s="95">
        <f t="shared" si="27"/>
        <v>4593.3999999999996</v>
      </c>
    </row>
    <row r="895" spans="1:23" ht="34.049999999999997" customHeight="1" x14ac:dyDescent="0.3">
      <c r="A895" s="96">
        <v>884</v>
      </c>
      <c r="B895" s="91" t="s">
        <v>2866</v>
      </c>
      <c r="C895" s="91" t="s">
        <v>7254</v>
      </c>
      <c r="D895" s="93" t="s">
        <v>3711</v>
      </c>
      <c r="E895" s="91">
        <v>2022</v>
      </c>
      <c r="F895" s="91" t="s">
        <v>18</v>
      </c>
      <c r="G895" s="91" t="s">
        <v>3712</v>
      </c>
      <c r="H895" s="91" t="s">
        <v>3713</v>
      </c>
      <c r="I895" s="91" t="s">
        <v>1483</v>
      </c>
      <c r="J895" s="91">
        <v>0</v>
      </c>
      <c r="K895" s="91">
        <v>0</v>
      </c>
      <c r="L895" s="91">
        <v>0</v>
      </c>
      <c r="M895" s="91">
        <v>0</v>
      </c>
      <c r="N895" s="91">
        <v>0</v>
      </c>
      <c r="O895" s="91">
        <v>0</v>
      </c>
      <c r="P895" s="91">
        <f>1080+168+720+374</f>
        <v>2342</v>
      </c>
      <c r="Q895" s="101">
        <f t="shared" si="26"/>
        <v>2342</v>
      </c>
      <c r="R895" s="95">
        <f t="shared" si="27"/>
        <v>1990.7</v>
      </c>
    </row>
    <row r="896" spans="1:23" ht="34.049999999999997" customHeight="1" x14ac:dyDescent="0.3">
      <c r="A896" s="90">
        <v>885</v>
      </c>
      <c r="B896" s="91" t="s">
        <v>2866</v>
      </c>
      <c r="C896" s="91" t="s">
        <v>7255</v>
      </c>
      <c r="D896" s="93" t="s">
        <v>2021</v>
      </c>
      <c r="E896" s="91">
        <v>2025</v>
      </c>
      <c r="F896" s="91" t="s">
        <v>19</v>
      </c>
      <c r="G896" s="91" t="s">
        <v>2080</v>
      </c>
      <c r="H896" s="91" t="s">
        <v>2114</v>
      </c>
      <c r="I896" s="91" t="s">
        <v>2141</v>
      </c>
      <c r="J896" s="91">
        <v>2900</v>
      </c>
      <c r="K896" s="91">
        <v>0</v>
      </c>
      <c r="L896" s="91">
        <v>0</v>
      </c>
      <c r="M896" s="91">
        <v>17688</v>
      </c>
      <c r="N896" s="91">
        <v>2088</v>
      </c>
      <c r="O896" s="91">
        <v>0</v>
      </c>
      <c r="P896" s="91">
        <f>1080+168</f>
        <v>1248</v>
      </c>
      <c r="Q896" s="101">
        <f t="shared" si="26"/>
        <v>23924</v>
      </c>
      <c r="R896" s="95">
        <f t="shared" si="27"/>
        <v>20335.400000000001</v>
      </c>
    </row>
    <row r="897" spans="1:23" ht="34.049999999999997" customHeight="1" x14ac:dyDescent="0.3">
      <c r="A897" s="90">
        <v>886</v>
      </c>
      <c r="B897" s="91" t="s">
        <v>3109</v>
      </c>
      <c r="C897" s="91" t="s">
        <v>3110</v>
      </c>
      <c r="D897" s="91" t="s">
        <v>123</v>
      </c>
      <c r="E897" s="91">
        <v>2020</v>
      </c>
      <c r="F897" s="91" t="s">
        <v>18</v>
      </c>
      <c r="G897" s="91" t="s">
        <v>190</v>
      </c>
      <c r="H897" s="91" t="s">
        <v>156</v>
      </c>
      <c r="I897" s="91" t="s">
        <v>284</v>
      </c>
      <c r="J897" s="91">
        <v>0</v>
      </c>
      <c r="K897" s="91">
        <v>0</v>
      </c>
      <c r="L897" s="91">
        <v>0</v>
      </c>
      <c r="M897" s="91">
        <v>0</v>
      </c>
      <c r="N897" s="91">
        <v>38478</v>
      </c>
      <c r="O897" s="91">
        <v>0</v>
      </c>
      <c r="P897" s="91">
        <v>0</v>
      </c>
      <c r="Q897" s="101">
        <f t="shared" si="26"/>
        <v>38478</v>
      </c>
      <c r="R897" s="95">
        <f t="shared" si="27"/>
        <v>32706.3</v>
      </c>
    </row>
    <row r="898" spans="1:23" ht="34.049999999999997" customHeight="1" x14ac:dyDescent="0.3">
      <c r="A898" s="96">
        <v>887</v>
      </c>
      <c r="B898" s="91" t="s">
        <v>3109</v>
      </c>
      <c r="C898" s="91" t="s">
        <v>3111</v>
      </c>
      <c r="D898" s="91" t="s">
        <v>3112</v>
      </c>
      <c r="E898" s="91">
        <v>1987</v>
      </c>
      <c r="F898" s="91" t="s">
        <v>18</v>
      </c>
      <c r="G898" s="91" t="s">
        <v>3226</v>
      </c>
      <c r="H898" s="91" t="s">
        <v>3226</v>
      </c>
      <c r="I898" s="91" t="s">
        <v>35</v>
      </c>
      <c r="J898" s="91">
        <v>6199</v>
      </c>
      <c r="K898" s="91">
        <f>2332+2332+2243+6278+4484+1346+2332+2332+2332+2332+2332+2332+6995+6995+6995+2332+6995+3000+3000+6995+4484</f>
        <v>80798</v>
      </c>
      <c r="L898" s="91">
        <v>0</v>
      </c>
      <c r="M898" s="91">
        <v>0</v>
      </c>
      <c r="N898" s="91">
        <v>1793</v>
      </c>
      <c r="O898" s="91">
        <v>0</v>
      </c>
      <c r="P898" s="91">
        <v>0</v>
      </c>
      <c r="Q898" s="101">
        <f t="shared" si="26"/>
        <v>88790</v>
      </c>
      <c r="R898" s="95">
        <f t="shared" si="27"/>
        <v>75471.5</v>
      </c>
    </row>
    <row r="899" spans="1:23" ht="34.049999999999997" customHeight="1" x14ac:dyDescent="0.3">
      <c r="A899" s="90">
        <v>888</v>
      </c>
      <c r="B899" s="91" t="s">
        <v>3109</v>
      </c>
      <c r="C899" s="91" t="s">
        <v>3113</v>
      </c>
      <c r="D899" s="91" t="s">
        <v>2234</v>
      </c>
      <c r="E899" s="91">
        <v>1972</v>
      </c>
      <c r="F899" s="91" t="s">
        <v>18</v>
      </c>
      <c r="G899" s="91" t="s">
        <v>2356</v>
      </c>
      <c r="H899" s="91" t="s">
        <v>2356</v>
      </c>
      <c r="I899" s="91" t="s">
        <v>839</v>
      </c>
      <c r="J899" s="91">
        <v>3793</v>
      </c>
      <c r="K899" s="91">
        <v>0</v>
      </c>
      <c r="L899" s="91">
        <v>0</v>
      </c>
      <c r="M899" s="91">
        <v>0</v>
      </c>
      <c r="N899" s="91">
        <v>30758</v>
      </c>
      <c r="O899" s="91">
        <v>0</v>
      </c>
      <c r="P899" s="91">
        <v>0</v>
      </c>
      <c r="Q899" s="101">
        <f t="shared" si="26"/>
        <v>34551</v>
      </c>
      <c r="R899" s="95">
        <f t="shared" si="27"/>
        <v>29368.35</v>
      </c>
    </row>
    <row r="900" spans="1:23" ht="34.049999999999997" customHeight="1" x14ac:dyDescent="0.3">
      <c r="A900" s="90">
        <v>889</v>
      </c>
      <c r="B900" s="91" t="s">
        <v>3109</v>
      </c>
      <c r="C900" s="91" t="s">
        <v>3114</v>
      </c>
      <c r="D900" s="91" t="s">
        <v>3115</v>
      </c>
      <c r="E900" s="91">
        <v>2019</v>
      </c>
      <c r="F900" s="91" t="s">
        <v>19</v>
      </c>
      <c r="G900" s="91" t="s">
        <v>3227</v>
      </c>
      <c r="H900" s="91" t="s">
        <v>3278</v>
      </c>
      <c r="I900" s="91" t="s">
        <v>3306</v>
      </c>
      <c r="J900" s="91">
        <v>6199</v>
      </c>
      <c r="K900" s="91">
        <v>0</v>
      </c>
      <c r="L900" s="91">
        <v>0</v>
      </c>
      <c r="M900" s="91">
        <v>0</v>
      </c>
      <c r="N900" s="91">
        <f>15443+17918</f>
        <v>33361</v>
      </c>
      <c r="O900" s="91">
        <v>0</v>
      </c>
      <c r="P900" s="91">
        <v>0</v>
      </c>
      <c r="Q900" s="101">
        <f t="shared" si="26"/>
        <v>39560</v>
      </c>
      <c r="R900" s="95">
        <f t="shared" si="27"/>
        <v>33626</v>
      </c>
    </row>
    <row r="901" spans="1:23" ht="34.049999999999997" customHeight="1" x14ac:dyDescent="0.3">
      <c r="A901" s="96">
        <v>890</v>
      </c>
      <c r="B901" s="91" t="s">
        <v>3109</v>
      </c>
      <c r="C901" s="91" t="s">
        <v>3116</v>
      </c>
      <c r="D901" s="91" t="s">
        <v>55</v>
      </c>
      <c r="E901" s="91">
        <v>1983</v>
      </c>
      <c r="F901" s="91" t="s">
        <v>19</v>
      </c>
      <c r="G901" s="91" t="s">
        <v>156</v>
      </c>
      <c r="H901" s="91" t="s">
        <v>156</v>
      </c>
      <c r="I901" s="91" t="s">
        <v>255</v>
      </c>
      <c r="J901" s="91">
        <v>3793</v>
      </c>
      <c r="K901" s="91">
        <v>0</v>
      </c>
      <c r="L901" s="91">
        <v>0</v>
      </c>
      <c r="M901" s="91">
        <v>0</v>
      </c>
      <c r="N901" s="91">
        <v>0</v>
      </c>
      <c r="O901" s="91">
        <v>0</v>
      </c>
      <c r="P901" s="91">
        <v>0</v>
      </c>
      <c r="Q901" s="101">
        <f t="shared" si="26"/>
        <v>3793</v>
      </c>
      <c r="R901" s="95">
        <f t="shared" si="27"/>
        <v>3224.05</v>
      </c>
    </row>
    <row r="902" spans="1:23" ht="34.049999999999997" customHeight="1" x14ac:dyDescent="0.3">
      <c r="A902" s="90">
        <v>891</v>
      </c>
      <c r="B902" s="91" t="s">
        <v>3109</v>
      </c>
      <c r="C902" s="91" t="s">
        <v>3117</v>
      </c>
      <c r="D902" s="91" t="s">
        <v>3118</v>
      </c>
      <c r="E902" s="91">
        <v>2019</v>
      </c>
      <c r="F902" s="91" t="s">
        <v>19</v>
      </c>
      <c r="G902" s="91" t="s">
        <v>3228</v>
      </c>
      <c r="H902" s="91" t="s">
        <v>3279</v>
      </c>
      <c r="I902" s="91" t="s">
        <v>292</v>
      </c>
      <c r="J902" s="91">
        <v>6199</v>
      </c>
      <c r="K902" s="91">
        <v>0</v>
      </c>
      <c r="L902" s="91">
        <v>0</v>
      </c>
      <c r="M902" s="91">
        <v>0</v>
      </c>
      <c r="N902" s="91">
        <v>0</v>
      </c>
      <c r="O902" s="91">
        <v>0</v>
      </c>
      <c r="P902" s="91">
        <v>0</v>
      </c>
      <c r="Q902" s="101">
        <f t="shared" si="26"/>
        <v>6199</v>
      </c>
      <c r="R902" s="95">
        <f t="shared" si="27"/>
        <v>5269.15</v>
      </c>
    </row>
    <row r="903" spans="1:23" ht="34.049999999999997" customHeight="1" x14ac:dyDescent="0.3">
      <c r="A903" s="90">
        <v>892</v>
      </c>
      <c r="B903" s="91" t="s">
        <v>3109</v>
      </c>
      <c r="C903" s="91" t="s">
        <v>3119</v>
      </c>
      <c r="D903" s="91" t="s">
        <v>3120</v>
      </c>
      <c r="E903" s="91">
        <v>1989</v>
      </c>
      <c r="F903" s="91" t="s">
        <v>19</v>
      </c>
      <c r="G903" s="91" t="s">
        <v>3229</v>
      </c>
      <c r="H903" s="91" t="s">
        <v>3280</v>
      </c>
      <c r="I903" s="91" t="s">
        <v>3307</v>
      </c>
      <c r="J903" s="91">
        <v>6199</v>
      </c>
      <c r="K903" s="91">
        <v>0</v>
      </c>
      <c r="L903" s="91">
        <v>0</v>
      </c>
      <c r="M903" s="91">
        <v>0</v>
      </c>
      <c r="N903" s="91">
        <v>0</v>
      </c>
      <c r="O903" s="91">
        <v>0</v>
      </c>
      <c r="P903" s="91">
        <v>0</v>
      </c>
      <c r="Q903" s="101">
        <f t="shared" si="26"/>
        <v>6199</v>
      </c>
      <c r="R903" s="95">
        <f t="shared" si="27"/>
        <v>5269.15</v>
      </c>
    </row>
    <row r="904" spans="1:23" ht="34.049999999999997" customHeight="1" x14ac:dyDescent="0.3">
      <c r="A904" s="96">
        <v>893</v>
      </c>
      <c r="B904" s="91" t="s">
        <v>3109</v>
      </c>
      <c r="C904" s="91" t="s">
        <v>3121</v>
      </c>
      <c r="D904" s="91" t="s">
        <v>3122</v>
      </c>
      <c r="E904" s="91">
        <v>1973</v>
      </c>
      <c r="F904" s="91" t="s">
        <v>18</v>
      </c>
      <c r="G904" s="91" t="s">
        <v>3230</v>
      </c>
      <c r="H904" s="91" t="s">
        <v>3230</v>
      </c>
      <c r="I904" s="91" t="s">
        <v>1460</v>
      </c>
      <c r="J904" s="91">
        <v>6199</v>
      </c>
      <c r="K904" s="91">
        <v>2332</v>
      </c>
      <c r="L904" s="91">
        <v>0</v>
      </c>
      <c r="M904" s="91">
        <v>0</v>
      </c>
      <c r="N904" s="91">
        <v>1793</v>
      </c>
      <c r="O904" s="91">
        <v>0</v>
      </c>
      <c r="P904" s="91">
        <v>0</v>
      </c>
      <c r="Q904" s="101">
        <f t="shared" si="26"/>
        <v>10324</v>
      </c>
      <c r="R904" s="95">
        <f t="shared" si="27"/>
        <v>8775.4</v>
      </c>
    </row>
    <row r="905" spans="1:23" ht="34.049999999999997" customHeight="1" x14ac:dyDescent="0.3">
      <c r="A905" s="90">
        <v>894</v>
      </c>
      <c r="B905" s="91" t="s">
        <v>3109</v>
      </c>
      <c r="C905" s="91" t="s">
        <v>3123</v>
      </c>
      <c r="D905" s="91" t="s">
        <v>3124</v>
      </c>
      <c r="E905" s="91">
        <v>1948</v>
      </c>
      <c r="F905" s="91" t="s">
        <v>18</v>
      </c>
      <c r="G905" s="91" t="s">
        <v>3231</v>
      </c>
      <c r="H905" s="91" t="s">
        <v>3231</v>
      </c>
      <c r="I905" s="91" t="s">
        <v>824</v>
      </c>
      <c r="J905" s="91">
        <v>6199</v>
      </c>
      <c r="K905" s="91">
        <v>0</v>
      </c>
      <c r="L905" s="91">
        <v>0</v>
      </c>
      <c r="M905" s="91">
        <v>0</v>
      </c>
      <c r="N905" s="91">
        <v>0</v>
      </c>
      <c r="O905" s="91">
        <v>0</v>
      </c>
      <c r="P905" s="91">
        <v>0</v>
      </c>
      <c r="Q905" s="101">
        <f t="shared" si="26"/>
        <v>6199</v>
      </c>
      <c r="R905" s="95">
        <f t="shared" si="27"/>
        <v>5269.15</v>
      </c>
    </row>
    <row r="906" spans="1:23" ht="34.049999999999997" customHeight="1" x14ac:dyDescent="0.3">
      <c r="A906" s="90">
        <v>895</v>
      </c>
      <c r="B906" s="91" t="s">
        <v>3109</v>
      </c>
      <c r="C906" s="91" t="s">
        <v>3125</v>
      </c>
      <c r="D906" s="91" t="s">
        <v>636</v>
      </c>
      <c r="E906" s="91">
        <v>1964</v>
      </c>
      <c r="F906" s="91" t="s">
        <v>19</v>
      </c>
      <c r="G906" s="91" t="s">
        <v>746</v>
      </c>
      <c r="H906" s="91" t="s">
        <v>746</v>
      </c>
      <c r="I906" s="91" t="s">
        <v>839</v>
      </c>
      <c r="J906" s="91">
        <v>3793</v>
      </c>
      <c r="K906" s="91">
        <v>0</v>
      </c>
      <c r="L906" s="91">
        <v>0</v>
      </c>
      <c r="M906" s="91">
        <v>0</v>
      </c>
      <c r="N906" s="91">
        <v>0</v>
      </c>
      <c r="O906" s="91">
        <v>0</v>
      </c>
      <c r="P906" s="91">
        <v>0</v>
      </c>
      <c r="Q906" s="101">
        <f t="shared" si="26"/>
        <v>3793</v>
      </c>
      <c r="R906" s="95">
        <f t="shared" si="27"/>
        <v>3224.05</v>
      </c>
    </row>
    <row r="907" spans="1:23" ht="34.049999999999997" customHeight="1" x14ac:dyDescent="0.3">
      <c r="A907" s="96">
        <v>896</v>
      </c>
      <c r="B907" s="91" t="s">
        <v>3109</v>
      </c>
      <c r="C907" s="91" t="s">
        <v>3126</v>
      </c>
      <c r="D907" s="91" t="s">
        <v>3127</v>
      </c>
      <c r="E907" s="91">
        <v>2023</v>
      </c>
      <c r="F907" s="91" t="s">
        <v>18</v>
      </c>
      <c r="G907" s="91" t="s">
        <v>3232</v>
      </c>
      <c r="H907" s="91" t="s">
        <v>3281</v>
      </c>
      <c r="I907" s="91" t="s">
        <v>829</v>
      </c>
      <c r="J907" s="91">
        <v>6199</v>
      </c>
      <c r="K907" s="91">
        <v>0</v>
      </c>
      <c r="L907" s="91">
        <v>0</v>
      </c>
      <c r="M907" s="91">
        <v>0</v>
      </c>
      <c r="N907" s="91">
        <v>0</v>
      </c>
      <c r="O907" s="91">
        <v>0</v>
      </c>
      <c r="P907" s="91">
        <v>0</v>
      </c>
      <c r="Q907" s="101">
        <f t="shared" si="26"/>
        <v>6199</v>
      </c>
      <c r="R907" s="95">
        <f t="shared" si="27"/>
        <v>5269.15</v>
      </c>
    </row>
    <row r="908" spans="1:23" ht="34.049999999999997" customHeight="1" x14ac:dyDescent="0.3">
      <c r="A908" s="90">
        <v>897</v>
      </c>
      <c r="B908" s="91" t="s">
        <v>3109</v>
      </c>
      <c r="C908" s="91" t="s">
        <v>3128</v>
      </c>
      <c r="D908" s="91" t="s">
        <v>3129</v>
      </c>
      <c r="E908" s="91">
        <v>1976</v>
      </c>
      <c r="F908" s="91" t="s">
        <v>19</v>
      </c>
      <c r="G908" s="91" t="s">
        <v>3233</v>
      </c>
      <c r="H908" s="91" t="s">
        <v>3233</v>
      </c>
      <c r="I908" s="91" t="s">
        <v>284</v>
      </c>
      <c r="J908" s="91">
        <v>6199</v>
      </c>
      <c r="K908" s="91">
        <f>6278+2332+4484+4484</f>
        <v>17578</v>
      </c>
      <c r="L908" s="91">
        <v>0</v>
      </c>
      <c r="M908" s="91">
        <v>0</v>
      </c>
      <c r="N908" s="91">
        <v>1793</v>
      </c>
      <c r="O908" s="91">
        <v>0</v>
      </c>
      <c r="P908" s="91">
        <v>0</v>
      </c>
      <c r="Q908" s="101">
        <f t="shared" ref="Q908:Q971" si="28">SUM(J908:P908)</f>
        <v>25570</v>
      </c>
      <c r="R908" s="95">
        <f t="shared" si="27"/>
        <v>21734.5</v>
      </c>
    </row>
    <row r="909" spans="1:23" ht="34.049999999999997" customHeight="1" x14ac:dyDescent="0.3">
      <c r="A909" s="90">
        <v>898</v>
      </c>
      <c r="B909" s="91" t="s">
        <v>3109</v>
      </c>
      <c r="C909" s="91" t="s">
        <v>3130</v>
      </c>
      <c r="D909" s="91" t="s">
        <v>3131</v>
      </c>
      <c r="E909" s="91">
        <v>1999</v>
      </c>
      <c r="F909" s="91" t="s">
        <v>19</v>
      </c>
      <c r="G909" s="91" t="s">
        <v>3234</v>
      </c>
      <c r="H909" s="91" t="s">
        <v>3282</v>
      </c>
      <c r="I909" s="91" t="s">
        <v>3308</v>
      </c>
      <c r="J909" s="91">
        <v>6199</v>
      </c>
      <c r="K909" s="91">
        <f>6278+4484+2332+3228+3000+3000+2332+2332+2243+6995+3500+3500</f>
        <v>43224</v>
      </c>
      <c r="L909" s="91">
        <v>18406</v>
      </c>
      <c r="M909" s="91">
        <v>0</v>
      </c>
      <c r="N909" s="91">
        <v>1793</v>
      </c>
      <c r="O909" s="91">
        <v>0</v>
      </c>
      <c r="P909" s="91">
        <v>0</v>
      </c>
      <c r="Q909" s="101">
        <f t="shared" si="28"/>
        <v>69622</v>
      </c>
      <c r="R909" s="95">
        <f t="shared" ref="R909:R972" si="29">Q909*85/100</f>
        <v>59178.7</v>
      </c>
    </row>
    <row r="910" spans="1:23" ht="34.049999999999997" customHeight="1" x14ac:dyDescent="0.3">
      <c r="A910" s="96">
        <v>899</v>
      </c>
      <c r="B910" s="98" t="s">
        <v>3109</v>
      </c>
      <c r="C910" s="98" t="s">
        <v>3132</v>
      </c>
      <c r="D910" s="98" t="s">
        <v>3133</v>
      </c>
      <c r="E910" s="98">
        <v>2025</v>
      </c>
      <c r="F910" s="98" t="s">
        <v>19</v>
      </c>
      <c r="G910" s="98" t="s">
        <v>3235</v>
      </c>
      <c r="H910" s="98" t="s">
        <v>3283</v>
      </c>
      <c r="I910" s="98" t="s">
        <v>829</v>
      </c>
      <c r="J910" s="98">
        <v>6199</v>
      </c>
      <c r="K910" s="98">
        <f>6278+4484+2332+1346+2332+2332+2332+2332+6995+6995+2332+6995+2332+4484</f>
        <v>53901</v>
      </c>
      <c r="L910" s="98">
        <v>0</v>
      </c>
      <c r="M910" s="98">
        <v>0</v>
      </c>
      <c r="N910" s="98">
        <f>3148+1178+4053+2088</f>
        <v>10467</v>
      </c>
      <c r="O910" s="98">
        <v>0</v>
      </c>
      <c r="P910" s="98">
        <f>720+1080+1200+360+56</f>
        <v>3416</v>
      </c>
      <c r="Q910" s="101">
        <f t="shared" si="28"/>
        <v>73983</v>
      </c>
      <c r="R910" s="95">
        <f t="shared" si="29"/>
        <v>62885.55</v>
      </c>
      <c r="S910" s="41"/>
      <c r="T910" s="41"/>
      <c r="U910" s="41"/>
      <c r="V910" s="41"/>
      <c r="W910" s="41"/>
    </row>
    <row r="911" spans="1:23" ht="34.049999999999997" customHeight="1" x14ac:dyDescent="0.3">
      <c r="A911" s="90">
        <v>900</v>
      </c>
      <c r="B911" s="98" t="s">
        <v>3109</v>
      </c>
      <c r="C911" s="98" t="s">
        <v>3132</v>
      </c>
      <c r="D911" s="98" t="s">
        <v>3133</v>
      </c>
      <c r="E911" s="98">
        <v>2025</v>
      </c>
      <c r="F911" s="98" t="s">
        <v>19</v>
      </c>
      <c r="G911" s="98" t="s">
        <v>3235</v>
      </c>
      <c r="H911" s="98" t="s">
        <v>3283</v>
      </c>
      <c r="I911" s="98" t="s">
        <v>829</v>
      </c>
      <c r="J911" s="98">
        <v>0</v>
      </c>
      <c r="K911" s="98">
        <v>0</v>
      </c>
      <c r="L911" s="98">
        <v>0</v>
      </c>
      <c r="M911" s="98">
        <v>17688</v>
      </c>
      <c r="N911" s="98">
        <v>2088</v>
      </c>
      <c r="O911" s="98">
        <v>0</v>
      </c>
      <c r="P911" s="98">
        <f>360+56</f>
        <v>416</v>
      </c>
      <c r="Q911" s="101">
        <f t="shared" si="28"/>
        <v>20192</v>
      </c>
      <c r="R911" s="95">
        <f t="shared" si="29"/>
        <v>17163.2</v>
      </c>
      <c r="S911" s="41"/>
      <c r="T911" s="41"/>
      <c r="U911" s="41"/>
      <c r="V911" s="41"/>
      <c r="W911" s="41"/>
    </row>
    <row r="912" spans="1:23" ht="34.049999999999997" customHeight="1" x14ac:dyDescent="0.3">
      <c r="A912" s="90">
        <v>901</v>
      </c>
      <c r="B912" s="98" t="s">
        <v>3109</v>
      </c>
      <c r="C912" s="98" t="s">
        <v>3134</v>
      </c>
      <c r="D912" s="98" t="s">
        <v>2724</v>
      </c>
      <c r="E912" s="98">
        <v>1986</v>
      </c>
      <c r="F912" s="98" t="s">
        <v>18</v>
      </c>
      <c r="G912" s="98" t="s">
        <v>2789</v>
      </c>
      <c r="H912" s="98" t="s">
        <v>2789</v>
      </c>
      <c r="I912" s="98" t="s">
        <v>300</v>
      </c>
      <c r="J912" s="98">
        <v>3793</v>
      </c>
      <c r="K912" s="98">
        <v>0</v>
      </c>
      <c r="L912" s="98">
        <v>0</v>
      </c>
      <c r="M912" s="98">
        <v>0</v>
      </c>
      <c r="N912" s="98">
        <v>0</v>
      </c>
      <c r="O912" s="98">
        <v>0</v>
      </c>
      <c r="P912" s="98">
        <v>0</v>
      </c>
      <c r="Q912" s="101">
        <f t="shared" si="28"/>
        <v>3793</v>
      </c>
      <c r="R912" s="95">
        <f t="shared" si="29"/>
        <v>3224.05</v>
      </c>
      <c r="S912" s="41"/>
      <c r="T912" s="41"/>
      <c r="U912" s="41"/>
      <c r="V912" s="41"/>
      <c r="W912" s="41"/>
    </row>
    <row r="913" spans="1:23" ht="34.049999999999997" customHeight="1" x14ac:dyDescent="0.3">
      <c r="A913" s="96">
        <v>902</v>
      </c>
      <c r="B913" s="91" t="s">
        <v>3109</v>
      </c>
      <c r="C913" s="91" t="s">
        <v>3135</v>
      </c>
      <c r="D913" s="91" t="s">
        <v>3136</v>
      </c>
      <c r="E913" s="91">
        <v>1960</v>
      </c>
      <c r="F913" s="91" t="s">
        <v>18</v>
      </c>
      <c r="G913" s="91" t="s">
        <v>3236</v>
      </c>
      <c r="H913" s="91" t="s">
        <v>3284</v>
      </c>
      <c r="I913" s="91" t="s">
        <v>3309</v>
      </c>
      <c r="J913" s="91">
        <v>6199</v>
      </c>
      <c r="K913" s="91">
        <f>2332+2332+2801+4484+4484+2332+2332+2332+2332+6995</f>
        <v>32756</v>
      </c>
      <c r="L913" s="91">
        <v>0</v>
      </c>
      <c r="M913" s="91">
        <v>0</v>
      </c>
      <c r="N913" s="91">
        <v>1793</v>
      </c>
      <c r="O913" s="91">
        <v>0</v>
      </c>
      <c r="P913" s="91">
        <v>0</v>
      </c>
      <c r="Q913" s="101">
        <f t="shared" si="28"/>
        <v>40748</v>
      </c>
      <c r="R913" s="95">
        <f t="shared" si="29"/>
        <v>34635.800000000003</v>
      </c>
    </row>
    <row r="914" spans="1:23" ht="34.049999999999997" customHeight="1" x14ac:dyDescent="0.3">
      <c r="A914" s="90">
        <v>903</v>
      </c>
      <c r="B914" s="91" t="s">
        <v>3109</v>
      </c>
      <c r="C914" s="91" t="s">
        <v>3137</v>
      </c>
      <c r="D914" s="91" t="s">
        <v>3138</v>
      </c>
      <c r="E914" s="91">
        <v>2021</v>
      </c>
      <c r="F914" s="91" t="s">
        <v>18</v>
      </c>
      <c r="G914" s="91" t="s">
        <v>3237</v>
      </c>
      <c r="H914" s="91" t="s">
        <v>3285</v>
      </c>
      <c r="I914" s="91" t="s">
        <v>3310</v>
      </c>
      <c r="J914" s="91">
        <v>6199</v>
      </c>
      <c r="K914" s="91">
        <f>2801+1166</f>
        <v>3967</v>
      </c>
      <c r="L914" s="91">
        <v>0</v>
      </c>
      <c r="M914" s="91">
        <v>0</v>
      </c>
      <c r="N914" s="91">
        <v>0</v>
      </c>
      <c r="O914" s="91">
        <v>0</v>
      </c>
      <c r="P914" s="91">
        <v>0</v>
      </c>
      <c r="Q914" s="101">
        <f t="shared" si="28"/>
        <v>10166</v>
      </c>
      <c r="R914" s="95">
        <f t="shared" si="29"/>
        <v>8641.1</v>
      </c>
    </row>
    <row r="915" spans="1:23" ht="34.049999999999997" customHeight="1" x14ac:dyDescent="0.3">
      <c r="A915" s="90">
        <v>904</v>
      </c>
      <c r="B915" s="91" t="s">
        <v>3109</v>
      </c>
      <c r="C915" s="91" t="s">
        <v>3139</v>
      </c>
      <c r="D915" s="91" t="s">
        <v>3140</v>
      </c>
      <c r="E915" s="91">
        <v>2023</v>
      </c>
      <c r="F915" s="91" t="s">
        <v>18</v>
      </c>
      <c r="G915" s="91" t="s">
        <v>3238</v>
      </c>
      <c r="H915" s="91" t="s">
        <v>3286</v>
      </c>
      <c r="I915" s="91" t="s">
        <v>270</v>
      </c>
      <c r="J915" s="91">
        <v>6199</v>
      </c>
      <c r="K915" s="91">
        <f>6278+4484+2332+1346+2332+2332+2332+2332+6995+6995+2332+6995+2332+4484</f>
        <v>53901</v>
      </c>
      <c r="L915" s="91">
        <v>0</v>
      </c>
      <c r="M915" s="91">
        <v>0</v>
      </c>
      <c r="N915" s="91">
        <v>3148</v>
      </c>
      <c r="O915" s="91">
        <v>0</v>
      </c>
      <c r="P915" s="91">
        <v>0</v>
      </c>
      <c r="Q915" s="101">
        <f t="shared" si="28"/>
        <v>63248</v>
      </c>
      <c r="R915" s="95">
        <f t="shared" si="29"/>
        <v>53760.800000000003</v>
      </c>
    </row>
    <row r="916" spans="1:23" ht="34.049999999999997" customHeight="1" x14ac:dyDescent="0.3">
      <c r="A916" s="96">
        <v>905</v>
      </c>
      <c r="B916" s="91" t="s">
        <v>3109</v>
      </c>
      <c r="C916" s="91" t="s">
        <v>3141</v>
      </c>
      <c r="D916" s="91" t="s">
        <v>3142</v>
      </c>
      <c r="E916" s="91">
        <v>1979</v>
      </c>
      <c r="F916" s="91" t="s">
        <v>18</v>
      </c>
      <c r="G916" s="91" t="s">
        <v>3239</v>
      </c>
      <c r="H916" s="91" t="s">
        <v>3239</v>
      </c>
      <c r="I916" s="91" t="s">
        <v>3311</v>
      </c>
      <c r="J916" s="91">
        <v>6199</v>
      </c>
      <c r="K916" s="91">
        <v>0</v>
      </c>
      <c r="L916" s="91">
        <v>13298</v>
      </c>
      <c r="M916" s="91">
        <v>0</v>
      </c>
      <c r="N916" s="91">
        <v>0</v>
      </c>
      <c r="O916" s="91">
        <v>0</v>
      </c>
      <c r="P916" s="91">
        <v>0</v>
      </c>
      <c r="Q916" s="101">
        <f t="shared" si="28"/>
        <v>19497</v>
      </c>
      <c r="R916" s="95">
        <f t="shared" si="29"/>
        <v>16572.45</v>
      </c>
    </row>
    <row r="917" spans="1:23" ht="34.049999999999997" customHeight="1" x14ac:dyDescent="0.3">
      <c r="A917" s="90">
        <v>906</v>
      </c>
      <c r="B917" s="91" t="s">
        <v>3109</v>
      </c>
      <c r="C917" s="91" t="s">
        <v>3143</v>
      </c>
      <c r="D917" s="91" t="s">
        <v>3144</v>
      </c>
      <c r="E917" s="91">
        <v>2022</v>
      </c>
      <c r="F917" s="91" t="s">
        <v>19</v>
      </c>
      <c r="G917" s="91" t="s">
        <v>3240</v>
      </c>
      <c r="H917" s="91" t="s">
        <v>3287</v>
      </c>
      <c r="I917" s="91" t="s">
        <v>3312</v>
      </c>
      <c r="J917" s="91">
        <v>6199</v>
      </c>
      <c r="K917" s="91">
        <f>6278+4484+2332+1346+2332+2332+2332+2332+6995+6995+2332+6995+4484+2332</f>
        <v>53901</v>
      </c>
      <c r="L917" s="91">
        <v>0</v>
      </c>
      <c r="M917" s="91">
        <v>0</v>
      </c>
      <c r="N917" s="91">
        <f>3148+2088+4053</f>
        <v>9289</v>
      </c>
      <c r="O917" s="91">
        <v>0</v>
      </c>
      <c r="P917" s="91">
        <f>720+1080+360+56</f>
        <v>2216</v>
      </c>
      <c r="Q917" s="101">
        <f t="shared" si="28"/>
        <v>71605</v>
      </c>
      <c r="R917" s="95">
        <f t="shared" si="29"/>
        <v>60864.25</v>
      </c>
    </row>
    <row r="918" spans="1:23" ht="34.049999999999997" customHeight="1" x14ac:dyDescent="0.3">
      <c r="A918" s="90">
        <v>907</v>
      </c>
      <c r="B918" s="91" t="s">
        <v>3109</v>
      </c>
      <c r="C918" s="91" t="s">
        <v>3145</v>
      </c>
      <c r="D918" s="91" t="s">
        <v>3146</v>
      </c>
      <c r="E918" s="91">
        <v>2018</v>
      </c>
      <c r="F918" s="91" t="s">
        <v>19</v>
      </c>
      <c r="G918" s="91" t="s">
        <v>3241</v>
      </c>
      <c r="H918" s="91" t="s">
        <v>3288</v>
      </c>
      <c r="I918" s="91" t="s">
        <v>3313</v>
      </c>
      <c r="J918" s="91">
        <v>6199</v>
      </c>
      <c r="K918" s="91">
        <f>6278+4484+1346+4484+2332+2332+2332+2332+2332</f>
        <v>28252</v>
      </c>
      <c r="L918" s="91">
        <v>0</v>
      </c>
      <c r="M918" s="91">
        <v>0</v>
      </c>
      <c r="N918" s="91">
        <v>3148</v>
      </c>
      <c r="O918" s="91">
        <v>0</v>
      </c>
      <c r="P918" s="91">
        <v>0</v>
      </c>
      <c r="Q918" s="101">
        <f t="shared" si="28"/>
        <v>37599</v>
      </c>
      <c r="R918" s="95">
        <f t="shared" si="29"/>
        <v>31959.15</v>
      </c>
    </row>
    <row r="919" spans="1:23" ht="34.049999999999997" customHeight="1" x14ac:dyDescent="0.3">
      <c r="A919" s="96">
        <v>908</v>
      </c>
      <c r="B919" s="91" t="s">
        <v>3109</v>
      </c>
      <c r="C919" s="91" t="s">
        <v>3147</v>
      </c>
      <c r="D919" s="91" t="s">
        <v>3148</v>
      </c>
      <c r="E919" s="91">
        <v>2021</v>
      </c>
      <c r="F919" s="91" t="s">
        <v>18</v>
      </c>
      <c r="G919" s="91" t="s">
        <v>3242</v>
      </c>
      <c r="H919" s="91" t="s">
        <v>3289</v>
      </c>
      <c r="I919" s="91" t="s">
        <v>288</v>
      </c>
      <c r="J919" s="91">
        <v>6199</v>
      </c>
      <c r="K919" s="91">
        <v>0</v>
      </c>
      <c r="L919" s="91">
        <v>0</v>
      </c>
      <c r="M919" s="91">
        <v>0</v>
      </c>
      <c r="N919" s="91">
        <v>0</v>
      </c>
      <c r="O919" s="91">
        <v>0</v>
      </c>
      <c r="P919" s="91">
        <v>0</v>
      </c>
      <c r="Q919" s="101">
        <f t="shared" si="28"/>
        <v>6199</v>
      </c>
      <c r="R919" s="95">
        <f t="shared" si="29"/>
        <v>5269.15</v>
      </c>
    </row>
    <row r="920" spans="1:23" ht="34.049999999999997" customHeight="1" x14ac:dyDescent="0.3">
      <c r="A920" s="90">
        <v>909</v>
      </c>
      <c r="B920" s="91" t="s">
        <v>3109</v>
      </c>
      <c r="C920" s="91" t="s">
        <v>3149</v>
      </c>
      <c r="D920" s="91" t="s">
        <v>3150</v>
      </c>
      <c r="E920" s="91">
        <v>1992</v>
      </c>
      <c r="F920" s="91" t="s">
        <v>19</v>
      </c>
      <c r="G920" s="91" t="s">
        <v>3243</v>
      </c>
      <c r="H920" s="91" t="s">
        <v>3290</v>
      </c>
      <c r="I920" s="91" t="s">
        <v>3314</v>
      </c>
      <c r="J920" s="91">
        <v>6199</v>
      </c>
      <c r="K920" s="91">
        <v>0</v>
      </c>
      <c r="L920" s="91">
        <v>0</v>
      </c>
      <c r="M920" s="91">
        <v>0</v>
      </c>
      <c r="N920" s="91">
        <v>0</v>
      </c>
      <c r="O920" s="91">
        <v>0</v>
      </c>
      <c r="P920" s="91">
        <v>0</v>
      </c>
      <c r="Q920" s="101">
        <f t="shared" si="28"/>
        <v>6199</v>
      </c>
      <c r="R920" s="95">
        <f t="shared" si="29"/>
        <v>5269.15</v>
      </c>
    </row>
    <row r="921" spans="1:23" ht="34.049999999999997" customHeight="1" x14ac:dyDescent="0.3">
      <c r="A921" s="90">
        <v>910</v>
      </c>
      <c r="B921" s="91" t="s">
        <v>3109</v>
      </c>
      <c r="C921" s="91" t="s">
        <v>3151</v>
      </c>
      <c r="D921" s="91" t="s">
        <v>3152</v>
      </c>
      <c r="E921" s="91">
        <v>1987</v>
      </c>
      <c r="F921" s="91" t="s">
        <v>19</v>
      </c>
      <c r="G921" s="91" t="s">
        <v>3244</v>
      </c>
      <c r="H921" s="91" t="s">
        <v>3289</v>
      </c>
      <c r="I921" s="91" t="s">
        <v>288</v>
      </c>
      <c r="J921" s="91">
        <v>6199</v>
      </c>
      <c r="K921" s="91">
        <v>0</v>
      </c>
      <c r="L921" s="91">
        <v>0</v>
      </c>
      <c r="M921" s="91">
        <v>0</v>
      </c>
      <c r="N921" s="91">
        <v>0</v>
      </c>
      <c r="O921" s="91">
        <v>0</v>
      </c>
      <c r="P921" s="91">
        <v>0</v>
      </c>
      <c r="Q921" s="101">
        <f t="shared" si="28"/>
        <v>6199</v>
      </c>
      <c r="R921" s="95">
        <f t="shared" si="29"/>
        <v>5269.15</v>
      </c>
    </row>
    <row r="922" spans="1:23" ht="34.049999999999997" customHeight="1" x14ac:dyDescent="0.3">
      <c r="A922" s="96">
        <v>911</v>
      </c>
      <c r="B922" s="91" t="s">
        <v>3109</v>
      </c>
      <c r="C922" s="91" t="s">
        <v>3153</v>
      </c>
      <c r="D922" s="91" t="s">
        <v>3136</v>
      </c>
      <c r="E922" s="91">
        <v>1960</v>
      </c>
      <c r="F922" s="91" t="s">
        <v>18</v>
      </c>
      <c r="G922" s="91" t="s">
        <v>3236</v>
      </c>
      <c r="H922" s="91" t="s">
        <v>3284</v>
      </c>
      <c r="I922" s="91" t="s">
        <v>3309</v>
      </c>
      <c r="J922" s="91">
        <v>6199</v>
      </c>
      <c r="K922" s="91">
        <v>0</v>
      </c>
      <c r="L922" s="91">
        <v>0</v>
      </c>
      <c r="M922" s="91">
        <v>0</v>
      </c>
      <c r="N922" s="91">
        <f>30886+34016+27380</f>
        <v>92282</v>
      </c>
      <c r="O922" s="91">
        <v>0</v>
      </c>
      <c r="P922" s="91">
        <v>0</v>
      </c>
      <c r="Q922" s="102">
        <f t="shared" si="28"/>
        <v>98481</v>
      </c>
      <c r="R922" s="95">
        <f t="shared" si="29"/>
        <v>83708.850000000006</v>
      </c>
    </row>
    <row r="923" spans="1:23" ht="34.049999999999997" customHeight="1" x14ac:dyDescent="0.3">
      <c r="A923" s="90">
        <v>912</v>
      </c>
      <c r="B923" s="98" t="s">
        <v>3109</v>
      </c>
      <c r="C923" s="98" t="s">
        <v>3154</v>
      </c>
      <c r="D923" s="98" t="s">
        <v>3155</v>
      </c>
      <c r="E923" s="98">
        <v>1994</v>
      </c>
      <c r="F923" s="98" t="s">
        <v>18</v>
      </c>
      <c r="G923" s="98" t="s">
        <v>3245</v>
      </c>
      <c r="H923" s="98" t="s">
        <v>3245</v>
      </c>
      <c r="I923" s="98" t="s">
        <v>260</v>
      </c>
      <c r="J923" s="98">
        <v>6199</v>
      </c>
      <c r="K923" s="98">
        <f>6278+4484+1346+2332+2332+2332+2332+2332+6995+6995+2332+6995+2332+2332+1166+2801+2243+6995+6995+2332</f>
        <v>74281</v>
      </c>
      <c r="L923" s="98">
        <v>0</v>
      </c>
      <c r="M923" s="98">
        <v>0</v>
      </c>
      <c r="N923" s="98">
        <v>1793</v>
      </c>
      <c r="O923" s="98">
        <v>0</v>
      </c>
      <c r="P923" s="98">
        <v>0</v>
      </c>
      <c r="Q923" s="101">
        <f t="shared" si="28"/>
        <v>82273</v>
      </c>
      <c r="R923" s="95">
        <f t="shared" si="29"/>
        <v>69932.05</v>
      </c>
      <c r="S923" s="41"/>
      <c r="T923" s="41"/>
      <c r="U923" s="41"/>
      <c r="V923" s="41"/>
      <c r="W923" s="41"/>
    </row>
    <row r="924" spans="1:23" ht="34.049999999999997" customHeight="1" x14ac:dyDescent="0.3">
      <c r="A924" s="90">
        <v>913</v>
      </c>
      <c r="B924" s="91" t="s">
        <v>3109</v>
      </c>
      <c r="C924" s="91" t="s">
        <v>3156</v>
      </c>
      <c r="D924" s="91" t="s">
        <v>3157</v>
      </c>
      <c r="E924" s="91">
        <v>1996</v>
      </c>
      <c r="F924" s="91" t="s">
        <v>19</v>
      </c>
      <c r="G924" s="91" t="s">
        <v>3246</v>
      </c>
      <c r="H924" s="91" t="s">
        <v>3291</v>
      </c>
      <c r="I924" s="91" t="s">
        <v>570</v>
      </c>
      <c r="J924" s="91">
        <v>6199</v>
      </c>
      <c r="K924" s="91">
        <f>6278+3252</f>
        <v>9530</v>
      </c>
      <c r="L924" s="91">
        <v>17279</v>
      </c>
      <c r="M924" s="91">
        <v>0</v>
      </c>
      <c r="N924" s="91">
        <f>1793+1178+3179</f>
        <v>6150</v>
      </c>
      <c r="O924" s="91">
        <v>0</v>
      </c>
      <c r="P924" s="91">
        <f>1440+1320+1080+60+1200+720</f>
        <v>5820</v>
      </c>
      <c r="Q924" s="102">
        <f t="shared" si="28"/>
        <v>44978</v>
      </c>
      <c r="R924" s="95">
        <f t="shared" si="29"/>
        <v>38231.300000000003</v>
      </c>
    </row>
    <row r="925" spans="1:23" ht="34.049999999999997" customHeight="1" x14ac:dyDescent="0.3">
      <c r="A925" s="96">
        <v>914</v>
      </c>
      <c r="B925" s="91" t="s">
        <v>3109</v>
      </c>
      <c r="C925" s="91" t="s">
        <v>3158</v>
      </c>
      <c r="D925" s="91" t="s">
        <v>3159</v>
      </c>
      <c r="E925" s="91">
        <v>2011</v>
      </c>
      <c r="F925" s="91" t="s">
        <v>19</v>
      </c>
      <c r="G925" s="91" t="s">
        <v>3247</v>
      </c>
      <c r="H925" s="91" t="s">
        <v>3292</v>
      </c>
      <c r="I925" s="91" t="s">
        <v>3315</v>
      </c>
      <c r="J925" s="91">
        <v>6199</v>
      </c>
      <c r="K925" s="91">
        <f>1166+2801+2332+2332</f>
        <v>8631</v>
      </c>
      <c r="L925" s="91">
        <v>0</v>
      </c>
      <c r="M925" s="91">
        <v>0</v>
      </c>
      <c r="N925" s="91">
        <v>0</v>
      </c>
      <c r="O925" s="91">
        <v>0</v>
      </c>
      <c r="P925" s="91">
        <v>0</v>
      </c>
      <c r="Q925" s="101">
        <f t="shared" si="28"/>
        <v>14830</v>
      </c>
      <c r="R925" s="95">
        <f t="shared" si="29"/>
        <v>12605.5</v>
      </c>
    </row>
    <row r="926" spans="1:23" ht="34.049999999999997" customHeight="1" x14ac:dyDescent="0.3">
      <c r="A926" s="90">
        <v>915</v>
      </c>
      <c r="B926" s="91" t="s">
        <v>3109</v>
      </c>
      <c r="C926" s="91" t="s">
        <v>3160</v>
      </c>
      <c r="D926" s="91" t="s">
        <v>3161</v>
      </c>
      <c r="E926" s="91">
        <v>1995</v>
      </c>
      <c r="F926" s="91" t="s">
        <v>19</v>
      </c>
      <c r="G926" s="91" t="s">
        <v>3248</v>
      </c>
      <c r="H926" s="91" t="s">
        <v>3293</v>
      </c>
      <c r="I926" s="91" t="s">
        <v>3316</v>
      </c>
      <c r="J926" s="91">
        <v>3582</v>
      </c>
      <c r="K926" s="91">
        <v>0</v>
      </c>
      <c r="L926" s="91">
        <v>0</v>
      </c>
      <c r="M926" s="91">
        <v>0</v>
      </c>
      <c r="N926" s="91">
        <f>34016+27380</f>
        <v>61396</v>
      </c>
      <c r="O926" s="91">
        <v>0</v>
      </c>
      <c r="P926" s="91">
        <v>0</v>
      </c>
      <c r="Q926" s="101">
        <f t="shared" si="28"/>
        <v>64978</v>
      </c>
      <c r="R926" s="95">
        <f t="shared" si="29"/>
        <v>55231.3</v>
      </c>
    </row>
    <row r="927" spans="1:23" ht="34.049999999999997" customHeight="1" x14ac:dyDescent="0.3">
      <c r="A927" s="90">
        <v>916</v>
      </c>
      <c r="B927" s="91" t="s">
        <v>3109</v>
      </c>
      <c r="C927" s="91" t="s">
        <v>3162</v>
      </c>
      <c r="D927" s="91" t="s">
        <v>3163</v>
      </c>
      <c r="E927" s="91">
        <v>2020</v>
      </c>
      <c r="F927" s="91" t="s">
        <v>19</v>
      </c>
      <c r="G927" s="91" t="s">
        <v>3249</v>
      </c>
      <c r="H927" s="91" t="s">
        <v>1452</v>
      </c>
      <c r="I927" s="91" t="s">
        <v>282</v>
      </c>
      <c r="J927" s="91">
        <v>6199</v>
      </c>
      <c r="K927" s="91">
        <f>6278+4484+1346+2332+2332+2332+2332+4484+1166+3000+3000+6995+6995+2332+6995</f>
        <v>56403</v>
      </c>
      <c r="L927" s="91">
        <v>0</v>
      </c>
      <c r="M927" s="91">
        <v>0</v>
      </c>
      <c r="N927" s="91">
        <v>3148</v>
      </c>
      <c r="O927" s="91">
        <v>0</v>
      </c>
      <c r="P927" s="91">
        <v>0</v>
      </c>
      <c r="Q927" s="101">
        <f t="shared" si="28"/>
        <v>65750</v>
      </c>
      <c r="R927" s="95">
        <f t="shared" si="29"/>
        <v>55887.5</v>
      </c>
    </row>
    <row r="928" spans="1:23" ht="34.049999999999997" customHeight="1" x14ac:dyDescent="0.3">
      <c r="A928" s="96">
        <v>917</v>
      </c>
      <c r="B928" s="91" t="s">
        <v>3109</v>
      </c>
      <c r="C928" s="91" t="s">
        <v>3164</v>
      </c>
      <c r="D928" s="91" t="s">
        <v>3165</v>
      </c>
      <c r="E928" s="91">
        <v>1986</v>
      </c>
      <c r="F928" s="91" t="s">
        <v>18</v>
      </c>
      <c r="G928" s="91" t="s">
        <v>1452</v>
      </c>
      <c r="H928" s="91" t="s">
        <v>1452</v>
      </c>
      <c r="I928" s="91" t="s">
        <v>282</v>
      </c>
      <c r="J928" s="91">
        <v>6199</v>
      </c>
      <c r="K928" s="91">
        <f>1166+2801</f>
        <v>3967</v>
      </c>
      <c r="L928" s="91">
        <v>0</v>
      </c>
      <c r="M928" s="91">
        <v>0</v>
      </c>
      <c r="N928" s="91">
        <v>0</v>
      </c>
      <c r="O928" s="91">
        <v>0</v>
      </c>
      <c r="P928" s="91">
        <v>0</v>
      </c>
      <c r="Q928" s="101">
        <f t="shared" si="28"/>
        <v>10166</v>
      </c>
      <c r="R928" s="95">
        <f t="shared" si="29"/>
        <v>8641.1</v>
      </c>
    </row>
    <row r="929" spans="1:23" ht="34.049999999999997" customHeight="1" x14ac:dyDescent="0.3">
      <c r="A929" s="90">
        <v>918</v>
      </c>
      <c r="B929" s="91" t="s">
        <v>3109</v>
      </c>
      <c r="C929" s="91" t="s">
        <v>3166</v>
      </c>
      <c r="D929" s="91" t="s">
        <v>3167</v>
      </c>
      <c r="E929" s="91">
        <v>1954</v>
      </c>
      <c r="F929" s="91" t="s">
        <v>19</v>
      </c>
      <c r="G929" s="91" t="s">
        <v>3250</v>
      </c>
      <c r="H929" s="91" t="s">
        <v>3294</v>
      </c>
      <c r="I929" s="91" t="s">
        <v>276</v>
      </c>
      <c r="J929" s="91">
        <v>6199</v>
      </c>
      <c r="K929" s="91">
        <v>0</v>
      </c>
      <c r="L929" s="91">
        <v>0</v>
      </c>
      <c r="M929" s="91">
        <v>0</v>
      </c>
      <c r="N929" s="91">
        <v>0</v>
      </c>
      <c r="O929" s="91">
        <v>0</v>
      </c>
      <c r="P929" s="91">
        <v>0</v>
      </c>
      <c r="Q929" s="101">
        <f t="shared" si="28"/>
        <v>6199</v>
      </c>
      <c r="R929" s="95">
        <f t="shared" si="29"/>
        <v>5269.15</v>
      </c>
    </row>
    <row r="930" spans="1:23" ht="34.049999999999997" customHeight="1" x14ac:dyDescent="0.3">
      <c r="A930" s="90">
        <v>919</v>
      </c>
      <c r="B930" s="91" t="s">
        <v>3109</v>
      </c>
      <c r="C930" s="91" t="s">
        <v>3168</v>
      </c>
      <c r="D930" s="91" t="s">
        <v>3169</v>
      </c>
      <c r="E930" s="91">
        <v>1985</v>
      </c>
      <c r="F930" s="91" t="s">
        <v>19</v>
      </c>
      <c r="G930" s="91" t="s">
        <v>3251</v>
      </c>
      <c r="H930" s="91" t="s">
        <v>3251</v>
      </c>
      <c r="I930" s="91" t="s">
        <v>565</v>
      </c>
      <c r="J930" s="91">
        <v>6199</v>
      </c>
      <c r="K930" s="91">
        <v>1166</v>
      </c>
      <c r="L930" s="91">
        <v>0</v>
      </c>
      <c r="M930" s="91">
        <v>0</v>
      </c>
      <c r="N930" s="91">
        <v>0</v>
      </c>
      <c r="O930" s="91">
        <v>0</v>
      </c>
      <c r="P930" s="91">
        <v>0</v>
      </c>
      <c r="Q930" s="101">
        <f t="shared" si="28"/>
        <v>7365</v>
      </c>
      <c r="R930" s="95">
        <f t="shared" si="29"/>
        <v>6260.25</v>
      </c>
    </row>
    <row r="931" spans="1:23" ht="34.049999999999997" customHeight="1" x14ac:dyDescent="0.3">
      <c r="A931" s="96">
        <v>920</v>
      </c>
      <c r="B931" s="91" t="s">
        <v>3109</v>
      </c>
      <c r="C931" s="91" t="s">
        <v>3170</v>
      </c>
      <c r="D931" s="91" t="s">
        <v>3171</v>
      </c>
      <c r="E931" s="91">
        <v>1999</v>
      </c>
      <c r="F931" s="91" t="s">
        <v>19</v>
      </c>
      <c r="G931" s="91" t="s">
        <v>3252</v>
      </c>
      <c r="H931" s="91" t="s">
        <v>3252</v>
      </c>
      <c r="I931" s="91" t="s">
        <v>254</v>
      </c>
      <c r="J931" s="91">
        <v>6199</v>
      </c>
      <c r="K931" s="91">
        <f>1166+2801</f>
        <v>3967</v>
      </c>
      <c r="L931" s="91">
        <v>0</v>
      </c>
      <c r="M931" s="91">
        <v>0</v>
      </c>
      <c r="N931" s="91">
        <v>0</v>
      </c>
      <c r="O931" s="91">
        <v>0</v>
      </c>
      <c r="P931" s="91">
        <v>0</v>
      </c>
      <c r="Q931" s="101">
        <f t="shared" si="28"/>
        <v>10166</v>
      </c>
      <c r="R931" s="95">
        <f t="shared" si="29"/>
        <v>8641.1</v>
      </c>
    </row>
    <row r="932" spans="1:23" ht="34.049999999999997" customHeight="1" x14ac:dyDescent="0.3">
      <c r="A932" s="90">
        <v>921</v>
      </c>
      <c r="B932" s="91" t="s">
        <v>3109</v>
      </c>
      <c r="C932" s="91" t="s">
        <v>3172</v>
      </c>
      <c r="D932" s="91" t="s">
        <v>3173</v>
      </c>
      <c r="E932" s="91">
        <v>1981</v>
      </c>
      <c r="F932" s="91" t="s">
        <v>19</v>
      </c>
      <c r="G932" s="91" t="s">
        <v>3253</v>
      </c>
      <c r="H932" s="91" t="s">
        <v>3253</v>
      </c>
      <c r="I932" s="91" t="s">
        <v>3317</v>
      </c>
      <c r="J932" s="91">
        <v>6199</v>
      </c>
      <c r="K932" s="91">
        <f>2332+4484+4484+13452</f>
        <v>24752</v>
      </c>
      <c r="L932" s="91">
        <v>0</v>
      </c>
      <c r="M932" s="91">
        <v>0</v>
      </c>
      <c r="N932" s="91">
        <v>1793</v>
      </c>
      <c r="O932" s="91">
        <v>0</v>
      </c>
      <c r="P932" s="91">
        <v>0</v>
      </c>
      <c r="Q932" s="101">
        <f t="shared" si="28"/>
        <v>32744</v>
      </c>
      <c r="R932" s="95">
        <f t="shared" si="29"/>
        <v>27832.400000000001</v>
      </c>
    </row>
    <row r="933" spans="1:23" ht="34.049999999999997" customHeight="1" x14ac:dyDescent="0.3">
      <c r="A933" s="90">
        <v>922</v>
      </c>
      <c r="B933" s="91" t="s">
        <v>3109</v>
      </c>
      <c r="C933" s="91" t="s">
        <v>3174</v>
      </c>
      <c r="D933" s="91" t="s">
        <v>3175</v>
      </c>
      <c r="E933" s="91">
        <v>1990</v>
      </c>
      <c r="F933" s="91" t="s">
        <v>18</v>
      </c>
      <c r="G933" s="91" t="s">
        <v>3254</v>
      </c>
      <c r="H933" s="91" t="s">
        <v>3254</v>
      </c>
      <c r="I933" s="91" t="s">
        <v>580</v>
      </c>
      <c r="J933" s="91">
        <v>6199</v>
      </c>
      <c r="K933" s="91">
        <v>0</v>
      </c>
      <c r="L933" s="91">
        <v>0</v>
      </c>
      <c r="M933" s="91">
        <v>0</v>
      </c>
      <c r="N933" s="91">
        <v>0</v>
      </c>
      <c r="O933" s="91">
        <v>0</v>
      </c>
      <c r="P933" s="91">
        <v>0</v>
      </c>
      <c r="Q933" s="101">
        <f t="shared" si="28"/>
        <v>6199</v>
      </c>
      <c r="R933" s="95">
        <f t="shared" si="29"/>
        <v>5269.15</v>
      </c>
    </row>
    <row r="934" spans="1:23" ht="34.049999999999997" customHeight="1" x14ac:dyDescent="0.3">
      <c r="A934" s="96">
        <v>923</v>
      </c>
      <c r="B934" s="91" t="s">
        <v>3109</v>
      </c>
      <c r="C934" s="91" t="s">
        <v>3176</v>
      </c>
      <c r="D934" s="91" t="s">
        <v>336</v>
      </c>
      <c r="E934" s="91">
        <v>1998</v>
      </c>
      <c r="F934" s="91" t="s">
        <v>19</v>
      </c>
      <c r="G934" s="91" t="s">
        <v>449</v>
      </c>
      <c r="H934" s="91" t="s">
        <v>449</v>
      </c>
      <c r="I934" s="91" t="s">
        <v>546</v>
      </c>
      <c r="J934" s="91">
        <v>3793</v>
      </c>
      <c r="K934" s="91">
        <v>0</v>
      </c>
      <c r="L934" s="91">
        <v>18406</v>
      </c>
      <c r="M934" s="91">
        <v>0</v>
      </c>
      <c r="N934" s="91">
        <v>0</v>
      </c>
      <c r="O934" s="91">
        <v>0</v>
      </c>
      <c r="P934" s="91">
        <v>0</v>
      </c>
      <c r="Q934" s="101">
        <f t="shared" si="28"/>
        <v>22199</v>
      </c>
      <c r="R934" s="95">
        <f t="shared" si="29"/>
        <v>18869.150000000001</v>
      </c>
    </row>
    <row r="935" spans="1:23" ht="34.049999999999997" customHeight="1" x14ac:dyDescent="0.3">
      <c r="A935" s="90">
        <v>924</v>
      </c>
      <c r="B935" s="91" t="s">
        <v>3109</v>
      </c>
      <c r="C935" s="91" t="s">
        <v>3177</v>
      </c>
      <c r="D935" s="91" t="s">
        <v>76</v>
      </c>
      <c r="E935" s="91">
        <v>1981</v>
      </c>
      <c r="F935" s="91" t="s">
        <v>19</v>
      </c>
      <c r="G935" s="91" t="s">
        <v>167</v>
      </c>
      <c r="H935" s="91" t="s">
        <v>223</v>
      </c>
      <c r="I935" s="91" t="s">
        <v>266</v>
      </c>
      <c r="J935" s="91">
        <v>3582</v>
      </c>
      <c r="K935" s="91">
        <v>0</v>
      </c>
      <c r="L935" s="91">
        <v>0</v>
      </c>
      <c r="M935" s="91">
        <v>0</v>
      </c>
      <c r="N935" s="91">
        <v>40376</v>
      </c>
      <c r="O935" s="91">
        <v>0</v>
      </c>
      <c r="P935" s="91">
        <v>0</v>
      </c>
      <c r="Q935" s="101">
        <f t="shared" si="28"/>
        <v>43958</v>
      </c>
      <c r="R935" s="95">
        <f t="shared" si="29"/>
        <v>37364.300000000003</v>
      </c>
    </row>
    <row r="936" spans="1:23" ht="34.049999999999997" customHeight="1" x14ac:dyDescent="0.3">
      <c r="A936" s="90">
        <v>925</v>
      </c>
      <c r="B936" s="91" t="s">
        <v>3109</v>
      </c>
      <c r="C936" s="91" t="s">
        <v>3178</v>
      </c>
      <c r="D936" s="91" t="s">
        <v>3179</v>
      </c>
      <c r="E936" s="91">
        <v>1985</v>
      </c>
      <c r="F936" s="91" t="s">
        <v>19</v>
      </c>
      <c r="G936" s="91" t="s">
        <v>3255</v>
      </c>
      <c r="H936" s="91" t="s">
        <v>3255</v>
      </c>
      <c r="I936" s="91" t="s">
        <v>3318</v>
      </c>
      <c r="J936" s="91">
        <v>6199</v>
      </c>
      <c r="K936" s="91">
        <v>0</v>
      </c>
      <c r="L936" s="91">
        <v>18406</v>
      </c>
      <c r="M936" s="91">
        <v>0</v>
      </c>
      <c r="N936" s="91">
        <v>0</v>
      </c>
      <c r="O936" s="91">
        <v>0</v>
      </c>
      <c r="P936" s="91">
        <v>0</v>
      </c>
      <c r="Q936" s="101">
        <f t="shared" si="28"/>
        <v>24605</v>
      </c>
      <c r="R936" s="95">
        <f t="shared" si="29"/>
        <v>20914.25</v>
      </c>
    </row>
    <row r="937" spans="1:23" ht="34.049999999999997" customHeight="1" x14ac:dyDescent="0.3">
      <c r="A937" s="96">
        <v>926</v>
      </c>
      <c r="B937" s="91" t="s">
        <v>3109</v>
      </c>
      <c r="C937" s="91" t="s">
        <v>3180</v>
      </c>
      <c r="D937" s="91" t="s">
        <v>3181</v>
      </c>
      <c r="E937" s="91">
        <v>1974</v>
      </c>
      <c r="F937" s="91" t="s">
        <v>19</v>
      </c>
      <c r="G937" s="91" t="s">
        <v>3256</v>
      </c>
      <c r="H937" s="91" t="s">
        <v>3295</v>
      </c>
      <c r="I937" s="91" t="s">
        <v>34</v>
      </c>
      <c r="J937" s="91">
        <v>6199</v>
      </c>
      <c r="K937" s="91">
        <v>0</v>
      </c>
      <c r="L937" s="91">
        <v>0</v>
      </c>
      <c r="M937" s="91">
        <v>0</v>
      </c>
      <c r="N937" s="91">
        <f>15443+20859</f>
        <v>36302</v>
      </c>
      <c r="O937" s="91">
        <v>0</v>
      </c>
      <c r="P937" s="91">
        <v>0</v>
      </c>
      <c r="Q937" s="101">
        <f t="shared" si="28"/>
        <v>42501</v>
      </c>
      <c r="R937" s="95">
        <f t="shared" si="29"/>
        <v>36125.85</v>
      </c>
    </row>
    <row r="938" spans="1:23" ht="34.049999999999997" customHeight="1" x14ac:dyDescent="0.3">
      <c r="A938" s="90">
        <v>927</v>
      </c>
      <c r="B938" s="91" t="s">
        <v>3109</v>
      </c>
      <c r="C938" s="91" t="s">
        <v>3182</v>
      </c>
      <c r="D938" s="91" t="s">
        <v>3183</v>
      </c>
      <c r="E938" s="91">
        <v>1980</v>
      </c>
      <c r="F938" s="91" t="s">
        <v>18</v>
      </c>
      <c r="G938" s="91" t="s">
        <v>3257</v>
      </c>
      <c r="H938" s="91" t="s">
        <v>3257</v>
      </c>
      <c r="I938" s="91" t="s">
        <v>1277</v>
      </c>
      <c r="J938" s="91">
        <v>6199</v>
      </c>
      <c r="K938" s="91">
        <f>2801+1166+13452</f>
        <v>17419</v>
      </c>
      <c r="L938" s="91">
        <v>17620</v>
      </c>
      <c r="M938" s="91">
        <v>0</v>
      </c>
      <c r="N938" s="91">
        <v>1793</v>
      </c>
      <c r="O938" s="91">
        <v>0</v>
      </c>
      <c r="P938" s="91">
        <v>0</v>
      </c>
      <c r="Q938" s="101">
        <f t="shared" si="28"/>
        <v>43031</v>
      </c>
      <c r="R938" s="95">
        <f t="shared" si="29"/>
        <v>36576.35</v>
      </c>
    </row>
    <row r="939" spans="1:23" ht="34.049999999999997" customHeight="1" x14ac:dyDescent="0.3">
      <c r="A939" s="90">
        <v>928</v>
      </c>
      <c r="B939" s="98" t="s">
        <v>3109</v>
      </c>
      <c r="C939" s="98" t="s">
        <v>3184</v>
      </c>
      <c r="D939" s="98" t="s">
        <v>3185</v>
      </c>
      <c r="E939" s="98">
        <v>1983</v>
      </c>
      <c r="F939" s="98" t="s">
        <v>18</v>
      </c>
      <c r="G939" s="98" t="s">
        <v>3258</v>
      </c>
      <c r="H939" s="98" t="s">
        <v>3258</v>
      </c>
      <c r="I939" s="98" t="s">
        <v>565</v>
      </c>
      <c r="J939" s="98">
        <v>6199</v>
      </c>
      <c r="K939" s="98">
        <v>0</v>
      </c>
      <c r="L939" s="98">
        <v>0</v>
      </c>
      <c r="M939" s="98">
        <v>0</v>
      </c>
      <c r="N939" s="98">
        <v>0</v>
      </c>
      <c r="O939" s="98">
        <v>0</v>
      </c>
      <c r="P939" s="98">
        <v>0</v>
      </c>
      <c r="Q939" s="101">
        <f t="shared" si="28"/>
        <v>6199</v>
      </c>
      <c r="R939" s="95">
        <f t="shared" si="29"/>
        <v>5269.15</v>
      </c>
      <c r="S939" s="41"/>
      <c r="T939" s="41"/>
      <c r="U939" s="41"/>
      <c r="V939" s="41"/>
      <c r="W939" s="41"/>
    </row>
    <row r="940" spans="1:23" ht="34.049999999999997" customHeight="1" x14ac:dyDescent="0.3">
      <c r="A940" s="96">
        <v>929</v>
      </c>
      <c r="B940" s="91" t="s">
        <v>3109</v>
      </c>
      <c r="C940" s="91" t="s">
        <v>3186</v>
      </c>
      <c r="D940" s="91" t="s">
        <v>3187</v>
      </c>
      <c r="E940" s="91">
        <v>1992</v>
      </c>
      <c r="F940" s="91" t="s">
        <v>19</v>
      </c>
      <c r="G940" s="91" t="s">
        <v>3259</v>
      </c>
      <c r="H940" s="91" t="s">
        <v>3259</v>
      </c>
      <c r="I940" s="91" t="s">
        <v>3319</v>
      </c>
      <c r="J940" s="91">
        <v>6199</v>
      </c>
      <c r="K940" s="91">
        <f>6278+4484+2332+2332+2332+2243+3000+3000+3228+6995+3500+3500</f>
        <v>43224</v>
      </c>
      <c r="L940" s="91">
        <v>18406</v>
      </c>
      <c r="M940" s="91">
        <v>0</v>
      </c>
      <c r="N940" s="91">
        <v>1793</v>
      </c>
      <c r="O940" s="91">
        <v>0</v>
      </c>
      <c r="P940" s="91">
        <v>0</v>
      </c>
      <c r="Q940" s="101">
        <f t="shared" si="28"/>
        <v>69622</v>
      </c>
      <c r="R940" s="95">
        <f t="shared" si="29"/>
        <v>59178.7</v>
      </c>
    </row>
    <row r="941" spans="1:23" ht="34.049999999999997" customHeight="1" x14ac:dyDescent="0.3">
      <c r="A941" s="90">
        <v>930</v>
      </c>
      <c r="B941" s="91" t="s">
        <v>3109</v>
      </c>
      <c r="C941" s="91" t="s">
        <v>3188</v>
      </c>
      <c r="D941" s="91" t="s">
        <v>3189</v>
      </c>
      <c r="E941" s="91">
        <v>2021</v>
      </c>
      <c r="F941" s="91" t="s">
        <v>18</v>
      </c>
      <c r="G941" s="91" t="s">
        <v>3260</v>
      </c>
      <c r="H941" s="91" t="s">
        <v>2379</v>
      </c>
      <c r="I941" s="91" t="s">
        <v>544</v>
      </c>
      <c r="J941" s="91">
        <v>6199</v>
      </c>
      <c r="K941" s="91">
        <f>6278+4484+1346+4484+2332+2332+2332+2332+2332</f>
        <v>28252</v>
      </c>
      <c r="L941" s="91">
        <v>0</v>
      </c>
      <c r="M941" s="91">
        <v>0</v>
      </c>
      <c r="N941" s="91">
        <v>3148</v>
      </c>
      <c r="O941" s="91">
        <v>0</v>
      </c>
      <c r="P941" s="91">
        <v>0</v>
      </c>
      <c r="Q941" s="101">
        <f t="shared" si="28"/>
        <v>37599</v>
      </c>
      <c r="R941" s="95">
        <f t="shared" si="29"/>
        <v>31959.15</v>
      </c>
    </row>
    <row r="942" spans="1:23" ht="34.049999999999997" customHeight="1" x14ac:dyDescent="0.3">
      <c r="A942" s="90">
        <v>931</v>
      </c>
      <c r="B942" s="91" t="s">
        <v>3109</v>
      </c>
      <c r="C942" s="91" t="s">
        <v>3190</v>
      </c>
      <c r="D942" s="91" t="s">
        <v>3191</v>
      </c>
      <c r="E942" s="91">
        <v>1989</v>
      </c>
      <c r="F942" s="91" t="s">
        <v>19</v>
      </c>
      <c r="G942" s="91" t="s">
        <v>3261</v>
      </c>
      <c r="H942" s="91" t="s">
        <v>3296</v>
      </c>
      <c r="I942" s="91" t="s">
        <v>3320</v>
      </c>
      <c r="J942" s="91">
        <v>6199</v>
      </c>
      <c r="K942" s="91">
        <v>0</v>
      </c>
      <c r="L942" s="91">
        <v>0</v>
      </c>
      <c r="M942" s="91">
        <v>0</v>
      </c>
      <c r="N942" s="91">
        <v>0</v>
      </c>
      <c r="O942" s="91">
        <v>0</v>
      </c>
      <c r="P942" s="91">
        <v>0</v>
      </c>
      <c r="Q942" s="101">
        <f t="shared" si="28"/>
        <v>6199</v>
      </c>
      <c r="R942" s="95">
        <f t="shared" si="29"/>
        <v>5269.15</v>
      </c>
    </row>
    <row r="943" spans="1:23" ht="34.049999999999997" customHeight="1" x14ac:dyDescent="0.3">
      <c r="A943" s="96">
        <v>932</v>
      </c>
      <c r="B943" s="91" t="s">
        <v>3109</v>
      </c>
      <c r="C943" s="91" t="s">
        <v>3192</v>
      </c>
      <c r="D943" s="91" t="s">
        <v>3193</v>
      </c>
      <c r="E943" s="91">
        <v>1965</v>
      </c>
      <c r="F943" s="91" t="s">
        <v>18</v>
      </c>
      <c r="G943" s="91" t="s">
        <v>3262</v>
      </c>
      <c r="H943" s="91" t="s">
        <v>3262</v>
      </c>
      <c r="I943" s="91" t="s">
        <v>3321</v>
      </c>
      <c r="J943" s="91">
        <v>6199</v>
      </c>
      <c r="K943" s="91">
        <v>0</v>
      </c>
      <c r="L943" s="91">
        <v>0</v>
      </c>
      <c r="M943" s="91">
        <v>0</v>
      </c>
      <c r="N943" s="91">
        <v>0</v>
      </c>
      <c r="O943" s="91">
        <v>0</v>
      </c>
      <c r="P943" s="91">
        <v>0</v>
      </c>
      <c r="Q943" s="101">
        <f t="shared" si="28"/>
        <v>6199</v>
      </c>
      <c r="R943" s="95">
        <f t="shared" si="29"/>
        <v>5269.15</v>
      </c>
    </row>
    <row r="944" spans="1:23" ht="34.049999999999997" customHeight="1" x14ac:dyDescent="0.3">
      <c r="A944" s="90">
        <v>933</v>
      </c>
      <c r="B944" s="91" t="s">
        <v>3109</v>
      </c>
      <c r="C944" s="91" t="s">
        <v>3194</v>
      </c>
      <c r="D944" s="91" t="s">
        <v>3195</v>
      </c>
      <c r="E944" s="91">
        <v>1991</v>
      </c>
      <c r="F944" s="91" t="s">
        <v>19</v>
      </c>
      <c r="G944" s="91" t="s">
        <v>1872</v>
      </c>
      <c r="H944" s="91" t="s">
        <v>1872</v>
      </c>
      <c r="I944" s="91" t="s">
        <v>1886</v>
      </c>
      <c r="J944" s="91">
        <v>6199</v>
      </c>
      <c r="K944" s="91">
        <v>0</v>
      </c>
      <c r="L944" s="91">
        <v>18406</v>
      </c>
      <c r="M944" s="91">
        <v>0</v>
      </c>
      <c r="N944" s="91">
        <v>0</v>
      </c>
      <c r="O944" s="91">
        <v>0</v>
      </c>
      <c r="P944" s="91">
        <v>0</v>
      </c>
      <c r="Q944" s="101">
        <f t="shared" si="28"/>
        <v>24605</v>
      </c>
      <c r="R944" s="95">
        <f t="shared" si="29"/>
        <v>20914.25</v>
      </c>
    </row>
    <row r="945" spans="1:23" ht="34.049999999999997" customHeight="1" x14ac:dyDescent="0.3">
      <c r="A945" s="90">
        <v>934</v>
      </c>
      <c r="B945" s="91" t="s">
        <v>3109</v>
      </c>
      <c r="C945" s="91" t="s">
        <v>3196</v>
      </c>
      <c r="D945" s="91" t="s">
        <v>3197</v>
      </c>
      <c r="E945" s="91">
        <v>2023</v>
      </c>
      <c r="F945" s="91" t="s">
        <v>19</v>
      </c>
      <c r="G945" s="91" t="s">
        <v>3263</v>
      </c>
      <c r="H945" s="91" t="s">
        <v>3297</v>
      </c>
      <c r="I945" s="91" t="s">
        <v>826</v>
      </c>
      <c r="J945" s="91">
        <v>6199</v>
      </c>
      <c r="K945" s="91">
        <f>6278+4484+1346+4484+2332+2332+2332+2332+2332+2332+6995+6995+2332+6995</f>
        <v>53901</v>
      </c>
      <c r="L945" s="91">
        <v>0</v>
      </c>
      <c r="M945" s="91">
        <v>0</v>
      </c>
      <c r="N945" s="91">
        <v>3148</v>
      </c>
      <c r="O945" s="91">
        <v>0</v>
      </c>
      <c r="P945" s="91">
        <v>0</v>
      </c>
      <c r="Q945" s="101">
        <f t="shared" si="28"/>
        <v>63248</v>
      </c>
      <c r="R945" s="95">
        <f t="shared" si="29"/>
        <v>53760.800000000003</v>
      </c>
    </row>
    <row r="946" spans="1:23" ht="34.049999999999997" customHeight="1" x14ac:dyDescent="0.3">
      <c r="A946" s="96">
        <v>935</v>
      </c>
      <c r="B946" s="91" t="s">
        <v>3109</v>
      </c>
      <c r="C946" s="91" t="s">
        <v>3198</v>
      </c>
      <c r="D946" s="91" t="s">
        <v>3199</v>
      </c>
      <c r="E946" s="91">
        <v>1991</v>
      </c>
      <c r="F946" s="91" t="s">
        <v>19</v>
      </c>
      <c r="G946" s="91" t="s">
        <v>3264</v>
      </c>
      <c r="H946" s="91" t="s">
        <v>3298</v>
      </c>
      <c r="I946" s="91" t="s">
        <v>826</v>
      </c>
      <c r="J946" s="91">
        <v>6199</v>
      </c>
      <c r="K946" s="91">
        <v>0</v>
      </c>
      <c r="L946" s="91">
        <v>0</v>
      </c>
      <c r="M946" s="91">
        <v>0</v>
      </c>
      <c r="N946" s="91">
        <v>0</v>
      </c>
      <c r="O946" s="91">
        <v>0</v>
      </c>
      <c r="P946" s="91">
        <v>0</v>
      </c>
      <c r="Q946" s="101">
        <f t="shared" si="28"/>
        <v>6199</v>
      </c>
      <c r="R946" s="95">
        <f t="shared" si="29"/>
        <v>5269.15</v>
      </c>
    </row>
    <row r="947" spans="1:23" ht="34.049999999999997" customHeight="1" x14ac:dyDescent="0.3">
      <c r="A947" s="90">
        <v>936</v>
      </c>
      <c r="B947" s="98" t="s">
        <v>3109</v>
      </c>
      <c r="C947" s="98" t="s">
        <v>3200</v>
      </c>
      <c r="D947" s="98" t="s">
        <v>3201</v>
      </c>
      <c r="E947" s="98">
        <v>1995</v>
      </c>
      <c r="F947" s="98" t="s">
        <v>18</v>
      </c>
      <c r="G947" s="98" t="s">
        <v>3265</v>
      </c>
      <c r="H947" s="98" t="s">
        <v>3265</v>
      </c>
      <c r="I947" s="98" t="s">
        <v>32</v>
      </c>
      <c r="J947" s="98">
        <v>3582</v>
      </c>
      <c r="K947" s="98">
        <v>0</v>
      </c>
      <c r="L947" s="98">
        <v>0</v>
      </c>
      <c r="M947" s="98">
        <v>0</v>
      </c>
      <c r="N947" s="98">
        <v>0</v>
      </c>
      <c r="O947" s="98">
        <v>0</v>
      </c>
      <c r="P947" s="98">
        <v>0</v>
      </c>
      <c r="Q947" s="101">
        <f t="shared" si="28"/>
        <v>3582</v>
      </c>
      <c r="R947" s="95">
        <f t="shared" si="29"/>
        <v>3044.7</v>
      </c>
      <c r="S947" s="41"/>
      <c r="T947" s="41"/>
      <c r="U947" s="41"/>
      <c r="V947" s="41"/>
      <c r="W947" s="41"/>
    </row>
    <row r="948" spans="1:23" ht="34.049999999999997" customHeight="1" x14ac:dyDescent="0.3">
      <c r="A948" s="90">
        <v>937</v>
      </c>
      <c r="B948" s="91" t="s">
        <v>3109</v>
      </c>
      <c r="C948" s="91" t="s">
        <v>3202</v>
      </c>
      <c r="D948" s="91" t="s">
        <v>1139</v>
      </c>
      <c r="E948" s="91">
        <v>1989</v>
      </c>
      <c r="F948" s="91" t="s">
        <v>19</v>
      </c>
      <c r="G948" s="91" t="s">
        <v>3266</v>
      </c>
      <c r="H948" s="91" t="s">
        <v>817</v>
      </c>
      <c r="I948" s="91" t="s">
        <v>1272</v>
      </c>
      <c r="J948" s="91">
        <v>3793</v>
      </c>
      <c r="K948" s="91">
        <v>0</v>
      </c>
      <c r="L948" s="91">
        <v>0</v>
      </c>
      <c r="M948" s="91">
        <v>0</v>
      </c>
      <c r="N948" s="91">
        <v>0</v>
      </c>
      <c r="O948" s="91">
        <v>0</v>
      </c>
      <c r="P948" s="91">
        <v>0</v>
      </c>
      <c r="Q948" s="102">
        <f t="shared" si="28"/>
        <v>3793</v>
      </c>
      <c r="R948" s="95">
        <f t="shared" si="29"/>
        <v>3224.05</v>
      </c>
    </row>
    <row r="949" spans="1:23" ht="34.049999999999997" customHeight="1" x14ac:dyDescent="0.3">
      <c r="A949" s="96">
        <v>938</v>
      </c>
      <c r="B949" s="91" t="s">
        <v>3109</v>
      </c>
      <c r="C949" s="91" t="s">
        <v>3203</v>
      </c>
      <c r="D949" s="91" t="s">
        <v>3204</v>
      </c>
      <c r="E949" s="91">
        <v>2023</v>
      </c>
      <c r="F949" s="91" t="s">
        <v>19</v>
      </c>
      <c r="G949" s="91" t="s">
        <v>3267</v>
      </c>
      <c r="H949" s="91" t="s">
        <v>3299</v>
      </c>
      <c r="I949" s="91" t="s">
        <v>3322</v>
      </c>
      <c r="J949" s="91">
        <v>6199</v>
      </c>
      <c r="K949" s="91">
        <v>0</v>
      </c>
      <c r="L949" s="91">
        <v>0</v>
      </c>
      <c r="M949" s="91">
        <v>0</v>
      </c>
      <c r="N949" s="91">
        <v>0</v>
      </c>
      <c r="O949" s="91">
        <v>0</v>
      </c>
      <c r="P949" s="91">
        <v>0</v>
      </c>
      <c r="Q949" s="101">
        <f t="shared" si="28"/>
        <v>6199</v>
      </c>
      <c r="R949" s="95">
        <f t="shared" si="29"/>
        <v>5269.15</v>
      </c>
    </row>
    <row r="950" spans="1:23" ht="34.049999999999997" customHeight="1" x14ac:dyDescent="0.3">
      <c r="A950" s="90">
        <v>939</v>
      </c>
      <c r="B950" s="91" t="s">
        <v>3109</v>
      </c>
      <c r="C950" s="91" t="s">
        <v>3205</v>
      </c>
      <c r="D950" s="91" t="s">
        <v>3206</v>
      </c>
      <c r="E950" s="91">
        <v>1989</v>
      </c>
      <c r="F950" s="91" t="s">
        <v>19</v>
      </c>
      <c r="G950" s="91" t="s">
        <v>3268</v>
      </c>
      <c r="H950" s="91" t="s">
        <v>3268</v>
      </c>
      <c r="I950" s="91" t="s">
        <v>3323</v>
      </c>
      <c r="J950" s="91">
        <v>6199</v>
      </c>
      <c r="K950" s="91">
        <v>0</v>
      </c>
      <c r="L950" s="91">
        <v>0</v>
      </c>
      <c r="M950" s="91">
        <v>0</v>
      </c>
      <c r="N950" s="91">
        <v>0</v>
      </c>
      <c r="O950" s="91">
        <v>0</v>
      </c>
      <c r="P950" s="91">
        <v>0</v>
      </c>
      <c r="Q950" s="101">
        <f t="shared" si="28"/>
        <v>6199</v>
      </c>
      <c r="R950" s="95">
        <f t="shared" si="29"/>
        <v>5269.15</v>
      </c>
    </row>
    <row r="951" spans="1:23" ht="34.049999999999997" customHeight="1" x14ac:dyDescent="0.3">
      <c r="A951" s="90">
        <v>940</v>
      </c>
      <c r="B951" s="91" t="s">
        <v>3109</v>
      </c>
      <c r="C951" s="91" t="s">
        <v>3207</v>
      </c>
      <c r="D951" s="91" t="s">
        <v>3208</v>
      </c>
      <c r="E951" s="91">
        <v>1990</v>
      </c>
      <c r="F951" s="91" t="s">
        <v>18</v>
      </c>
      <c r="G951" s="91" t="s">
        <v>3269</v>
      </c>
      <c r="H951" s="91" t="s">
        <v>3269</v>
      </c>
      <c r="I951" s="91" t="s">
        <v>3324</v>
      </c>
      <c r="J951" s="91">
        <v>6199</v>
      </c>
      <c r="K951" s="91">
        <f>2332+2332+2243</f>
        <v>6907</v>
      </c>
      <c r="L951" s="91">
        <v>0</v>
      </c>
      <c r="M951" s="91">
        <v>0</v>
      </c>
      <c r="N951" s="91">
        <v>0</v>
      </c>
      <c r="O951" s="91">
        <v>0</v>
      </c>
      <c r="P951" s="91">
        <v>0</v>
      </c>
      <c r="Q951" s="101">
        <f t="shared" si="28"/>
        <v>13106</v>
      </c>
      <c r="R951" s="95">
        <f t="shared" si="29"/>
        <v>11140.1</v>
      </c>
    </row>
    <row r="952" spans="1:23" ht="34.049999999999997" customHeight="1" x14ac:dyDescent="0.3">
      <c r="A952" s="96">
        <v>941</v>
      </c>
      <c r="B952" s="98" t="s">
        <v>3109</v>
      </c>
      <c r="C952" s="98" t="s">
        <v>3209</v>
      </c>
      <c r="D952" s="98" t="s">
        <v>3181</v>
      </c>
      <c r="E952" s="98">
        <v>1974</v>
      </c>
      <c r="F952" s="98" t="s">
        <v>19</v>
      </c>
      <c r="G952" s="98" t="s">
        <v>3256</v>
      </c>
      <c r="H952" s="98" t="s">
        <v>3295</v>
      </c>
      <c r="I952" s="98" t="s">
        <v>34</v>
      </c>
      <c r="J952" s="98">
        <v>6199</v>
      </c>
      <c r="K952" s="98">
        <v>0</v>
      </c>
      <c r="L952" s="98">
        <v>0</v>
      </c>
      <c r="M952" s="98">
        <v>0</v>
      </c>
      <c r="N952" s="98">
        <v>0</v>
      </c>
      <c r="O952" s="98">
        <v>0</v>
      </c>
      <c r="P952" s="98">
        <v>0</v>
      </c>
      <c r="Q952" s="101">
        <f t="shared" si="28"/>
        <v>6199</v>
      </c>
      <c r="R952" s="95">
        <f t="shared" si="29"/>
        <v>5269.15</v>
      </c>
      <c r="S952" s="41"/>
      <c r="T952" s="41"/>
      <c r="U952" s="41"/>
      <c r="V952" s="41"/>
      <c r="W952" s="41"/>
    </row>
    <row r="953" spans="1:23" ht="34.049999999999997" customHeight="1" x14ac:dyDescent="0.3">
      <c r="A953" s="90">
        <v>942</v>
      </c>
      <c r="B953" s="91" t="s">
        <v>3109</v>
      </c>
      <c r="C953" s="91" t="s">
        <v>3210</v>
      </c>
      <c r="D953" s="91" t="s">
        <v>3211</v>
      </c>
      <c r="E953" s="91">
        <v>1974</v>
      </c>
      <c r="F953" s="91" t="s">
        <v>19</v>
      </c>
      <c r="G953" s="91" t="s">
        <v>3270</v>
      </c>
      <c r="H953" s="91" t="s">
        <v>3300</v>
      </c>
      <c r="I953" s="91" t="s">
        <v>253</v>
      </c>
      <c r="J953" s="91">
        <v>6199</v>
      </c>
      <c r="K953" s="91">
        <f>1166+2801+2332+2332+2243</f>
        <v>10874</v>
      </c>
      <c r="L953" s="91">
        <v>0</v>
      </c>
      <c r="M953" s="91">
        <v>0</v>
      </c>
      <c r="N953" s="91">
        <v>0</v>
      </c>
      <c r="O953" s="91">
        <v>0</v>
      </c>
      <c r="P953" s="91">
        <v>0</v>
      </c>
      <c r="Q953" s="102">
        <f t="shared" si="28"/>
        <v>17073</v>
      </c>
      <c r="R953" s="95">
        <f t="shared" si="29"/>
        <v>14512.05</v>
      </c>
    </row>
    <row r="954" spans="1:23" ht="34.049999999999997" customHeight="1" x14ac:dyDescent="0.3">
      <c r="A954" s="90">
        <v>943</v>
      </c>
      <c r="B954" s="91" t="s">
        <v>3109</v>
      </c>
      <c r="C954" s="91" t="s">
        <v>3212</v>
      </c>
      <c r="D954" s="91" t="s">
        <v>3213</v>
      </c>
      <c r="E954" s="91">
        <v>2021</v>
      </c>
      <c r="F954" s="91" t="s">
        <v>18</v>
      </c>
      <c r="G954" s="91" t="s">
        <v>3271</v>
      </c>
      <c r="H954" s="91" t="s">
        <v>3301</v>
      </c>
      <c r="I954" s="91" t="s">
        <v>27</v>
      </c>
      <c r="J954" s="91">
        <v>6199</v>
      </c>
      <c r="K954" s="91">
        <f>6278+4484+1346</f>
        <v>12108</v>
      </c>
      <c r="L954" s="91">
        <v>0</v>
      </c>
      <c r="M954" s="91">
        <v>0</v>
      </c>
      <c r="N954" s="91">
        <v>3148</v>
      </c>
      <c r="O954" s="91">
        <v>0</v>
      </c>
      <c r="P954" s="91">
        <v>0</v>
      </c>
      <c r="Q954" s="101">
        <f t="shared" si="28"/>
        <v>21455</v>
      </c>
      <c r="R954" s="95">
        <f t="shared" si="29"/>
        <v>18236.75</v>
      </c>
    </row>
    <row r="955" spans="1:23" ht="34.049999999999997" customHeight="1" x14ac:dyDescent="0.3">
      <c r="A955" s="96">
        <v>944</v>
      </c>
      <c r="B955" s="91" t="s">
        <v>3109</v>
      </c>
      <c r="C955" s="91" t="s">
        <v>3214</v>
      </c>
      <c r="D955" s="91" t="s">
        <v>3215</v>
      </c>
      <c r="E955" s="91">
        <v>2021</v>
      </c>
      <c r="F955" s="91" t="s">
        <v>19</v>
      </c>
      <c r="G955" s="91" t="s">
        <v>3272</v>
      </c>
      <c r="H955" s="91" t="s">
        <v>3302</v>
      </c>
      <c r="I955" s="91" t="s">
        <v>3325</v>
      </c>
      <c r="J955" s="91">
        <v>6199</v>
      </c>
      <c r="K955" s="91">
        <f>6278+4484+1346+4484+2332+2332+2332+2332+2332</f>
        <v>28252</v>
      </c>
      <c r="L955" s="91">
        <v>0</v>
      </c>
      <c r="M955" s="91">
        <v>0</v>
      </c>
      <c r="N955" s="91">
        <v>3148</v>
      </c>
      <c r="O955" s="91">
        <v>0</v>
      </c>
      <c r="P955" s="91">
        <v>0</v>
      </c>
      <c r="Q955" s="101">
        <f t="shared" si="28"/>
        <v>37599</v>
      </c>
      <c r="R955" s="95">
        <f t="shared" si="29"/>
        <v>31959.15</v>
      </c>
    </row>
    <row r="956" spans="1:23" ht="34.049999999999997" customHeight="1" x14ac:dyDescent="0.3">
      <c r="A956" s="90">
        <v>945</v>
      </c>
      <c r="B956" s="91" t="s">
        <v>3109</v>
      </c>
      <c r="C956" s="91" t="s">
        <v>3216</v>
      </c>
      <c r="D956" s="91" t="s">
        <v>3217</v>
      </c>
      <c r="E956" s="91">
        <v>1986</v>
      </c>
      <c r="F956" s="91" t="s">
        <v>18</v>
      </c>
      <c r="G956" s="91" t="s">
        <v>3273</v>
      </c>
      <c r="H956" s="91" t="s">
        <v>3303</v>
      </c>
      <c r="I956" s="91" t="s">
        <v>3326</v>
      </c>
      <c r="J956" s="91">
        <v>6199</v>
      </c>
      <c r="K956" s="91">
        <v>0</v>
      </c>
      <c r="L956" s="91">
        <v>13298</v>
      </c>
      <c r="M956" s="91">
        <v>0</v>
      </c>
      <c r="N956" s="91">
        <v>0</v>
      </c>
      <c r="O956" s="91">
        <v>0</v>
      </c>
      <c r="P956" s="91">
        <v>0</v>
      </c>
      <c r="Q956" s="101">
        <f t="shared" si="28"/>
        <v>19497</v>
      </c>
      <c r="R956" s="95">
        <f t="shared" si="29"/>
        <v>16572.45</v>
      </c>
    </row>
    <row r="957" spans="1:23" ht="34.049999999999997" customHeight="1" x14ac:dyDescent="0.3">
      <c r="A957" s="90">
        <v>946</v>
      </c>
      <c r="B957" s="91" t="s">
        <v>3109</v>
      </c>
      <c r="C957" s="91" t="s">
        <v>3218</v>
      </c>
      <c r="D957" s="91" t="s">
        <v>3219</v>
      </c>
      <c r="E957" s="91">
        <v>2019</v>
      </c>
      <c r="F957" s="91" t="s">
        <v>18</v>
      </c>
      <c r="G957" s="91" t="s">
        <v>3274</v>
      </c>
      <c r="H957" s="91" t="s">
        <v>3304</v>
      </c>
      <c r="I957" s="91" t="s">
        <v>1257</v>
      </c>
      <c r="J957" s="91">
        <v>6199</v>
      </c>
      <c r="K957" s="91">
        <f>6278+4484+1346+4484+2332+1166+2332+2332+2332+2332+2332+6995+6995+2332+6995+3000+3000</f>
        <v>61067</v>
      </c>
      <c r="L957" s="91">
        <v>0</v>
      </c>
      <c r="M957" s="91">
        <v>0</v>
      </c>
      <c r="N957" s="91">
        <v>3148</v>
      </c>
      <c r="O957" s="91">
        <v>0</v>
      </c>
      <c r="P957" s="91">
        <v>0</v>
      </c>
      <c r="Q957" s="101">
        <f t="shared" si="28"/>
        <v>70414</v>
      </c>
      <c r="R957" s="95">
        <f t="shared" si="29"/>
        <v>59851.9</v>
      </c>
    </row>
    <row r="958" spans="1:23" ht="34.049999999999997" customHeight="1" x14ac:dyDescent="0.3">
      <c r="A958" s="96">
        <v>947</v>
      </c>
      <c r="B958" s="91" t="s">
        <v>3109</v>
      </c>
      <c r="C958" s="91" t="s">
        <v>3220</v>
      </c>
      <c r="D958" s="91" t="s">
        <v>3221</v>
      </c>
      <c r="E958" s="91">
        <v>1983</v>
      </c>
      <c r="F958" s="91" t="s">
        <v>18</v>
      </c>
      <c r="G958" s="91" t="s">
        <v>3275</v>
      </c>
      <c r="H958" s="91" t="s">
        <v>3275</v>
      </c>
      <c r="I958" s="91" t="s">
        <v>3327</v>
      </c>
      <c r="J958" s="91">
        <v>6199</v>
      </c>
      <c r="K958" s="91">
        <v>1166</v>
      </c>
      <c r="L958" s="91">
        <v>0</v>
      </c>
      <c r="M958" s="91">
        <v>0</v>
      </c>
      <c r="N958" s="91">
        <v>0</v>
      </c>
      <c r="O958" s="91">
        <v>0</v>
      </c>
      <c r="P958" s="91">
        <v>0</v>
      </c>
      <c r="Q958" s="101">
        <f t="shared" si="28"/>
        <v>7365</v>
      </c>
      <c r="R958" s="95">
        <f t="shared" si="29"/>
        <v>6260.25</v>
      </c>
    </row>
    <row r="959" spans="1:23" ht="34.049999999999997" customHeight="1" x14ac:dyDescent="0.3">
      <c r="A959" s="90">
        <v>948</v>
      </c>
      <c r="B959" s="91" t="s">
        <v>3109</v>
      </c>
      <c r="C959" s="91" t="s">
        <v>3222</v>
      </c>
      <c r="D959" s="91" t="s">
        <v>3223</v>
      </c>
      <c r="E959" s="91">
        <v>1981</v>
      </c>
      <c r="F959" s="91" t="s">
        <v>18</v>
      </c>
      <c r="G959" s="91" t="s">
        <v>3276</v>
      </c>
      <c r="H959" s="91" t="s">
        <v>3276</v>
      </c>
      <c r="I959" s="91" t="s">
        <v>3095</v>
      </c>
      <c r="J959" s="91">
        <v>6199</v>
      </c>
      <c r="K959" s="91">
        <v>0</v>
      </c>
      <c r="L959" s="91">
        <v>0</v>
      </c>
      <c r="M959" s="91">
        <v>0</v>
      </c>
      <c r="N959" s="91">
        <v>0</v>
      </c>
      <c r="O959" s="91">
        <v>0</v>
      </c>
      <c r="P959" s="91">
        <v>0</v>
      </c>
      <c r="Q959" s="101">
        <f t="shared" si="28"/>
        <v>6199</v>
      </c>
      <c r="R959" s="95">
        <f t="shared" si="29"/>
        <v>5269.15</v>
      </c>
    </row>
    <row r="960" spans="1:23" ht="34.049999999999997" customHeight="1" x14ac:dyDescent="0.3">
      <c r="A960" s="90">
        <v>949</v>
      </c>
      <c r="B960" s="91" t="s">
        <v>3109</v>
      </c>
      <c r="C960" s="91" t="s">
        <v>3224</v>
      </c>
      <c r="D960" s="91" t="s">
        <v>3225</v>
      </c>
      <c r="E960" s="91">
        <v>2020</v>
      </c>
      <c r="F960" s="91" t="s">
        <v>18</v>
      </c>
      <c r="G960" s="91" t="s">
        <v>3277</v>
      </c>
      <c r="H960" s="91" t="s">
        <v>3305</v>
      </c>
      <c r="I960" s="91" t="s">
        <v>2446</v>
      </c>
      <c r="J960" s="91">
        <v>6199</v>
      </c>
      <c r="K960" s="91">
        <v>0</v>
      </c>
      <c r="L960" s="91">
        <v>0</v>
      </c>
      <c r="M960" s="91">
        <v>0</v>
      </c>
      <c r="N960" s="91">
        <v>0</v>
      </c>
      <c r="O960" s="91">
        <v>0</v>
      </c>
      <c r="P960" s="91">
        <v>0</v>
      </c>
      <c r="Q960" s="101">
        <f t="shared" si="28"/>
        <v>6199</v>
      </c>
      <c r="R960" s="95">
        <f t="shared" si="29"/>
        <v>5269.15</v>
      </c>
    </row>
    <row r="961" spans="1:23" ht="34.049999999999997" customHeight="1" x14ac:dyDescent="0.3">
      <c r="A961" s="96">
        <v>950</v>
      </c>
      <c r="B961" s="91" t="s">
        <v>3109</v>
      </c>
      <c r="C961" s="91" t="s">
        <v>7256</v>
      </c>
      <c r="D961" s="93" t="s">
        <v>135</v>
      </c>
      <c r="E961" s="91">
        <v>2025</v>
      </c>
      <c r="F961" s="91" t="s">
        <v>19</v>
      </c>
      <c r="G961" s="91" t="s">
        <v>196</v>
      </c>
      <c r="H961" s="91" t="s">
        <v>239</v>
      </c>
      <c r="I961" s="91" t="s">
        <v>290</v>
      </c>
      <c r="J961" s="91">
        <v>2900</v>
      </c>
      <c r="K961" s="91">
        <v>0</v>
      </c>
      <c r="L961" s="91">
        <v>0</v>
      </c>
      <c r="M961" s="91">
        <v>17688</v>
      </c>
      <c r="N961" s="91">
        <v>2088</v>
      </c>
      <c r="O961" s="91">
        <v>0</v>
      </c>
      <c r="P961" s="91">
        <f>720+112</f>
        <v>832</v>
      </c>
      <c r="Q961" s="101">
        <f t="shared" si="28"/>
        <v>23508</v>
      </c>
      <c r="R961" s="95">
        <f t="shared" si="29"/>
        <v>19981.8</v>
      </c>
    </row>
    <row r="962" spans="1:23" ht="34.049999999999997" customHeight="1" x14ac:dyDescent="0.3">
      <c r="A962" s="90">
        <v>951</v>
      </c>
      <c r="B962" s="91" t="s">
        <v>3109</v>
      </c>
      <c r="C962" s="91" t="s">
        <v>7257</v>
      </c>
      <c r="D962" s="93" t="s">
        <v>2718</v>
      </c>
      <c r="E962" s="91">
        <v>1969</v>
      </c>
      <c r="F962" s="91" t="s">
        <v>19</v>
      </c>
      <c r="G962" s="91" t="s">
        <v>2786</v>
      </c>
      <c r="H962" s="91" t="s">
        <v>2828</v>
      </c>
      <c r="I962" s="91" t="s">
        <v>300</v>
      </c>
      <c r="J962" s="91">
        <v>2900</v>
      </c>
      <c r="K962" s="91">
        <v>0</v>
      </c>
      <c r="L962" s="91">
        <v>0</v>
      </c>
      <c r="M962" s="91">
        <v>17688</v>
      </c>
      <c r="N962" s="91">
        <v>2088</v>
      </c>
      <c r="O962" s="91">
        <v>0</v>
      </c>
      <c r="P962" s="91">
        <f>624+112</f>
        <v>736</v>
      </c>
      <c r="Q962" s="101">
        <f t="shared" si="28"/>
        <v>23412</v>
      </c>
      <c r="R962" s="95">
        <f t="shared" si="29"/>
        <v>19900.2</v>
      </c>
    </row>
    <row r="963" spans="1:23" ht="34.049999999999997" customHeight="1" x14ac:dyDescent="0.3">
      <c r="A963" s="90">
        <v>952</v>
      </c>
      <c r="B963" s="91" t="s">
        <v>3109</v>
      </c>
      <c r="C963" s="91" t="s">
        <v>7258</v>
      </c>
      <c r="D963" s="93" t="s">
        <v>2986</v>
      </c>
      <c r="E963" s="91">
        <v>2009</v>
      </c>
      <c r="F963" s="91" t="s">
        <v>19</v>
      </c>
      <c r="G963" s="91" t="s">
        <v>3045</v>
      </c>
      <c r="H963" s="91" t="s">
        <v>3080</v>
      </c>
      <c r="I963" s="91" t="s">
        <v>3107</v>
      </c>
      <c r="J963" s="91">
        <v>2900</v>
      </c>
      <c r="K963" s="91">
        <v>0</v>
      </c>
      <c r="L963" s="91">
        <v>0</v>
      </c>
      <c r="M963" s="91">
        <v>0</v>
      </c>
      <c r="N963" s="91">
        <v>1178</v>
      </c>
      <c r="O963" s="91">
        <v>0</v>
      </c>
      <c r="P963" s="91">
        <f>660+144+720</f>
        <v>1524</v>
      </c>
      <c r="Q963" s="101">
        <f t="shared" si="28"/>
        <v>5602</v>
      </c>
      <c r="R963" s="95">
        <f t="shared" si="29"/>
        <v>4761.7</v>
      </c>
    </row>
    <row r="964" spans="1:23" ht="34.049999999999997" customHeight="1" x14ac:dyDescent="0.3">
      <c r="A964" s="96">
        <v>953</v>
      </c>
      <c r="B964" s="91" t="s">
        <v>3109</v>
      </c>
      <c r="C964" s="91" t="s">
        <v>7259</v>
      </c>
      <c r="D964" s="93" t="s">
        <v>2021</v>
      </c>
      <c r="E964" s="91">
        <v>2025</v>
      </c>
      <c r="F964" s="91" t="s">
        <v>19</v>
      </c>
      <c r="G964" s="91" t="s">
        <v>2080</v>
      </c>
      <c r="H964" s="91" t="s">
        <v>2114</v>
      </c>
      <c r="I964" s="91" t="s">
        <v>3941</v>
      </c>
      <c r="J964" s="91">
        <v>2900</v>
      </c>
      <c r="K964" s="91">
        <v>0</v>
      </c>
      <c r="L964" s="91">
        <v>0</v>
      </c>
      <c r="M964" s="91">
        <v>0</v>
      </c>
      <c r="N964" s="91">
        <v>2088</v>
      </c>
      <c r="O964" s="91">
        <v>0</v>
      </c>
      <c r="P964" s="91">
        <f>360+56</f>
        <v>416</v>
      </c>
      <c r="Q964" s="101">
        <f t="shared" si="28"/>
        <v>5404</v>
      </c>
      <c r="R964" s="95">
        <f t="shared" si="29"/>
        <v>4593.3999999999996</v>
      </c>
    </row>
    <row r="965" spans="1:23" ht="34.049999999999997" customHeight="1" x14ac:dyDescent="0.3">
      <c r="A965" s="90">
        <v>954</v>
      </c>
      <c r="B965" s="91" t="s">
        <v>3328</v>
      </c>
      <c r="C965" s="91" t="s">
        <v>3329</v>
      </c>
      <c r="D965" s="91" t="s">
        <v>3330</v>
      </c>
      <c r="E965" s="91">
        <v>2021</v>
      </c>
      <c r="F965" s="91" t="s">
        <v>19</v>
      </c>
      <c r="G965" s="91" t="s">
        <v>3421</v>
      </c>
      <c r="H965" s="91" t="s">
        <v>2841</v>
      </c>
      <c r="I965" s="91" t="s">
        <v>1473</v>
      </c>
      <c r="J965" s="91">
        <v>6199</v>
      </c>
      <c r="K965" s="91">
        <f>6278+4484+1346+4484+2332+2332+2332+2332+2332+2332+6995+6995+2332+6995+2332+2332</f>
        <v>58565</v>
      </c>
      <c r="L965" s="91">
        <v>0</v>
      </c>
      <c r="M965" s="91">
        <v>0</v>
      </c>
      <c r="N965" s="91">
        <v>3148</v>
      </c>
      <c r="O965" s="91">
        <v>0</v>
      </c>
      <c r="P965" s="91">
        <v>0</v>
      </c>
      <c r="Q965" s="97">
        <f t="shared" si="28"/>
        <v>67912</v>
      </c>
      <c r="R965" s="95">
        <f t="shared" si="29"/>
        <v>57725.2</v>
      </c>
    </row>
    <row r="966" spans="1:23" ht="34.049999999999997" customHeight="1" x14ac:dyDescent="0.3">
      <c r="A966" s="90">
        <v>955</v>
      </c>
      <c r="B966" s="91" t="s">
        <v>3328</v>
      </c>
      <c r="C966" s="91" t="s">
        <v>3331</v>
      </c>
      <c r="D966" s="91" t="s">
        <v>3332</v>
      </c>
      <c r="E966" s="91">
        <v>1988</v>
      </c>
      <c r="F966" s="91" t="s">
        <v>18</v>
      </c>
      <c r="G966" s="91" t="s">
        <v>3422</v>
      </c>
      <c r="H966" s="91" t="s">
        <v>3422</v>
      </c>
      <c r="I966" s="91" t="s">
        <v>1279</v>
      </c>
      <c r="J966" s="91">
        <v>6199</v>
      </c>
      <c r="K966" s="91">
        <f>2332+2332+1166</f>
        <v>5830</v>
      </c>
      <c r="L966" s="91">
        <v>20807</v>
      </c>
      <c r="M966" s="91">
        <v>0</v>
      </c>
      <c r="N966" s="91">
        <v>0</v>
      </c>
      <c r="O966" s="91">
        <v>0</v>
      </c>
      <c r="P966" s="91">
        <v>0</v>
      </c>
      <c r="Q966" s="97">
        <f t="shared" si="28"/>
        <v>32836</v>
      </c>
      <c r="R966" s="95">
        <f t="shared" si="29"/>
        <v>27910.6</v>
      </c>
    </row>
    <row r="967" spans="1:23" ht="34.049999999999997" customHeight="1" x14ac:dyDescent="0.3">
      <c r="A967" s="96">
        <v>956</v>
      </c>
      <c r="B967" s="91" t="s">
        <v>3328</v>
      </c>
      <c r="C967" s="91" t="s">
        <v>3333</v>
      </c>
      <c r="D967" s="91" t="s">
        <v>3334</v>
      </c>
      <c r="E967" s="91">
        <v>1992</v>
      </c>
      <c r="F967" s="91" t="s">
        <v>18</v>
      </c>
      <c r="G967" s="91" t="s">
        <v>3423</v>
      </c>
      <c r="H967" s="91" t="s">
        <v>3423</v>
      </c>
      <c r="I967" s="91" t="s">
        <v>2457</v>
      </c>
      <c r="J967" s="91">
        <v>6199</v>
      </c>
      <c r="K967" s="91">
        <v>0</v>
      </c>
      <c r="L967" s="91">
        <v>0</v>
      </c>
      <c r="M967" s="91">
        <v>0</v>
      </c>
      <c r="N967" s="91">
        <f>30886+34016+27380</f>
        <v>92282</v>
      </c>
      <c r="O967" s="91">
        <v>0</v>
      </c>
      <c r="P967" s="91">
        <v>0</v>
      </c>
      <c r="Q967" s="97">
        <f t="shared" si="28"/>
        <v>98481</v>
      </c>
      <c r="R967" s="95">
        <f t="shared" si="29"/>
        <v>83708.850000000006</v>
      </c>
    </row>
    <row r="968" spans="1:23" ht="34.049999999999997" customHeight="1" x14ac:dyDescent="0.3">
      <c r="A968" s="90">
        <v>957</v>
      </c>
      <c r="B968" s="91" t="s">
        <v>3328</v>
      </c>
      <c r="C968" s="91" t="s">
        <v>3335</v>
      </c>
      <c r="D968" s="91" t="s">
        <v>74</v>
      </c>
      <c r="E968" s="91">
        <v>1993</v>
      </c>
      <c r="F968" s="91" t="s">
        <v>18</v>
      </c>
      <c r="G968" s="91" t="s">
        <v>166</v>
      </c>
      <c r="H968" s="91" t="s">
        <v>222</v>
      </c>
      <c r="I968" s="91" t="s">
        <v>265</v>
      </c>
      <c r="J968" s="91">
        <v>6199</v>
      </c>
      <c r="K968" s="91">
        <v>0</v>
      </c>
      <c r="L968" s="91">
        <v>0</v>
      </c>
      <c r="M968" s="91">
        <v>0</v>
      </c>
      <c r="N968" s="91">
        <f>34016+27380</f>
        <v>61396</v>
      </c>
      <c r="O968" s="91">
        <v>0</v>
      </c>
      <c r="P968" s="91">
        <v>0</v>
      </c>
      <c r="Q968" s="97">
        <f t="shared" si="28"/>
        <v>67595</v>
      </c>
      <c r="R968" s="95">
        <f t="shared" si="29"/>
        <v>57455.75</v>
      </c>
    </row>
    <row r="969" spans="1:23" ht="34.049999999999997" customHeight="1" x14ac:dyDescent="0.3">
      <c r="A969" s="90">
        <v>958</v>
      </c>
      <c r="B969" s="91" t="s">
        <v>3328</v>
      </c>
      <c r="C969" s="91" t="s">
        <v>3336</v>
      </c>
      <c r="D969" s="91" t="s">
        <v>62</v>
      </c>
      <c r="E969" s="91">
        <v>1988</v>
      </c>
      <c r="F969" s="91" t="s">
        <v>18</v>
      </c>
      <c r="G969" s="91" t="s">
        <v>160</v>
      </c>
      <c r="H969" s="91" t="s">
        <v>160</v>
      </c>
      <c r="I969" s="91" t="s">
        <v>259</v>
      </c>
      <c r="J969" s="91">
        <v>6199</v>
      </c>
      <c r="K969" s="91">
        <v>0</v>
      </c>
      <c r="L969" s="91">
        <v>0</v>
      </c>
      <c r="M969" s="91">
        <v>0</v>
      </c>
      <c r="N969" s="91">
        <v>15443</v>
      </c>
      <c r="O969" s="91">
        <v>0</v>
      </c>
      <c r="P969" s="91">
        <v>0</v>
      </c>
      <c r="Q969" s="97">
        <f t="shared" si="28"/>
        <v>21642</v>
      </c>
      <c r="R969" s="95">
        <f t="shared" si="29"/>
        <v>18395.7</v>
      </c>
    </row>
    <row r="970" spans="1:23" ht="34.049999999999997" customHeight="1" x14ac:dyDescent="0.3">
      <c r="A970" s="96">
        <v>959</v>
      </c>
      <c r="B970" s="91" t="s">
        <v>3328</v>
      </c>
      <c r="C970" s="91" t="s">
        <v>3337</v>
      </c>
      <c r="D970" s="91" t="s">
        <v>3338</v>
      </c>
      <c r="E970" s="91">
        <v>1991</v>
      </c>
      <c r="F970" s="91" t="s">
        <v>19</v>
      </c>
      <c r="G970" s="91" t="s">
        <v>3424</v>
      </c>
      <c r="H970" s="91" t="s">
        <v>3424</v>
      </c>
      <c r="I970" s="91" t="s">
        <v>2130</v>
      </c>
      <c r="J970" s="91">
        <v>6199</v>
      </c>
      <c r="K970" s="91">
        <f>6278+4484+1346+2332+2332+2332+2332+2332</f>
        <v>23768</v>
      </c>
      <c r="L970" s="91">
        <v>0</v>
      </c>
      <c r="M970" s="91">
        <v>0</v>
      </c>
      <c r="N970" s="91">
        <v>3179</v>
      </c>
      <c r="O970" s="91">
        <v>0</v>
      </c>
      <c r="P970" s="91">
        <f>1200+660</f>
        <v>1860</v>
      </c>
      <c r="Q970" s="97">
        <f t="shared" si="28"/>
        <v>35006</v>
      </c>
      <c r="R970" s="95">
        <f t="shared" si="29"/>
        <v>29755.1</v>
      </c>
    </row>
    <row r="971" spans="1:23" ht="34.049999999999997" customHeight="1" x14ac:dyDescent="0.3">
      <c r="A971" s="90">
        <v>960</v>
      </c>
      <c r="B971" s="98" t="s">
        <v>3328</v>
      </c>
      <c r="C971" s="98" t="s">
        <v>3339</v>
      </c>
      <c r="D971" s="98" t="s">
        <v>3340</v>
      </c>
      <c r="E971" s="98">
        <v>1990</v>
      </c>
      <c r="F971" s="98" t="s">
        <v>18</v>
      </c>
      <c r="G971" s="98" t="s">
        <v>3425</v>
      </c>
      <c r="H971" s="98" t="s">
        <v>3464</v>
      </c>
      <c r="I971" s="98" t="s">
        <v>2127</v>
      </c>
      <c r="J971" s="98">
        <v>6199</v>
      </c>
      <c r="K971" s="98">
        <f>2332+4484+2332+6995+6278+4484+2332+1346+2332+2332+2332+2332+4484+4484+2332+4484+6995+6995+3228</f>
        <v>72913</v>
      </c>
      <c r="L971" s="98">
        <v>17279</v>
      </c>
      <c r="M971" s="98">
        <v>0</v>
      </c>
      <c r="N971" s="98">
        <v>1793</v>
      </c>
      <c r="O971" s="98">
        <v>0</v>
      </c>
      <c r="P971" s="98">
        <v>0</v>
      </c>
      <c r="Q971" s="97">
        <f t="shared" si="28"/>
        <v>98184</v>
      </c>
      <c r="R971" s="95">
        <f t="shared" si="29"/>
        <v>83456.399999999994</v>
      </c>
      <c r="S971" s="41"/>
      <c r="T971" s="41"/>
      <c r="U971" s="41"/>
      <c r="V971" s="41"/>
      <c r="W971" s="41"/>
    </row>
    <row r="972" spans="1:23" ht="34.049999999999997" customHeight="1" x14ac:dyDescent="0.3">
      <c r="A972" s="90">
        <v>961</v>
      </c>
      <c r="B972" s="91" t="s">
        <v>3328</v>
      </c>
      <c r="C972" s="91" t="s">
        <v>3341</v>
      </c>
      <c r="D972" s="91" t="s">
        <v>3342</v>
      </c>
      <c r="E972" s="91">
        <v>2020</v>
      </c>
      <c r="F972" s="91" t="s">
        <v>19</v>
      </c>
      <c r="G972" s="91" t="s">
        <v>3426</v>
      </c>
      <c r="H972" s="91" t="s">
        <v>3465</v>
      </c>
      <c r="I972" s="91" t="s">
        <v>32</v>
      </c>
      <c r="J972" s="91">
        <v>6199</v>
      </c>
      <c r="K972" s="91">
        <v>0</v>
      </c>
      <c r="L972" s="91">
        <v>0</v>
      </c>
      <c r="M972" s="91">
        <v>0</v>
      </c>
      <c r="N972" s="91">
        <v>0</v>
      </c>
      <c r="O972" s="91">
        <v>0</v>
      </c>
      <c r="P972" s="91">
        <v>0</v>
      </c>
      <c r="Q972" s="97">
        <f t="shared" ref="Q972:Q1035" si="30">SUM(J972:P972)</f>
        <v>6199</v>
      </c>
      <c r="R972" s="95">
        <f t="shared" si="29"/>
        <v>5269.15</v>
      </c>
    </row>
    <row r="973" spans="1:23" ht="34.049999999999997" customHeight="1" x14ac:dyDescent="0.3">
      <c r="A973" s="96">
        <v>962</v>
      </c>
      <c r="B973" s="91" t="s">
        <v>3328</v>
      </c>
      <c r="C973" s="91" t="s">
        <v>3343</v>
      </c>
      <c r="D973" s="91" t="s">
        <v>3344</v>
      </c>
      <c r="E973" s="91">
        <v>1981</v>
      </c>
      <c r="F973" s="91" t="s">
        <v>19</v>
      </c>
      <c r="G973" s="91" t="s">
        <v>3427</v>
      </c>
      <c r="H973" s="91" t="s">
        <v>3427</v>
      </c>
      <c r="I973" s="91" t="s">
        <v>300</v>
      </c>
      <c r="J973" s="91">
        <v>6199</v>
      </c>
      <c r="K973" s="91">
        <f>6278+1346+2332+4484+2332+2332+2332+2332+6995+2332+6995</f>
        <v>40090</v>
      </c>
      <c r="L973" s="91">
        <v>0</v>
      </c>
      <c r="M973" s="91">
        <v>0</v>
      </c>
      <c r="N973" s="91">
        <f>24937+1793+1681</f>
        <v>28411</v>
      </c>
      <c r="O973" s="91">
        <v>0</v>
      </c>
      <c r="P973" s="91">
        <v>60</v>
      </c>
      <c r="Q973" s="94">
        <f t="shared" si="30"/>
        <v>74760</v>
      </c>
      <c r="R973" s="95">
        <f t="shared" ref="R973:R1036" si="31">Q973*85/100</f>
        <v>63546</v>
      </c>
    </row>
    <row r="974" spans="1:23" ht="34.049999999999997" customHeight="1" x14ac:dyDescent="0.3">
      <c r="A974" s="90">
        <v>963</v>
      </c>
      <c r="B974" s="91" t="s">
        <v>3328</v>
      </c>
      <c r="C974" s="91" t="s">
        <v>3343</v>
      </c>
      <c r="D974" s="91" t="s">
        <v>3344</v>
      </c>
      <c r="E974" s="91">
        <v>1981</v>
      </c>
      <c r="F974" s="91" t="s">
        <v>19</v>
      </c>
      <c r="G974" s="91" t="s">
        <v>3427</v>
      </c>
      <c r="H974" s="91" t="s">
        <v>3427</v>
      </c>
      <c r="I974" s="91" t="s">
        <v>300</v>
      </c>
      <c r="J974" s="91">
        <v>0</v>
      </c>
      <c r="K974" s="91">
        <v>0</v>
      </c>
      <c r="L974" s="91">
        <v>0</v>
      </c>
      <c r="M974" s="91">
        <v>17688</v>
      </c>
      <c r="N974" s="91">
        <f>1178+1681+3179</f>
        <v>6038</v>
      </c>
      <c r="O974" s="91">
        <v>0</v>
      </c>
      <c r="P974" s="91">
        <f>312+56+720+120+374+1200</f>
        <v>2782</v>
      </c>
      <c r="Q974" s="94">
        <f t="shared" si="30"/>
        <v>26508</v>
      </c>
      <c r="R974" s="95">
        <f t="shared" si="31"/>
        <v>22531.8</v>
      </c>
    </row>
    <row r="975" spans="1:23" ht="34.049999999999997" customHeight="1" x14ac:dyDescent="0.3">
      <c r="A975" s="90">
        <v>964</v>
      </c>
      <c r="B975" s="91" t="s">
        <v>3328</v>
      </c>
      <c r="C975" s="91" t="s">
        <v>3345</v>
      </c>
      <c r="D975" s="91" t="s">
        <v>3346</v>
      </c>
      <c r="E975" s="91">
        <v>2019</v>
      </c>
      <c r="F975" s="91" t="s">
        <v>19</v>
      </c>
      <c r="G975" s="91" t="s">
        <v>3428</v>
      </c>
      <c r="H975" s="91" t="s">
        <v>3466</v>
      </c>
      <c r="I975" s="91" t="s">
        <v>3495</v>
      </c>
      <c r="J975" s="91">
        <v>6199</v>
      </c>
      <c r="K975" s="91">
        <f>6278+4484+2332+1346+2332+2332+2332+2332+6995+6995+2332+6995+2332+4484</f>
        <v>53901</v>
      </c>
      <c r="L975" s="91">
        <v>0</v>
      </c>
      <c r="M975" s="91">
        <v>0</v>
      </c>
      <c r="N975" s="91">
        <v>3148</v>
      </c>
      <c r="O975" s="91">
        <v>0</v>
      </c>
      <c r="P975" s="91">
        <v>0</v>
      </c>
      <c r="Q975" s="97">
        <f t="shared" si="30"/>
        <v>63248</v>
      </c>
      <c r="R975" s="95">
        <f t="shared" si="31"/>
        <v>53760.800000000003</v>
      </c>
    </row>
    <row r="976" spans="1:23" ht="34.049999999999997" customHeight="1" x14ac:dyDescent="0.3">
      <c r="A976" s="96">
        <v>965</v>
      </c>
      <c r="B976" s="91" t="s">
        <v>3328</v>
      </c>
      <c r="C976" s="91" t="s">
        <v>3347</v>
      </c>
      <c r="D976" s="91" t="s">
        <v>3348</v>
      </c>
      <c r="E976" s="91">
        <v>2007</v>
      </c>
      <c r="F976" s="91" t="s">
        <v>19</v>
      </c>
      <c r="G976" s="91" t="s">
        <v>3429</v>
      </c>
      <c r="H976" s="91" t="s">
        <v>3467</v>
      </c>
      <c r="I976" s="91" t="s">
        <v>3496</v>
      </c>
      <c r="J976" s="91">
        <v>6199</v>
      </c>
      <c r="K976" s="91">
        <v>0</v>
      </c>
      <c r="L976" s="91">
        <v>0</v>
      </c>
      <c r="M976" s="91">
        <v>0</v>
      </c>
      <c r="N976" s="91">
        <f>15443+20188</f>
        <v>35631</v>
      </c>
      <c r="O976" s="91">
        <v>0</v>
      </c>
      <c r="P976" s="91">
        <v>0</v>
      </c>
      <c r="Q976" s="97">
        <f t="shared" si="30"/>
        <v>41830</v>
      </c>
      <c r="R976" s="95">
        <f t="shared" si="31"/>
        <v>35555.5</v>
      </c>
    </row>
    <row r="977" spans="1:18" ht="34.049999999999997" customHeight="1" x14ac:dyDescent="0.3">
      <c r="A977" s="90">
        <v>966</v>
      </c>
      <c r="B977" s="91" t="s">
        <v>3328</v>
      </c>
      <c r="C977" s="91" t="s">
        <v>3349</v>
      </c>
      <c r="D977" s="91" t="s">
        <v>3350</v>
      </c>
      <c r="E977" s="91">
        <v>2022</v>
      </c>
      <c r="F977" s="91" t="s">
        <v>19</v>
      </c>
      <c r="G977" s="91" t="s">
        <v>3430</v>
      </c>
      <c r="H977" s="91" t="s">
        <v>3468</v>
      </c>
      <c r="I977" s="91" t="s">
        <v>1279</v>
      </c>
      <c r="J977" s="91">
        <v>6199</v>
      </c>
      <c r="K977" s="91">
        <f>6278+4484+1346+4484+2332+1166+2332+2332+2332+2332</f>
        <v>29418</v>
      </c>
      <c r="L977" s="91">
        <v>0</v>
      </c>
      <c r="M977" s="91">
        <v>0</v>
      </c>
      <c r="N977" s="91">
        <v>3148</v>
      </c>
      <c r="O977" s="91">
        <v>0</v>
      </c>
      <c r="P977" s="91">
        <v>0</v>
      </c>
      <c r="Q977" s="97">
        <f t="shared" si="30"/>
        <v>38765</v>
      </c>
      <c r="R977" s="95">
        <f t="shared" si="31"/>
        <v>32950.25</v>
      </c>
    </row>
    <row r="978" spans="1:18" ht="34.049999999999997" customHeight="1" x14ac:dyDescent="0.3">
      <c r="A978" s="90">
        <v>967</v>
      </c>
      <c r="B978" s="91" t="s">
        <v>3328</v>
      </c>
      <c r="C978" s="91" t="s">
        <v>3351</v>
      </c>
      <c r="D978" s="91" t="s">
        <v>3352</v>
      </c>
      <c r="E978" s="91">
        <v>2018</v>
      </c>
      <c r="F978" s="91" t="s">
        <v>19</v>
      </c>
      <c r="G978" s="91" t="s">
        <v>3431</v>
      </c>
      <c r="H978" s="91" t="s">
        <v>3469</v>
      </c>
      <c r="I978" s="91" t="s">
        <v>1484</v>
      </c>
      <c r="J978" s="91">
        <v>6199</v>
      </c>
      <c r="K978" s="91">
        <f>6278+4484+2332+1346+2332+2332+2332+2332+6995+6995+2332+6995+2332+4484</f>
        <v>53901</v>
      </c>
      <c r="L978" s="91">
        <v>0</v>
      </c>
      <c r="M978" s="91">
        <v>0</v>
      </c>
      <c r="N978" s="91">
        <v>3148</v>
      </c>
      <c r="O978" s="91">
        <v>0</v>
      </c>
      <c r="P978" s="91">
        <v>0</v>
      </c>
      <c r="Q978" s="97">
        <f t="shared" si="30"/>
        <v>63248</v>
      </c>
      <c r="R978" s="95">
        <f t="shared" si="31"/>
        <v>53760.800000000003</v>
      </c>
    </row>
    <row r="979" spans="1:18" ht="34.049999999999997" customHeight="1" x14ac:dyDescent="0.3">
      <c r="A979" s="96">
        <v>968</v>
      </c>
      <c r="B979" s="91" t="s">
        <v>3328</v>
      </c>
      <c r="C979" s="91" t="s">
        <v>3353</v>
      </c>
      <c r="D979" s="91" t="s">
        <v>3354</v>
      </c>
      <c r="E979" s="91">
        <v>2021</v>
      </c>
      <c r="F979" s="91" t="s">
        <v>19</v>
      </c>
      <c r="G979" s="91" t="s">
        <v>3432</v>
      </c>
      <c r="H979" s="91" t="s">
        <v>3470</v>
      </c>
      <c r="I979" s="91" t="s">
        <v>1480</v>
      </c>
      <c r="J979" s="91">
        <v>6199</v>
      </c>
      <c r="K979" s="91">
        <f>1166+2801</f>
        <v>3967</v>
      </c>
      <c r="L979" s="91">
        <v>0</v>
      </c>
      <c r="M979" s="91">
        <v>0</v>
      </c>
      <c r="N979" s="91">
        <v>0</v>
      </c>
      <c r="O979" s="91">
        <v>0</v>
      </c>
      <c r="P979" s="91">
        <v>0</v>
      </c>
      <c r="Q979" s="97">
        <f t="shared" si="30"/>
        <v>10166</v>
      </c>
      <c r="R979" s="95">
        <f t="shared" si="31"/>
        <v>8641.1</v>
      </c>
    </row>
    <row r="980" spans="1:18" ht="34.049999999999997" customHeight="1" x14ac:dyDescent="0.3">
      <c r="A980" s="90">
        <v>969</v>
      </c>
      <c r="B980" s="91" t="s">
        <v>3328</v>
      </c>
      <c r="C980" s="91" t="s">
        <v>3355</v>
      </c>
      <c r="D980" s="91" t="s">
        <v>3356</v>
      </c>
      <c r="E980" s="91">
        <v>2015</v>
      </c>
      <c r="F980" s="91" t="s">
        <v>19</v>
      </c>
      <c r="G980" s="91" t="s">
        <v>3433</v>
      </c>
      <c r="H980" s="91" t="s">
        <v>3471</v>
      </c>
      <c r="I980" s="91" t="s">
        <v>3497</v>
      </c>
      <c r="J980" s="91">
        <v>6199</v>
      </c>
      <c r="K980" s="91">
        <v>0</v>
      </c>
      <c r="L980" s="91">
        <v>0</v>
      </c>
      <c r="M980" s="91">
        <v>0</v>
      </c>
      <c r="N980" s="91">
        <v>30886</v>
      </c>
      <c r="O980" s="91">
        <v>0</v>
      </c>
      <c r="P980" s="91">
        <v>0</v>
      </c>
      <c r="Q980" s="97">
        <f t="shared" si="30"/>
        <v>37085</v>
      </c>
      <c r="R980" s="95">
        <f t="shared" si="31"/>
        <v>31522.25</v>
      </c>
    </row>
    <row r="981" spans="1:18" ht="34.049999999999997" customHeight="1" x14ac:dyDescent="0.3">
      <c r="A981" s="90">
        <v>970</v>
      </c>
      <c r="B981" s="91" t="s">
        <v>3328</v>
      </c>
      <c r="C981" s="91" t="s">
        <v>3357</v>
      </c>
      <c r="D981" s="91" t="s">
        <v>3358</v>
      </c>
      <c r="E981" s="91">
        <v>2020</v>
      </c>
      <c r="F981" s="91" t="s">
        <v>18</v>
      </c>
      <c r="G981" s="91" t="s">
        <v>3434</v>
      </c>
      <c r="H981" s="91" t="s">
        <v>3472</v>
      </c>
      <c r="I981" s="91" t="s">
        <v>1483</v>
      </c>
      <c r="J981" s="91">
        <v>6199</v>
      </c>
      <c r="K981" s="91">
        <v>0</v>
      </c>
      <c r="L981" s="91">
        <v>0</v>
      </c>
      <c r="M981" s="91">
        <v>0</v>
      </c>
      <c r="N981" s="91">
        <f>15443+60787+13563</f>
        <v>89793</v>
      </c>
      <c r="O981" s="91">
        <v>0</v>
      </c>
      <c r="P981" s="91">
        <v>0</v>
      </c>
      <c r="Q981" s="97">
        <f t="shared" si="30"/>
        <v>95992</v>
      </c>
      <c r="R981" s="95">
        <f t="shared" si="31"/>
        <v>81593.2</v>
      </c>
    </row>
    <row r="982" spans="1:18" ht="34.049999999999997" customHeight="1" x14ac:dyDescent="0.3">
      <c r="A982" s="96">
        <v>971</v>
      </c>
      <c r="B982" s="91" t="s">
        <v>3328</v>
      </c>
      <c r="C982" s="91" t="s">
        <v>3359</v>
      </c>
      <c r="D982" s="91" t="s">
        <v>1934</v>
      </c>
      <c r="E982" s="91">
        <v>1995</v>
      </c>
      <c r="F982" s="91" t="s">
        <v>19</v>
      </c>
      <c r="G982" s="91" t="s">
        <v>2038</v>
      </c>
      <c r="H982" s="91" t="s">
        <v>2090</v>
      </c>
      <c r="I982" s="91" t="s">
        <v>2121</v>
      </c>
      <c r="J982" s="91">
        <v>3793</v>
      </c>
      <c r="K982" s="91">
        <v>0</v>
      </c>
      <c r="L982" s="91">
        <v>0</v>
      </c>
      <c r="M982" s="91">
        <v>0</v>
      </c>
      <c r="N982" s="91">
        <v>0</v>
      </c>
      <c r="O982" s="91">
        <v>0</v>
      </c>
      <c r="P982" s="91">
        <v>0</v>
      </c>
      <c r="Q982" s="97">
        <f t="shared" si="30"/>
        <v>3793</v>
      </c>
      <c r="R982" s="95">
        <f t="shared" si="31"/>
        <v>3224.05</v>
      </c>
    </row>
    <row r="983" spans="1:18" ht="34.049999999999997" customHeight="1" x14ac:dyDescent="0.3">
      <c r="A983" s="90">
        <v>972</v>
      </c>
      <c r="B983" s="91" t="s">
        <v>3328</v>
      </c>
      <c r="C983" s="91" t="s">
        <v>3360</v>
      </c>
      <c r="D983" s="91" t="s">
        <v>3361</v>
      </c>
      <c r="E983" s="91">
        <v>2019</v>
      </c>
      <c r="F983" s="91" t="s">
        <v>19</v>
      </c>
      <c r="G983" s="91" t="s">
        <v>3435</v>
      </c>
      <c r="H983" s="91" t="s">
        <v>3473</v>
      </c>
      <c r="I983" s="91" t="s">
        <v>1257</v>
      </c>
      <c r="J983" s="91">
        <v>6199</v>
      </c>
      <c r="K983" s="91">
        <f>6278+4484+2332+1346+2332+2332+2332+2332+2332+4484+6995+6995+2332+6995</f>
        <v>53901</v>
      </c>
      <c r="L983" s="91">
        <v>0</v>
      </c>
      <c r="M983" s="91">
        <v>0</v>
      </c>
      <c r="N983" s="91">
        <v>3148</v>
      </c>
      <c r="O983" s="91">
        <v>0</v>
      </c>
      <c r="P983" s="91">
        <v>0</v>
      </c>
      <c r="Q983" s="97">
        <f t="shared" si="30"/>
        <v>63248</v>
      </c>
      <c r="R983" s="95">
        <f t="shared" si="31"/>
        <v>53760.800000000003</v>
      </c>
    </row>
    <row r="984" spans="1:18" ht="34.049999999999997" customHeight="1" x14ac:dyDescent="0.3">
      <c r="A984" s="90">
        <v>973</v>
      </c>
      <c r="B984" s="91" t="s">
        <v>3328</v>
      </c>
      <c r="C984" s="91" t="s">
        <v>3362</v>
      </c>
      <c r="D984" s="91" t="s">
        <v>3363</v>
      </c>
      <c r="E984" s="91">
        <v>2022</v>
      </c>
      <c r="F984" s="91" t="s">
        <v>19</v>
      </c>
      <c r="G984" s="91" t="s">
        <v>3436</v>
      </c>
      <c r="H984" s="91" t="s">
        <v>3474</v>
      </c>
      <c r="I984" s="91" t="s">
        <v>556</v>
      </c>
      <c r="J984" s="91">
        <v>6199</v>
      </c>
      <c r="K984" s="91">
        <v>1166</v>
      </c>
      <c r="L984" s="91">
        <v>0</v>
      </c>
      <c r="M984" s="91">
        <v>0</v>
      </c>
      <c r="N984" s="91">
        <v>0</v>
      </c>
      <c r="O984" s="91">
        <v>0</v>
      </c>
      <c r="P984" s="91">
        <v>0</v>
      </c>
      <c r="Q984" s="97">
        <f t="shared" si="30"/>
        <v>7365</v>
      </c>
      <c r="R984" s="95">
        <f t="shared" si="31"/>
        <v>6260.25</v>
      </c>
    </row>
    <row r="985" spans="1:18" ht="34.049999999999997" customHeight="1" x14ac:dyDescent="0.3">
      <c r="A985" s="96">
        <v>974</v>
      </c>
      <c r="B985" s="91" t="s">
        <v>3328</v>
      </c>
      <c r="C985" s="91" t="s">
        <v>3364</v>
      </c>
      <c r="D985" s="91" t="s">
        <v>3365</v>
      </c>
      <c r="E985" s="91">
        <v>2019</v>
      </c>
      <c r="F985" s="91" t="s">
        <v>19</v>
      </c>
      <c r="G985" s="91" t="s">
        <v>3437</v>
      </c>
      <c r="H985" s="91" t="s">
        <v>3475</v>
      </c>
      <c r="I985" s="91" t="s">
        <v>3498</v>
      </c>
      <c r="J985" s="91">
        <v>6199</v>
      </c>
      <c r="K985" s="91">
        <v>0</v>
      </c>
      <c r="L985" s="91">
        <v>13526</v>
      </c>
      <c r="M985" s="91">
        <v>0</v>
      </c>
      <c r="N985" s="91">
        <v>33882</v>
      </c>
      <c r="O985" s="91">
        <v>0</v>
      </c>
      <c r="P985" s="91">
        <v>0</v>
      </c>
      <c r="Q985" s="97">
        <f t="shared" si="30"/>
        <v>53607</v>
      </c>
      <c r="R985" s="95">
        <f t="shared" si="31"/>
        <v>45565.95</v>
      </c>
    </row>
    <row r="986" spans="1:18" ht="34.049999999999997" customHeight="1" x14ac:dyDescent="0.3">
      <c r="A986" s="90">
        <v>975</v>
      </c>
      <c r="B986" s="91" t="s">
        <v>3328</v>
      </c>
      <c r="C986" s="91" t="s">
        <v>3366</v>
      </c>
      <c r="D986" s="91" t="s">
        <v>3367</v>
      </c>
      <c r="E986" s="91">
        <v>2011</v>
      </c>
      <c r="F986" s="91" t="s">
        <v>19</v>
      </c>
      <c r="G986" s="91" t="s">
        <v>3438</v>
      </c>
      <c r="H986" s="91" t="s">
        <v>3476</v>
      </c>
      <c r="I986" s="91" t="s">
        <v>2120</v>
      </c>
      <c r="J986" s="91">
        <v>6199</v>
      </c>
      <c r="K986" s="91">
        <v>0</v>
      </c>
      <c r="L986" s="91">
        <v>0</v>
      </c>
      <c r="M986" s="91">
        <v>0</v>
      </c>
      <c r="N986" s="91">
        <v>0</v>
      </c>
      <c r="O986" s="91">
        <v>0</v>
      </c>
      <c r="P986" s="91">
        <v>0</v>
      </c>
      <c r="Q986" s="97">
        <f t="shared" si="30"/>
        <v>6199</v>
      </c>
      <c r="R986" s="95">
        <f t="shared" si="31"/>
        <v>5269.15</v>
      </c>
    </row>
    <row r="987" spans="1:18" ht="34.049999999999997" customHeight="1" x14ac:dyDescent="0.3">
      <c r="A987" s="90">
        <v>976</v>
      </c>
      <c r="B987" s="91" t="s">
        <v>3328</v>
      </c>
      <c r="C987" s="91" t="s">
        <v>3368</v>
      </c>
      <c r="D987" s="91" t="s">
        <v>3369</v>
      </c>
      <c r="E987" s="91">
        <v>2020</v>
      </c>
      <c r="F987" s="91" t="s">
        <v>19</v>
      </c>
      <c r="G987" s="91" t="s">
        <v>3439</v>
      </c>
      <c r="H987" s="91" t="s">
        <v>3477</v>
      </c>
      <c r="I987" s="91" t="s">
        <v>1262</v>
      </c>
      <c r="J987" s="91">
        <v>6199</v>
      </c>
      <c r="K987" s="91">
        <v>0</v>
      </c>
      <c r="L987" s="91">
        <v>0</v>
      </c>
      <c r="M987" s="91">
        <v>0</v>
      </c>
      <c r="N987" s="91">
        <f>15443+17918</f>
        <v>33361</v>
      </c>
      <c r="O987" s="91">
        <v>0</v>
      </c>
      <c r="P987" s="91">
        <v>0</v>
      </c>
      <c r="Q987" s="97">
        <f t="shared" si="30"/>
        <v>39560</v>
      </c>
      <c r="R987" s="95">
        <f t="shared" si="31"/>
        <v>33626</v>
      </c>
    </row>
    <row r="988" spans="1:18" ht="34.049999999999997" customHeight="1" x14ac:dyDescent="0.3">
      <c r="A988" s="96">
        <v>977</v>
      </c>
      <c r="B988" s="91" t="s">
        <v>3328</v>
      </c>
      <c r="C988" s="91" t="s">
        <v>3370</v>
      </c>
      <c r="D988" s="91" t="s">
        <v>3371</v>
      </c>
      <c r="E988" s="91">
        <v>2018</v>
      </c>
      <c r="F988" s="91" t="s">
        <v>19</v>
      </c>
      <c r="G988" s="91" t="s">
        <v>3440</v>
      </c>
      <c r="H988" s="91" t="s">
        <v>1844</v>
      </c>
      <c r="I988" s="91" t="s">
        <v>565</v>
      </c>
      <c r="J988" s="91">
        <v>6199</v>
      </c>
      <c r="K988" s="91">
        <v>0</v>
      </c>
      <c r="L988" s="91">
        <v>0</v>
      </c>
      <c r="M988" s="91">
        <v>0</v>
      </c>
      <c r="N988" s="91">
        <v>0</v>
      </c>
      <c r="O988" s="91">
        <v>0</v>
      </c>
      <c r="P988" s="91">
        <v>0</v>
      </c>
      <c r="Q988" s="97">
        <f t="shared" si="30"/>
        <v>6199</v>
      </c>
      <c r="R988" s="95">
        <f t="shared" si="31"/>
        <v>5269.15</v>
      </c>
    </row>
    <row r="989" spans="1:18" ht="34.049999999999997" customHeight="1" x14ac:dyDescent="0.3">
      <c r="A989" s="90">
        <v>978</v>
      </c>
      <c r="B989" s="91" t="s">
        <v>3328</v>
      </c>
      <c r="C989" s="91" t="s">
        <v>3372</v>
      </c>
      <c r="D989" s="91" t="s">
        <v>3373</v>
      </c>
      <c r="E989" s="91">
        <v>2021</v>
      </c>
      <c r="F989" s="91" t="s">
        <v>18</v>
      </c>
      <c r="G989" s="91" t="s">
        <v>3441</v>
      </c>
      <c r="H989" s="91" t="s">
        <v>3478</v>
      </c>
      <c r="I989" s="91" t="s">
        <v>3499</v>
      </c>
      <c r="J989" s="91">
        <v>6199</v>
      </c>
      <c r="K989" s="91">
        <f>6278+4484+1346+4484+2332+2332+2332+2332+2332</f>
        <v>28252</v>
      </c>
      <c r="L989" s="91">
        <v>0</v>
      </c>
      <c r="M989" s="91">
        <v>0</v>
      </c>
      <c r="N989" s="91">
        <v>3148</v>
      </c>
      <c r="O989" s="91">
        <v>0</v>
      </c>
      <c r="P989" s="91">
        <v>0</v>
      </c>
      <c r="Q989" s="97">
        <f t="shared" si="30"/>
        <v>37599</v>
      </c>
      <c r="R989" s="95">
        <f t="shared" si="31"/>
        <v>31959.15</v>
      </c>
    </row>
    <row r="990" spans="1:18" ht="34.049999999999997" customHeight="1" x14ac:dyDescent="0.3">
      <c r="A990" s="90">
        <v>979</v>
      </c>
      <c r="B990" s="91" t="s">
        <v>3328</v>
      </c>
      <c r="C990" s="91" t="s">
        <v>3374</v>
      </c>
      <c r="D990" s="91" t="s">
        <v>3375</v>
      </c>
      <c r="E990" s="91">
        <v>2021</v>
      </c>
      <c r="F990" s="91" t="s">
        <v>19</v>
      </c>
      <c r="G990" s="91" t="s">
        <v>3442</v>
      </c>
      <c r="H990" s="91" t="s">
        <v>3479</v>
      </c>
      <c r="I990" s="91" t="s">
        <v>1046</v>
      </c>
      <c r="J990" s="91">
        <v>6199</v>
      </c>
      <c r="K990" s="91">
        <v>0</v>
      </c>
      <c r="L990" s="91">
        <v>0</v>
      </c>
      <c r="M990" s="91">
        <v>0</v>
      </c>
      <c r="N990" s="91">
        <v>0</v>
      </c>
      <c r="O990" s="91">
        <v>0</v>
      </c>
      <c r="P990" s="91">
        <v>0</v>
      </c>
      <c r="Q990" s="94">
        <f t="shared" si="30"/>
        <v>6199</v>
      </c>
      <c r="R990" s="95">
        <f t="shared" si="31"/>
        <v>5269.15</v>
      </c>
    </row>
    <row r="991" spans="1:18" ht="34.049999999999997" customHeight="1" x14ac:dyDescent="0.3">
      <c r="A991" s="96">
        <v>980</v>
      </c>
      <c r="B991" s="91" t="s">
        <v>3328</v>
      </c>
      <c r="C991" s="91" t="s">
        <v>3376</v>
      </c>
      <c r="D991" s="91" t="s">
        <v>3377</v>
      </c>
      <c r="E991" s="91">
        <v>2022</v>
      </c>
      <c r="F991" s="91" t="s">
        <v>18</v>
      </c>
      <c r="G991" s="91" t="s">
        <v>3443</v>
      </c>
      <c r="H991" s="91" t="s">
        <v>3480</v>
      </c>
      <c r="I991" s="91" t="s">
        <v>3500</v>
      </c>
      <c r="J991" s="91">
        <v>6199</v>
      </c>
      <c r="K991" s="91">
        <f>6278+4484+1346+4484+2332+2332+2332+2332+2332</f>
        <v>28252</v>
      </c>
      <c r="L991" s="91">
        <v>0</v>
      </c>
      <c r="M991" s="91">
        <v>0</v>
      </c>
      <c r="N991" s="91">
        <v>3148</v>
      </c>
      <c r="O991" s="91">
        <v>0</v>
      </c>
      <c r="P991" s="91">
        <v>0</v>
      </c>
      <c r="Q991" s="97">
        <f t="shared" si="30"/>
        <v>37599</v>
      </c>
      <c r="R991" s="95">
        <f t="shared" si="31"/>
        <v>31959.15</v>
      </c>
    </row>
    <row r="992" spans="1:18" ht="34.049999999999997" customHeight="1" x14ac:dyDescent="0.3">
      <c r="A992" s="90">
        <v>981</v>
      </c>
      <c r="B992" s="91" t="s">
        <v>3328</v>
      </c>
      <c r="C992" s="91" t="s">
        <v>3378</v>
      </c>
      <c r="D992" s="91" t="s">
        <v>3379</v>
      </c>
      <c r="E992" s="91">
        <v>1973</v>
      </c>
      <c r="F992" s="91" t="s">
        <v>19</v>
      </c>
      <c r="G992" s="91" t="s">
        <v>3444</v>
      </c>
      <c r="H992" s="91" t="s">
        <v>3481</v>
      </c>
      <c r="I992" s="91" t="s">
        <v>2119</v>
      </c>
      <c r="J992" s="91">
        <v>6199</v>
      </c>
      <c r="K992" s="91">
        <v>0</v>
      </c>
      <c r="L992" s="91">
        <v>0</v>
      </c>
      <c r="M992" s="91">
        <v>0</v>
      </c>
      <c r="N992" s="91">
        <v>0</v>
      </c>
      <c r="O992" s="91">
        <v>0</v>
      </c>
      <c r="P992" s="91">
        <v>0</v>
      </c>
      <c r="Q992" s="97">
        <f t="shared" si="30"/>
        <v>6199</v>
      </c>
      <c r="R992" s="95">
        <f t="shared" si="31"/>
        <v>5269.15</v>
      </c>
    </row>
    <row r="993" spans="1:18" ht="34.049999999999997" customHeight="1" x14ac:dyDescent="0.3">
      <c r="A993" s="90">
        <v>982</v>
      </c>
      <c r="B993" s="91" t="s">
        <v>3328</v>
      </c>
      <c r="C993" s="91" t="s">
        <v>3380</v>
      </c>
      <c r="D993" s="91" t="s">
        <v>3381</v>
      </c>
      <c r="E993" s="91">
        <v>2018</v>
      </c>
      <c r="F993" s="91" t="s">
        <v>18</v>
      </c>
      <c r="G993" s="91" t="s">
        <v>3445</v>
      </c>
      <c r="H993" s="91" t="s">
        <v>3482</v>
      </c>
      <c r="I993" s="91" t="s">
        <v>2455</v>
      </c>
      <c r="J993" s="91">
        <v>6199</v>
      </c>
      <c r="K993" s="91">
        <f>6278+4484+1346+4484+2332+2332+2332+2332+2332+6995+6995+2332+6995+2332</f>
        <v>53901</v>
      </c>
      <c r="L993" s="91">
        <v>0</v>
      </c>
      <c r="M993" s="91">
        <v>0</v>
      </c>
      <c r="N993" s="91">
        <v>3148</v>
      </c>
      <c r="O993" s="91">
        <v>0</v>
      </c>
      <c r="P993" s="91">
        <v>0</v>
      </c>
      <c r="Q993" s="97">
        <f t="shared" si="30"/>
        <v>63248</v>
      </c>
      <c r="R993" s="95">
        <f t="shared" si="31"/>
        <v>53760.800000000003</v>
      </c>
    </row>
    <row r="994" spans="1:18" ht="34.049999999999997" customHeight="1" x14ac:dyDescent="0.3">
      <c r="A994" s="96">
        <v>983</v>
      </c>
      <c r="B994" s="91" t="s">
        <v>3328</v>
      </c>
      <c r="C994" s="91" t="s">
        <v>3382</v>
      </c>
      <c r="D994" s="91" t="s">
        <v>3383</v>
      </c>
      <c r="E994" s="91">
        <v>1955</v>
      </c>
      <c r="F994" s="91" t="s">
        <v>18</v>
      </c>
      <c r="G994" s="91" t="s">
        <v>3446</v>
      </c>
      <c r="H994" s="91" t="s">
        <v>3446</v>
      </c>
      <c r="I994" s="91" t="s">
        <v>253</v>
      </c>
      <c r="J994" s="91">
        <v>6199</v>
      </c>
      <c r="K994" s="91">
        <v>0</v>
      </c>
      <c r="L994" s="91">
        <v>0</v>
      </c>
      <c r="M994" s="91">
        <v>0</v>
      </c>
      <c r="N994" s="91">
        <v>0</v>
      </c>
      <c r="O994" s="91">
        <v>0</v>
      </c>
      <c r="P994" s="91">
        <v>0</v>
      </c>
      <c r="Q994" s="97">
        <f t="shared" si="30"/>
        <v>6199</v>
      </c>
      <c r="R994" s="95">
        <f t="shared" si="31"/>
        <v>5269.15</v>
      </c>
    </row>
    <row r="995" spans="1:18" ht="34.049999999999997" customHeight="1" x14ac:dyDescent="0.3">
      <c r="A995" s="90">
        <v>984</v>
      </c>
      <c r="B995" s="91" t="s">
        <v>3328</v>
      </c>
      <c r="C995" s="91" t="s">
        <v>3384</v>
      </c>
      <c r="D995" s="91" t="s">
        <v>3385</v>
      </c>
      <c r="E995" s="91">
        <v>1994</v>
      </c>
      <c r="F995" s="91" t="s">
        <v>19</v>
      </c>
      <c r="G995" s="91" t="s">
        <v>3447</v>
      </c>
      <c r="H995" s="91" t="s">
        <v>3447</v>
      </c>
      <c r="I995" s="91" t="s">
        <v>3501</v>
      </c>
      <c r="J995" s="91">
        <v>6199</v>
      </c>
      <c r="K995" s="91">
        <v>0</v>
      </c>
      <c r="L995" s="91">
        <v>0</v>
      </c>
      <c r="M995" s="91">
        <v>0</v>
      </c>
      <c r="N995" s="91">
        <v>9871</v>
      </c>
      <c r="O995" s="91">
        <v>0</v>
      </c>
      <c r="P995" s="91">
        <v>0</v>
      </c>
      <c r="Q995" s="97">
        <f t="shared" si="30"/>
        <v>16070</v>
      </c>
      <c r="R995" s="95">
        <f t="shared" si="31"/>
        <v>13659.5</v>
      </c>
    </row>
    <row r="996" spans="1:18" ht="34.049999999999997" customHeight="1" x14ac:dyDescent="0.3">
      <c r="A996" s="90">
        <v>985</v>
      </c>
      <c r="B996" s="91" t="s">
        <v>3328</v>
      </c>
      <c r="C996" s="91" t="s">
        <v>3386</v>
      </c>
      <c r="D996" s="91" t="s">
        <v>1153</v>
      </c>
      <c r="E996" s="91">
        <v>1989</v>
      </c>
      <c r="F996" s="91" t="s">
        <v>19</v>
      </c>
      <c r="G996" s="91" t="s">
        <v>1207</v>
      </c>
      <c r="H996" s="91" t="s">
        <v>1207</v>
      </c>
      <c r="I996" s="91" t="s">
        <v>1278</v>
      </c>
      <c r="J996" s="91">
        <v>3793</v>
      </c>
      <c r="K996" s="91">
        <f>2332+2332+2243</f>
        <v>6907</v>
      </c>
      <c r="L996" s="91">
        <v>0</v>
      </c>
      <c r="M996" s="91">
        <v>0</v>
      </c>
      <c r="N996" s="91">
        <v>0</v>
      </c>
      <c r="O996" s="91">
        <v>0</v>
      </c>
      <c r="P996" s="91">
        <v>0</v>
      </c>
      <c r="Q996" s="97">
        <f t="shared" si="30"/>
        <v>10700</v>
      </c>
      <c r="R996" s="95">
        <f t="shared" si="31"/>
        <v>9095</v>
      </c>
    </row>
    <row r="997" spans="1:18" ht="34.049999999999997" customHeight="1" x14ac:dyDescent="0.3">
      <c r="A997" s="96">
        <v>986</v>
      </c>
      <c r="B997" s="91" t="s">
        <v>3328</v>
      </c>
      <c r="C997" s="91" t="s">
        <v>3387</v>
      </c>
      <c r="D997" s="91" t="s">
        <v>3388</v>
      </c>
      <c r="E997" s="91">
        <v>1988</v>
      </c>
      <c r="F997" s="91" t="s">
        <v>19</v>
      </c>
      <c r="G997" s="91" t="s">
        <v>3448</v>
      </c>
      <c r="H997" s="91" t="s">
        <v>3448</v>
      </c>
      <c r="I997" s="91" t="s">
        <v>1263</v>
      </c>
      <c r="J997" s="91">
        <v>6199</v>
      </c>
      <c r="K997" s="91">
        <v>0</v>
      </c>
      <c r="L997" s="91">
        <v>0</v>
      </c>
      <c r="M997" s="91">
        <v>0</v>
      </c>
      <c r="N997" s="91">
        <v>0</v>
      </c>
      <c r="O997" s="91">
        <v>0</v>
      </c>
      <c r="P997" s="91">
        <v>0</v>
      </c>
      <c r="Q997" s="97">
        <f t="shared" si="30"/>
        <v>6199</v>
      </c>
      <c r="R997" s="95">
        <f t="shared" si="31"/>
        <v>5269.15</v>
      </c>
    </row>
    <row r="998" spans="1:18" ht="34.049999999999997" customHeight="1" x14ac:dyDescent="0.3">
      <c r="A998" s="90">
        <v>987</v>
      </c>
      <c r="B998" s="91" t="s">
        <v>3328</v>
      </c>
      <c r="C998" s="91" t="s">
        <v>3389</v>
      </c>
      <c r="D998" s="91" t="s">
        <v>3390</v>
      </c>
      <c r="E998" s="91">
        <v>2013</v>
      </c>
      <c r="F998" s="91" t="s">
        <v>19</v>
      </c>
      <c r="G998" s="91" t="s">
        <v>3449</v>
      </c>
      <c r="H998" s="91" t="s">
        <v>3483</v>
      </c>
      <c r="I998" s="91" t="s">
        <v>1263</v>
      </c>
      <c r="J998" s="91">
        <v>6199</v>
      </c>
      <c r="K998" s="91">
        <v>0</v>
      </c>
      <c r="L998" s="91">
        <v>15868</v>
      </c>
      <c r="M998" s="91">
        <v>0</v>
      </c>
      <c r="N998" s="91">
        <v>0</v>
      </c>
      <c r="O998" s="91">
        <v>0</v>
      </c>
      <c r="P998" s="91">
        <v>0</v>
      </c>
      <c r="Q998" s="97">
        <f t="shared" si="30"/>
        <v>22067</v>
      </c>
      <c r="R998" s="95">
        <f t="shared" si="31"/>
        <v>18756.95</v>
      </c>
    </row>
    <row r="999" spans="1:18" ht="34.049999999999997" customHeight="1" x14ac:dyDescent="0.3">
      <c r="A999" s="90">
        <v>988</v>
      </c>
      <c r="B999" s="91" t="s">
        <v>3328</v>
      </c>
      <c r="C999" s="91" t="s">
        <v>3391</v>
      </c>
      <c r="D999" s="91" t="s">
        <v>3392</v>
      </c>
      <c r="E999" s="91">
        <v>1987</v>
      </c>
      <c r="F999" s="91" t="s">
        <v>19</v>
      </c>
      <c r="G999" s="91" t="s">
        <v>3450</v>
      </c>
      <c r="H999" s="91" t="s">
        <v>3484</v>
      </c>
      <c r="I999" s="91" t="s">
        <v>3502</v>
      </c>
      <c r="J999" s="91">
        <v>6199</v>
      </c>
      <c r="K999" s="91">
        <v>0</v>
      </c>
      <c r="L999" s="91">
        <v>0</v>
      </c>
      <c r="M999" s="91">
        <v>0</v>
      </c>
      <c r="N999" s="91">
        <v>0</v>
      </c>
      <c r="O999" s="91">
        <v>0</v>
      </c>
      <c r="P999" s="91">
        <v>0</v>
      </c>
      <c r="Q999" s="97">
        <f t="shared" si="30"/>
        <v>6199</v>
      </c>
      <c r="R999" s="95">
        <f t="shared" si="31"/>
        <v>5269.15</v>
      </c>
    </row>
    <row r="1000" spans="1:18" ht="34.049999999999997" customHeight="1" x14ac:dyDescent="0.3">
      <c r="A1000" s="96">
        <v>989</v>
      </c>
      <c r="B1000" s="91" t="s">
        <v>3328</v>
      </c>
      <c r="C1000" s="91" t="s">
        <v>3393</v>
      </c>
      <c r="D1000" s="91" t="s">
        <v>3394</v>
      </c>
      <c r="E1000" s="91">
        <v>1991</v>
      </c>
      <c r="F1000" s="91" t="s">
        <v>19</v>
      </c>
      <c r="G1000" s="91" t="s">
        <v>3451</v>
      </c>
      <c r="H1000" s="91" t="s">
        <v>3485</v>
      </c>
      <c r="I1000" s="91" t="s">
        <v>3503</v>
      </c>
      <c r="J1000" s="91">
        <v>6199</v>
      </c>
      <c r="K1000" s="91">
        <f>2332+2332+2243</f>
        <v>6907</v>
      </c>
      <c r="L1000" s="91">
        <v>0</v>
      </c>
      <c r="M1000" s="91">
        <v>0</v>
      </c>
      <c r="N1000" s="91">
        <v>0</v>
      </c>
      <c r="O1000" s="91">
        <v>0</v>
      </c>
      <c r="P1000" s="91">
        <v>0</v>
      </c>
      <c r="Q1000" s="97">
        <f t="shared" si="30"/>
        <v>13106</v>
      </c>
      <c r="R1000" s="95">
        <f t="shared" si="31"/>
        <v>11140.1</v>
      </c>
    </row>
    <row r="1001" spans="1:18" ht="34.049999999999997" customHeight="1" x14ac:dyDescent="0.3">
      <c r="A1001" s="90">
        <v>990</v>
      </c>
      <c r="B1001" s="91" t="s">
        <v>3328</v>
      </c>
      <c r="C1001" s="91" t="s">
        <v>3395</v>
      </c>
      <c r="D1001" s="91" t="s">
        <v>3396</v>
      </c>
      <c r="E1001" s="91">
        <v>1988</v>
      </c>
      <c r="F1001" s="91" t="s">
        <v>19</v>
      </c>
      <c r="G1001" s="91" t="s">
        <v>1663</v>
      </c>
      <c r="H1001" s="91" t="s">
        <v>1663</v>
      </c>
      <c r="I1001" s="91" t="s">
        <v>290</v>
      </c>
      <c r="J1001" s="91">
        <v>6199</v>
      </c>
      <c r="K1001" s="91">
        <v>0</v>
      </c>
      <c r="L1001" s="91">
        <v>0</v>
      </c>
      <c r="M1001" s="91">
        <v>0</v>
      </c>
      <c r="N1001" s="91">
        <v>0</v>
      </c>
      <c r="O1001" s="91">
        <v>0</v>
      </c>
      <c r="P1001" s="91">
        <v>0</v>
      </c>
      <c r="Q1001" s="97">
        <f t="shared" si="30"/>
        <v>6199</v>
      </c>
      <c r="R1001" s="95">
        <f t="shared" si="31"/>
        <v>5269.15</v>
      </c>
    </row>
    <row r="1002" spans="1:18" ht="34.049999999999997" customHeight="1" x14ac:dyDescent="0.3">
      <c r="A1002" s="90">
        <v>991</v>
      </c>
      <c r="B1002" s="91" t="s">
        <v>3328</v>
      </c>
      <c r="C1002" s="91" t="s">
        <v>3397</v>
      </c>
      <c r="D1002" s="91" t="s">
        <v>3398</v>
      </c>
      <c r="E1002" s="91">
        <v>1993</v>
      </c>
      <c r="F1002" s="91" t="s">
        <v>19</v>
      </c>
      <c r="G1002" s="91" t="s">
        <v>3452</v>
      </c>
      <c r="H1002" s="91" t="s">
        <v>3452</v>
      </c>
      <c r="I1002" s="91" t="s">
        <v>3504</v>
      </c>
      <c r="J1002" s="91">
        <v>6199</v>
      </c>
      <c r="K1002" s="91">
        <f>2332+2332+2243</f>
        <v>6907</v>
      </c>
      <c r="L1002" s="91">
        <v>0</v>
      </c>
      <c r="M1002" s="91">
        <v>0</v>
      </c>
      <c r="N1002" s="91">
        <v>0</v>
      </c>
      <c r="O1002" s="91">
        <v>0</v>
      </c>
      <c r="P1002" s="91">
        <v>0</v>
      </c>
      <c r="Q1002" s="97">
        <f t="shared" si="30"/>
        <v>13106</v>
      </c>
      <c r="R1002" s="95">
        <f t="shared" si="31"/>
        <v>11140.1</v>
      </c>
    </row>
    <row r="1003" spans="1:18" ht="34.049999999999997" customHeight="1" x14ac:dyDescent="0.3">
      <c r="A1003" s="96">
        <v>992</v>
      </c>
      <c r="B1003" s="91" t="s">
        <v>3328</v>
      </c>
      <c r="C1003" s="91" t="s">
        <v>3399</v>
      </c>
      <c r="D1003" s="91" t="s">
        <v>3400</v>
      </c>
      <c r="E1003" s="91">
        <v>1986</v>
      </c>
      <c r="F1003" s="91" t="s">
        <v>19</v>
      </c>
      <c r="G1003" s="91" t="s">
        <v>3453</v>
      </c>
      <c r="H1003" s="91" t="s">
        <v>3486</v>
      </c>
      <c r="I1003" s="91" t="s">
        <v>262</v>
      </c>
      <c r="J1003" s="91">
        <v>6199</v>
      </c>
      <c r="K1003" s="91">
        <f>2332+2332+2243</f>
        <v>6907</v>
      </c>
      <c r="L1003" s="91">
        <v>0</v>
      </c>
      <c r="M1003" s="91">
        <v>0</v>
      </c>
      <c r="N1003" s="91">
        <v>0</v>
      </c>
      <c r="O1003" s="91">
        <v>0</v>
      </c>
      <c r="P1003" s="91">
        <v>0</v>
      </c>
      <c r="Q1003" s="97">
        <f t="shared" si="30"/>
        <v>13106</v>
      </c>
      <c r="R1003" s="95">
        <f t="shared" si="31"/>
        <v>11140.1</v>
      </c>
    </row>
    <row r="1004" spans="1:18" ht="34.049999999999997" customHeight="1" x14ac:dyDescent="0.3">
      <c r="A1004" s="90">
        <v>993</v>
      </c>
      <c r="B1004" s="91" t="s">
        <v>3328</v>
      </c>
      <c r="C1004" s="91" t="s">
        <v>3401</v>
      </c>
      <c r="D1004" s="91" t="s">
        <v>3402</v>
      </c>
      <c r="E1004" s="91">
        <v>2016</v>
      </c>
      <c r="F1004" s="91" t="s">
        <v>19</v>
      </c>
      <c r="G1004" s="91" t="s">
        <v>3454</v>
      </c>
      <c r="H1004" s="91" t="s">
        <v>3487</v>
      </c>
      <c r="I1004" s="91" t="s">
        <v>3505</v>
      </c>
      <c r="J1004" s="91">
        <v>6199</v>
      </c>
      <c r="K1004" s="91">
        <f>1166+2801</f>
        <v>3967</v>
      </c>
      <c r="L1004" s="91">
        <v>0</v>
      </c>
      <c r="M1004" s="91">
        <v>0</v>
      </c>
      <c r="N1004" s="91">
        <v>0</v>
      </c>
      <c r="O1004" s="91">
        <v>0</v>
      </c>
      <c r="P1004" s="91">
        <v>0</v>
      </c>
      <c r="Q1004" s="97">
        <f t="shared" si="30"/>
        <v>10166</v>
      </c>
      <c r="R1004" s="95">
        <f t="shared" si="31"/>
        <v>8641.1</v>
      </c>
    </row>
    <row r="1005" spans="1:18" ht="34.049999999999997" customHeight="1" x14ac:dyDescent="0.3">
      <c r="A1005" s="90">
        <v>994</v>
      </c>
      <c r="B1005" s="91" t="s">
        <v>3328</v>
      </c>
      <c r="C1005" s="91" t="s">
        <v>3403</v>
      </c>
      <c r="D1005" s="91" t="s">
        <v>3404</v>
      </c>
      <c r="E1005" s="91">
        <v>2019</v>
      </c>
      <c r="F1005" s="91" t="s">
        <v>18</v>
      </c>
      <c r="G1005" s="91" t="s">
        <v>3455</v>
      </c>
      <c r="H1005" s="91" t="s">
        <v>3488</v>
      </c>
      <c r="I1005" s="91" t="s">
        <v>3313</v>
      </c>
      <c r="J1005" s="91">
        <v>6199</v>
      </c>
      <c r="K1005" s="91">
        <f>6278+4484+1346+4484+2332+2332+1166+2332+2332+2332+2332+6995+6995+2332+6995+3000+3000</f>
        <v>61067</v>
      </c>
      <c r="L1005" s="91">
        <v>0</v>
      </c>
      <c r="M1005" s="91">
        <v>0</v>
      </c>
      <c r="N1005" s="91">
        <v>3148</v>
      </c>
      <c r="O1005" s="91">
        <v>0</v>
      </c>
      <c r="P1005" s="91">
        <v>0</v>
      </c>
      <c r="Q1005" s="97">
        <f t="shared" si="30"/>
        <v>70414</v>
      </c>
      <c r="R1005" s="95">
        <f t="shared" si="31"/>
        <v>59851.9</v>
      </c>
    </row>
    <row r="1006" spans="1:18" ht="34.049999999999997" customHeight="1" x14ac:dyDescent="0.3">
      <c r="A1006" s="96">
        <v>995</v>
      </c>
      <c r="B1006" s="91" t="s">
        <v>3328</v>
      </c>
      <c r="C1006" s="91" t="s">
        <v>3405</v>
      </c>
      <c r="D1006" s="91" t="s">
        <v>3406</v>
      </c>
      <c r="E1006" s="91">
        <v>1994</v>
      </c>
      <c r="F1006" s="91" t="s">
        <v>19</v>
      </c>
      <c r="G1006" s="91" t="s">
        <v>3456</v>
      </c>
      <c r="H1006" s="91" t="s">
        <v>3489</v>
      </c>
      <c r="I1006" s="91" t="s">
        <v>3506</v>
      </c>
      <c r="J1006" s="91">
        <v>6199</v>
      </c>
      <c r="K1006" s="91">
        <f>2332+2332+2243</f>
        <v>6907</v>
      </c>
      <c r="L1006" s="91">
        <v>0</v>
      </c>
      <c r="M1006" s="91">
        <v>0</v>
      </c>
      <c r="N1006" s="91">
        <v>0</v>
      </c>
      <c r="O1006" s="91">
        <v>0</v>
      </c>
      <c r="P1006" s="91">
        <v>0</v>
      </c>
      <c r="Q1006" s="97">
        <f t="shared" si="30"/>
        <v>13106</v>
      </c>
      <c r="R1006" s="95">
        <f t="shared" si="31"/>
        <v>11140.1</v>
      </c>
    </row>
    <row r="1007" spans="1:18" ht="34.049999999999997" customHeight="1" x14ac:dyDescent="0.3">
      <c r="A1007" s="90">
        <v>996</v>
      </c>
      <c r="B1007" s="91" t="s">
        <v>3328</v>
      </c>
      <c r="C1007" s="91" t="s">
        <v>3407</v>
      </c>
      <c r="D1007" s="91" t="s">
        <v>3408</v>
      </c>
      <c r="E1007" s="91">
        <v>2023</v>
      </c>
      <c r="F1007" s="91" t="s">
        <v>18</v>
      </c>
      <c r="G1007" s="91" t="s">
        <v>3457</v>
      </c>
      <c r="H1007" s="91" t="s">
        <v>3490</v>
      </c>
      <c r="I1007" s="91" t="s">
        <v>1257</v>
      </c>
      <c r="J1007" s="91">
        <v>6199</v>
      </c>
      <c r="K1007" s="91">
        <v>0</v>
      </c>
      <c r="L1007" s="91">
        <v>0</v>
      </c>
      <c r="M1007" s="91">
        <v>0</v>
      </c>
      <c r="N1007" s="91">
        <v>0</v>
      </c>
      <c r="O1007" s="91">
        <v>0</v>
      </c>
      <c r="P1007" s="91">
        <v>0</v>
      </c>
      <c r="Q1007" s="97">
        <f t="shared" si="30"/>
        <v>6199</v>
      </c>
      <c r="R1007" s="95">
        <f t="shared" si="31"/>
        <v>5269.15</v>
      </c>
    </row>
    <row r="1008" spans="1:18" ht="34.049999999999997" customHeight="1" x14ac:dyDescent="0.3">
      <c r="A1008" s="90">
        <v>997</v>
      </c>
      <c r="B1008" s="91" t="s">
        <v>3328</v>
      </c>
      <c r="C1008" s="91" t="s">
        <v>3409</v>
      </c>
      <c r="D1008" s="91" t="s">
        <v>3410</v>
      </c>
      <c r="E1008" s="91">
        <v>1968</v>
      </c>
      <c r="F1008" s="91" t="s">
        <v>19</v>
      </c>
      <c r="G1008" s="91" t="s">
        <v>3458</v>
      </c>
      <c r="H1008" s="91" t="s">
        <v>3458</v>
      </c>
      <c r="I1008" s="91" t="s">
        <v>1066</v>
      </c>
      <c r="J1008" s="91">
        <v>6199</v>
      </c>
      <c r="K1008" s="91">
        <v>0</v>
      </c>
      <c r="L1008" s="91">
        <v>0</v>
      </c>
      <c r="M1008" s="91">
        <v>0</v>
      </c>
      <c r="N1008" s="91">
        <v>0</v>
      </c>
      <c r="O1008" s="91">
        <v>0</v>
      </c>
      <c r="P1008" s="91">
        <v>0</v>
      </c>
      <c r="Q1008" s="97">
        <f t="shared" si="30"/>
        <v>6199</v>
      </c>
      <c r="R1008" s="95">
        <f t="shared" si="31"/>
        <v>5269.15</v>
      </c>
    </row>
    <row r="1009" spans="1:23" ht="34.049999999999997" customHeight="1" x14ac:dyDescent="0.3">
      <c r="A1009" s="96">
        <v>998</v>
      </c>
      <c r="B1009" s="91" t="s">
        <v>3328</v>
      </c>
      <c r="C1009" s="91" t="s">
        <v>3411</v>
      </c>
      <c r="D1009" s="91" t="s">
        <v>3412</v>
      </c>
      <c r="E1009" s="91">
        <v>2023</v>
      </c>
      <c r="F1009" s="91" t="s">
        <v>18</v>
      </c>
      <c r="G1009" s="91" t="s">
        <v>3459</v>
      </c>
      <c r="H1009" s="91" t="s">
        <v>3491</v>
      </c>
      <c r="I1009" s="91" t="s">
        <v>1046</v>
      </c>
      <c r="J1009" s="91">
        <v>6199</v>
      </c>
      <c r="K1009" s="91">
        <v>0</v>
      </c>
      <c r="L1009" s="91">
        <v>0</v>
      </c>
      <c r="M1009" s="91">
        <v>0</v>
      </c>
      <c r="N1009" s="91">
        <v>0</v>
      </c>
      <c r="O1009" s="91">
        <v>0</v>
      </c>
      <c r="P1009" s="91">
        <v>0</v>
      </c>
      <c r="Q1009" s="97">
        <f t="shared" si="30"/>
        <v>6199</v>
      </c>
      <c r="R1009" s="95">
        <f t="shared" si="31"/>
        <v>5269.15</v>
      </c>
    </row>
    <row r="1010" spans="1:23" ht="34.049999999999997" customHeight="1" x14ac:dyDescent="0.3">
      <c r="A1010" s="90">
        <v>999</v>
      </c>
      <c r="B1010" s="91" t="s">
        <v>3328</v>
      </c>
      <c r="C1010" s="91" t="s">
        <v>3413</v>
      </c>
      <c r="D1010" s="91" t="s">
        <v>3414</v>
      </c>
      <c r="E1010" s="91">
        <v>2003</v>
      </c>
      <c r="F1010" s="91" t="s">
        <v>19</v>
      </c>
      <c r="G1010" s="91" t="s">
        <v>3460</v>
      </c>
      <c r="H1010" s="91" t="s">
        <v>3460</v>
      </c>
      <c r="I1010" s="91" t="s">
        <v>3507</v>
      </c>
      <c r="J1010" s="91">
        <v>6199</v>
      </c>
      <c r="K1010" s="91">
        <f>3587+2332+2332</f>
        <v>8251</v>
      </c>
      <c r="L1010" s="91">
        <v>9422</v>
      </c>
      <c r="M1010" s="91">
        <v>0</v>
      </c>
      <c r="N1010" s="91">
        <v>0</v>
      </c>
      <c r="O1010" s="91">
        <v>0</v>
      </c>
      <c r="P1010" s="91">
        <v>0</v>
      </c>
      <c r="Q1010" s="97">
        <f t="shared" si="30"/>
        <v>23872</v>
      </c>
      <c r="R1010" s="95">
        <f t="shared" si="31"/>
        <v>20291.2</v>
      </c>
    </row>
    <row r="1011" spans="1:23" ht="34.049999999999997" customHeight="1" x14ac:dyDescent="0.3">
      <c r="A1011" s="90">
        <v>1000</v>
      </c>
      <c r="B1011" s="91" t="s">
        <v>3328</v>
      </c>
      <c r="C1011" s="91" t="s">
        <v>3415</v>
      </c>
      <c r="D1011" s="91" t="s">
        <v>3416</v>
      </c>
      <c r="E1011" s="91">
        <v>2020</v>
      </c>
      <c r="F1011" s="91" t="s">
        <v>18</v>
      </c>
      <c r="G1011" s="91" t="s">
        <v>3461</v>
      </c>
      <c r="H1011" s="91" t="s">
        <v>3492</v>
      </c>
      <c r="I1011" s="91" t="s">
        <v>3508</v>
      </c>
      <c r="J1011" s="91">
        <v>6199</v>
      </c>
      <c r="K1011" s="91">
        <v>0</v>
      </c>
      <c r="L1011" s="91">
        <v>0</v>
      </c>
      <c r="M1011" s="91">
        <v>0</v>
      </c>
      <c r="N1011" s="91">
        <v>0</v>
      </c>
      <c r="O1011" s="91">
        <v>0</v>
      </c>
      <c r="P1011" s="91">
        <v>0</v>
      </c>
      <c r="Q1011" s="97">
        <f t="shared" si="30"/>
        <v>6199</v>
      </c>
      <c r="R1011" s="95">
        <f t="shared" si="31"/>
        <v>5269.15</v>
      </c>
    </row>
    <row r="1012" spans="1:23" ht="34.049999999999997" customHeight="1" x14ac:dyDescent="0.3">
      <c r="A1012" s="96">
        <v>1001</v>
      </c>
      <c r="B1012" s="91" t="s">
        <v>3328</v>
      </c>
      <c r="C1012" s="91" t="s">
        <v>3417</v>
      </c>
      <c r="D1012" s="91" t="s">
        <v>3418</v>
      </c>
      <c r="E1012" s="91">
        <v>2025</v>
      </c>
      <c r="F1012" s="91" t="s">
        <v>18</v>
      </c>
      <c r="G1012" s="91" t="s">
        <v>3462</v>
      </c>
      <c r="H1012" s="91" t="s">
        <v>3493</v>
      </c>
      <c r="I1012" s="91" t="s">
        <v>1473</v>
      </c>
      <c r="J1012" s="91">
        <v>6199</v>
      </c>
      <c r="K1012" s="91">
        <f>6278+4484+1346+2332+2332+2332+2332+2332+6995+6995+2332+6995+4484+2332</f>
        <v>53901</v>
      </c>
      <c r="L1012" s="91">
        <v>0</v>
      </c>
      <c r="M1012" s="91">
        <v>0</v>
      </c>
      <c r="N1012" s="91">
        <v>3148</v>
      </c>
      <c r="O1012" s="91">
        <v>0</v>
      </c>
      <c r="P1012" s="91">
        <v>0</v>
      </c>
      <c r="Q1012" s="97">
        <f t="shared" si="30"/>
        <v>63248</v>
      </c>
      <c r="R1012" s="95">
        <f t="shared" si="31"/>
        <v>53760.800000000003</v>
      </c>
    </row>
    <row r="1013" spans="1:23" ht="34.049999999999997" customHeight="1" x14ac:dyDescent="0.3">
      <c r="A1013" s="90">
        <v>1002</v>
      </c>
      <c r="B1013" s="91" t="s">
        <v>3328</v>
      </c>
      <c r="C1013" s="91" t="s">
        <v>3419</v>
      </c>
      <c r="D1013" s="91" t="s">
        <v>3420</v>
      </c>
      <c r="E1013" s="91">
        <v>1990</v>
      </c>
      <c r="F1013" s="91" t="s">
        <v>19</v>
      </c>
      <c r="G1013" s="91" t="s">
        <v>3463</v>
      </c>
      <c r="H1013" s="91" t="s">
        <v>3494</v>
      </c>
      <c r="I1013" s="91" t="s">
        <v>2466</v>
      </c>
      <c r="J1013" s="91">
        <v>6199</v>
      </c>
      <c r="K1013" s="91">
        <v>0</v>
      </c>
      <c r="L1013" s="91">
        <v>0</v>
      </c>
      <c r="M1013" s="91">
        <v>0</v>
      </c>
      <c r="N1013" s="91">
        <v>0</v>
      </c>
      <c r="O1013" s="91">
        <v>0</v>
      </c>
      <c r="P1013" s="91">
        <v>0</v>
      </c>
      <c r="Q1013" s="97">
        <f t="shared" si="30"/>
        <v>6199</v>
      </c>
      <c r="R1013" s="95">
        <f t="shared" si="31"/>
        <v>5269.15</v>
      </c>
    </row>
    <row r="1014" spans="1:23" ht="34.049999999999997" customHeight="1" x14ac:dyDescent="0.3">
      <c r="A1014" s="90">
        <v>1003</v>
      </c>
      <c r="B1014" s="91" t="s">
        <v>3328</v>
      </c>
      <c r="C1014" s="91" t="s">
        <v>7260</v>
      </c>
      <c r="D1014" s="93" t="s">
        <v>3133</v>
      </c>
      <c r="E1014" s="91">
        <v>2025</v>
      </c>
      <c r="F1014" s="91" t="s">
        <v>19</v>
      </c>
      <c r="G1014" s="91" t="s">
        <v>3235</v>
      </c>
      <c r="H1014" s="91" t="s">
        <v>3283</v>
      </c>
      <c r="I1014" s="91" t="s">
        <v>829</v>
      </c>
      <c r="J1014" s="91">
        <v>2900</v>
      </c>
      <c r="K1014" s="91">
        <v>0</v>
      </c>
      <c r="L1014" s="91">
        <v>0</v>
      </c>
      <c r="M1014" s="91">
        <v>17688</v>
      </c>
      <c r="N1014" s="91">
        <v>2088</v>
      </c>
      <c r="O1014" s="91">
        <v>0</v>
      </c>
      <c r="P1014" s="91">
        <f>1080+168</f>
        <v>1248</v>
      </c>
      <c r="Q1014" s="97">
        <f t="shared" si="30"/>
        <v>23924</v>
      </c>
      <c r="R1014" s="95">
        <f t="shared" si="31"/>
        <v>20335.400000000001</v>
      </c>
    </row>
    <row r="1015" spans="1:23" ht="34.049999999999997" customHeight="1" x14ac:dyDescent="0.3">
      <c r="A1015" s="96">
        <v>1004</v>
      </c>
      <c r="B1015" s="91" t="s">
        <v>3328</v>
      </c>
      <c r="C1015" s="91" t="s">
        <v>7261</v>
      </c>
      <c r="D1015" s="93" t="s">
        <v>135</v>
      </c>
      <c r="E1015" s="91">
        <v>2025</v>
      </c>
      <c r="F1015" s="91" t="s">
        <v>19</v>
      </c>
      <c r="G1015" s="91" t="s">
        <v>196</v>
      </c>
      <c r="H1015" s="91" t="s">
        <v>239</v>
      </c>
      <c r="I1015" s="91" t="s">
        <v>290</v>
      </c>
      <c r="J1015" s="91">
        <v>2900</v>
      </c>
      <c r="K1015" s="91">
        <v>0</v>
      </c>
      <c r="L1015" s="91">
        <v>0</v>
      </c>
      <c r="M1015" s="91">
        <v>0</v>
      </c>
      <c r="N1015" s="91">
        <v>2088</v>
      </c>
      <c r="O1015" s="91">
        <v>0</v>
      </c>
      <c r="P1015" s="91">
        <f>720+112</f>
        <v>832</v>
      </c>
      <c r="Q1015" s="97">
        <f t="shared" si="30"/>
        <v>5820</v>
      </c>
      <c r="R1015" s="95">
        <f t="shared" si="31"/>
        <v>4947</v>
      </c>
    </row>
    <row r="1016" spans="1:23" ht="34.049999999999997" customHeight="1" x14ac:dyDescent="0.3">
      <c r="A1016" s="90">
        <v>1005</v>
      </c>
      <c r="B1016" s="91" t="s">
        <v>3328</v>
      </c>
      <c r="C1016" s="91" t="s">
        <v>7262</v>
      </c>
      <c r="D1016" s="93" t="s">
        <v>2718</v>
      </c>
      <c r="E1016" s="91">
        <v>1969</v>
      </c>
      <c r="F1016" s="91" t="s">
        <v>19</v>
      </c>
      <c r="G1016" s="91" t="s">
        <v>2786</v>
      </c>
      <c r="H1016" s="91" t="s">
        <v>2828</v>
      </c>
      <c r="I1016" s="91" t="s">
        <v>300</v>
      </c>
      <c r="J1016" s="91">
        <v>2900</v>
      </c>
      <c r="K1016" s="91">
        <v>0</v>
      </c>
      <c r="L1016" s="91">
        <v>0</v>
      </c>
      <c r="M1016" s="91">
        <v>0</v>
      </c>
      <c r="N1016" s="91">
        <v>1681</v>
      </c>
      <c r="O1016" s="91">
        <v>0</v>
      </c>
      <c r="P1016" s="91">
        <f>312+56</f>
        <v>368</v>
      </c>
      <c r="Q1016" s="97">
        <f t="shared" si="30"/>
        <v>4949</v>
      </c>
      <c r="R1016" s="95">
        <f t="shared" si="31"/>
        <v>4206.6499999999996</v>
      </c>
    </row>
    <row r="1017" spans="1:23" ht="34.049999999999997" customHeight="1" x14ac:dyDescent="0.3">
      <c r="A1017" s="90">
        <v>1006</v>
      </c>
      <c r="B1017" s="91" t="s">
        <v>3509</v>
      </c>
      <c r="C1017" s="91" t="s">
        <v>3510</v>
      </c>
      <c r="D1017" s="91" t="s">
        <v>3511</v>
      </c>
      <c r="E1017" s="91">
        <v>2022</v>
      </c>
      <c r="F1017" s="91" t="s">
        <v>19</v>
      </c>
      <c r="G1017" s="91" t="s">
        <v>3619</v>
      </c>
      <c r="H1017" s="91" t="s">
        <v>3587</v>
      </c>
      <c r="I1017" s="91" t="s">
        <v>3668</v>
      </c>
      <c r="J1017" s="91">
        <v>6199</v>
      </c>
      <c r="K1017" s="91">
        <v>0</v>
      </c>
      <c r="L1017" s="91">
        <v>0</v>
      </c>
      <c r="M1017" s="91">
        <v>0</v>
      </c>
      <c r="N1017" s="91">
        <v>0</v>
      </c>
      <c r="O1017" s="91">
        <v>0</v>
      </c>
      <c r="P1017" s="91">
        <v>0</v>
      </c>
      <c r="Q1017" s="97">
        <f t="shared" si="30"/>
        <v>6199</v>
      </c>
      <c r="R1017" s="95">
        <f t="shared" si="31"/>
        <v>5269.15</v>
      </c>
    </row>
    <row r="1018" spans="1:23" ht="34.049999999999997" customHeight="1" x14ac:dyDescent="0.3">
      <c r="A1018" s="96">
        <v>1007</v>
      </c>
      <c r="B1018" s="91" t="s">
        <v>3509</v>
      </c>
      <c r="C1018" s="91" t="s">
        <v>3512</v>
      </c>
      <c r="D1018" s="91" t="s">
        <v>1743</v>
      </c>
      <c r="E1018" s="91">
        <v>2025</v>
      </c>
      <c r="F1018" s="91" t="s">
        <v>18</v>
      </c>
      <c r="G1018" s="91" t="s">
        <v>1818</v>
      </c>
      <c r="H1018" s="91" t="s">
        <v>1862</v>
      </c>
      <c r="I1018" s="91" t="s">
        <v>1890</v>
      </c>
      <c r="J1018" s="91">
        <v>3793</v>
      </c>
      <c r="K1018" s="91">
        <v>0</v>
      </c>
      <c r="L1018" s="91">
        <v>0</v>
      </c>
      <c r="M1018" s="91">
        <v>0</v>
      </c>
      <c r="N1018" s="91">
        <v>0</v>
      </c>
      <c r="O1018" s="91">
        <v>0</v>
      </c>
      <c r="P1018" s="91">
        <v>0</v>
      </c>
      <c r="Q1018" s="97">
        <f t="shared" si="30"/>
        <v>3793</v>
      </c>
      <c r="R1018" s="95">
        <f t="shared" si="31"/>
        <v>3224.05</v>
      </c>
    </row>
    <row r="1019" spans="1:23" ht="34.049999999999997" customHeight="1" x14ac:dyDescent="0.3">
      <c r="A1019" s="90">
        <v>1008</v>
      </c>
      <c r="B1019" s="91" t="s">
        <v>3509</v>
      </c>
      <c r="C1019" s="91" t="s">
        <v>3513</v>
      </c>
      <c r="D1019" s="91" t="s">
        <v>3514</v>
      </c>
      <c r="E1019" s="91">
        <v>1995</v>
      </c>
      <c r="F1019" s="91" t="s">
        <v>19</v>
      </c>
      <c r="G1019" s="91" t="s">
        <v>3620</v>
      </c>
      <c r="H1019" s="91" t="s">
        <v>3620</v>
      </c>
      <c r="I1019" s="91" t="s">
        <v>3500</v>
      </c>
      <c r="J1019" s="91">
        <v>6199</v>
      </c>
      <c r="K1019" s="91">
        <v>0</v>
      </c>
      <c r="L1019" s="91">
        <v>0</v>
      </c>
      <c r="M1019" s="91">
        <v>0</v>
      </c>
      <c r="N1019" s="91">
        <f>34016+27380</f>
        <v>61396</v>
      </c>
      <c r="O1019" s="91">
        <v>0</v>
      </c>
      <c r="P1019" s="91">
        <v>0</v>
      </c>
      <c r="Q1019" s="97">
        <f t="shared" si="30"/>
        <v>67595</v>
      </c>
      <c r="R1019" s="95">
        <f t="shared" si="31"/>
        <v>57455.75</v>
      </c>
    </row>
    <row r="1020" spans="1:23" ht="34.049999999999997" customHeight="1" x14ac:dyDescent="0.3">
      <c r="A1020" s="90">
        <v>1009</v>
      </c>
      <c r="B1020" s="98" t="s">
        <v>3509</v>
      </c>
      <c r="C1020" s="98" t="s">
        <v>3515</v>
      </c>
      <c r="D1020" s="98" t="s">
        <v>3516</v>
      </c>
      <c r="E1020" s="98">
        <v>2017</v>
      </c>
      <c r="F1020" s="98" t="s">
        <v>19</v>
      </c>
      <c r="G1020" s="98" t="s">
        <v>3621</v>
      </c>
      <c r="H1020" s="98" t="s">
        <v>3588</v>
      </c>
      <c r="I1020" s="98" t="s">
        <v>2846</v>
      </c>
      <c r="J1020" s="98">
        <v>6199</v>
      </c>
      <c r="K1020" s="98">
        <f>6278+4484+1346+2332+2332+2332+2332+2332+4484+6995+6995+2332+6995+1166</f>
        <v>52735</v>
      </c>
      <c r="L1020" s="98">
        <v>0</v>
      </c>
      <c r="M1020" s="98">
        <v>0</v>
      </c>
      <c r="N1020" s="98">
        <f>2088+1178+4053+3148</f>
        <v>10467</v>
      </c>
      <c r="O1020" s="98">
        <v>0</v>
      </c>
      <c r="P1020" s="98">
        <f>720+660+720+112+792</f>
        <v>3004</v>
      </c>
      <c r="Q1020" s="97">
        <f t="shared" si="30"/>
        <v>72405</v>
      </c>
      <c r="R1020" s="95">
        <f t="shared" si="31"/>
        <v>61544.25</v>
      </c>
      <c r="S1020" s="41"/>
      <c r="T1020" s="41"/>
      <c r="U1020" s="41"/>
      <c r="V1020" s="41"/>
      <c r="W1020" s="41"/>
    </row>
    <row r="1021" spans="1:23" ht="34.049999999999997" customHeight="1" x14ac:dyDescent="0.3">
      <c r="A1021" s="96">
        <v>1010</v>
      </c>
      <c r="B1021" s="98" t="s">
        <v>3509</v>
      </c>
      <c r="C1021" s="98" t="s">
        <v>3515</v>
      </c>
      <c r="D1021" s="98" t="s">
        <v>3516</v>
      </c>
      <c r="E1021" s="98">
        <v>2017</v>
      </c>
      <c r="F1021" s="98" t="s">
        <v>19</v>
      </c>
      <c r="G1021" s="98" t="s">
        <v>3621</v>
      </c>
      <c r="H1021" s="98" t="s">
        <v>3588</v>
      </c>
      <c r="I1021" s="98" t="s">
        <v>2846</v>
      </c>
      <c r="J1021" s="98">
        <v>0</v>
      </c>
      <c r="K1021" s="98">
        <v>0</v>
      </c>
      <c r="L1021" s="98">
        <v>0</v>
      </c>
      <c r="M1021" s="98">
        <v>17688</v>
      </c>
      <c r="N1021" s="98">
        <f>2088+1178</f>
        <v>3266</v>
      </c>
      <c r="O1021" s="98">
        <v>0</v>
      </c>
      <c r="P1021" s="98">
        <f>720+112+792</f>
        <v>1624</v>
      </c>
      <c r="Q1021" s="97">
        <f t="shared" si="30"/>
        <v>22578</v>
      </c>
      <c r="R1021" s="95">
        <f t="shared" si="31"/>
        <v>19191.3</v>
      </c>
      <c r="S1021" s="41"/>
      <c r="T1021" s="41"/>
      <c r="U1021" s="41"/>
      <c r="V1021" s="41"/>
      <c r="W1021" s="41"/>
    </row>
    <row r="1022" spans="1:23" ht="34.049999999999997" customHeight="1" x14ac:dyDescent="0.3">
      <c r="A1022" s="90">
        <v>1011</v>
      </c>
      <c r="B1022" s="91" t="s">
        <v>3509</v>
      </c>
      <c r="C1022" s="91" t="s">
        <v>3517</v>
      </c>
      <c r="D1022" s="91" t="s">
        <v>3518</v>
      </c>
      <c r="E1022" s="91">
        <v>1990</v>
      </c>
      <c r="F1022" s="91" t="s">
        <v>18</v>
      </c>
      <c r="G1022" s="91" t="s">
        <v>3622</v>
      </c>
      <c r="H1022" s="91" t="s">
        <v>3622</v>
      </c>
      <c r="I1022" s="91" t="s">
        <v>3319</v>
      </c>
      <c r="J1022" s="91">
        <v>6199</v>
      </c>
      <c r="K1022" s="91">
        <v>0</v>
      </c>
      <c r="L1022" s="91">
        <v>0</v>
      </c>
      <c r="M1022" s="91">
        <v>0</v>
      </c>
      <c r="N1022" s="91">
        <v>1681</v>
      </c>
      <c r="O1022" s="91">
        <v>0</v>
      </c>
      <c r="P1022" s="91">
        <v>60</v>
      </c>
      <c r="Q1022" s="97">
        <f t="shared" si="30"/>
        <v>7940</v>
      </c>
      <c r="R1022" s="95">
        <f t="shared" si="31"/>
        <v>6749</v>
      </c>
    </row>
    <row r="1023" spans="1:23" ht="34.049999999999997" customHeight="1" x14ac:dyDescent="0.3">
      <c r="A1023" s="90">
        <v>1012</v>
      </c>
      <c r="B1023" s="91" t="s">
        <v>3509</v>
      </c>
      <c r="C1023" s="91" t="s">
        <v>3519</v>
      </c>
      <c r="D1023" s="91" t="s">
        <v>3520</v>
      </c>
      <c r="E1023" s="91">
        <v>2024</v>
      </c>
      <c r="F1023" s="91" t="s">
        <v>19</v>
      </c>
      <c r="G1023" s="91" t="s">
        <v>3623</v>
      </c>
      <c r="H1023" s="91" t="s">
        <v>3589</v>
      </c>
      <c r="I1023" s="91" t="s">
        <v>288</v>
      </c>
      <c r="J1023" s="91">
        <v>6199</v>
      </c>
      <c r="K1023" s="91">
        <v>0</v>
      </c>
      <c r="L1023" s="91">
        <v>0</v>
      </c>
      <c r="M1023" s="91">
        <v>0</v>
      </c>
      <c r="N1023" s="91">
        <v>0</v>
      </c>
      <c r="O1023" s="91">
        <v>0</v>
      </c>
      <c r="P1023" s="91">
        <v>0</v>
      </c>
      <c r="Q1023" s="97">
        <f t="shared" si="30"/>
        <v>6199</v>
      </c>
      <c r="R1023" s="95">
        <f t="shared" si="31"/>
        <v>5269.15</v>
      </c>
    </row>
    <row r="1024" spans="1:23" ht="34.049999999999997" customHeight="1" x14ac:dyDescent="0.3">
      <c r="A1024" s="96">
        <v>1013</v>
      </c>
      <c r="B1024" s="91" t="s">
        <v>3509</v>
      </c>
      <c r="C1024" s="91" t="s">
        <v>3521</v>
      </c>
      <c r="D1024" s="91" t="s">
        <v>3522</v>
      </c>
      <c r="E1024" s="91">
        <v>2025</v>
      </c>
      <c r="F1024" s="91" t="s">
        <v>18</v>
      </c>
      <c r="G1024" s="91" t="s">
        <v>3624</v>
      </c>
      <c r="H1024" s="91" t="s">
        <v>3590</v>
      </c>
      <c r="I1024" s="91" t="s">
        <v>3669</v>
      </c>
      <c r="J1024" s="91">
        <v>6199</v>
      </c>
      <c r="K1024" s="91">
        <f>6278+4484+2332+1346+2332+2332+2332+6995+6995+6995+2332+4484+2332+2332</f>
        <v>53901</v>
      </c>
      <c r="L1024" s="91">
        <v>0</v>
      </c>
      <c r="M1024" s="91">
        <v>0</v>
      </c>
      <c r="N1024" s="91">
        <v>3148</v>
      </c>
      <c r="O1024" s="91">
        <v>0</v>
      </c>
      <c r="P1024" s="91">
        <v>0</v>
      </c>
      <c r="Q1024" s="97">
        <f t="shared" si="30"/>
        <v>63248</v>
      </c>
      <c r="R1024" s="95">
        <f t="shared" si="31"/>
        <v>53760.800000000003</v>
      </c>
    </row>
    <row r="1025" spans="1:23" ht="34.049999999999997" customHeight="1" x14ac:dyDescent="0.3">
      <c r="A1025" s="90">
        <v>1014</v>
      </c>
      <c r="B1025" s="91" t="s">
        <v>3509</v>
      </c>
      <c r="C1025" s="91" t="s">
        <v>3523</v>
      </c>
      <c r="D1025" s="91" t="s">
        <v>3524</v>
      </c>
      <c r="E1025" s="91">
        <v>1982</v>
      </c>
      <c r="F1025" s="91" t="s">
        <v>19</v>
      </c>
      <c r="G1025" s="91" t="s">
        <v>3625</v>
      </c>
      <c r="H1025" s="91" t="s">
        <v>3625</v>
      </c>
      <c r="I1025" s="91" t="s">
        <v>278</v>
      </c>
      <c r="J1025" s="91">
        <v>6199</v>
      </c>
      <c r="K1025" s="91">
        <v>0</v>
      </c>
      <c r="L1025" s="91">
        <v>13298</v>
      </c>
      <c r="M1025" s="91">
        <v>0</v>
      </c>
      <c r="N1025" s="91">
        <v>0</v>
      </c>
      <c r="O1025" s="91">
        <v>0</v>
      </c>
      <c r="P1025" s="91">
        <v>0</v>
      </c>
      <c r="Q1025" s="97">
        <f t="shared" si="30"/>
        <v>19497</v>
      </c>
      <c r="R1025" s="95">
        <f t="shared" si="31"/>
        <v>16572.45</v>
      </c>
    </row>
    <row r="1026" spans="1:23" ht="34.049999999999997" customHeight="1" x14ac:dyDescent="0.3">
      <c r="A1026" s="90">
        <v>1015</v>
      </c>
      <c r="B1026" s="98" t="s">
        <v>3509</v>
      </c>
      <c r="C1026" s="98" t="s">
        <v>3525</v>
      </c>
      <c r="D1026" s="98" t="s">
        <v>3526</v>
      </c>
      <c r="E1026" s="98">
        <v>2008</v>
      </c>
      <c r="F1026" s="98" t="s">
        <v>19</v>
      </c>
      <c r="G1026" s="98" t="s">
        <v>3626</v>
      </c>
      <c r="H1026" s="98" t="s">
        <v>189</v>
      </c>
      <c r="I1026" s="98" t="s">
        <v>1480</v>
      </c>
      <c r="J1026" s="98">
        <v>6199</v>
      </c>
      <c r="K1026" s="98">
        <f>6278+4484+1346+4484+1166+2332+2332+2332+2332+3000+3000+6995+6995+2332+2332</f>
        <v>51740</v>
      </c>
      <c r="L1026" s="98">
        <v>0</v>
      </c>
      <c r="M1026" s="98">
        <v>0</v>
      </c>
      <c r="N1026" s="98">
        <f>1793+1178+3179+1681</f>
        <v>7831</v>
      </c>
      <c r="O1026" s="98">
        <v>0</v>
      </c>
      <c r="P1026" s="98">
        <f>720+660+144+720+120+374+60+312+56+396</f>
        <v>3562</v>
      </c>
      <c r="Q1026" s="97">
        <f t="shared" si="30"/>
        <v>69332</v>
      </c>
      <c r="R1026" s="95">
        <f t="shared" si="31"/>
        <v>58932.2</v>
      </c>
      <c r="S1026" s="41"/>
      <c r="T1026" s="41"/>
      <c r="U1026" s="41"/>
      <c r="V1026" s="41"/>
      <c r="W1026" s="41"/>
    </row>
    <row r="1027" spans="1:23" ht="34.049999999999997" customHeight="1" x14ac:dyDescent="0.3">
      <c r="A1027" s="96">
        <v>1016</v>
      </c>
      <c r="B1027" s="98" t="s">
        <v>3509</v>
      </c>
      <c r="C1027" s="98" t="s">
        <v>3525</v>
      </c>
      <c r="D1027" s="98" t="s">
        <v>3526</v>
      </c>
      <c r="E1027" s="98">
        <v>2008</v>
      </c>
      <c r="F1027" s="98" t="s">
        <v>2635</v>
      </c>
      <c r="G1027" s="98" t="s">
        <v>3626</v>
      </c>
      <c r="H1027" s="98" t="s">
        <v>189</v>
      </c>
      <c r="I1027" s="98" t="s">
        <v>1480</v>
      </c>
      <c r="J1027" s="98">
        <v>0</v>
      </c>
      <c r="K1027" s="98">
        <v>0</v>
      </c>
      <c r="L1027" s="98">
        <v>0</v>
      </c>
      <c r="M1027" s="98">
        <v>17688</v>
      </c>
      <c r="N1027" s="98">
        <f>2088+1178</f>
        <v>3266</v>
      </c>
      <c r="O1027" s="98">
        <v>0</v>
      </c>
      <c r="P1027" s="98">
        <f>56+396+312</f>
        <v>764</v>
      </c>
      <c r="Q1027" s="97">
        <f t="shared" si="30"/>
        <v>21718</v>
      </c>
      <c r="R1027" s="95">
        <f t="shared" si="31"/>
        <v>18460.3</v>
      </c>
      <c r="S1027" s="41"/>
      <c r="T1027" s="41"/>
      <c r="U1027" s="41"/>
      <c r="V1027" s="41"/>
      <c r="W1027" s="41"/>
    </row>
    <row r="1028" spans="1:23" ht="34.049999999999997" customHeight="1" x14ac:dyDescent="0.3">
      <c r="A1028" s="90">
        <v>1017</v>
      </c>
      <c r="B1028" s="91" t="s">
        <v>3509</v>
      </c>
      <c r="C1028" s="91" t="s">
        <v>3527</v>
      </c>
      <c r="D1028" s="91" t="s">
        <v>3528</v>
      </c>
      <c r="E1028" s="91">
        <v>1984</v>
      </c>
      <c r="F1028" s="91" t="s">
        <v>18</v>
      </c>
      <c r="G1028" s="91" t="s">
        <v>3627</v>
      </c>
      <c r="H1028" s="91" t="s">
        <v>3627</v>
      </c>
      <c r="I1028" s="91" t="s">
        <v>3670</v>
      </c>
      <c r="J1028" s="91">
        <v>6199</v>
      </c>
      <c r="K1028" s="91">
        <v>0</v>
      </c>
      <c r="L1028" s="91">
        <v>0</v>
      </c>
      <c r="M1028" s="91">
        <v>0</v>
      </c>
      <c r="N1028" s="91">
        <v>0</v>
      </c>
      <c r="O1028" s="91">
        <v>0</v>
      </c>
      <c r="P1028" s="91">
        <v>0</v>
      </c>
      <c r="Q1028" s="97">
        <f t="shared" si="30"/>
        <v>6199</v>
      </c>
      <c r="R1028" s="95">
        <f t="shared" si="31"/>
        <v>5269.15</v>
      </c>
    </row>
    <row r="1029" spans="1:23" ht="34.049999999999997" customHeight="1" x14ac:dyDescent="0.3">
      <c r="A1029" s="90">
        <v>1018</v>
      </c>
      <c r="B1029" s="91" t="s">
        <v>3509</v>
      </c>
      <c r="C1029" s="91" t="s">
        <v>3529</v>
      </c>
      <c r="D1029" s="91" t="s">
        <v>3530</v>
      </c>
      <c r="E1029" s="91">
        <v>2021</v>
      </c>
      <c r="F1029" s="91" t="s">
        <v>18</v>
      </c>
      <c r="G1029" s="91" t="s">
        <v>3628</v>
      </c>
      <c r="H1029" s="91" t="s">
        <v>3591</v>
      </c>
      <c r="I1029" s="91" t="s">
        <v>3671</v>
      </c>
      <c r="J1029" s="91">
        <v>6199</v>
      </c>
      <c r="K1029" s="91">
        <v>0</v>
      </c>
      <c r="L1029" s="91">
        <v>0</v>
      </c>
      <c r="M1029" s="91">
        <v>0</v>
      </c>
      <c r="N1029" s="91">
        <v>0</v>
      </c>
      <c r="O1029" s="91">
        <v>0</v>
      </c>
      <c r="P1029" s="91">
        <v>0</v>
      </c>
      <c r="Q1029" s="97">
        <f t="shared" si="30"/>
        <v>6199</v>
      </c>
      <c r="R1029" s="95">
        <f t="shared" si="31"/>
        <v>5269.15</v>
      </c>
    </row>
    <row r="1030" spans="1:23" ht="34.049999999999997" customHeight="1" x14ac:dyDescent="0.3">
      <c r="A1030" s="96">
        <v>1019</v>
      </c>
      <c r="B1030" s="91" t="s">
        <v>3509</v>
      </c>
      <c r="C1030" s="91" t="s">
        <v>3531</v>
      </c>
      <c r="D1030" s="91" t="s">
        <v>3532</v>
      </c>
      <c r="E1030" s="91">
        <v>1987</v>
      </c>
      <c r="F1030" s="91" t="s">
        <v>19</v>
      </c>
      <c r="G1030" s="91" t="s">
        <v>3629</v>
      </c>
      <c r="H1030" s="91" t="s">
        <v>3629</v>
      </c>
      <c r="I1030" s="91" t="s">
        <v>3672</v>
      </c>
      <c r="J1030" s="91">
        <v>6199</v>
      </c>
      <c r="K1030" s="91">
        <f>2332+2332+2243+1346</f>
        <v>8253</v>
      </c>
      <c r="L1030" s="91">
        <v>0</v>
      </c>
      <c r="M1030" s="91">
        <v>0</v>
      </c>
      <c r="N1030" s="91">
        <v>0</v>
      </c>
      <c r="O1030" s="91">
        <v>0</v>
      </c>
      <c r="P1030" s="91">
        <v>0</v>
      </c>
      <c r="Q1030" s="97">
        <f t="shared" si="30"/>
        <v>14452</v>
      </c>
      <c r="R1030" s="95">
        <f t="shared" si="31"/>
        <v>12284.2</v>
      </c>
    </row>
    <row r="1031" spans="1:23" ht="34.049999999999997" customHeight="1" x14ac:dyDescent="0.3">
      <c r="A1031" s="90">
        <v>1020</v>
      </c>
      <c r="B1031" s="91" t="s">
        <v>3509</v>
      </c>
      <c r="C1031" s="91" t="s">
        <v>3533</v>
      </c>
      <c r="D1031" s="91" t="s">
        <v>3534</v>
      </c>
      <c r="E1031" s="91">
        <v>2023</v>
      </c>
      <c r="F1031" s="91" t="s">
        <v>19</v>
      </c>
      <c r="G1031" s="91" t="s">
        <v>3630</v>
      </c>
      <c r="H1031" s="91" t="s">
        <v>3592</v>
      </c>
      <c r="I1031" s="91" t="s">
        <v>34</v>
      </c>
      <c r="J1031" s="91">
        <v>6199</v>
      </c>
      <c r="K1031" s="91">
        <f>6278+4484+1346+4484+2332+2332+2332+2332+2332+2332+6995+6995+2332+6995</f>
        <v>53901</v>
      </c>
      <c r="L1031" s="91">
        <v>0</v>
      </c>
      <c r="M1031" s="91">
        <v>0</v>
      </c>
      <c r="N1031" s="91">
        <v>3148</v>
      </c>
      <c r="O1031" s="91">
        <v>0</v>
      </c>
      <c r="P1031" s="91">
        <v>0</v>
      </c>
      <c r="Q1031" s="97">
        <f t="shared" si="30"/>
        <v>63248</v>
      </c>
      <c r="R1031" s="95">
        <f t="shared" si="31"/>
        <v>53760.800000000003</v>
      </c>
    </row>
    <row r="1032" spans="1:23" ht="34.049999999999997" customHeight="1" x14ac:dyDescent="0.3">
      <c r="A1032" s="90">
        <v>1021</v>
      </c>
      <c r="B1032" s="91" t="s">
        <v>3509</v>
      </c>
      <c r="C1032" s="91" t="s">
        <v>3535</v>
      </c>
      <c r="D1032" s="91" t="s">
        <v>3536</v>
      </c>
      <c r="E1032" s="91">
        <v>2021</v>
      </c>
      <c r="F1032" s="91" t="s">
        <v>18</v>
      </c>
      <c r="G1032" s="91" t="s">
        <v>3631</v>
      </c>
      <c r="H1032" s="91" t="s">
        <v>3593</v>
      </c>
      <c r="I1032" s="91" t="s">
        <v>1070</v>
      </c>
      <c r="J1032" s="91">
        <v>6199</v>
      </c>
      <c r="K1032" s="91">
        <f>6278+4484+1346+4484+2332+2332+2332+2332+2332+2332+6995+6995+2332+6995</f>
        <v>53901</v>
      </c>
      <c r="L1032" s="91">
        <v>0</v>
      </c>
      <c r="M1032" s="91">
        <v>0</v>
      </c>
      <c r="N1032" s="91">
        <v>3148</v>
      </c>
      <c r="O1032" s="91">
        <v>0</v>
      </c>
      <c r="P1032" s="91">
        <v>0</v>
      </c>
      <c r="Q1032" s="97">
        <f t="shared" si="30"/>
        <v>63248</v>
      </c>
      <c r="R1032" s="95">
        <f t="shared" si="31"/>
        <v>53760.800000000003</v>
      </c>
    </row>
    <row r="1033" spans="1:23" ht="34.049999999999997" customHeight="1" x14ac:dyDescent="0.3">
      <c r="A1033" s="96">
        <v>1022</v>
      </c>
      <c r="B1033" s="91" t="s">
        <v>3509</v>
      </c>
      <c r="C1033" s="91" t="s">
        <v>3537</v>
      </c>
      <c r="D1033" s="91" t="s">
        <v>3538</v>
      </c>
      <c r="E1033" s="91">
        <v>1978</v>
      </c>
      <c r="F1033" s="91" t="s">
        <v>19</v>
      </c>
      <c r="G1033" s="91" t="s">
        <v>3632</v>
      </c>
      <c r="H1033" s="91" t="s">
        <v>3594</v>
      </c>
      <c r="I1033" s="91" t="s">
        <v>35</v>
      </c>
      <c r="J1033" s="91">
        <v>6199</v>
      </c>
      <c r="K1033" s="91">
        <v>0</v>
      </c>
      <c r="L1033" s="91">
        <v>0</v>
      </c>
      <c r="M1033" s="91">
        <v>0</v>
      </c>
      <c r="N1033" s="91">
        <v>0</v>
      </c>
      <c r="O1033" s="91">
        <v>0</v>
      </c>
      <c r="P1033" s="91">
        <v>0</v>
      </c>
      <c r="Q1033" s="97">
        <f t="shared" si="30"/>
        <v>6199</v>
      </c>
      <c r="R1033" s="95">
        <f t="shared" si="31"/>
        <v>5269.15</v>
      </c>
    </row>
    <row r="1034" spans="1:23" ht="34.049999999999997" customHeight="1" x14ac:dyDescent="0.3">
      <c r="A1034" s="90">
        <v>1023</v>
      </c>
      <c r="B1034" s="91" t="s">
        <v>3509</v>
      </c>
      <c r="C1034" s="91" t="s">
        <v>3539</v>
      </c>
      <c r="D1034" s="91" t="s">
        <v>3540</v>
      </c>
      <c r="E1034" s="91">
        <v>2001</v>
      </c>
      <c r="F1034" s="91" t="s">
        <v>18</v>
      </c>
      <c r="G1034" s="91" t="s">
        <v>3633</v>
      </c>
      <c r="H1034" s="91" t="s">
        <v>3633</v>
      </c>
      <c r="I1034" s="91" t="s">
        <v>34</v>
      </c>
      <c r="J1034" s="91">
        <v>6199</v>
      </c>
      <c r="K1034" s="91">
        <f>6278+4484+1346+2332+2332+2332+2332+2332+2332+3000+3000+3228+6995</f>
        <v>42323</v>
      </c>
      <c r="L1034" s="91">
        <v>0</v>
      </c>
      <c r="M1034" s="91">
        <v>0</v>
      </c>
      <c r="N1034" s="91">
        <v>1793</v>
      </c>
      <c r="O1034" s="91">
        <v>0</v>
      </c>
      <c r="P1034" s="91">
        <v>0</v>
      </c>
      <c r="Q1034" s="97">
        <f t="shared" si="30"/>
        <v>50315</v>
      </c>
      <c r="R1034" s="95">
        <f t="shared" si="31"/>
        <v>42767.75</v>
      </c>
    </row>
    <row r="1035" spans="1:23" ht="34.049999999999997" customHeight="1" x14ac:dyDescent="0.3">
      <c r="A1035" s="90">
        <v>1024</v>
      </c>
      <c r="B1035" s="91" t="s">
        <v>3509</v>
      </c>
      <c r="C1035" s="91" t="s">
        <v>3541</v>
      </c>
      <c r="D1035" s="91" t="s">
        <v>3542</v>
      </c>
      <c r="E1035" s="91">
        <v>2020</v>
      </c>
      <c r="F1035" s="91" t="s">
        <v>19</v>
      </c>
      <c r="G1035" s="91" t="s">
        <v>3634</v>
      </c>
      <c r="H1035" s="91" t="s">
        <v>3595</v>
      </c>
      <c r="I1035" s="91" t="s">
        <v>3673</v>
      </c>
      <c r="J1035" s="91">
        <v>6199</v>
      </c>
      <c r="K1035" s="91">
        <v>0</v>
      </c>
      <c r="L1035" s="91">
        <v>0</v>
      </c>
      <c r="M1035" s="91">
        <v>0</v>
      </c>
      <c r="N1035" s="91">
        <f>46329+35836</f>
        <v>82165</v>
      </c>
      <c r="O1035" s="91">
        <v>0</v>
      </c>
      <c r="P1035" s="91">
        <v>0</v>
      </c>
      <c r="Q1035" s="97">
        <f t="shared" si="30"/>
        <v>88364</v>
      </c>
      <c r="R1035" s="95">
        <f t="shared" si="31"/>
        <v>75109.399999999994</v>
      </c>
    </row>
    <row r="1036" spans="1:23" ht="34.049999999999997" customHeight="1" x14ac:dyDescent="0.3">
      <c r="A1036" s="96">
        <v>1025</v>
      </c>
      <c r="B1036" s="91" t="s">
        <v>3509</v>
      </c>
      <c r="C1036" s="91" t="s">
        <v>3543</v>
      </c>
      <c r="D1036" s="91" t="s">
        <v>3544</v>
      </c>
      <c r="E1036" s="91">
        <v>2014</v>
      </c>
      <c r="F1036" s="91" t="s">
        <v>18</v>
      </c>
      <c r="G1036" s="91" t="s">
        <v>3635</v>
      </c>
      <c r="H1036" s="91" t="s">
        <v>3281</v>
      </c>
      <c r="I1036" s="91" t="s">
        <v>2846</v>
      </c>
      <c r="J1036" s="91">
        <v>6199</v>
      </c>
      <c r="K1036" s="91">
        <v>0</v>
      </c>
      <c r="L1036" s="91">
        <v>0</v>
      </c>
      <c r="M1036" s="91">
        <v>0</v>
      </c>
      <c r="N1036" s="91">
        <v>0</v>
      </c>
      <c r="O1036" s="91">
        <v>0</v>
      </c>
      <c r="P1036" s="91">
        <v>0</v>
      </c>
      <c r="Q1036" s="97">
        <f t="shared" ref="Q1036:Q1099" si="32">SUM(J1036:P1036)</f>
        <v>6199</v>
      </c>
      <c r="R1036" s="95">
        <f t="shared" si="31"/>
        <v>5269.15</v>
      </c>
    </row>
    <row r="1037" spans="1:23" ht="34.049999999999997" customHeight="1" x14ac:dyDescent="0.3">
      <c r="A1037" s="90">
        <v>1026</v>
      </c>
      <c r="B1037" s="91" t="s">
        <v>3509</v>
      </c>
      <c r="C1037" s="91" t="s">
        <v>3545</v>
      </c>
      <c r="D1037" s="91" t="s">
        <v>1747</v>
      </c>
      <c r="E1037" s="91">
        <v>2023</v>
      </c>
      <c r="F1037" s="91" t="s">
        <v>19</v>
      </c>
      <c r="G1037" s="91" t="s">
        <v>1820</v>
      </c>
      <c r="H1037" s="91" t="s">
        <v>1864</v>
      </c>
      <c r="I1037" s="91" t="s">
        <v>1892</v>
      </c>
      <c r="J1037" s="91">
        <v>3793</v>
      </c>
      <c r="K1037" s="91">
        <v>0</v>
      </c>
      <c r="L1037" s="91">
        <v>0</v>
      </c>
      <c r="M1037" s="91">
        <v>0</v>
      </c>
      <c r="N1037" s="91">
        <v>0</v>
      </c>
      <c r="O1037" s="91">
        <v>0</v>
      </c>
      <c r="P1037" s="91">
        <v>0</v>
      </c>
      <c r="Q1037" s="97">
        <f t="shared" si="32"/>
        <v>3793</v>
      </c>
      <c r="R1037" s="95">
        <f t="shared" ref="R1037:R1100" si="33">Q1037*85/100</f>
        <v>3224.05</v>
      </c>
    </row>
    <row r="1038" spans="1:23" ht="34.049999999999997" customHeight="1" x14ac:dyDescent="0.3">
      <c r="A1038" s="90">
        <v>1027</v>
      </c>
      <c r="B1038" s="91" t="s">
        <v>3509</v>
      </c>
      <c r="C1038" s="91" t="s">
        <v>3546</v>
      </c>
      <c r="D1038" s="91" t="s">
        <v>3547</v>
      </c>
      <c r="E1038" s="91">
        <v>1983</v>
      </c>
      <c r="F1038" s="91" t="s">
        <v>19</v>
      </c>
      <c r="G1038" s="91" t="s">
        <v>3636</v>
      </c>
      <c r="H1038" s="91" t="s">
        <v>3636</v>
      </c>
      <c r="I1038" s="91" t="s">
        <v>3674</v>
      </c>
      <c r="J1038" s="91">
        <v>6199</v>
      </c>
      <c r="K1038" s="91">
        <f>2332+2332+2243+6278+2332+2332+2332+2332+2332</f>
        <v>24845</v>
      </c>
      <c r="L1038" s="91">
        <v>17279</v>
      </c>
      <c r="M1038" s="91">
        <v>0</v>
      </c>
      <c r="N1038" s="91">
        <v>1793</v>
      </c>
      <c r="O1038" s="91">
        <v>0</v>
      </c>
      <c r="P1038" s="91">
        <v>0</v>
      </c>
      <c r="Q1038" s="97">
        <f t="shared" si="32"/>
        <v>50116</v>
      </c>
      <c r="R1038" s="95">
        <f t="shared" si="33"/>
        <v>42598.6</v>
      </c>
    </row>
    <row r="1039" spans="1:23" ht="34.049999999999997" customHeight="1" x14ac:dyDescent="0.3">
      <c r="A1039" s="96">
        <v>1028</v>
      </c>
      <c r="B1039" s="91" t="s">
        <v>3509</v>
      </c>
      <c r="C1039" s="91" t="s">
        <v>3548</v>
      </c>
      <c r="D1039" s="91" t="s">
        <v>3549</v>
      </c>
      <c r="E1039" s="91">
        <v>1998</v>
      </c>
      <c r="F1039" s="91" t="s">
        <v>19</v>
      </c>
      <c r="G1039" s="91" t="s">
        <v>3637</v>
      </c>
      <c r="H1039" s="91" t="s">
        <v>3637</v>
      </c>
      <c r="I1039" s="91" t="s">
        <v>3675</v>
      </c>
      <c r="J1039" s="91">
        <v>6199</v>
      </c>
      <c r="K1039" s="91">
        <v>0</v>
      </c>
      <c r="L1039" s="91">
        <v>0</v>
      </c>
      <c r="M1039" s="91">
        <v>0</v>
      </c>
      <c r="N1039" s="91">
        <v>0</v>
      </c>
      <c r="O1039" s="91">
        <v>0</v>
      </c>
      <c r="P1039" s="91">
        <v>0</v>
      </c>
      <c r="Q1039" s="97">
        <f t="shared" si="32"/>
        <v>6199</v>
      </c>
      <c r="R1039" s="95">
        <f t="shared" si="33"/>
        <v>5269.15</v>
      </c>
    </row>
    <row r="1040" spans="1:23" ht="34.049999999999997" customHeight="1" x14ac:dyDescent="0.3">
      <c r="A1040" s="90">
        <v>1029</v>
      </c>
      <c r="B1040" s="98" t="s">
        <v>3509</v>
      </c>
      <c r="C1040" s="98" t="s">
        <v>3550</v>
      </c>
      <c r="D1040" s="98" t="s">
        <v>2253</v>
      </c>
      <c r="E1040" s="98">
        <v>2022</v>
      </c>
      <c r="F1040" s="98" t="s">
        <v>18</v>
      </c>
      <c r="G1040" s="98" t="s">
        <v>2365</v>
      </c>
      <c r="H1040" s="98" t="s">
        <v>2420</v>
      </c>
      <c r="I1040" s="98" t="s">
        <v>34</v>
      </c>
      <c r="J1040" s="98">
        <v>6199</v>
      </c>
      <c r="K1040" s="98">
        <v>0</v>
      </c>
      <c r="L1040" s="98">
        <v>0</v>
      </c>
      <c r="M1040" s="98">
        <v>0</v>
      </c>
      <c r="N1040" s="98">
        <f>15443+121574+27126</f>
        <v>164143</v>
      </c>
      <c r="O1040" s="98">
        <v>0</v>
      </c>
      <c r="P1040" s="98">
        <v>0</v>
      </c>
      <c r="Q1040" s="97">
        <f t="shared" si="32"/>
        <v>170342</v>
      </c>
      <c r="R1040" s="95">
        <f t="shared" si="33"/>
        <v>144790.70000000001</v>
      </c>
      <c r="S1040" s="41"/>
      <c r="T1040" s="41"/>
      <c r="U1040" s="41"/>
      <c r="V1040" s="41"/>
      <c r="W1040" s="41"/>
    </row>
    <row r="1041" spans="1:23" ht="34.049999999999997" customHeight="1" x14ac:dyDescent="0.3">
      <c r="A1041" s="90">
        <v>1030</v>
      </c>
      <c r="B1041" s="91" t="s">
        <v>3509</v>
      </c>
      <c r="C1041" s="91" t="s">
        <v>3551</v>
      </c>
      <c r="D1041" s="91" t="s">
        <v>3552</v>
      </c>
      <c r="E1041" s="91">
        <v>1999</v>
      </c>
      <c r="F1041" s="91" t="s">
        <v>19</v>
      </c>
      <c r="G1041" s="91" t="s">
        <v>3638</v>
      </c>
      <c r="H1041" s="91" t="s">
        <v>3638</v>
      </c>
      <c r="I1041" s="91" t="s">
        <v>3676</v>
      </c>
      <c r="J1041" s="91">
        <v>6199</v>
      </c>
      <c r="K1041" s="91">
        <f>2332+2332+2243+1166</f>
        <v>8073</v>
      </c>
      <c r="L1041" s="91">
        <v>0</v>
      </c>
      <c r="M1041" s="91">
        <v>0</v>
      </c>
      <c r="N1041" s="91">
        <v>0</v>
      </c>
      <c r="O1041" s="91">
        <v>0</v>
      </c>
      <c r="P1041" s="91">
        <v>0</v>
      </c>
      <c r="Q1041" s="97">
        <f t="shared" si="32"/>
        <v>14272</v>
      </c>
      <c r="R1041" s="95">
        <f t="shared" si="33"/>
        <v>12131.2</v>
      </c>
    </row>
    <row r="1042" spans="1:23" ht="34.049999999999997" customHeight="1" x14ac:dyDescent="0.3">
      <c r="A1042" s="96">
        <v>1031</v>
      </c>
      <c r="B1042" s="98" t="s">
        <v>3509</v>
      </c>
      <c r="C1042" s="98" t="s">
        <v>3553</v>
      </c>
      <c r="D1042" s="98" t="s">
        <v>3554</v>
      </c>
      <c r="E1042" s="98">
        <v>2023</v>
      </c>
      <c r="F1042" s="98" t="s">
        <v>19</v>
      </c>
      <c r="G1042" s="98" t="s">
        <v>3639</v>
      </c>
      <c r="H1042" s="98" t="s">
        <v>3596</v>
      </c>
      <c r="I1042" s="98" t="s">
        <v>3677</v>
      </c>
      <c r="J1042" s="98">
        <v>6199</v>
      </c>
      <c r="K1042" s="98">
        <v>0</v>
      </c>
      <c r="L1042" s="98">
        <v>0</v>
      </c>
      <c r="M1042" s="98">
        <v>0</v>
      </c>
      <c r="N1042" s="98">
        <v>0</v>
      </c>
      <c r="O1042" s="98">
        <v>0</v>
      </c>
      <c r="P1042" s="98">
        <v>0</v>
      </c>
      <c r="Q1042" s="97">
        <f t="shared" si="32"/>
        <v>6199</v>
      </c>
      <c r="R1042" s="95">
        <f t="shared" si="33"/>
        <v>5269.15</v>
      </c>
      <c r="S1042" s="41"/>
      <c r="T1042" s="41"/>
      <c r="U1042" s="41"/>
      <c r="V1042" s="41"/>
      <c r="W1042" s="41"/>
    </row>
    <row r="1043" spans="1:23" ht="34.049999999999997" customHeight="1" x14ac:dyDescent="0.3">
      <c r="A1043" s="90">
        <v>1032</v>
      </c>
      <c r="B1043" s="91" t="s">
        <v>3509</v>
      </c>
      <c r="C1043" s="91" t="s">
        <v>3555</v>
      </c>
      <c r="D1043" s="91" t="s">
        <v>3556</v>
      </c>
      <c r="E1043" s="91">
        <v>2024</v>
      </c>
      <c r="F1043" s="91" t="s">
        <v>18</v>
      </c>
      <c r="G1043" s="91" t="s">
        <v>3640</v>
      </c>
      <c r="H1043" s="91" t="s">
        <v>3597</v>
      </c>
      <c r="I1043" s="91" t="s">
        <v>1075</v>
      </c>
      <c r="J1043" s="91">
        <v>6199</v>
      </c>
      <c r="K1043" s="91">
        <v>0</v>
      </c>
      <c r="L1043" s="91">
        <v>0</v>
      </c>
      <c r="M1043" s="91">
        <v>0</v>
      </c>
      <c r="N1043" s="91">
        <v>0</v>
      </c>
      <c r="O1043" s="91">
        <v>0</v>
      </c>
      <c r="P1043" s="91">
        <v>0</v>
      </c>
      <c r="Q1043" s="97">
        <f t="shared" si="32"/>
        <v>6199</v>
      </c>
      <c r="R1043" s="95">
        <f t="shared" si="33"/>
        <v>5269.15</v>
      </c>
    </row>
    <row r="1044" spans="1:23" ht="34.049999999999997" customHeight="1" x14ac:dyDescent="0.3">
      <c r="A1044" s="90">
        <v>1033</v>
      </c>
      <c r="B1044" s="98" t="s">
        <v>3509</v>
      </c>
      <c r="C1044" s="98" t="s">
        <v>3557</v>
      </c>
      <c r="D1044" s="98" t="s">
        <v>1580</v>
      </c>
      <c r="E1044" s="98">
        <v>1989</v>
      </c>
      <c r="F1044" s="98" t="s">
        <v>18</v>
      </c>
      <c r="G1044" s="98" t="s">
        <v>1644</v>
      </c>
      <c r="H1044" s="98" t="s">
        <v>1676</v>
      </c>
      <c r="I1044" s="98" t="s">
        <v>1706</v>
      </c>
      <c r="J1044" s="98">
        <v>0</v>
      </c>
      <c r="K1044" s="98">
        <v>0</v>
      </c>
      <c r="L1044" s="98">
        <v>0</v>
      </c>
      <c r="M1044" s="98">
        <v>0</v>
      </c>
      <c r="N1044" s="98">
        <f>34016+27380</f>
        <v>61396</v>
      </c>
      <c r="O1044" s="98">
        <v>0</v>
      </c>
      <c r="P1044" s="98">
        <v>0</v>
      </c>
      <c r="Q1044" s="97">
        <f t="shared" si="32"/>
        <v>61396</v>
      </c>
      <c r="R1044" s="95">
        <f t="shared" si="33"/>
        <v>52186.6</v>
      </c>
      <c r="S1044" s="41"/>
      <c r="T1044" s="41"/>
      <c r="U1044" s="41"/>
      <c r="V1044" s="41"/>
      <c r="W1044" s="41"/>
    </row>
    <row r="1045" spans="1:23" ht="34.049999999999997" customHeight="1" x14ac:dyDescent="0.3">
      <c r="A1045" s="96">
        <v>1034</v>
      </c>
      <c r="B1045" s="91" t="s">
        <v>3509</v>
      </c>
      <c r="C1045" s="91" t="s">
        <v>3558</v>
      </c>
      <c r="D1045" s="91" t="s">
        <v>3410</v>
      </c>
      <c r="E1045" s="91">
        <v>1968</v>
      </c>
      <c r="F1045" s="91" t="s">
        <v>19</v>
      </c>
      <c r="G1045" s="91" t="s">
        <v>3458</v>
      </c>
      <c r="H1045" s="91" t="s">
        <v>3458</v>
      </c>
      <c r="I1045" s="91" t="s">
        <v>1066</v>
      </c>
      <c r="J1045" s="91">
        <v>0</v>
      </c>
      <c r="K1045" s="91">
        <f>2332+2332+2243</f>
        <v>6907</v>
      </c>
      <c r="L1045" s="91">
        <v>0</v>
      </c>
      <c r="M1045" s="91">
        <v>0</v>
      </c>
      <c r="N1045" s="91">
        <v>0</v>
      </c>
      <c r="O1045" s="91">
        <v>0</v>
      </c>
      <c r="P1045" s="91">
        <v>0</v>
      </c>
      <c r="Q1045" s="97">
        <f t="shared" si="32"/>
        <v>6907</v>
      </c>
      <c r="R1045" s="95">
        <f t="shared" si="33"/>
        <v>5870.95</v>
      </c>
    </row>
    <row r="1046" spans="1:23" ht="34.049999999999997" customHeight="1" x14ac:dyDescent="0.3">
      <c r="A1046" s="90">
        <v>1035</v>
      </c>
      <c r="B1046" s="91" t="s">
        <v>3509</v>
      </c>
      <c r="C1046" s="91" t="s">
        <v>3559</v>
      </c>
      <c r="D1046" s="91" t="s">
        <v>3560</v>
      </c>
      <c r="E1046" s="91">
        <v>2014</v>
      </c>
      <c r="F1046" s="91" t="s">
        <v>18</v>
      </c>
      <c r="G1046" s="91" t="s">
        <v>3641</v>
      </c>
      <c r="H1046" s="91" t="s">
        <v>3598</v>
      </c>
      <c r="I1046" s="91" t="s">
        <v>300</v>
      </c>
      <c r="J1046" s="91">
        <v>6199</v>
      </c>
      <c r="K1046" s="91">
        <f>6278+4484+2332+1346+2332+2332+2332+2332+6995+6995+2332+6995+2332+4484</f>
        <v>53901</v>
      </c>
      <c r="L1046" s="91">
        <v>0</v>
      </c>
      <c r="M1046" s="91">
        <v>0</v>
      </c>
      <c r="N1046" s="91">
        <v>3148</v>
      </c>
      <c r="O1046" s="91">
        <v>0</v>
      </c>
      <c r="P1046" s="91">
        <v>0</v>
      </c>
      <c r="Q1046" s="97">
        <f t="shared" si="32"/>
        <v>63248</v>
      </c>
      <c r="R1046" s="95">
        <f t="shared" si="33"/>
        <v>53760.800000000003</v>
      </c>
    </row>
    <row r="1047" spans="1:23" ht="34.049999999999997" customHeight="1" x14ac:dyDescent="0.3">
      <c r="A1047" s="90">
        <v>1036</v>
      </c>
      <c r="B1047" s="91" t="s">
        <v>3509</v>
      </c>
      <c r="C1047" s="91" t="s">
        <v>3561</v>
      </c>
      <c r="D1047" s="91" t="s">
        <v>3562</v>
      </c>
      <c r="E1047" s="91">
        <v>1979</v>
      </c>
      <c r="F1047" s="91" t="s">
        <v>18</v>
      </c>
      <c r="G1047" s="91" t="s">
        <v>3642</v>
      </c>
      <c r="H1047" s="91" t="s">
        <v>3642</v>
      </c>
      <c r="I1047" s="91" t="s">
        <v>3497</v>
      </c>
      <c r="J1047" s="91">
        <v>6199</v>
      </c>
      <c r="K1047" s="91">
        <v>1166</v>
      </c>
      <c r="L1047" s="91">
        <v>0</v>
      </c>
      <c r="M1047" s="91">
        <v>0</v>
      </c>
      <c r="N1047" s="91">
        <v>0</v>
      </c>
      <c r="O1047" s="91">
        <v>0</v>
      </c>
      <c r="P1047" s="91">
        <v>0</v>
      </c>
      <c r="Q1047" s="97">
        <f t="shared" si="32"/>
        <v>7365</v>
      </c>
      <c r="R1047" s="95">
        <f t="shared" si="33"/>
        <v>6260.25</v>
      </c>
    </row>
    <row r="1048" spans="1:23" ht="34.049999999999997" customHeight="1" x14ac:dyDescent="0.3">
      <c r="A1048" s="96">
        <v>1037</v>
      </c>
      <c r="B1048" s="98" t="s">
        <v>3509</v>
      </c>
      <c r="C1048" s="98" t="s">
        <v>7364</v>
      </c>
      <c r="D1048" s="98" t="s">
        <v>3563</v>
      </c>
      <c r="E1048" s="98">
        <v>2025</v>
      </c>
      <c r="F1048" s="98" t="s">
        <v>19</v>
      </c>
      <c r="G1048" s="98" t="s">
        <v>3643</v>
      </c>
      <c r="H1048" s="98" t="s">
        <v>3599</v>
      </c>
      <c r="I1048" s="98" t="s">
        <v>2622</v>
      </c>
      <c r="J1048" s="98">
        <v>6199</v>
      </c>
      <c r="K1048" s="98">
        <f>6278+4484+1346</f>
        <v>12108</v>
      </c>
      <c r="L1048" s="98">
        <v>0</v>
      </c>
      <c r="M1048" s="98">
        <v>0</v>
      </c>
      <c r="N1048" s="98">
        <v>3148</v>
      </c>
      <c r="O1048" s="98">
        <v>0</v>
      </c>
      <c r="P1048" s="98">
        <v>0</v>
      </c>
      <c r="Q1048" s="97">
        <f t="shared" si="32"/>
        <v>21455</v>
      </c>
      <c r="R1048" s="95">
        <f t="shared" si="33"/>
        <v>18236.75</v>
      </c>
      <c r="S1048" s="41"/>
      <c r="T1048" s="41"/>
      <c r="U1048" s="41"/>
      <c r="V1048" s="41"/>
      <c r="W1048" s="41"/>
    </row>
    <row r="1049" spans="1:23" ht="34.049999999999997" customHeight="1" x14ac:dyDescent="0.3">
      <c r="A1049" s="90">
        <v>1038</v>
      </c>
      <c r="B1049" s="91" t="s">
        <v>3509</v>
      </c>
      <c r="C1049" s="91" t="s">
        <v>7365</v>
      </c>
      <c r="D1049" s="91" t="s">
        <v>424</v>
      </c>
      <c r="E1049" s="91">
        <v>2020</v>
      </c>
      <c r="F1049" s="91" t="s">
        <v>19</v>
      </c>
      <c r="G1049" s="91" t="s">
        <v>3644</v>
      </c>
      <c r="H1049" s="91" t="s">
        <v>3600</v>
      </c>
      <c r="I1049" s="91" t="s">
        <v>3679</v>
      </c>
      <c r="J1049" s="91">
        <v>6199</v>
      </c>
      <c r="K1049" s="91">
        <v>0</v>
      </c>
      <c r="L1049" s="91">
        <v>0</v>
      </c>
      <c r="M1049" s="91">
        <v>0</v>
      </c>
      <c r="N1049" s="91">
        <v>30758</v>
      </c>
      <c r="O1049" s="91">
        <v>0</v>
      </c>
      <c r="P1049" s="91">
        <v>0</v>
      </c>
      <c r="Q1049" s="97">
        <f t="shared" si="32"/>
        <v>36957</v>
      </c>
      <c r="R1049" s="95">
        <f t="shared" si="33"/>
        <v>31413.45</v>
      </c>
    </row>
    <row r="1050" spans="1:23" ht="34.049999999999997" customHeight="1" x14ac:dyDescent="0.3">
      <c r="A1050" s="90">
        <v>1039</v>
      </c>
      <c r="B1050" s="91" t="s">
        <v>3509</v>
      </c>
      <c r="C1050" s="91" t="s">
        <v>7366</v>
      </c>
      <c r="D1050" s="91" t="s">
        <v>3564</v>
      </c>
      <c r="E1050" s="91">
        <v>2007</v>
      </c>
      <c r="F1050" s="91" t="s">
        <v>18</v>
      </c>
      <c r="G1050" s="91" t="s">
        <v>3645</v>
      </c>
      <c r="H1050" s="91" t="s">
        <v>3601</v>
      </c>
      <c r="I1050" s="91" t="s">
        <v>3680</v>
      </c>
      <c r="J1050" s="91">
        <v>6199</v>
      </c>
      <c r="K1050" s="91">
        <v>0</v>
      </c>
      <c r="L1050" s="91">
        <v>0</v>
      </c>
      <c r="M1050" s="91">
        <v>0</v>
      </c>
      <c r="N1050" s="91">
        <v>0</v>
      </c>
      <c r="O1050" s="91">
        <v>0</v>
      </c>
      <c r="P1050" s="91">
        <v>0</v>
      </c>
      <c r="Q1050" s="97">
        <f t="shared" si="32"/>
        <v>6199</v>
      </c>
      <c r="R1050" s="95">
        <f t="shared" si="33"/>
        <v>5269.15</v>
      </c>
    </row>
    <row r="1051" spans="1:23" ht="34.049999999999997" customHeight="1" x14ac:dyDescent="0.3">
      <c r="A1051" s="96">
        <v>1040</v>
      </c>
      <c r="B1051" s="91" t="s">
        <v>3509</v>
      </c>
      <c r="C1051" s="91" t="s">
        <v>7367</v>
      </c>
      <c r="D1051" s="91" t="s">
        <v>3565</v>
      </c>
      <c r="E1051" s="91">
        <v>2017</v>
      </c>
      <c r="F1051" s="91" t="s">
        <v>18</v>
      </c>
      <c r="G1051" s="91" t="s">
        <v>3646</v>
      </c>
      <c r="H1051" s="91" t="s">
        <v>3602</v>
      </c>
      <c r="I1051" s="91" t="s">
        <v>277</v>
      </c>
      <c r="J1051" s="91">
        <v>6199</v>
      </c>
      <c r="K1051" s="91">
        <v>0</v>
      </c>
      <c r="L1051" s="91">
        <v>0</v>
      </c>
      <c r="M1051" s="91">
        <v>0</v>
      </c>
      <c r="N1051" s="91">
        <v>0</v>
      </c>
      <c r="O1051" s="91">
        <v>0</v>
      </c>
      <c r="P1051" s="91">
        <v>0</v>
      </c>
      <c r="Q1051" s="97">
        <f t="shared" si="32"/>
        <v>6199</v>
      </c>
      <c r="R1051" s="95">
        <f t="shared" si="33"/>
        <v>5269.15</v>
      </c>
    </row>
    <row r="1052" spans="1:23" ht="34.049999999999997" customHeight="1" x14ac:dyDescent="0.3">
      <c r="A1052" s="90">
        <v>1041</v>
      </c>
      <c r="B1052" s="98" t="s">
        <v>3509</v>
      </c>
      <c r="C1052" s="98" t="s">
        <v>7368</v>
      </c>
      <c r="D1052" s="98" t="s">
        <v>2544</v>
      </c>
      <c r="E1052" s="98">
        <v>2022</v>
      </c>
      <c r="F1052" s="98" t="s">
        <v>19</v>
      </c>
      <c r="G1052" s="98" t="s">
        <v>2580</v>
      </c>
      <c r="H1052" s="98" t="s">
        <v>2609</v>
      </c>
      <c r="I1052" s="98" t="s">
        <v>1065</v>
      </c>
      <c r="J1052" s="98">
        <v>3793</v>
      </c>
      <c r="K1052" s="98">
        <f>2332+2332+2332+2332+6995+6995+2332+6995+4484+2332+6278+4484+1346+1166</f>
        <v>52735</v>
      </c>
      <c r="L1052" s="98">
        <v>0</v>
      </c>
      <c r="M1052" s="98">
        <v>0</v>
      </c>
      <c r="N1052" s="98">
        <f>3148+1178+2088+4053</f>
        <v>10467</v>
      </c>
      <c r="O1052" s="98">
        <v>0</v>
      </c>
      <c r="P1052" s="98">
        <f>720+1080+120+360+56</f>
        <v>2336</v>
      </c>
      <c r="Q1052" s="97">
        <f t="shared" si="32"/>
        <v>69331</v>
      </c>
      <c r="R1052" s="95">
        <f t="shared" si="33"/>
        <v>58931.35</v>
      </c>
      <c r="S1052" s="41"/>
      <c r="T1052" s="41"/>
      <c r="U1052" s="41"/>
      <c r="V1052" s="41"/>
      <c r="W1052" s="41"/>
    </row>
    <row r="1053" spans="1:23" ht="34.049999999999997" customHeight="1" x14ac:dyDescent="0.3">
      <c r="A1053" s="90">
        <v>1042</v>
      </c>
      <c r="B1053" s="98" t="s">
        <v>3509</v>
      </c>
      <c r="C1053" s="98" t="s">
        <v>7368</v>
      </c>
      <c r="D1053" s="98" t="s">
        <v>2544</v>
      </c>
      <c r="E1053" s="98">
        <v>2022</v>
      </c>
      <c r="F1053" s="98" t="s">
        <v>19</v>
      </c>
      <c r="G1053" s="98" t="s">
        <v>2580</v>
      </c>
      <c r="H1053" s="98" t="s">
        <v>2609</v>
      </c>
      <c r="I1053" s="98" t="s">
        <v>1065</v>
      </c>
      <c r="J1053" s="98">
        <v>0</v>
      </c>
      <c r="K1053" s="98">
        <v>0</v>
      </c>
      <c r="L1053" s="98">
        <v>0</v>
      </c>
      <c r="M1053" s="98">
        <v>17688</v>
      </c>
      <c r="N1053" s="98">
        <v>2088</v>
      </c>
      <c r="O1053" s="98">
        <v>0</v>
      </c>
      <c r="P1053" s="98">
        <f>360+56</f>
        <v>416</v>
      </c>
      <c r="Q1053" s="97">
        <f t="shared" si="32"/>
        <v>20192</v>
      </c>
      <c r="R1053" s="95">
        <f t="shared" si="33"/>
        <v>17163.2</v>
      </c>
      <c r="S1053" s="41"/>
      <c r="T1053" s="41"/>
      <c r="U1053" s="41"/>
      <c r="V1053" s="41"/>
      <c r="W1053" s="41"/>
    </row>
    <row r="1054" spans="1:23" ht="34.049999999999997" customHeight="1" x14ac:dyDescent="0.3">
      <c r="A1054" s="96">
        <v>1043</v>
      </c>
      <c r="B1054" s="91" t="s">
        <v>3509</v>
      </c>
      <c r="C1054" s="91" t="s">
        <v>7369</v>
      </c>
      <c r="D1054" s="91" t="s">
        <v>3566</v>
      </c>
      <c r="E1054" s="91">
        <v>2018</v>
      </c>
      <c r="F1054" s="91" t="s">
        <v>18</v>
      </c>
      <c r="G1054" s="91" t="s">
        <v>3647</v>
      </c>
      <c r="H1054" s="91" t="s">
        <v>3603</v>
      </c>
      <c r="I1054" s="91" t="s">
        <v>3681</v>
      </c>
      <c r="J1054" s="91">
        <v>3582</v>
      </c>
      <c r="K1054" s="91">
        <v>0</v>
      </c>
      <c r="L1054" s="91">
        <v>0</v>
      </c>
      <c r="M1054" s="91">
        <v>0</v>
      </c>
      <c r="N1054" s="91">
        <f>15443+17918</f>
        <v>33361</v>
      </c>
      <c r="O1054" s="91">
        <v>0</v>
      </c>
      <c r="P1054" s="91">
        <v>0</v>
      </c>
      <c r="Q1054" s="97">
        <f t="shared" si="32"/>
        <v>36943</v>
      </c>
      <c r="R1054" s="95">
        <f t="shared" si="33"/>
        <v>31401.55</v>
      </c>
    </row>
    <row r="1055" spans="1:23" ht="34.049999999999997" customHeight="1" x14ac:dyDescent="0.3">
      <c r="A1055" s="90">
        <v>1044</v>
      </c>
      <c r="B1055" s="91" t="s">
        <v>3509</v>
      </c>
      <c r="C1055" s="91" t="s">
        <v>7370</v>
      </c>
      <c r="D1055" s="91" t="s">
        <v>3567</v>
      </c>
      <c r="E1055" s="91">
        <v>2022</v>
      </c>
      <c r="F1055" s="91" t="s">
        <v>18</v>
      </c>
      <c r="G1055" s="91" t="s">
        <v>3648</v>
      </c>
      <c r="H1055" s="91" t="s">
        <v>3604</v>
      </c>
      <c r="I1055" s="91" t="s">
        <v>3682</v>
      </c>
      <c r="J1055" s="91">
        <v>6199</v>
      </c>
      <c r="K1055" s="91">
        <f>6278+4484+1346+4484+2332+2332+2332+2332+2332</f>
        <v>28252</v>
      </c>
      <c r="L1055" s="91">
        <v>0</v>
      </c>
      <c r="M1055" s="91">
        <v>0</v>
      </c>
      <c r="N1055" s="91">
        <v>3148</v>
      </c>
      <c r="O1055" s="91">
        <v>0</v>
      </c>
      <c r="P1055" s="91">
        <v>0</v>
      </c>
      <c r="Q1055" s="97">
        <f t="shared" si="32"/>
        <v>37599</v>
      </c>
      <c r="R1055" s="95">
        <f t="shared" si="33"/>
        <v>31959.15</v>
      </c>
    </row>
    <row r="1056" spans="1:23" ht="34.049999999999997" customHeight="1" x14ac:dyDescent="0.3">
      <c r="A1056" s="90">
        <v>1045</v>
      </c>
      <c r="B1056" s="91" t="s">
        <v>3509</v>
      </c>
      <c r="C1056" s="91" t="s">
        <v>7371</v>
      </c>
      <c r="D1056" s="91" t="s">
        <v>3568</v>
      </c>
      <c r="E1056" s="91">
        <v>1983</v>
      </c>
      <c r="F1056" s="91" t="s">
        <v>19</v>
      </c>
      <c r="G1056" s="91" t="s">
        <v>3649</v>
      </c>
      <c r="H1056" s="91" t="s">
        <v>3605</v>
      </c>
      <c r="I1056" s="91" t="s">
        <v>3683</v>
      </c>
      <c r="J1056" s="91">
        <v>6199</v>
      </c>
      <c r="K1056" s="91">
        <f>3582+2332+2332+2243</f>
        <v>10489</v>
      </c>
      <c r="L1056" s="91">
        <v>0</v>
      </c>
      <c r="M1056" s="91">
        <v>0</v>
      </c>
      <c r="N1056" s="91">
        <v>0</v>
      </c>
      <c r="O1056" s="91">
        <v>0</v>
      </c>
      <c r="P1056" s="91">
        <v>0</v>
      </c>
      <c r="Q1056" s="97">
        <f t="shared" si="32"/>
        <v>16688</v>
      </c>
      <c r="R1056" s="95">
        <f t="shared" si="33"/>
        <v>14184.8</v>
      </c>
    </row>
    <row r="1057" spans="1:23" ht="34.049999999999997" customHeight="1" x14ac:dyDescent="0.3">
      <c r="A1057" s="96">
        <v>1046</v>
      </c>
      <c r="B1057" s="91" t="s">
        <v>3509</v>
      </c>
      <c r="C1057" s="91" t="s">
        <v>7372</v>
      </c>
      <c r="D1057" s="91" t="s">
        <v>3569</v>
      </c>
      <c r="E1057" s="91">
        <v>1995</v>
      </c>
      <c r="F1057" s="91" t="s">
        <v>19</v>
      </c>
      <c r="G1057" s="91" t="s">
        <v>3650</v>
      </c>
      <c r="H1057" s="91" t="s">
        <v>3606</v>
      </c>
      <c r="I1057" s="91" t="s">
        <v>3684</v>
      </c>
      <c r="J1057" s="91">
        <v>6199</v>
      </c>
      <c r="K1057" s="91">
        <v>0</v>
      </c>
      <c r="L1057" s="91">
        <v>0</v>
      </c>
      <c r="M1057" s="91">
        <v>0</v>
      </c>
      <c r="N1057" s="91">
        <v>59994</v>
      </c>
      <c r="O1057" s="91">
        <v>0</v>
      </c>
      <c r="P1057" s="91">
        <v>0</v>
      </c>
      <c r="Q1057" s="94">
        <f t="shared" si="32"/>
        <v>66193</v>
      </c>
      <c r="R1057" s="95">
        <f t="shared" si="33"/>
        <v>56264.05</v>
      </c>
    </row>
    <row r="1058" spans="1:23" ht="34.049999999999997" customHeight="1" x14ac:dyDescent="0.3">
      <c r="A1058" s="90">
        <v>1047</v>
      </c>
      <c r="B1058" s="91" t="s">
        <v>3509</v>
      </c>
      <c r="C1058" s="91" t="s">
        <v>7373</v>
      </c>
      <c r="D1058" s="91" t="s">
        <v>3570</v>
      </c>
      <c r="E1058" s="91">
        <v>2020</v>
      </c>
      <c r="F1058" s="91" t="s">
        <v>19</v>
      </c>
      <c r="G1058" s="91" t="s">
        <v>3651</v>
      </c>
      <c r="H1058" s="91" t="s">
        <v>3607</v>
      </c>
      <c r="I1058" s="91" t="s">
        <v>3685</v>
      </c>
      <c r="J1058" s="91">
        <v>6199</v>
      </c>
      <c r="K1058" s="91">
        <v>0</v>
      </c>
      <c r="L1058" s="91">
        <v>0</v>
      </c>
      <c r="M1058" s="91">
        <v>0</v>
      </c>
      <c r="N1058" s="91">
        <f>15443+17918</f>
        <v>33361</v>
      </c>
      <c r="O1058" s="91">
        <v>0</v>
      </c>
      <c r="P1058" s="91">
        <v>0</v>
      </c>
      <c r="Q1058" s="94">
        <f t="shared" si="32"/>
        <v>39560</v>
      </c>
      <c r="R1058" s="95">
        <f t="shared" si="33"/>
        <v>33626</v>
      </c>
    </row>
    <row r="1059" spans="1:23" ht="34.049999999999997" customHeight="1" x14ac:dyDescent="0.3">
      <c r="A1059" s="90">
        <v>1048</v>
      </c>
      <c r="B1059" s="98" t="s">
        <v>3509</v>
      </c>
      <c r="C1059" s="98" t="s">
        <v>7374</v>
      </c>
      <c r="D1059" s="98" t="s">
        <v>3571</v>
      </c>
      <c r="E1059" s="98">
        <v>1990</v>
      </c>
      <c r="F1059" s="98" t="s">
        <v>18</v>
      </c>
      <c r="G1059" s="98" t="s">
        <v>3652</v>
      </c>
      <c r="H1059" s="98" t="s">
        <v>3608</v>
      </c>
      <c r="I1059" s="98" t="s">
        <v>3686</v>
      </c>
      <c r="J1059" s="98">
        <v>6199</v>
      </c>
      <c r="K1059" s="98">
        <f>2332+2332</f>
        <v>4664</v>
      </c>
      <c r="L1059" s="98">
        <v>19396</v>
      </c>
      <c r="M1059" s="98">
        <v>0</v>
      </c>
      <c r="N1059" s="98">
        <v>0</v>
      </c>
      <c r="O1059" s="98">
        <v>0</v>
      </c>
      <c r="P1059" s="98">
        <v>0</v>
      </c>
      <c r="Q1059" s="97">
        <f t="shared" si="32"/>
        <v>30259</v>
      </c>
      <c r="R1059" s="95">
        <f t="shared" si="33"/>
        <v>25720.15</v>
      </c>
      <c r="S1059" s="41"/>
      <c r="T1059" s="41"/>
      <c r="U1059" s="41"/>
      <c r="V1059" s="41"/>
      <c r="W1059" s="41"/>
    </row>
    <row r="1060" spans="1:23" ht="34.049999999999997" customHeight="1" x14ac:dyDescent="0.3">
      <c r="A1060" s="96">
        <v>1049</v>
      </c>
      <c r="B1060" s="91" t="s">
        <v>3509</v>
      </c>
      <c r="C1060" s="91" t="s">
        <v>7375</v>
      </c>
      <c r="D1060" s="91" t="s">
        <v>3572</v>
      </c>
      <c r="E1060" s="91">
        <v>1983</v>
      </c>
      <c r="F1060" s="91" t="s">
        <v>18</v>
      </c>
      <c r="G1060" s="91" t="s">
        <v>3653</v>
      </c>
      <c r="H1060" s="91" t="s">
        <v>3609</v>
      </c>
      <c r="I1060" s="91" t="s">
        <v>1064</v>
      </c>
      <c r="J1060" s="91">
        <v>6199</v>
      </c>
      <c r="K1060" s="91">
        <v>0</v>
      </c>
      <c r="L1060" s="91">
        <v>0</v>
      </c>
      <c r="M1060" s="91">
        <v>0</v>
      </c>
      <c r="N1060" s="91">
        <v>0</v>
      </c>
      <c r="O1060" s="91">
        <v>0</v>
      </c>
      <c r="P1060" s="91">
        <v>0</v>
      </c>
      <c r="Q1060" s="97">
        <f t="shared" si="32"/>
        <v>6199</v>
      </c>
      <c r="R1060" s="95">
        <f t="shared" si="33"/>
        <v>5269.15</v>
      </c>
    </row>
    <row r="1061" spans="1:23" ht="34.049999999999997" customHeight="1" x14ac:dyDescent="0.3">
      <c r="A1061" s="90">
        <v>1050</v>
      </c>
      <c r="B1061" s="98" t="s">
        <v>3509</v>
      </c>
      <c r="C1061" s="98" t="s">
        <v>7376</v>
      </c>
      <c r="D1061" s="98" t="s">
        <v>3573</v>
      </c>
      <c r="E1061" s="98">
        <v>2002</v>
      </c>
      <c r="F1061" s="98" t="s">
        <v>19</v>
      </c>
      <c r="G1061" s="98" t="s">
        <v>3654</v>
      </c>
      <c r="H1061" s="98" t="s">
        <v>3654</v>
      </c>
      <c r="I1061" s="98" t="s">
        <v>3687</v>
      </c>
      <c r="J1061" s="98">
        <v>6199</v>
      </c>
      <c r="K1061" s="98">
        <f>2332+2332+2243+6278+4484+3000+3000+6995+3228+2332+2332+2332+2332+2332+3587</f>
        <v>49139</v>
      </c>
      <c r="L1061" s="98">
        <v>0</v>
      </c>
      <c r="M1061" s="98">
        <v>0</v>
      </c>
      <c r="N1061" s="98">
        <v>1793</v>
      </c>
      <c r="O1061" s="98">
        <v>0</v>
      </c>
      <c r="P1061" s="98">
        <v>0</v>
      </c>
      <c r="Q1061" s="97">
        <f t="shared" si="32"/>
        <v>57131</v>
      </c>
      <c r="R1061" s="95">
        <f t="shared" si="33"/>
        <v>48561.35</v>
      </c>
      <c r="S1061" s="41"/>
      <c r="T1061" s="41"/>
      <c r="U1061" s="41"/>
      <c r="V1061" s="41"/>
      <c r="W1061" s="41"/>
    </row>
    <row r="1062" spans="1:23" ht="34.049999999999997" customHeight="1" x14ac:dyDescent="0.3">
      <c r="A1062" s="90">
        <v>1051</v>
      </c>
      <c r="B1062" s="91" t="s">
        <v>3509</v>
      </c>
      <c r="C1062" s="91" t="s">
        <v>7377</v>
      </c>
      <c r="D1062" s="91" t="s">
        <v>3574</v>
      </c>
      <c r="E1062" s="91">
        <v>2021</v>
      </c>
      <c r="F1062" s="91" t="s">
        <v>18</v>
      </c>
      <c r="G1062" s="91" t="s">
        <v>3655</v>
      </c>
      <c r="H1062" s="91" t="s">
        <v>3610</v>
      </c>
      <c r="I1062" s="91" t="s">
        <v>3688</v>
      </c>
      <c r="J1062" s="91">
        <v>6199</v>
      </c>
      <c r="K1062" s="91">
        <f>6278+4484+2332+1346+2332+2332+2332+2332+6995+6995+2332+6995+4484+2332</f>
        <v>53901</v>
      </c>
      <c r="L1062" s="91">
        <v>0</v>
      </c>
      <c r="M1062" s="91">
        <v>0</v>
      </c>
      <c r="N1062" s="91">
        <v>3148</v>
      </c>
      <c r="O1062" s="91">
        <v>0</v>
      </c>
      <c r="P1062" s="91">
        <v>0</v>
      </c>
      <c r="Q1062" s="97">
        <f t="shared" si="32"/>
        <v>63248</v>
      </c>
      <c r="R1062" s="95">
        <f t="shared" si="33"/>
        <v>53760.800000000003</v>
      </c>
    </row>
    <row r="1063" spans="1:23" ht="34.049999999999997" customHeight="1" x14ac:dyDescent="0.3">
      <c r="A1063" s="96">
        <v>1052</v>
      </c>
      <c r="B1063" s="91" t="s">
        <v>3509</v>
      </c>
      <c r="C1063" s="91" t="s">
        <v>7378</v>
      </c>
      <c r="D1063" s="91" t="s">
        <v>3575</v>
      </c>
      <c r="E1063" s="91">
        <v>1992</v>
      </c>
      <c r="F1063" s="91" t="s">
        <v>19</v>
      </c>
      <c r="G1063" s="91" t="s">
        <v>3656</v>
      </c>
      <c r="H1063" s="91" t="s">
        <v>3656</v>
      </c>
      <c r="I1063" s="91" t="s">
        <v>3689</v>
      </c>
      <c r="J1063" s="91">
        <v>6199</v>
      </c>
      <c r="K1063" s="91">
        <v>0</v>
      </c>
      <c r="L1063" s="91">
        <v>17279</v>
      </c>
      <c r="M1063" s="91">
        <v>0</v>
      </c>
      <c r="N1063" s="91">
        <v>0</v>
      </c>
      <c r="O1063" s="91">
        <v>0</v>
      </c>
      <c r="P1063" s="91">
        <v>0</v>
      </c>
      <c r="Q1063" s="97">
        <f t="shared" si="32"/>
        <v>23478</v>
      </c>
      <c r="R1063" s="95">
        <f t="shared" si="33"/>
        <v>19956.3</v>
      </c>
    </row>
    <row r="1064" spans="1:23" ht="34.049999999999997" customHeight="1" x14ac:dyDescent="0.3">
      <c r="A1064" s="90">
        <v>1053</v>
      </c>
      <c r="B1064" s="91" t="s">
        <v>3509</v>
      </c>
      <c r="C1064" s="91" t="s">
        <v>7379</v>
      </c>
      <c r="D1064" s="91" t="s">
        <v>3576</v>
      </c>
      <c r="E1064" s="91">
        <v>2019</v>
      </c>
      <c r="F1064" s="91" t="s">
        <v>19</v>
      </c>
      <c r="G1064" s="91" t="s">
        <v>3657</v>
      </c>
      <c r="H1064" s="91" t="s">
        <v>3611</v>
      </c>
      <c r="I1064" s="91" t="s">
        <v>3690</v>
      </c>
      <c r="J1064" s="91">
        <v>6199</v>
      </c>
      <c r="K1064" s="91">
        <f>6278+4484+2332+1346+2332+2332+2332+2332+6995+6995+2332+6995+2332+4484</f>
        <v>53901</v>
      </c>
      <c r="L1064" s="91">
        <v>0</v>
      </c>
      <c r="M1064" s="91">
        <v>0</v>
      </c>
      <c r="N1064" s="91">
        <v>3148</v>
      </c>
      <c r="O1064" s="91">
        <v>0</v>
      </c>
      <c r="P1064" s="91">
        <v>0</v>
      </c>
      <c r="Q1064" s="94">
        <f t="shared" si="32"/>
        <v>63248</v>
      </c>
      <c r="R1064" s="95">
        <f t="shared" si="33"/>
        <v>53760.800000000003</v>
      </c>
    </row>
    <row r="1065" spans="1:23" ht="34.049999999999997" customHeight="1" x14ac:dyDescent="0.3">
      <c r="A1065" s="90">
        <v>1054</v>
      </c>
      <c r="B1065" s="91" t="s">
        <v>3509</v>
      </c>
      <c r="C1065" s="91" t="s">
        <v>7380</v>
      </c>
      <c r="D1065" s="91" t="s">
        <v>3577</v>
      </c>
      <c r="E1065" s="91">
        <v>2015</v>
      </c>
      <c r="F1065" s="91" t="s">
        <v>18</v>
      </c>
      <c r="G1065" s="91" t="s">
        <v>3658</v>
      </c>
      <c r="H1065" s="91" t="s">
        <v>3612</v>
      </c>
      <c r="I1065" s="91" t="s">
        <v>3691</v>
      </c>
      <c r="J1065" s="91">
        <v>6199</v>
      </c>
      <c r="K1065" s="91">
        <v>0</v>
      </c>
      <c r="L1065" s="91">
        <v>0</v>
      </c>
      <c r="M1065" s="91">
        <v>0</v>
      </c>
      <c r="N1065" s="91">
        <v>0</v>
      </c>
      <c r="O1065" s="91">
        <v>0</v>
      </c>
      <c r="P1065" s="91">
        <v>0</v>
      </c>
      <c r="Q1065" s="97">
        <f t="shared" si="32"/>
        <v>6199</v>
      </c>
      <c r="R1065" s="95">
        <f t="shared" si="33"/>
        <v>5269.15</v>
      </c>
    </row>
    <row r="1066" spans="1:23" ht="34.049999999999997" customHeight="1" x14ac:dyDescent="0.3">
      <c r="A1066" s="96">
        <v>1055</v>
      </c>
      <c r="B1066" s="91" t="s">
        <v>3509</v>
      </c>
      <c r="C1066" s="91" t="s">
        <v>7381</v>
      </c>
      <c r="D1066" s="91" t="s">
        <v>3578</v>
      </c>
      <c r="E1066" s="91">
        <v>1988</v>
      </c>
      <c r="F1066" s="91" t="s">
        <v>19</v>
      </c>
      <c r="G1066" s="91" t="s">
        <v>3659</v>
      </c>
      <c r="H1066" s="91" t="s">
        <v>3613</v>
      </c>
      <c r="I1066" s="91" t="s">
        <v>3692</v>
      </c>
      <c r="J1066" s="91">
        <v>6199</v>
      </c>
      <c r="K1066" s="91">
        <v>0</v>
      </c>
      <c r="L1066" s="91">
        <v>0</v>
      </c>
      <c r="M1066" s="91">
        <v>0</v>
      </c>
      <c r="N1066" s="91">
        <v>0</v>
      </c>
      <c r="O1066" s="91">
        <v>0</v>
      </c>
      <c r="P1066" s="91">
        <v>0</v>
      </c>
      <c r="Q1066" s="97">
        <f t="shared" si="32"/>
        <v>6199</v>
      </c>
      <c r="R1066" s="95">
        <f t="shared" si="33"/>
        <v>5269.15</v>
      </c>
    </row>
    <row r="1067" spans="1:23" ht="34.049999999999997" customHeight="1" x14ac:dyDescent="0.3">
      <c r="A1067" s="90">
        <v>1056</v>
      </c>
      <c r="B1067" s="91" t="s">
        <v>3509</v>
      </c>
      <c r="C1067" s="91" t="s">
        <v>7382</v>
      </c>
      <c r="D1067" s="91" t="s">
        <v>3579</v>
      </c>
      <c r="E1067" s="91">
        <v>2024</v>
      </c>
      <c r="F1067" s="91" t="s">
        <v>18</v>
      </c>
      <c r="G1067" s="91" t="s">
        <v>3660</v>
      </c>
      <c r="H1067" s="91" t="s">
        <v>3614</v>
      </c>
      <c r="I1067" s="91" t="s">
        <v>3693</v>
      </c>
      <c r="J1067" s="91">
        <v>6199</v>
      </c>
      <c r="K1067" s="91">
        <f>6278+4484+2332+1346+2332+2332+2332+2332+6995+6995+2332+6995+2332+4484+2332+2332</f>
        <v>58565</v>
      </c>
      <c r="L1067" s="91">
        <v>0</v>
      </c>
      <c r="M1067" s="91">
        <v>0</v>
      </c>
      <c r="N1067" s="91">
        <v>3148</v>
      </c>
      <c r="O1067" s="91">
        <v>0</v>
      </c>
      <c r="P1067" s="91">
        <v>0</v>
      </c>
      <c r="Q1067" s="97">
        <f t="shared" si="32"/>
        <v>67912</v>
      </c>
      <c r="R1067" s="95">
        <f t="shared" si="33"/>
        <v>57725.2</v>
      </c>
    </row>
    <row r="1068" spans="1:23" ht="34.049999999999997" customHeight="1" x14ac:dyDescent="0.3">
      <c r="A1068" s="90">
        <v>1057</v>
      </c>
      <c r="B1068" s="91" t="s">
        <v>3509</v>
      </c>
      <c r="C1068" s="91" t="s">
        <v>7383</v>
      </c>
      <c r="D1068" s="91" t="s">
        <v>3580</v>
      </c>
      <c r="E1068" s="91">
        <v>2024</v>
      </c>
      <c r="F1068" s="91" t="s">
        <v>19</v>
      </c>
      <c r="G1068" s="91" t="s">
        <v>3661</v>
      </c>
      <c r="H1068" s="91" t="s">
        <v>3615</v>
      </c>
      <c r="I1068" s="91" t="s">
        <v>290</v>
      </c>
      <c r="J1068" s="91">
        <v>6199</v>
      </c>
      <c r="K1068" s="91">
        <v>0</v>
      </c>
      <c r="L1068" s="91">
        <v>0</v>
      </c>
      <c r="M1068" s="91">
        <v>0</v>
      </c>
      <c r="N1068" s="91">
        <v>0</v>
      </c>
      <c r="O1068" s="91">
        <v>0</v>
      </c>
      <c r="P1068" s="91">
        <v>0</v>
      </c>
      <c r="Q1068" s="97">
        <f t="shared" si="32"/>
        <v>6199</v>
      </c>
      <c r="R1068" s="95">
        <f t="shared" si="33"/>
        <v>5269.15</v>
      </c>
    </row>
    <row r="1069" spans="1:23" ht="34.049999999999997" customHeight="1" x14ac:dyDescent="0.3">
      <c r="A1069" s="96">
        <v>1058</v>
      </c>
      <c r="B1069" s="98" t="s">
        <v>3509</v>
      </c>
      <c r="C1069" s="98" t="s">
        <v>7384</v>
      </c>
      <c r="D1069" s="98" t="s">
        <v>3581</v>
      </c>
      <c r="E1069" s="98">
        <v>1995</v>
      </c>
      <c r="F1069" s="98" t="s">
        <v>18</v>
      </c>
      <c r="G1069" s="98" t="s">
        <v>3662</v>
      </c>
      <c r="H1069" s="98" t="s">
        <v>3662</v>
      </c>
      <c r="I1069" s="98" t="s">
        <v>3694</v>
      </c>
      <c r="J1069" s="98">
        <v>6199</v>
      </c>
      <c r="K1069" s="98">
        <f>6278+4484+1346+2332+2332+2332+2332+2332+6995+2332+6995+6995+6995+2332+4484</f>
        <v>60896</v>
      </c>
      <c r="L1069" s="98">
        <v>0</v>
      </c>
      <c r="M1069" s="98">
        <v>0</v>
      </c>
      <c r="N1069" s="98">
        <v>1793</v>
      </c>
      <c r="O1069" s="98">
        <v>0</v>
      </c>
      <c r="P1069" s="98">
        <v>0</v>
      </c>
      <c r="Q1069" s="97">
        <f t="shared" si="32"/>
        <v>68888</v>
      </c>
      <c r="R1069" s="95">
        <f t="shared" si="33"/>
        <v>58554.8</v>
      </c>
      <c r="S1069" s="41"/>
      <c r="T1069" s="41"/>
      <c r="U1069" s="41"/>
      <c r="V1069" s="41"/>
      <c r="W1069" s="41"/>
    </row>
    <row r="1070" spans="1:23" ht="34.049999999999997" customHeight="1" x14ac:dyDescent="0.3">
      <c r="A1070" s="90">
        <v>1059</v>
      </c>
      <c r="B1070" s="91" t="s">
        <v>3509</v>
      </c>
      <c r="C1070" s="91" t="s">
        <v>7385</v>
      </c>
      <c r="D1070" s="91" t="s">
        <v>3582</v>
      </c>
      <c r="E1070" s="91">
        <v>1983</v>
      </c>
      <c r="F1070" s="91" t="s">
        <v>18</v>
      </c>
      <c r="G1070" s="91" t="s">
        <v>3663</v>
      </c>
      <c r="H1070" s="91" t="s">
        <v>3663</v>
      </c>
      <c r="I1070" s="91" t="s">
        <v>3695</v>
      </c>
      <c r="J1070" s="91">
        <v>6199</v>
      </c>
      <c r="K1070" s="91">
        <f>2332+2332+1166+2801</f>
        <v>8631</v>
      </c>
      <c r="L1070" s="91">
        <v>0</v>
      </c>
      <c r="M1070" s="91">
        <v>0</v>
      </c>
      <c r="N1070" s="91">
        <v>0</v>
      </c>
      <c r="O1070" s="91">
        <v>0</v>
      </c>
      <c r="P1070" s="91">
        <v>0</v>
      </c>
      <c r="Q1070" s="97">
        <f t="shared" si="32"/>
        <v>14830</v>
      </c>
      <c r="R1070" s="95">
        <f t="shared" si="33"/>
        <v>12605.5</v>
      </c>
    </row>
    <row r="1071" spans="1:23" ht="34.049999999999997" customHeight="1" x14ac:dyDescent="0.3">
      <c r="A1071" s="90">
        <v>1060</v>
      </c>
      <c r="B1071" s="98" t="s">
        <v>3509</v>
      </c>
      <c r="C1071" s="98" t="s">
        <v>7386</v>
      </c>
      <c r="D1071" s="98" t="s">
        <v>3583</v>
      </c>
      <c r="E1071" s="98">
        <v>2023</v>
      </c>
      <c r="F1071" s="98" t="s">
        <v>19</v>
      </c>
      <c r="G1071" s="98" t="s">
        <v>3664</v>
      </c>
      <c r="H1071" s="98" t="s">
        <v>1649</v>
      </c>
      <c r="I1071" s="98" t="s">
        <v>278</v>
      </c>
      <c r="J1071" s="98">
        <v>6199</v>
      </c>
      <c r="K1071" s="98">
        <v>0</v>
      </c>
      <c r="L1071" s="98">
        <v>0</v>
      </c>
      <c r="M1071" s="98">
        <v>0</v>
      </c>
      <c r="N1071" s="98">
        <v>0</v>
      </c>
      <c r="O1071" s="98">
        <v>0</v>
      </c>
      <c r="P1071" s="98">
        <v>0</v>
      </c>
      <c r="Q1071" s="97">
        <f t="shared" si="32"/>
        <v>6199</v>
      </c>
      <c r="R1071" s="95">
        <f t="shared" si="33"/>
        <v>5269.15</v>
      </c>
      <c r="S1071" s="41"/>
      <c r="T1071" s="41"/>
      <c r="U1071" s="41"/>
      <c r="V1071" s="41"/>
      <c r="W1071" s="41"/>
    </row>
    <row r="1072" spans="1:23" ht="34.049999999999997" customHeight="1" x14ac:dyDescent="0.3">
      <c r="A1072" s="96">
        <v>1061</v>
      </c>
      <c r="B1072" s="91" t="s">
        <v>3509</v>
      </c>
      <c r="C1072" s="91" t="s">
        <v>7387</v>
      </c>
      <c r="D1072" s="91" t="s">
        <v>3584</v>
      </c>
      <c r="E1072" s="91">
        <v>2014</v>
      </c>
      <c r="F1072" s="91" t="s">
        <v>19</v>
      </c>
      <c r="G1072" s="91" t="s">
        <v>3665</v>
      </c>
      <c r="H1072" s="91" t="s">
        <v>3616</v>
      </c>
      <c r="I1072" s="91" t="s">
        <v>1279</v>
      </c>
      <c r="J1072" s="91">
        <v>6199</v>
      </c>
      <c r="K1072" s="91">
        <v>0</v>
      </c>
      <c r="L1072" s="91">
        <v>0</v>
      </c>
      <c r="M1072" s="91">
        <v>0</v>
      </c>
      <c r="N1072" s="91">
        <v>0</v>
      </c>
      <c r="O1072" s="91">
        <v>0</v>
      </c>
      <c r="P1072" s="91">
        <v>0</v>
      </c>
      <c r="Q1072" s="97">
        <f t="shared" si="32"/>
        <v>6199</v>
      </c>
      <c r="R1072" s="95">
        <f t="shared" si="33"/>
        <v>5269.15</v>
      </c>
    </row>
    <row r="1073" spans="1:18" ht="34.049999999999997" customHeight="1" x14ac:dyDescent="0.3">
      <c r="A1073" s="90">
        <v>1062</v>
      </c>
      <c r="B1073" s="91" t="s">
        <v>3509</v>
      </c>
      <c r="C1073" s="91" t="s">
        <v>7388</v>
      </c>
      <c r="D1073" s="91" t="s">
        <v>3585</v>
      </c>
      <c r="E1073" s="91">
        <v>2024</v>
      </c>
      <c r="F1073" s="91" t="s">
        <v>18</v>
      </c>
      <c r="G1073" s="91" t="s">
        <v>3666</v>
      </c>
      <c r="H1073" s="91" t="s">
        <v>3617</v>
      </c>
      <c r="I1073" s="91" t="s">
        <v>1278</v>
      </c>
      <c r="J1073" s="91">
        <v>6199</v>
      </c>
      <c r="K1073" s="91">
        <v>0</v>
      </c>
      <c r="L1073" s="91">
        <v>0</v>
      </c>
      <c r="M1073" s="91">
        <v>0</v>
      </c>
      <c r="N1073" s="91">
        <v>0</v>
      </c>
      <c r="O1073" s="91">
        <v>0</v>
      </c>
      <c r="P1073" s="91">
        <v>0</v>
      </c>
      <c r="Q1073" s="97">
        <f t="shared" si="32"/>
        <v>6199</v>
      </c>
      <c r="R1073" s="95">
        <f t="shared" si="33"/>
        <v>5269.15</v>
      </c>
    </row>
    <row r="1074" spans="1:18" ht="34.049999999999997" customHeight="1" x14ac:dyDescent="0.3">
      <c r="A1074" s="90">
        <v>1063</v>
      </c>
      <c r="B1074" s="100" t="s">
        <v>3509</v>
      </c>
      <c r="C1074" s="100" t="s">
        <v>7389</v>
      </c>
      <c r="D1074" s="100" t="s">
        <v>3586</v>
      </c>
      <c r="E1074" s="100">
        <v>2022</v>
      </c>
      <c r="F1074" s="100" t="s">
        <v>18</v>
      </c>
      <c r="G1074" s="100" t="s">
        <v>3667</v>
      </c>
      <c r="H1074" s="100" t="s">
        <v>3618</v>
      </c>
      <c r="I1074" s="100" t="s">
        <v>3696</v>
      </c>
      <c r="J1074" s="100">
        <v>0</v>
      </c>
      <c r="K1074" s="100">
        <v>0</v>
      </c>
      <c r="L1074" s="100">
        <v>0</v>
      </c>
      <c r="M1074" s="100">
        <v>17688</v>
      </c>
      <c r="N1074" s="100">
        <f>2088+1178+4053</f>
        <v>7319</v>
      </c>
      <c r="O1074" s="100">
        <v>0</v>
      </c>
      <c r="P1074" s="100">
        <f>360+56+720+1080+1200</f>
        <v>3416</v>
      </c>
      <c r="Q1074" s="94">
        <f t="shared" si="32"/>
        <v>28423</v>
      </c>
      <c r="R1074" s="95">
        <f t="shared" si="33"/>
        <v>24159.55</v>
      </c>
    </row>
    <row r="1075" spans="1:18" ht="34.049999999999997" customHeight="1" x14ac:dyDescent="0.3">
      <c r="A1075" s="96">
        <v>1064</v>
      </c>
      <c r="B1075" s="100" t="s">
        <v>3509</v>
      </c>
      <c r="C1075" s="100" t="s">
        <v>4423</v>
      </c>
      <c r="D1075" s="103" t="s">
        <v>3133</v>
      </c>
      <c r="E1075" s="100">
        <v>2025</v>
      </c>
      <c r="F1075" s="100" t="s">
        <v>19</v>
      </c>
      <c r="G1075" s="100" t="s">
        <v>3235</v>
      </c>
      <c r="H1075" s="100" t="s">
        <v>3283</v>
      </c>
      <c r="I1075" s="100" t="s">
        <v>829</v>
      </c>
      <c r="J1075" s="100">
        <v>2900</v>
      </c>
      <c r="K1075" s="100">
        <v>0</v>
      </c>
      <c r="L1075" s="100">
        <v>0</v>
      </c>
      <c r="M1075" s="100">
        <v>0</v>
      </c>
      <c r="N1075" s="100">
        <v>2088</v>
      </c>
      <c r="O1075" s="100">
        <v>0</v>
      </c>
      <c r="P1075" s="100">
        <f>360+56</f>
        <v>416</v>
      </c>
      <c r="Q1075" s="94">
        <f t="shared" si="32"/>
        <v>5404</v>
      </c>
      <c r="R1075" s="95">
        <f t="shared" si="33"/>
        <v>4593.3999999999996</v>
      </c>
    </row>
    <row r="1076" spans="1:18" ht="34.049999999999997" customHeight="1" x14ac:dyDescent="0.3">
      <c r="A1076" s="90">
        <v>1065</v>
      </c>
      <c r="B1076" s="100" t="s">
        <v>3509</v>
      </c>
      <c r="C1076" s="100" t="s">
        <v>7390</v>
      </c>
      <c r="D1076" s="103" t="s">
        <v>3344</v>
      </c>
      <c r="E1076" s="100">
        <v>1981</v>
      </c>
      <c r="F1076" s="100" t="s">
        <v>19</v>
      </c>
      <c r="G1076" s="100" t="s">
        <v>3427</v>
      </c>
      <c r="H1076" s="100" t="s">
        <v>3427</v>
      </c>
      <c r="I1076" s="100" t="s">
        <v>300</v>
      </c>
      <c r="J1076" s="100">
        <v>2900</v>
      </c>
      <c r="K1076" s="100">
        <v>0</v>
      </c>
      <c r="L1076" s="100">
        <v>13298</v>
      </c>
      <c r="M1076" s="100">
        <v>17688</v>
      </c>
      <c r="N1076" s="100">
        <f>1178+1681</f>
        <v>2859</v>
      </c>
      <c r="O1076" s="100">
        <v>0</v>
      </c>
      <c r="P1076" s="100">
        <f>624+112+660+360+300</f>
        <v>2056</v>
      </c>
      <c r="Q1076" s="94">
        <f t="shared" si="32"/>
        <v>38801</v>
      </c>
      <c r="R1076" s="95">
        <f t="shared" si="33"/>
        <v>32980.85</v>
      </c>
    </row>
    <row r="1077" spans="1:18" ht="34.049999999999997" customHeight="1" x14ac:dyDescent="0.3">
      <c r="A1077" s="90">
        <v>1066</v>
      </c>
      <c r="B1077" s="91" t="s">
        <v>3714</v>
      </c>
      <c r="C1077" s="91" t="s">
        <v>3715</v>
      </c>
      <c r="D1077" s="91" t="s">
        <v>3716</v>
      </c>
      <c r="E1077" s="91">
        <v>2005</v>
      </c>
      <c r="F1077" s="91" t="s">
        <v>19</v>
      </c>
      <c r="G1077" s="91" t="s">
        <v>3832</v>
      </c>
      <c r="H1077" s="91" t="s">
        <v>3896</v>
      </c>
      <c r="I1077" s="91" t="s">
        <v>3926</v>
      </c>
      <c r="J1077" s="91">
        <v>6199</v>
      </c>
      <c r="K1077" s="91">
        <f>6278+4484+1346+2332+3000+3000+2332+2332+2332+2332+6995+6995+2332+6995+6995+L10756</f>
        <v>60080</v>
      </c>
      <c r="L1077" s="91">
        <v>0</v>
      </c>
      <c r="M1077" s="91">
        <v>0</v>
      </c>
      <c r="N1077" s="91">
        <v>1793</v>
      </c>
      <c r="O1077" s="91">
        <v>0</v>
      </c>
      <c r="P1077" s="91">
        <v>0</v>
      </c>
      <c r="Q1077" s="97">
        <f t="shared" si="32"/>
        <v>68072</v>
      </c>
      <c r="R1077" s="95">
        <f t="shared" si="33"/>
        <v>57861.2</v>
      </c>
    </row>
    <row r="1078" spans="1:18" ht="34.049999999999997" customHeight="1" x14ac:dyDescent="0.3">
      <c r="A1078" s="96">
        <v>1067</v>
      </c>
      <c r="B1078" s="91" t="s">
        <v>3714</v>
      </c>
      <c r="C1078" s="91" t="s">
        <v>3717</v>
      </c>
      <c r="D1078" s="91" t="s">
        <v>3718</v>
      </c>
      <c r="E1078" s="91">
        <v>2019</v>
      </c>
      <c r="F1078" s="91" t="s">
        <v>18</v>
      </c>
      <c r="G1078" s="91" t="s">
        <v>3833</v>
      </c>
      <c r="H1078" s="91" t="s">
        <v>3897</v>
      </c>
      <c r="I1078" s="91" t="s">
        <v>3927</v>
      </c>
      <c r="J1078" s="91">
        <v>6199</v>
      </c>
      <c r="K1078" s="91">
        <f>1346+6278+4484+4484+2332+2332+2332+2332+2332+2332+6995+6995+6995+2332</f>
        <v>53901</v>
      </c>
      <c r="L1078" s="91">
        <v>0</v>
      </c>
      <c r="M1078" s="91">
        <v>0</v>
      </c>
      <c r="N1078" s="91">
        <f>3148+4053+1178+2088</f>
        <v>10467</v>
      </c>
      <c r="O1078" s="91">
        <v>0</v>
      </c>
      <c r="P1078" s="91">
        <f>720+1080+374+720+112</f>
        <v>3006</v>
      </c>
      <c r="Q1078" s="97">
        <f t="shared" si="32"/>
        <v>73573</v>
      </c>
      <c r="R1078" s="95">
        <f t="shared" si="33"/>
        <v>62537.05</v>
      </c>
    </row>
    <row r="1079" spans="1:18" ht="34.049999999999997" customHeight="1" x14ac:dyDescent="0.3">
      <c r="A1079" s="90">
        <v>1068</v>
      </c>
      <c r="B1079" s="91" t="s">
        <v>3714</v>
      </c>
      <c r="C1079" s="91" t="s">
        <v>3719</v>
      </c>
      <c r="D1079" s="91" t="s">
        <v>3720</v>
      </c>
      <c r="E1079" s="91">
        <v>1990</v>
      </c>
      <c r="F1079" s="91" t="s">
        <v>18</v>
      </c>
      <c r="G1079" s="91" t="s">
        <v>3834</v>
      </c>
      <c r="H1079" s="91" t="s">
        <v>3834</v>
      </c>
      <c r="I1079" s="91" t="s">
        <v>2645</v>
      </c>
      <c r="J1079" s="91">
        <v>6199</v>
      </c>
      <c r="K1079" s="91">
        <f>1346+6278+4484+2332+2332+2332</f>
        <v>19104</v>
      </c>
      <c r="L1079" s="91">
        <v>0</v>
      </c>
      <c r="M1079" s="91">
        <v>0</v>
      </c>
      <c r="N1079" s="91">
        <v>1793</v>
      </c>
      <c r="O1079" s="91">
        <v>0</v>
      </c>
      <c r="P1079" s="91">
        <v>0</v>
      </c>
      <c r="Q1079" s="97">
        <f t="shared" si="32"/>
        <v>27096</v>
      </c>
      <c r="R1079" s="95">
        <f t="shared" si="33"/>
        <v>23031.599999999999</v>
      </c>
    </row>
    <row r="1080" spans="1:18" ht="34.049999999999997" customHeight="1" x14ac:dyDescent="0.3">
      <c r="A1080" s="90">
        <v>1069</v>
      </c>
      <c r="B1080" s="91" t="s">
        <v>3714</v>
      </c>
      <c r="C1080" s="91" t="s">
        <v>3721</v>
      </c>
      <c r="D1080" s="91" t="s">
        <v>3722</v>
      </c>
      <c r="E1080" s="91">
        <v>1951</v>
      </c>
      <c r="F1080" s="91" t="s">
        <v>18</v>
      </c>
      <c r="G1080" s="91" t="s">
        <v>3835</v>
      </c>
      <c r="H1080" s="91" t="s">
        <v>3835</v>
      </c>
      <c r="I1080" s="91" t="s">
        <v>3928</v>
      </c>
      <c r="J1080" s="91">
        <v>6199</v>
      </c>
      <c r="K1080" s="91">
        <f>6278+13452+2332+2332+2332+2332+2332+2332+6995</f>
        <v>40717</v>
      </c>
      <c r="L1080" s="91">
        <v>0</v>
      </c>
      <c r="M1080" s="91">
        <v>0</v>
      </c>
      <c r="N1080" s="91">
        <v>1793</v>
      </c>
      <c r="O1080" s="91">
        <v>0</v>
      </c>
      <c r="P1080" s="91">
        <v>0</v>
      </c>
      <c r="Q1080" s="97">
        <f t="shared" si="32"/>
        <v>48709</v>
      </c>
      <c r="R1080" s="95">
        <f t="shared" si="33"/>
        <v>41402.65</v>
      </c>
    </row>
    <row r="1081" spans="1:18" ht="34.049999999999997" customHeight="1" x14ac:dyDescent="0.3">
      <c r="A1081" s="96">
        <v>1070</v>
      </c>
      <c r="B1081" s="91" t="s">
        <v>3714</v>
      </c>
      <c r="C1081" s="91" t="s">
        <v>3723</v>
      </c>
      <c r="D1081" s="91" t="s">
        <v>3724</v>
      </c>
      <c r="E1081" s="91">
        <v>1954</v>
      </c>
      <c r="F1081" s="91" t="s">
        <v>18</v>
      </c>
      <c r="G1081" s="91" t="s">
        <v>3836</v>
      </c>
      <c r="H1081" s="91" t="s">
        <v>3836</v>
      </c>
      <c r="I1081" s="91" t="s">
        <v>276</v>
      </c>
      <c r="J1081" s="91">
        <v>6199</v>
      </c>
      <c r="K1081" s="91">
        <v>0</v>
      </c>
      <c r="L1081" s="91">
        <v>0</v>
      </c>
      <c r="M1081" s="91">
        <v>0</v>
      </c>
      <c r="N1081" s="91">
        <v>0</v>
      </c>
      <c r="O1081" s="91">
        <v>0</v>
      </c>
      <c r="P1081" s="91">
        <v>0</v>
      </c>
      <c r="Q1081" s="97">
        <f t="shared" si="32"/>
        <v>6199</v>
      </c>
      <c r="R1081" s="95">
        <f t="shared" si="33"/>
        <v>5269.15</v>
      </c>
    </row>
    <row r="1082" spans="1:18" ht="34.049999999999997" customHeight="1" x14ac:dyDescent="0.3">
      <c r="A1082" s="90">
        <v>1071</v>
      </c>
      <c r="B1082" s="91" t="s">
        <v>3714</v>
      </c>
      <c r="C1082" s="91" t="s">
        <v>3725</v>
      </c>
      <c r="D1082" s="91" t="s">
        <v>3726</v>
      </c>
      <c r="E1082" s="91">
        <v>1994</v>
      </c>
      <c r="F1082" s="91" t="s">
        <v>19</v>
      </c>
      <c r="G1082" s="91" t="s">
        <v>3837</v>
      </c>
      <c r="H1082" s="91" t="s">
        <v>3898</v>
      </c>
      <c r="I1082" s="91" t="s">
        <v>3929</v>
      </c>
      <c r="J1082" s="91">
        <v>3582</v>
      </c>
      <c r="K1082" s="91">
        <v>0</v>
      </c>
      <c r="L1082" s="91">
        <v>0</v>
      </c>
      <c r="M1082" s="91">
        <v>0</v>
      </c>
      <c r="N1082" s="91">
        <f>15443+20859</f>
        <v>36302</v>
      </c>
      <c r="O1082" s="91">
        <v>0</v>
      </c>
      <c r="P1082" s="91">
        <v>0</v>
      </c>
      <c r="Q1082" s="97">
        <f t="shared" si="32"/>
        <v>39884</v>
      </c>
      <c r="R1082" s="95">
        <f t="shared" si="33"/>
        <v>33901.4</v>
      </c>
    </row>
    <row r="1083" spans="1:18" ht="34.049999999999997" customHeight="1" x14ac:dyDescent="0.3">
      <c r="A1083" s="90">
        <v>1072</v>
      </c>
      <c r="B1083" s="91" t="s">
        <v>3714</v>
      </c>
      <c r="C1083" s="91" t="s">
        <v>3727</v>
      </c>
      <c r="D1083" s="91" t="s">
        <v>3728</v>
      </c>
      <c r="E1083" s="91">
        <v>1982</v>
      </c>
      <c r="F1083" s="91" t="s">
        <v>19</v>
      </c>
      <c r="G1083" s="91" t="s">
        <v>3838</v>
      </c>
      <c r="H1083" s="91" t="s">
        <v>3838</v>
      </c>
      <c r="I1083" s="91" t="s">
        <v>268</v>
      </c>
      <c r="J1083" s="91">
        <v>3582</v>
      </c>
      <c r="K1083" s="91">
        <v>0</v>
      </c>
      <c r="L1083" s="91">
        <v>0</v>
      </c>
      <c r="M1083" s="91">
        <v>0</v>
      </c>
      <c r="N1083" s="91">
        <v>0</v>
      </c>
      <c r="O1083" s="91">
        <v>0</v>
      </c>
      <c r="P1083" s="91">
        <v>0</v>
      </c>
      <c r="Q1083" s="97">
        <f t="shared" si="32"/>
        <v>3582</v>
      </c>
      <c r="R1083" s="95">
        <f t="shared" si="33"/>
        <v>3044.7</v>
      </c>
    </row>
    <row r="1084" spans="1:18" ht="34.049999999999997" customHeight="1" x14ac:dyDescent="0.3">
      <c r="A1084" s="96">
        <v>1073</v>
      </c>
      <c r="B1084" s="91" t="s">
        <v>3714</v>
      </c>
      <c r="C1084" s="91" t="s">
        <v>3729</v>
      </c>
      <c r="D1084" s="91" t="s">
        <v>3730</v>
      </c>
      <c r="E1084" s="91">
        <v>2020</v>
      </c>
      <c r="F1084" s="91" t="s">
        <v>18</v>
      </c>
      <c r="G1084" s="91" t="s">
        <v>3839</v>
      </c>
      <c r="H1084" s="91" t="s">
        <v>3899</v>
      </c>
      <c r="I1084" s="91" t="s">
        <v>2864</v>
      </c>
      <c r="J1084" s="91">
        <v>6199</v>
      </c>
      <c r="K1084" s="91">
        <v>0</v>
      </c>
      <c r="L1084" s="91">
        <v>0</v>
      </c>
      <c r="M1084" s="91">
        <v>0</v>
      </c>
      <c r="N1084" s="91">
        <v>0</v>
      </c>
      <c r="O1084" s="91">
        <v>0</v>
      </c>
      <c r="P1084" s="91">
        <v>0</v>
      </c>
      <c r="Q1084" s="97">
        <f t="shared" si="32"/>
        <v>6199</v>
      </c>
      <c r="R1084" s="95">
        <f t="shared" si="33"/>
        <v>5269.15</v>
      </c>
    </row>
    <row r="1085" spans="1:18" ht="34.049999999999997" customHeight="1" x14ac:dyDescent="0.3">
      <c r="A1085" s="90">
        <v>1074</v>
      </c>
      <c r="B1085" s="91" t="s">
        <v>3714</v>
      </c>
      <c r="C1085" s="91" t="s">
        <v>3731</v>
      </c>
      <c r="D1085" s="91" t="s">
        <v>3732</v>
      </c>
      <c r="E1085" s="91">
        <v>1985</v>
      </c>
      <c r="F1085" s="91" t="s">
        <v>19</v>
      </c>
      <c r="G1085" s="91" t="s">
        <v>3840</v>
      </c>
      <c r="H1085" s="91" t="s">
        <v>3840</v>
      </c>
      <c r="I1085" s="91" t="s">
        <v>3930</v>
      </c>
      <c r="J1085" s="91">
        <v>6199</v>
      </c>
      <c r="K1085" s="91">
        <f>1346+6278+4484</f>
        <v>12108</v>
      </c>
      <c r="L1085" s="91">
        <v>0</v>
      </c>
      <c r="M1085" s="91">
        <v>0</v>
      </c>
      <c r="N1085" s="91">
        <v>1793</v>
      </c>
      <c r="O1085" s="91">
        <v>0</v>
      </c>
      <c r="P1085" s="91">
        <v>0</v>
      </c>
      <c r="Q1085" s="97">
        <f t="shared" si="32"/>
        <v>20100</v>
      </c>
      <c r="R1085" s="95">
        <f t="shared" si="33"/>
        <v>17085</v>
      </c>
    </row>
    <row r="1086" spans="1:18" ht="34.049999999999997" customHeight="1" x14ac:dyDescent="0.3">
      <c r="A1086" s="90">
        <v>1075</v>
      </c>
      <c r="B1086" s="91" t="s">
        <v>3714</v>
      </c>
      <c r="C1086" s="91" t="s">
        <v>3733</v>
      </c>
      <c r="D1086" s="91" t="s">
        <v>3734</v>
      </c>
      <c r="E1086" s="91">
        <v>1990</v>
      </c>
      <c r="F1086" s="91" t="s">
        <v>19</v>
      </c>
      <c r="G1086" s="91" t="s">
        <v>3841</v>
      </c>
      <c r="H1086" s="91" t="s">
        <v>3618</v>
      </c>
      <c r="I1086" s="91" t="s">
        <v>28</v>
      </c>
      <c r="J1086" s="91">
        <v>6199</v>
      </c>
      <c r="K1086" s="91">
        <v>0</v>
      </c>
      <c r="L1086" s="91">
        <v>9422</v>
      </c>
      <c r="M1086" s="91">
        <v>0</v>
      </c>
      <c r="N1086" s="91">
        <v>0</v>
      </c>
      <c r="O1086" s="91">
        <v>0</v>
      </c>
      <c r="P1086" s="91">
        <v>0</v>
      </c>
      <c r="Q1086" s="97">
        <f t="shared" si="32"/>
        <v>15621</v>
      </c>
      <c r="R1086" s="95">
        <f t="shared" si="33"/>
        <v>13277.85</v>
      </c>
    </row>
    <row r="1087" spans="1:18" ht="34.049999999999997" customHeight="1" x14ac:dyDescent="0.3">
      <c r="A1087" s="96">
        <v>1076</v>
      </c>
      <c r="B1087" s="91" t="s">
        <v>3714</v>
      </c>
      <c r="C1087" s="91" t="s">
        <v>3735</v>
      </c>
      <c r="D1087" s="91" t="s">
        <v>3736</v>
      </c>
      <c r="E1087" s="91">
        <v>2019</v>
      </c>
      <c r="F1087" s="91" t="s">
        <v>19</v>
      </c>
      <c r="G1087" s="91" t="s">
        <v>3842</v>
      </c>
      <c r="H1087" s="91" t="s">
        <v>3900</v>
      </c>
      <c r="I1087" s="91" t="s">
        <v>3696</v>
      </c>
      <c r="J1087" s="91">
        <v>6199</v>
      </c>
      <c r="K1087" s="91">
        <v>0</v>
      </c>
      <c r="L1087" s="91">
        <v>0</v>
      </c>
      <c r="M1087" s="91">
        <v>0</v>
      </c>
      <c r="N1087" s="91">
        <v>0</v>
      </c>
      <c r="O1087" s="91">
        <v>0</v>
      </c>
      <c r="P1087" s="91">
        <v>0</v>
      </c>
      <c r="Q1087" s="97">
        <f t="shared" si="32"/>
        <v>6199</v>
      </c>
      <c r="R1087" s="95">
        <f t="shared" si="33"/>
        <v>5269.15</v>
      </c>
    </row>
    <row r="1088" spans="1:18" ht="34.049999999999997" customHeight="1" x14ac:dyDescent="0.3">
      <c r="A1088" s="90">
        <v>1077</v>
      </c>
      <c r="B1088" s="91" t="s">
        <v>3714</v>
      </c>
      <c r="C1088" s="91" t="s">
        <v>3737</v>
      </c>
      <c r="D1088" s="91" t="s">
        <v>3738</v>
      </c>
      <c r="E1088" s="91">
        <v>1986</v>
      </c>
      <c r="F1088" s="91" t="s">
        <v>18</v>
      </c>
      <c r="G1088" s="91" t="s">
        <v>3843</v>
      </c>
      <c r="H1088" s="91" t="s">
        <v>3843</v>
      </c>
      <c r="I1088" s="91" t="s">
        <v>32</v>
      </c>
      <c r="J1088" s="91">
        <v>6199</v>
      </c>
      <c r="K1088" s="91">
        <v>0</v>
      </c>
      <c r="L1088" s="91">
        <v>0</v>
      </c>
      <c r="M1088" s="91">
        <v>0</v>
      </c>
      <c r="N1088" s="91">
        <v>0</v>
      </c>
      <c r="O1088" s="91">
        <v>0</v>
      </c>
      <c r="P1088" s="91">
        <v>0</v>
      </c>
      <c r="Q1088" s="97">
        <f t="shared" si="32"/>
        <v>6199</v>
      </c>
      <c r="R1088" s="95">
        <f t="shared" si="33"/>
        <v>5269.15</v>
      </c>
    </row>
    <row r="1089" spans="1:23" ht="34.049999999999997" customHeight="1" x14ac:dyDescent="0.3">
      <c r="A1089" s="90">
        <v>1078</v>
      </c>
      <c r="B1089" s="91" t="s">
        <v>3714</v>
      </c>
      <c r="C1089" s="91" t="s">
        <v>3739</v>
      </c>
      <c r="D1089" s="91" t="s">
        <v>2002</v>
      </c>
      <c r="E1089" s="91">
        <v>1987</v>
      </c>
      <c r="F1089" s="91" t="s">
        <v>19</v>
      </c>
      <c r="G1089" s="91" t="s">
        <v>2071</v>
      </c>
      <c r="H1089" s="91" t="s">
        <v>2071</v>
      </c>
      <c r="I1089" s="91" t="s">
        <v>2137</v>
      </c>
      <c r="J1089" s="91">
        <v>3793</v>
      </c>
      <c r="K1089" s="91">
        <v>1166</v>
      </c>
      <c r="L1089" s="91">
        <v>20807</v>
      </c>
      <c r="M1089" s="91">
        <v>0</v>
      </c>
      <c r="N1089" s="91">
        <v>0</v>
      </c>
      <c r="O1089" s="91">
        <v>0</v>
      </c>
      <c r="P1089" s="91">
        <v>0</v>
      </c>
      <c r="Q1089" s="97">
        <f t="shared" si="32"/>
        <v>25766</v>
      </c>
      <c r="R1089" s="95">
        <f t="shared" si="33"/>
        <v>21901.1</v>
      </c>
    </row>
    <row r="1090" spans="1:23" ht="34.049999999999997" customHeight="1" x14ac:dyDescent="0.3">
      <c r="A1090" s="96">
        <v>1079</v>
      </c>
      <c r="B1090" s="91" t="s">
        <v>3714</v>
      </c>
      <c r="C1090" s="91" t="s">
        <v>3740</v>
      </c>
      <c r="D1090" s="91" t="s">
        <v>3741</v>
      </c>
      <c r="E1090" s="91">
        <v>1988</v>
      </c>
      <c r="F1090" s="91" t="s">
        <v>18</v>
      </c>
      <c r="G1090" s="91" t="s">
        <v>3844</v>
      </c>
      <c r="H1090" s="91" t="s">
        <v>3844</v>
      </c>
      <c r="I1090" s="91" t="s">
        <v>3931</v>
      </c>
      <c r="J1090" s="91">
        <v>6199</v>
      </c>
      <c r="K1090" s="91">
        <f>1166+2801</f>
        <v>3967</v>
      </c>
      <c r="L1090" s="91">
        <v>13298</v>
      </c>
      <c r="M1090" s="91">
        <v>0</v>
      </c>
      <c r="N1090" s="91">
        <v>0</v>
      </c>
      <c r="O1090" s="91">
        <v>0</v>
      </c>
      <c r="P1090" s="91">
        <v>0</v>
      </c>
      <c r="Q1090" s="97">
        <f t="shared" si="32"/>
        <v>23464</v>
      </c>
      <c r="R1090" s="95">
        <f t="shared" si="33"/>
        <v>19944.400000000001</v>
      </c>
    </row>
    <row r="1091" spans="1:23" ht="34.049999999999997" customHeight="1" x14ac:dyDescent="0.3">
      <c r="A1091" s="90">
        <v>1080</v>
      </c>
      <c r="B1091" s="91" t="s">
        <v>3714</v>
      </c>
      <c r="C1091" s="91" t="s">
        <v>3742</v>
      </c>
      <c r="D1091" s="91" t="s">
        <v>3743</v>
      </c>
      <c r="E1091" s="91">
        <v>1958</v>
      </c>
      <c r="F1091" s="91" t="s">
        <v>19</v>
      </c>
      <c r="G1091" s="91" t="s">
        <v>3845</v>
      </c>
      <c r="H1091" s="91" t="s">
        <v>3845</v>
      </c>
      <c r="I1091" s="91" t="s">
        <v>1689</v>
      </c>
      <c r="J1091" s="91">
        <v>6199</v>
      </c>
      <c r="K1091" s="91">
        <f>2332+6278+1166+2801+2332+2332+4484</f>
        <v>21725</v>
      </c>
      <c r="L1091" s="91">
        <v>0</v>
      </c>
      <c r="M1091" s="91">
        <v>0</v>
      </c>
      <c r="N1091" s="91">
        <v>0</v>
      </c>
      <c r="O1091" s="91">
        <v>0</v>
      </c>
      <c r="P1091" s="91">
        <v>0</v>
      </c>
      <c r="Q1091" s="97">
        <f t="shared" si="32"/>
        <v>27924</v>
      </c>
      <c r="R1091" s="95">
        <f t="shared" si="33"/>
        <v>23735.4</v>
      </c>
    </row>
    <row r="1092" spans="1:23" ht="34.049999999999997" customHeight="1" x14ac:dyDescent="0.3">
      <c r="A1092" s="90">
        <v>1081</v>
      </c>
      <c r="B1092" s="91" t="s">
        <v>3714</v>
      </c>
      <c r="C1092" s="91" t="s">
        <v>3744</v>
      </c>
      <c r="D1092" s="91" t="s">
        <v>3745</v>
      </c>
      <c r="E1092" s="91">
        <v>1985</v>
      </c>
      <c r="F1092" s="91" t="s">
        <v>18</v>
      </c>
      <c r="G1092" s="91" t="s">
        <v>3846</v>
      </c>
      <c r="H1092" s="91" t="s">
        <v>3901</v>
      </c>
      <c r="I1092" s="91" t="s">
        <v>3932</v>
      </c>
      <c r="J1092" s="91">
        <v>6199</v>
      </c>
      <c r="K1092" s="91">
        <f>1346+6278+4484+2332+2332+2332</f>
        <v>19104</v>
      </c>
      <c r="L1092" s="91">
        <v>0</v>
      </c>
      <c r="M1092" s="91">
        <v>0</v>
      </c>
      <c r="N1092" s="91">
        <v>1793</v>
      </c>
      <c r="O1092" s="91">
        <v>0</v>
      </c>
      <c r="P1092" s="91">
        <v>0</v>
      </c>
      <c r="Q1092" s="97">
        <f t="shared" si="32"/>
        <v>27096</v>
      </c>
      <c r="R1092" s="95">
        <f t="shared" si="33"/>
        <v>23031.599999999999</v>
      </c>
    </row>
    <row r="1093" spans="1:23" ht="34.049999999999997" customHeight="1" x14ac:dyDescent="0.3">
      <c r="A1093" s="96">
        <v>1082</v>
      </c>
      <c r="B1093" s="91" t="s">
        <v>3714</v>
      </c>
      <c r="C1093" s="91" t="s">
        <v>3746</v>
      </c>
      <c r="D1093" s="91" t="s">
        <v>3747</v>
      </c>
      <c r="E1093" s="91">
        <v>1994</v>
      </c>
      <c r="F1093" s="91" t="s">
        <v>18</v>
      </c>
      <c r="G1093" s="91" t="s">
        <v>3847</v>
      </c>
      <c r="H1093" s="91" t="s">
        <v>3847</v>
      </c>
      <c r="I1093" s="91" t="s">
        <v>3933</v>
      </c>
      <c r="J1093" s="91">
        <v>6199</v>
      </c>
      <c r="K1093" s="91">
        <f>4484+4484+2332+2332+2332</f>
        <v>15964</v>
      </c>
      <c r="L1093" s="91">
        <v>0</v>
      </c>
      <c r="M1093" s="91">
        <v>0</v>
      </c>
      <c r="N1093" s="91">
        <v>1793</v>
      </c>
      <c r="O1093" s="91">
        <v>0</v>
      </c>
      <c r="P1093" s="91">
        <v>0</v>
      </c>
      <c r="Q1093" s="97">
        <f t="shared" si="32"/>
        <v>23956</v>
      </c>
      <c r="R1093" s="95">
        <f t="shared" si="33"/>
        <v>20362.599999999999</v>
      </c>
    </row>
    <row r="1094" spans="1:23" ht="34.049999999999997" customHeight="1" x14ac:dyDescent="0.3">
      <c r="A1094" s="90">
        <v>1083</v>
      </c>
      <c r="B1094" s="91" t="s">
        <v>3714</v>
      </c>
      <c r="C1094" s="91" t="s">
        <v>3748</v>
      </c>
      <c r="D1094" s="91" t="s">
        <v>3749</v>
      </c>
      <c r="E1094" s="91">
        <v>1993</v>
      </c>
      <c r="F1094" s="91" t="s">
        <v>18</v>
      </c>
      <c r="G1094" s="91" t="s">
        <v>3848</v>
      </c>
      <c r="H1094" s="91" t="s">
        <v>3848</v>
      </c>
      <c r="I1094" s="91" t="s">
        <v>3934</v>
      </c>
      <c r="J1094" s="91">
        <v>6199</v>
      </c>
      <c r="K1094" s="91">
        <f>1346+6278+4484+2332+2332+2332+2332+2332+2332+3228+3000+3000</f>
        <v>35328</v>
      </c>
      <c r="L1094" s="91">
        <v>0</v>
      </c>
      <c r="M1094" s="91">
        <v>0</v>
      </c>
      <c r="N1094" s="91">
        <v>1793</v>
      </c>
      <c r="O1094" s="91">
        <v>0</v>
      </c>
      <c r="P1094" s="91">
        <v>0</v>
      </c>
      <c r="Q1094" s="97">
        <f t="shared" si="32"/>
        <v>43320</v>
      </c>
      <c r="R1094" s="95">
        <f t="shared" si="33"/>
        <v>36822</v>
      </c>
    </row>
    <row r="1095" spans="1:23" ht="34.049999999999997" customHeight="1" x14ac:dyDescent="0.3">
      <c r="A1095" s="90">
        <v>1084</v>
      </c>
      <c r="B1095" s="91" t="s">
        <v>3714</v>
      </c>
      <c r="C1095" s="91" t="s">
        <v>3750</v>
      </c>
      <c r="D1095" s="91" t="s">
        <v>3751</v>
      </c>
      <c r="E1095" s="91">
        <v>1997</v>
      </c>
      <c r="F1095" s="91" t="s">
        <v>19</v>
      </c>
      <c r="G1095" s="91" t="s">
        <v>3849</v>
      </c>
      <c r="H1095" s="91" t="s">
        <v>3849</v>
      </c>
      <c r="I1095" s="91" t="s">
        <v>3935</v>
      </c>
      <c r="J1095" s="91">
        <v>6199</v>
      </c>
      <c r="K1095" s="91">
        <f>1346+6278+4484+2332+2332+2332+2332+2332+2332+6995+6995+2332+6995</f>
        <v>49417</v>
      </c>
      <c r="L1095" s="91">
        <v>0</v>
      </c>
      <c r="M1095" s="91">
        <v>0</v>
      </c>
      <c r="N1095" s="91">
        <f>1793+3179+1178+1681</f>
        <v>7831</v>
      </c>
      <c r="O1095" s="91">
        <v>0</v>
      </c>
      <c r="P1095" s="91">
        <f>720+1320+1080+374+1200+360+312+56</f>
        <v>5422</v>
      </c>
      <c r="Q1095" s="94">
        <f t="shared" si="32"/>
        <v>68869</v>
      </c>
      <c r="R1095" s="95">
        <f t="shared" si="33"/>
        <v>58538.65</v>
      </c>
    </row>
    <row r="1096" spans="1:23" ht="34.049999999999997" customHeight="1" x14ac:dyDescent="0.3">
      <c r="A1096" s="96">
        <v>1085</v>
      </c>
      <c r="B1096" s="91" t="s">
        <v>3714</v>
      </c>
      <c r="C1096" s="91" t="s">
        <v>3750</v>
      </c>
      <c r="D1096" s="91" t="s">
        <v>3751</v>
      </c>
      <c r="E1096" s="91">
        <v>1997</v>
      </c>
      <c r="F1096" s="91" t="s">
        <v>19</v>
      </c>
      <c r="G1096" s="91" t="s">
        <v>3849</v>
      </c>
      <c r="H1096" s="91" t="s">
        <v>3849</v>
      </c>
      <c r="I1096" s="91" t="s">
        <v>3935</v>
      </c>
      <c r="J1096" s="91">
        <v>0</v>
      </c>
      <c r="K1096" s="91">
        <v>0</v>
      </c>
      <c r="L1096" s="91">
        <v>0</v>
      </c>
      <c r="M1096" s="91">
        <v>17688</v>
      </c>
      <c r="N1096" s="91">
        <v>0</v>
      </c>
      <c r="O1096" s="91">
        <v>0</v>
      </c>
      <c r="P1096" s="91">
        <f>312+56+1200</f>
        <v>1568</v>
      </c>
      <c r="Q1096" s="94">
        <f t="shared" si="32"/>
        <v>19256</v>
      </c>
      <c r="R1096" s="95">
        <f t="shared" si="33"/>
        <v>16367.6</v>
      </c>
    </row>
    <row r="1097" spans="1:23" ht="34.049999999999997" customHeight="1" x14ac:dyDescent="0.3">
      <c r="A1097" s="90">
        <v>1086</v>
      </c>
      <c r="B1097" s="98" t="s">
        <v>3714</v>
      </c>
      <c r="C1097" s="98" t="s">
        <v>3752</v>
      </c>
      <c r="D1097" s="98" t="s">
        <v>3753</v>
      </c>
      <c r="E1097" s="98">
        <v>1946</v>
      </c>
      <c r="F1097" s="98" t="s">
        <v>18</v>
      </c>
      <c r="G1097" s="98" t="s">
        <v>3850</v>
      </c>
      <c r="H1097" s="98" t="s">
        <v>3850</v>
      </c>
      <c r="I1097" s="98" t="s">
        <v>1689</v>
      </c>
      <c r="J1097" s="98">
        <v>6199</v>
      </c>
      <c r="K1097" s="98">
        <f>6278+2332+2332+13452+4484+2332+2332+2332+2332+3500</f>
        <v>41706</v>
      </c>
      <c r="L1097" s="98">
        <v>20807</v>
      </c>
      <c r="M1097" s="98">
        <v>0</v>
      </c>
      <c r="N1097" s="98">
        <v>1793</v>
      </c>
      <c r="O1097" s="98">
        <v>0</v>
      </c>
      <c r="P1097" s="98">
        <v>0</v>
      </c>
      <c r="Q1097" s="97">
        <f t="shared" si="32"/>
        <v>70505</v>
      </c>
      <c r="R1097" s="95">
        <f t="shared" si="33"/>
        <v>59929.25</v>
      </c>
      <c r="S1097" s="41"/>
      <c r="T1097" s="41"/>
      <c r="U1097" s="41"/>
      <c r="V1097" s="41"/>
      <c r="W1097" s="41"/>
    </row>
    <row r="1098" spans="1:23" ht="34.049999999999997" customHeight="1" x14ac:dyDescent="0.3">
      <c r="A1098" s="90">
        <v>1087</v>
      </c>
      <c r="B1098" s="91" t="s">
        <v>3714</v>
      </c>
      <c r="C1098" s="91" t="s">
        <v>3754</v>
      </c>
      <c r="D1098" s="91" t="s">
        <v>3755</v>
      </c>
      <c r="E1098" s="91">
        <v>1991</v>
      </c>
      <c r="F1098" s="91" t="s">
        <v>19</v>
      </c>
      <c r="G1098" s="91" t="s">
        <v>3851</v>
      </c>
      <c r="H1098" s="91" t="s">
        <v>3902</v>
      </c>
      <c r="I1098" s="91" t="s">
        <v>836</v>
      </c>
      <c r="J1098" s="91">
        <v>6199</v>
      </c>
      <c r="K1098" s="91">
        <v>0</v>
      </c>
      <c r="L1098" s="91">
        <v>0</v>
      </c>
      <c r="M1098" s="91">
        <v>0</v>
      </c>
      <c r="N1098" s="91">
        <v>9871</v>
      </c>
      <c r="O1098" s="91">
        <v>0</v>
      </c>
      <c r="P1098" s="91">
        <v>0</v>
      </c>
      <c r="Q1098" s="97">
        <f t="shared" si="32"/>
        <v>16070</v>
      </c>
      <c r="R1098" s="95">
        <f t="shared" si="33"/>
        <v>13659.5</v>
      </c>
    </row>
    <row r="1099" spans="1:23" ht="34.049999999999997" customHeight="1" x14ac:dyDescent="0.3">
      <c r="A1099" s="96">
        <v>1088</v>
      </c>
      <c r="B1099" s="91" t="s">
        <v>3714</v>
      </c>
      <c r="C1099" s="91" t="s">
        <v>3756</v>
      </c>
      <c r="D1099" s="91" t="s">
        <v>3757</v>
      </c>
      <c r="E1099" s="91">
        <v>2019</v>
      </c>
      <c r="F1099" s="91" t="s">
        <v>19</v>
      </c>
      <c r="G1099" s="91" t="s">
        <v>3852</v>
      </c>
      <c r="H1099" s="91" t="s">
        <v>3870</v>
      </c>
      <c r="I1099" s="91" t="s">
        <v>1069</v>
      </c>
      <c r="J1099" s="91">
        <v>6199</v>
      </c>
      <c r="K1099" s="91">
        <v>0</v>
      </c>
      <c r="L1099" s="91">
        <v>0</v>
      </c>
      <c r="M1099" s="91">
        <v>0</v>
      </c>
      <c r="N1099" s="91">
        <v>0</v>
      </c>
      <c r="O1099" s="91">
        <v>0</v>
      </c>
      <c r="P1099" s="91">
        <v>0</v>
      </c>
      <c r="Q1099" s="97">
        <f t="shared" si="32"/>
        <v>6199</v>
      </c>
      <c r="R1099" s="95">
        <f t="shared" si="33"/>
        <v>5269.15</v>
      </c>
    </row>
    <row r="1100" spans="1:23" ht="34.049999999999997" customHeight="1" x14ac:dyDescent="0.3">
      <c r="A1100" s="90">
        <v>1089</v>
      </c>
      <c r="B1100" s="91" t="s">
        <v>3714</v>
      </c>
      <c r="C1100" s="91" t="s">
        <v>3758</v>
      </c>
      <c r="D1100" s="91" t="s">
        <v>3757</v>
      </c>
      <c r="E1100" s="91">
        <v>2019</v>
      </c>
      <c r="F1100" s="91" t="s">
        <v>19</v>
      </c>
      <c r="G1100" s="91" t="s">
        <v>3852</v>
      </c>
      <c r="H1100" s="91" t="s">
        <v>3870</v>
      </c>
      <c r="I1100" s="91" t="s">
        <v>1069</v>
      </c>
      <c r="J1100" s="91">
        <v>3582</v>
      </c>
      <c r="K1100" s="91">
        <v>0</v>
      </c>
      <c r="L1100" s="91">
        <v>0</v>
      </c>
      <c r="M1100" s="91">
        <v>0</v>
      </c>
      <c r="N1100" s="91">
        <v>35836</v>
      </c>
      <c r="O1100" s="91">
        <v>0</v>
      </c>
      <c r="P1100" s="91">
        <v>0</v>
      </c>
      <c r="Q1100" s="97">
        <f t="shared" ref="Q1100:Q1163" si="34">SUM(J1100:P1100)</f>
        <v>39418</v>
      </c>
      <c r="R1100" s="95">
        <f t="shared" si="33"/>
        <v>33505.300000000003</v>
      </c>
    </row>
    <row r="1101" spans="1:23" ht="34.049999999999997" customHeight="1" x14ac:dyDescent="0.3">
      <c r="A1101" s="90">
        <v>1090</v>
      </c>
      <c r="B1101" s="91" t="s">
        <v>3714</v>
      </c>
      <c r="C1101" s="91" t="s">
        <v>3759</v>
      </c>
      <c r="D1101" s="91" t="s">
        <v>3760</v>
      </c>
      <c r="E1101" s="91">
        <v>2017</v>
      </c>
      <c r="F1101" s="91" t="s">
        <v>18</v>
      </c>
      <c r="G1101" s="91" t="s">
        <v>3853</v>
      </c>
      <c r="H1101" s="91" t="s">
        <v>3870</v>
      </c>
      <c r="I1101" s="91" t="s">
        <v>1069</v>
      </c>
      <c r="J1101" s="91">
        <v>6199</v>
      </c>
      <c r="K1101" s="91">
        <v>0</v>
      </c>
      <c r="L1101" s="91">
        <v>0</v>
      </c>
      <c r="M1101" s="91">
        <v>0</v>
      </c>
      <c r="N1101" s="91">
        <v>0</v>
      </c>
      <c r="O1101" s="91">
        <v>0</v>
      </c>
      <c r="P1101" s="91">
        <v>0</v>
      </c>
      <c r="Q1101" s="97">
        <f t="shared" si="34"/>
        <v>6199</v>
      </c>
      <c r="R1101" s="95">
        <f t="shared" ref="R1101:R1164" si="35">Q1101*85/100</f>
        <v>5269.15</v>
      </c>
    </row>
    <row r="1102" spans="1:23" ht="34.049999999999997" customHeight="1" x14ac:dyDescent="0.3">
      <c r="A1102" s="96">
        <v>1091</v>
      </c>
      <c r="B1102" s="91" t="s">
        <v>3714</v>
      </c>
      <c r="C1102" s="91" t="s">
        <v>3761</v>
      </c>
      <c r="D1102" s="91" t="s">
        <v>3762</v>
      </c>
      <c r="E1102" s="91">
        <v>1986</v>
      </c>
      <c r="F1102" s="91" t="s">
        <v>19</v>
      </c>
      <c r="G1102" s="91" t="s">
        <v>3854</v>
      </c>
      <c r="H1102" s="91" t="s">
        <v>3854</v>
      </c>
      <c r="I1102" s="91" t="s">
        <v>251</v>
      </c>
      <c r="J1102" s="91">
        <v>3582</v>
      </c>
      <c r="K1102" s="91">
        <v>0</v>
      </c>
      <c r="L1102" s="91">
        <v>0</v>
      </c>
      <c r="M1102" s="91">
        <v>0</v>
      </c>
      <c r="N1102" s="91">
        <f>27380+34016</f>
        <v>61396</v>
      </c>
      <c r="O1102" s="91">
        <v>0</v>
      </c>
      <c r="P1102" s="91">
        <v>0</v>
      </c>
      <c r="Q1102" s="97">
        <f t="shared" si="34"/>
        <v>64978</v>
      </c>
      <c r="R1102" s="95">
        <f t="shared" si="35"/>
        <v>55231.3</v>
      </c>
    </row>
    <row r="1103" spans="1:23" ht="34.049999999999997" customHeight="1" x14ac:dyDescent="0.3">
      <c r="A1103" s="90">
        <v>1092</v>
      </c>
      <c r="B1103" s="91" t="s">
        <v>3714</v>
      </c>
      <c r="C1103" s="91" t="s">
        <v>3763</v>
      </c>
      <c r="D1103" s="91" t="s">
        <v>3764</v>
      </c>
      <c r="E1103" s="91">
        <v>2025</v>
      </c>
      <c r="F1103" s="91" t="s">
        <v>18</v>
      </c>
      <c r="G1103" s="91" t="s">
        <v>3855</v>
      </c>
      <c r="H1103" s="91" t="s">
        <v>3903</v>
      </c>
      <c r="I1103" s="91" t="s">
        <v>2463</v>
      </c>
      <c r="J1103" s="91">
        <v>6199</v>
      </c>
      <c r="K1103" s="91">
        <v>0</v>
      </c>
      <c r="L1103" s="91">
        <v>0</v>
      </c>
      <c r="M1103" s="91">
        <v>0</v>
      </c>
      <c r="N1103" s="91">
        <v>18299</v>
      </c>
      <c r="O1103" s="91">
        <v>0</v>
      </c>
      <c r="P1103" s="91">
        <v>0</v>
      </c>
      <c r="Q1103" s="97">
        <f t="shared" si="34"/>
        <v>24498</v>
      </c>
      <c r="R1103" s="95">
        <f t="shared" si="35"/>
        <v>20823.3</v>
      </c>
    </row>
    <row r="1104" spans="1:23" ht="34.049999999999997" customHeight="1" x14ac:dyDescent="0.3">
      <c r="A1104" s="90">
        <v>1093</v>
      </c>
      <c r="B1104" s="91" t="s">
        <v>3714</v>
      </c>
      <c r="C1104" s="91" t="s">
        <v>3765</v>
      </c>
      <c r="D1104" s="91" t="s">
        <v>3766</v>
      </c>
      <c r="E1104" s="91">
        <v>1979</v>
      </c>
      <c r="F1104" s="91" t="s">
        <v>18</v>
      </c>
      <c r="G1104" s="91" t="s">
        <v>3856</v>
      </c>
      <c r="H1104" s="91" t="s">
        <v>3904</v>
      </c>
      <c r="I1104" s="91" t="s">
        <v>251</v>
      </c>
      <c r="J1104" s="91">
        <v>0</v>
      </c>
      <c r="K1104" s="91">
        <v>0</v>
      </c>
      <c r="L1104" s="91">
        <v>0</v>
      </c>
      <c r="M1104" s="91">
        <v>0</v>
      </c>
      <c r="N1104" s="91">
        <f>34016+27380</f>
        <v>61396</v>
      </c>
      <c r="O1104" s="91">
        <v>0</v>
      </c>
      <c r="P1104" s="91">
        <v>0</v>
      </c>
      <c r="Q1104" s="97">
        <f t="shared" si="34"/>
        <v>61396</v>
      </c>
      <c r="R1104" s="95">
        <f t="shared" si="35"/>
        <v>52186.6</v>
      </c>
    </row>
    <row r="1105" spans="1:23" ht="34.049999999999997" customHeight="1" x14ac:dyDescent="0.3">
      <c r="A1105" s="96">
        <v>1094</v>
      </c>
      <c r="B1105" s="91" t="s">
        <v>3714</v>
      </c>
      <c r="C1105" s="91" t="s">
        <v>3767</v>
      </c>
      <c r="D1105" s="91" t="s">
        <v>3768</v>
      </c>
      <c r="E1105" s="91">
        <v>2021</v>
      </c>
      <c r="F1105" s="91" t="s">
        <v>19</v>
      </c>
      <c r="G1105" s="91" t="s">
        <v>3857</v>
      </c>
      <c r="H1105" s="91" t="s">
        <v>3905</v>
      </c>
      <c r="I1105" s="91" t="s">
        <v>3936</v>
      </c>
      <c r="J1105" s="91">
        <v>6199</v>
      </c>
      <c r="K1105" s="91">
        <f>1346+6278+4484+4484+2332+2332+2332+2332+2332+2332+6995+6995+2332+6995</f>
        <v>53901</v>
      </c>
      <c r="L1105" s="91">
        <v>0</v>
      </c>
      <c r="M1105" s="91">
        <v>0</v>
      </c>
      <c r="N1105" s="91">
        <f>3148+4053+2088</f>
        <v>9289</v>
      </c>
      <c r="O1105" s="91">
        <v>0</v>
      </c>
      <c r="P1105" s="91">
        <f>720+1080+120+360+56+60</f>
        <v>2396</v>
      </c>
      <c r="Q1105" s="94">
        <f t="shared" si="34"/>
        <v>71785</v>
      </c>
      <c r="R1105" s="95">
        <f t="shared" si="35"/>
        <v>61017.25</v>
      </c>
    </row>
    <row r="1106" spans="1:23" ht="34.049999999999997" customHeight="1" x14ac:dyDescent="0.3">
      <c r="A1106" s="90">
        <v>1095</v>
      </c>
      <c r="B1106" s="91" t="s">
        <v>3714</v>
      </c>
      <c r="C1106" s="91" t="s">
        <v>3767</v>
      </c>
      <c r="D1106" s="91" t="s">
        <v>3768</v>
      </c>
      <c r="E1106" s="91">
        <v>2021</v>
      </c>
      <c r="F1106" s="91" t="s">
        <v>19</v>
      </c>
      <c r="G1106" s="91" t="s">
        <v>3857</v>
      </c>
      <c r="H1106" s="91" t="s">
        <v>3905</v>
      </c>
      <c r="I1106" s="91" t="s">
        <v>3936</v>
      </c>
      <c r="J1106" s="91">
        <v>0</v>
      </c>
      <c r="K1106" s="91">
        <v>0</v>
      </c>
      <c r="L1106" s="91">
        <v>0</v>
      </c>
      <c r="M1106" s="91">
        <v>17688</v>
      </c>
      <c r="N1106" s="91">
        <v>0</v>
      </c>
      <c r="O1106" s="91">
        <v>0</v>
      </c>
      <c r="P1106" s="91">
        <f>360+56</f>
        <v>416</v>
      </c>
      <c r="Q1106" s="94">
        <f t="shared" si="34"/>
        <v>18104</v>
      </c>
      <c r="R1106" s="95">
        <f t="shared" si="35"/>
        <v>15388.4</v>
      </c>
    </row>
    <row r="1107" spans="1:23" ht="34.049999999999997" customHeight="1" x14ac:dyDescent="0.3">
      <c r="A1107" s="90">
        <v>1096</v>
      </c>
      <c r="B1107" s="98" t="s">
        <v>3714</v>
      </c>
      <c r="C1107" s="98" t="s">
        <v>3769</v>
      </c>
      <c r="D1107" s="98" t="s">
        <v>3770</v>
      </c>
      <c r="E1107" s="98">
        <v>2017</v>
      </c>
      <c r="F1107" s="98" t="s">
        <v>19</v>
      </c>
      <c r="G1107" s="98" t="s">
        <v>3858</v>
      </c>
      <c r="H1107" s="98" t="s">
        <v>4424</v>
      </c>
      <c r="I1107" s="98" t="s">
        <v>830</v>
      </c>
      <c r="J1107" s="98">
        <v>6199</v>
      </c>
      <c r="K1107" s="98">
        <f>1346+6278+4484+4484+2332+2332+2332+2332+2332+2332+6995+6995+2332+6995+1166</f>
        <v>55067</v>
      </c>
      <c r="L1107" s="98">
        <v>0</v>
      </c>
      <c r="M1107" s="98">
        <v>0</v>
      </c>
      <c r="N1107" s="98">
        <f>3148+4053+2088</f>
        <v>9289</v>
      </c>
      <c r="O1107" s="98">
        <v>0</v>
      </c>
      <c r="P1107" s="98">
        <f>720+1080+120+360+56</f>
        <v>2336</v>
      </c>
      <c r="Q1107" s="97">
        <f t="shared" si="34"/>
        <v>72891</v>
      </c>
      <c r="R1107" s="95">
        <f t="shared" si="35"/>
        <v>61957.35</v>
      </c>
      <c r="S1107" s="41"/>
      <c r="T1107" s="41"/>
      <c r="U1107" s="41"/>
      <c r="V1107" s="41"/>
      <c r="W1107" s="41"/>
    </row>
    <row r="1108" spans="1:23" ht="34.049999999999997" customHeight="1" x14ac:dyDescent="0.3">
      <c r="A1108" s="96">
        <v>1097</v>
      </c>
      <c r="B1108" s="98" t="s">
        <v>3714</v>
      </c>
      <c r="C1108" s="98" t="s">
        <v>3769</v>
      </c>
      <c r="D1108" s="98" t="s">
        <v>3770</v>
      </c>
      <c r="E1108" s="98">
        <v>2017</v>
      </c>
      <c r="F1108" s="98" t="s">
        <v>19</v>
      </c>
      <c r="G1108" s="98" t="s">
        <v>3858</v>
      </c>
      <c r="H1108" s="98" t="s">
        <v>4424</v>
      </c>
      <c r="I1108" s="98" t="s">
        <v>830</v>
      </c>
      <c r="J1108" s="98">
        <v>0</v>
      </c>
      <c r="K1108" s="98">
        <v>0</v>
      </c>
      <c r="L1108" s="98">
        <v>0</v>
      </c>
      <c r="M1108" s="98">
        <v>17688</v>
      </c>
      <c r="N1108" s="98">
        <v>0</v>
      </c>
      <c r="O1108" s="98">
        <v>0</v>
      </c>
      <c r="P1108" s="98">
        <f>360+56</f>
        <v>416</v>
      </c>
      <c r="Q1108" s="97">
        <f t="shared" si="34"/>
        <v>18104</v>
      </c>
      <c r="R1108" s="95">
        <f t="shared" si="35"/>
        <v>15388.4</v>
      </c>
      <c r="S1108" s="41"/>
      <c r="T1108" s="41"/>
      <c r="U1108" s="41"/>
      <c r="V1108" s="41"/>
      <c r="W1108" s="41"/>
    </row>
    <row r="1109" spans="1:23" ht="34.049999999999997" customHeight="1" x14ac:dyDescent="0.3">
      <c r="A1109" s="90">
        <v>1098</v>
      </c>
      <c r="B1109" s="91" t="s">
        <v>3714</v>
      </c>
      <c r="C1109" s="91" t="s">
        <v>3771</v>
      </c>
      <c r="D1109" s="91" t="s">
        <v>3772</v>
      </c>
      <c r="E1109" s="91">
        <v>2020</v>
      </c>
      <c r="F1109" s="91" t="s">
        <v>18</v>
      </c>
      <c r="G1109" s="91" t="s">
        <v>3859</v>
      </c>
      <c r="H1109" s="91" t="s">
        <v>3906</v>
      </c>
      <c r="I1109" s="91" t="s">
        <v>3937</v>
      </c>
      <c r="J1109" s="91">
        <v>6199</v>
      </c>
      <c r="K1109" s="91">
        <f>1346+6278+4484+4484+2332+2332+2332+2332+2332+2332+6995+6995+2332+6995</f>
        <v>53901</v>
      </c>
      <c r="L1109" s="91">
        <v>0</v>
      </c>
      <c r="M1109" s="91">
        <v>0</v>
      </c>
      <c r="N1109" s="91">
        <v>3148</v>
      </c>
      <c r="O1109" s="91">
        <v>0</v>
      </c>
      <c r="P1109" s="91">
        <v>0</v>
      </c>
      <c r="Q1109" s="97">
        <f t="shared" si="34"/>
        <v>63248</v>
      </c>
      <c r="R1109" s="95">
        <f t="shared" si="35"/>
        <v>53760.800000000003</v>
      </c>
    </row>
    <row r="1110" spans="1:23" ht="34.049999999999997" customHeight="1" x14ac:dyDescent="0.3">
      <c r="A1110" s="90">
        <v>1099</v>
      </c>
      <c r="B1110" s="91" t="s">
        <v>3714</v>
      </c>
      <c r="C1110" s="91" t="s">
        <v>3773</v>
      </c>
      <c r="D1110" s="91" t="s">
        <v>3774</v>
      </c>
      <c r="E1110" s="91">
        <v>2005</v>
      </c>
      <c r="F1110" s="91" t="s">
        <v>18</v>
      </c>
      <c r="G1110" s="91" t="s">
        <v>3860</v>
      </c>
      <c r="H1110" s="91" t="s">
        <v>3907</v>
      </c>
      <c r="I1110" s="91" t="s">
        <v>569</v>
      </c>
      <c r="J1110" s="91">
        <v>3582</v>
      </c>
      <c r="K1110" s="91">
        <v>0</v>
      </c>
      <c r="L1110" s="91">
        <v>0</v>
      </c>
      <c r="M1110" s="91">
        <v>0</v>
      </c>
      <c r="N1110" s="91">
        <f>15443+21194+13563</f>
        <v>50200</v>
      </c>
      <c r="O1110" s="91">
        <v>0</v>
      </c>
      <c r="P1110" s="91">
        <v>0</v>
      </c>
      <c r="Q1110" s="97">
        <f t="shared" si="34"/>
        <v>53782</v>
      </c>
      <c r="R1110" s="95">
        <f t="shared" si="35"/>
        <v>45714.7</v>
      </c>
    </row>
    <row r="1111" spans="1:23" ht="34.049999999999997" customHeight="1" x14ac:dyDescent="0.3">
      <c r="A1111" s="96">
        <v>1100</v>
      </c>
      <c r="B1111" s="91" t="s">
        <v>3714</v>
      </c>
      <c r="C1111" s="91" t="s">
        <v>3775</v>
      </c>
      <c r="D1111" s="91" t="s">
        <v>3776</v>
      </c>
      <c r="E1111" s="91">
        <v>2023</v>
      </c>
      <c r="F1111" s="91" t="s">
        <v>19</v>
      </c>
      <c r="G1111" s="91" t="s">
        <v>3861</v>
      </c>
      <c r="H1111" s="91" t="s">
        <v>3908</v>
      </c>
      <c r="I1111" s="91" t="s">
        <v>2622</v>
      </c>
      <c r="J1111" s="91">
        <v>6199</v>
      </c>
      <c r="K1111" s="91">
        <f>1346+6278+4484+1166</f>
        <v>13274</v>
      </c>
      <c r="L1111" s="91">
        <v>0</v>
      </c>
      <c r="M1111" s="91">
        <v>0</v>
      </c>
      <c r="N1111" s="91">
        <v>3148</v>
      </c>
      <c r="O1111" s="91">
        <v>0</v>
      </c>
      <c r="P1111" s="91">
        <v>0</v>
      </c>
      <c r="Q1111" s="97">
        <f t="shared" si="34"/>
        <v>22621</v>
      </c>
      <c r="R1111" s="95">
        <f t="shared" si="35"/>
        <v>19227.849999999999</v>
      </c>
    </row>
    <row r="1112" spans="1:23" ht="34.049999999999997" customHeight="1" x14ac:dyDescent="0.3">
      <c r="A1112" s="90">
        <v>1101</v>
      </c>
      <c r="B1112" s="91" t="s">
        <v>3714</v>
      </c>
      <c r="C1112" s="91" t="s">
        <v>3777</v>
      </c>
      <c r="D1112" s="91" t="s">
        <v>3778</v>
      </c>
      <c r="E1112" s="91">
        <v>1984</v>
      </c>
      <c r="F1112" s="91" t="s">
        <v>18</v>
      </c>
      <c r="G1112" s="91" t="s">
        <v>3862</v>
      </c>
      <c r="H1112" s="91" t="s">
        <v>3909</v>
      </c>
      <c r="I1112" s="91" t="s">
        <v>3938</v>
      </c>
      <c r="J1112" s="91">
        <v>6199</v>
      </c>
      <c r="K1112" s="91">
        <v>0</v>
      </c>
      <c r="L1112" s="91">
        <v>0</v>
      </c>
      <c r="M1112" s="91">
        <v>0</v>
      </c>
      <c r="N1112" s="91">
        <v>0</v>
      </c>
      <c r="O1112" s="91">
        <v>0</v>
      </c>
      <c r="P1112" s="91">
        <v>0</v>
      </c>
      <c r="Q1112" s="97">
        <f t="shared" si="34"/>
        <v>6199</v>
      </c>
      <c r="R1112" s="95">
        <f t="shared" si="35"/>
        <v>5269.15</v>
      </c>
    </row>
    <row r="1113" spans="1:23" ht="34.049999999999997" customHeight="1" x14ac:dyDescent="0.3">
      <c r="A1113" s="90">
        <v>1102</v>
      </c>
      <c r="B1113" s="91" t="s">
        <v>3714</v>
      </c>
      <c r="C1113" s="91" t="s">
        <v>3779</v>
      </c>
      <c r="D1113" s="91" t="s">
        <v>3780</v>
      </c>
      <c r="E1113" s="91">
        <v>2023</v>
      </c>
      <c r="F1113" s="91" t="s">
        <v>18</v>
      </c>
      <c r="G1113" s="91" t="s">
        <v>3863</v>
      </c>
      <c r="H1113" s="91" t="s">
        <v>3910</v>
      </c>
      <c r="I1113" s="91" t="s">
        <v>292</v>
      </c>
      <c r="J1113" s="91">
        <v>6199</v>
      </c>
      <c r="K1113" s="91">
        <f>6278+4484+1346+4484+2332+2332+2332+2332+2332</f>
        <v>28252</v>
      </c>
      <c r="L1113" s="91">
        <v>0</v>
      </c>
      <c r="M1113" s="91">
        <v>0</v>
      </c>
      <c r="N1113" s="91">
        <v>3148</v>
      </c>
      <c r="O1113" s="91">
        <v>0</v>
      </c>
      <c r="P1113" s="91">
        <v>63</v>
      </c>
      <c r="Q1113" s="97">
        <f t="shared" si="34"/>
        <v>37662</v>
      </c>
      <c r="R1113" s="95">
        <f t="shared" si="35"/>
        <v>32012.7</v>
      </c>
    </row>
    <row r="1114" spans="1:23" ht="34.049999999999997" customHeight="1" x14ac:dyDescent="0.3">
      <c r="A1114" s="96">
        <v>1103</v>
      </c>
      <c r="B1114" s="91" t="s">
        <v>3714</v>
      </c>
      <c r="C1114" s="91" t="s">
        <v>3781</v>
      </c>
      <c r="D1114" s="91" t="s">
        <v>3782</v>
      </c>
      <c r="E1114" s="91">
        <v>2018</v>
      </c>
      <c r="F1114" s="91" t="s">
        <v>19</v>
      </c>
      <c r="G1114" s="91" t="s">
        <v>3864</v>
      </c>
      <c r="H1114" s="91" t="s">
        <v>3910</v>
      </c>
      <c r="I1114" s="91" t="s">
        <v>292</v>
      </c>
      <c r="J1114" s="91">
        <v>6199</v>
      </c>
      <c r="K1114" s="91">
        <v>0</v>
      </c>
      <c r="L1114" s="91">
        <v>0</v>
      </c>
      <c r="M1114" s="91">
        <v>0</v>
      </c>
      <c r="N1114" s="91">
        <v>0</v>
      </c>
      <c r="O1114" s="91">
        <v>0</v>
      </c>
      <c r="P1114" s="91">
        <v>0</v>
      </c>
      <c r="Q1114" s="97">
        <f t="shared" si="34"/>
        <v>6199</v>
      </c>
      <c r="R1114" s="95">
        <f t="shared" si="35"/>
        <v>5269.15</v>
      </c>
    </row>
    <row r="1115" spans="1:23" ht="34.049999999999997" customHeight="1" x14ac:dyDescent="0.3">
      <c r="A1115" s="90">
        <v>1104</v>
      </c>
      <c r="B1115" s="91" t="s">
        <v>3714</v>
      </c>
      <c r="C1115" s="91" t="s">
        <v>3783</v>
      </c>
      <c r="D1115" s="91" t="s">
        <v>3784</v>
      </c>
      <c r="E1115" s="91">
        <v>1987</v>
      </c>
      <c r="F1115" s="91" t="s">
        <v>19</v>
      </c>
      <c r="G1115" s="91" t="s">
        <v>3865</v>
      </c>
      <c r="H1115" s="91" t="s">
        <v>3911</v>
      </c>
      <c r="I1115" s="91" t="s">
        <v>284</v>
      </c>
      <c r="J1115" s="91">
        <v>6199</v>
      </c>
      <c r="K1115" s="91">
        <f>6278+4484+1345+2332+4484+2332+2332</f>
        <v>23587</v>
      </c>
      <c r="L1115" s="91">
        <v>0</v>
      </c>
      <c r="M1115" s="91">
        <v>0</v>
      </c>
      <c r="N1115" s="91">
        <f>3179+1178+1681+1793</f>
        <v>7831</v>
      </c>
      <c r="O1115" s="91">
        <v>0</v>
      </c>
      <c r="P1115" s="91">
        <f>1200+660+720</f>
        <v>2580</v>
      </c>
      <c r="Q1115" s="97">
        <f t="shared" si="34"/>
        <v>40197</v>
      </c>
      <c r="R1115" s="95">
        <f t="shared" si="35"/>
        <v>34167.449999999997</v>
      </c>
    </row>
    <row r="1116" spans="1:23" ht="34.049999999999997" customHeight="1" x14ac:dyDescent="0.3">
      <c r="A1116" s="90">
        <v>1105</v>
      </c>
      <c r="B1116" s="91" t="s">
        <v>3714</v>
      </c>
      <c r="C1116" s="91" t="s">
        <v>3785</v>
      </c>
      <c r="D1116" s="91" t="s">
        <v>3786</v>
      </c>
      <c r="E1116" s="91">
        <v>2022</v>
      </c>
      <c r="F1116" s="91" t="s">
        <v>18</v>
      </c>
      <c r="G1116" s="91" t="s">
        <v>3866</v>
      </c>
      <c r="H1116" s="91" t="s">
        <v>3912</v>
      </c>
      <c r="I1116" s="91" t="s">
        <v>32</v>
      </c>
      <c r="J1116" s="91">
        <v>6199</v>
      </c>
      <c r="K1116" s="91">
        <f>1346+6278+4484</f>
        <v>12108</v>
      </c>
      <c r="L1116" s="91">
        <v>0</v>
      </c>
      <c r="M1116" s="91">
        <v>0</v>
      </c>
      <c r="N1116" s="91">
        <v>3148</v>
      </c>
      <c r="O1116" s="91">
        <v>0</v>
      </c>
      <c r="P1116" s="91">
        <v>0</v>
      </c>
      <c r="Q1116" s="97">
        <f t="shared" si="34"/>
        <v>21455</v>
      </c>
      <c r="R1116" s="95">
        <f t="shared" si="35"/>
        <v>18236.75</v>
      </c>
    </row>
    <row r="1117" spans="1:23" ht="34.049999999999997" customHeight="1" x14ac:dyDescent="0.3">
      <c r="A1117" s="96">
        <v>1106</v>
      </c>
      <c r="B1117" s="91" t="s">
        <v>3714</v>
      </c>
      <c r="C1117" s="91" t="s">
        <v>3787</v>
      </c>
      <c r="D1117" s="91" t="s">
        <v>3788</v>
      </c>
      <c r="E1117" s="91">
        <v>1984</v>
      </c>
      <c r="F1117" s="91" t="s">
        <v>18</v>
      </c>
      <c r="G1117" s="91" t="s">
        <v>3867</v>
      </c>
      <c r="H1117" s="91" t="s">
        <v>3913</v>
      </c>
      <c r="I1117" s="91" t="s">
        <v>300</v>
      </c>
      <c r="J1117" s="91">
        <v>6199</v>
      </c>
      <c r="K1117" s="91">
        <v>0</v>
      </c>
      <c r="L1117" s="91">
        <v>0</v>
      </c>
      <c r="M1117" s="91">
        <v>0</v>
      </c>
      <c r="N1117" s="91">
        <v>0</v>
      </c>
      <c r="O1117" s="91">
        <v>0</v>
      </c>
      <c r="P1117" s="91">
        <v>0</v>
      </c>
      <c r="Q1117" s="97">
        <f t="shared" si="34"/>
        <v>6199</v>
      </c>
      <c r="R1117" s="95">
        <f t="shared" si="35"/>
        <v>5269.15</v>
      </c>
    </row>
    <row r="1118" spans="1:23" ht="34.049999999999997" customHeight="1" x14ac:dyDescent="0.3">
      <c r="A1118" s="90">
        <v>1107</v>
      </c>
      <c r="B1118" s="98" t="s">
        <v>3714</v>
      </c>
      <c r="C1118" s="98" t="s">
        <v>3789</v>
      </c>
      <c r="D1118" s="98" t="s">
        <v>3790</v>
      </c>
      <c r="E1118" s="98">
        <v>2020</v>
      </c>
      <c r="F1118" s="98" t="s">
        <v>19</v>
      </c>
      <c r="G1118" s="98" t="s">
        <v>3868</v>
      </c>
      <c r="H1118" s="98" t="s">
        <v>3914</v>
      </c>
      <c r="I1118" s="98" t="s">
        <v>254</v>
      </c>
      <c r="J1118" s="98">
        <v>6199</v>
      </c>
      <c r="K1118" s="98">
        <f>6278+4484+1346+4484+2332+2332+2332+2332+2332+1166</f>
        <v>29418</v>
      </c>
      <c r="L1118" s="98">
        <v>0</v>
      </c>
      <c r="M1118" s="98">
        <v>0</v>
      </c>
      <c r="N1118" s="98">
        <v>3148</v>
      </c>
      <c r="O1118" s="98">
        <v>0</v>
      </c>
      <c r="P1118" s="98">
        <v>0</v>
      </c>
      <c r="Q1118" s="97">
        <f t="shared" si="34"/>
        <v>38765</v>
      </c>
      <c r="R1118" s="95">
        <f t="shared" si="35"/>
        <v>32950.25</v>
      </c>
      <c r="S1118" s="41"/>
      <c r="T1118" s="41"/>
      <c r="U1118" s="41"/>
      <c r="V1118" s="41"/>
      <c r="W1118" s="41"/>
    </row>
    <row r="1119" spans="1:23" ht="34.049999999999997" customHeight="1" x14ac:dyDescent="0.3">
      <c r="A1119" s="90">
        <v>1108</v>
      </c>
      <c r="B1119" s="91" t="s">
        <v>3714</v>
      </c>
      <c r="C1119" s="91" t="s">
        <v>3791</v>
      </c>
      <c r="D1119" s="91" t="s">
        <v>3792</v>
      </c>
      <c r="E1119" s="91">
        <v>1991</v>
      </c>
      <c r="F1119" s="91" t="s">
        <v>18</v>
      </c>
      <c r="G1119" s="91" t="s">
        <v>3869</v>
      </c>
      <c r="H1119" s="91" t="s">
        <v>3915</v>
      </c>
      <c r="I1119" s="91" t="s">
        <v>3939</v>
      </c>
      <c r="J1119" s="91">
        <v>0</v>
      </c>
      <c r="K1119" s="91">
        <v>0</v>
      </c>
      <c r="L1119" s="91">
        <v>0</v>
      </c>
      <c r="M1119" s="91">
        <v>0</v>
      </c>
      <c r="N1119" s="91">
        <v>5321</v>
      </c>
      <c r="O1119" s="91">
        <v>0</v>
      </c>
      <c r="P1119" s="91">
        <v>0</v>
      </c>
      <c r="Q1119" s="97">
        <f t="shared" si="34"/>
        <v>5321</v>
      </c>
      <c r="R1119" s="95">
        <f t="shared" si="35"/>
        <v>4522.8500000000004</v>
      </c>
    </row>
    <row r="1120" spans="1:23" ht="34.049999999999997" customHeight="1" x14ac:dyDescent="0.3">
      <c r="A1120" s="96">
        <v>1109</v>
      </c>
      <c r="B1120" s="91" t="s">
        <v>3714</v>
      </c>
      <c r="C1120" s="91" t="s">
        <v>3793</v>
      </c>
      <c r="D1120" s="91" t="s">
        <v>3794</v>
      </c>
      <c r="E1120" s="91">
        <v>1979</v>
      </c>
      <c r="F1120" s="91" t="s">
        <v>18</v>
      </c>
      <c r="G1120" s="91" t="s">
        <v>3870</v>
      </c>
      <c r="H1120" s="91" t="s">
        <v>3870</v>
      </c>
      <c r="I1120" s="91" t="s">
        <v>1069</v>
      </c>
      <c r="J1120" s="91">
        <v>3582</v>
      </c>
      <c r="K1120" s="91">
        <v>0</v>
      </c>
      <c r="L1120" s="91">
        <v>0</v>
      </c>
      <c r="M1120" s="91">
        <v>0</v>
      </c>
      <c r="N1120" s="91">
        <v>0</v>
      </c>
      <c r="O1120" s="91">
        <v>0</v>
      </c>
      <c r="P1120" s="91">
        <v>0</v>
      </c>
      <c r="Q1120" s="97">
        <f t="shared" si="34"/>
        <v>3582</v>
      </c>
      <c r="R1120" s="95">
        <f t="shared" si="35"/>
        <v>3044.7</v>
      </c>
    </row>
    <row r="1121" spans="1:23" ht="34.049999999999997" customHeight="1" x14ac:dyDescent="0.3">
      <c r="A1121" s="90">
        <v>1110</v>
      </c>
      <c r="B1121" s="91" t="s">
        <v>3714</v>
      </c>
      <c r="C1121" s="91" t="s">
        <v>3795</v>
      </c>
      <c r="D1121" s="91" t="s">
        <v>3796</v>
      </c>
      <c r="E1121" s="91">
        <v>1949</v>
      </c>
      <c r="F1121" s="91" t="s">
        <v>18</v>
      </c>
      <c r="G1121" s="91" t="s">
        <v>3871</v>
      </c>
      <c r="H1121" s="91" t="s">
        <v>3871</v>
      </c>
      <c r="I1121" s="91" t="s">
        <v>3940</v>
      </c>
      <c r="J1121" s="91">
        <v>6199</v>
      </c>
      <c r="K1121" s="91">
        <v>0</v>
      </c>
      <c r="L1121" s="91">
        <v>0</v>
      </c>
      <c r="M1121" s="91">
        <v>0</v>
      </c>
      <c r="N1121" s="91">
        <v>0</v>
      </c>
      <c r="O1121" s="91">
        <v>0</v>
      </c>
      <c r="P1121" s="91">
        <v>0</v>
      </c>
      <c r="Q1121" s="97">
        <f t="shared" si="34"/>
        <v>6199</v>
      </c>
      <c r="R1121" s="95">
        <f t="shared" si="35"/>
        <v>5269.15</v>
      </c>
    </row>
    <row r="1122" spans="1:23" ht="34.049999999999997" customHeight="1" x14ac:dyDescent="0.3">
      <c r="A1122" s="90">
        <v>1111</v>
      </c>
      <c r="B1122" s="91" t="s">
        <v>3714</v>
      </c>
      <c r="C1122" s="91" t="s">
        <v>3797</v>
      </c>
      <c r="D1122" s="91" t="s">
        <v>3798</v>
      </c>
      <c r="E1122" s="91">
        <v>1956</v>
      </c>
      <c r="F1122" s="91" t="s">
        <v>18</v>
      </c>
      <c r="G1122" s="91" t="s">
        <v>3872</v>
      </c>
      <c r="H1122" s="91" t="s">
        <v>3872</v>
      </c>
      <c r="I1122" s="91" t="s">
        <v>3941</v>
      </c>
      <c r="J1122" s="91">
        <v>6199</v>
      </c>
      <c r="K1122" s="91">
        <f>6278+13452+2332+2332+2332+2332+2332+2332+1346+4484+4484</f>
        <v>44036</v>
      </c>
      <c r="L1122" s="91">
        <v>0</v>
      </c>
      <c r="M1122" s="91">
        <v>0</v>
      </c>
      <c r="N1122" s="91">
        <v>1793</v>
      </c>
      <c r="O1122" s="91">
        <v>0</v>
      </c>
      <c r="P1122" s="91">
        <v>0</v>
      </c>
      <c r="Q1122" s="97">
        <f t="shared" si="34"/>
        <v>52028</v>
      </c>
      <c r="R1122" s="95">
        <f t="shared" si="35"/>
        <v>44223.8</v>
      </c>
    </row>
    <row r="1123" spans="1:23" ht="34.049999999999997" customHeight="1" x14ac:dyDescent="0.3">
      <c r="A1123" s="96">
        <v>1112</v>
      </c>
      <c r="B1123" s="91" t="s">
        <v>3714</v>
      </c>
      <c r="C1123" s="91" t="s">
        <v>3799</v>
      </c>
      <c r="D1123" s="91" t="s">
        <v>3800</v>
      </c>
      <c r="E1123" s="91">
        <v>1980</v>
      </c>
      <c r="F1123" s="91" t="s">
        <v>18</v>
      </c>
      <c r="G1123" s="91" t="s">
        <v>3873</v>
      </c>
      <c r="H1123" s="91" t="s">
        <v>3873</v>
      </c>
      <c r="I1123" s="91" t="s">
        <v>1460</v>
      </c>
      <c r="J1123" s="91">
        <v>6199</v>
      </c>
      <c r="K1123" s="91">
        <v>0</v>
      </c>
      <c r="L1123" s="91">
        <v>0</v>
      </c>
      <c r="M1123" s="91">
        <v>0</v>
      </c>
      <c r="N1123" s="91">
        <v>0</v>
      </c>
      <c r="O1123" s="91">
        <v>0</v>
      </c>
      <c r="P1123" s="91">
        <v>0</v>
      </c>
      <c r="Q1123" s="97">
        <f t="shared" si="34"/>
        <v>6199</v>
      </c>
      <c r="R1123" s="95">
        <f t="shared" si="35"/>
        <v>5269.15</v>
      </c>
    </row>
    <row r="1124" spans="1:23" ht="34.049999999999997" customHeight="1" x14ac:dyDescent="0.3">
      <c r="A1124" s="90">
        <v>1113</v>
      </c>
      <c r="B1124" s="91" t="s">
        <v>3714</v>
      </c>
      <c r="C1124" s="91" t="s">
        <v>3801</v>
      </c>
      <c r="D1124" s="91" t="s">
        <v>3802</v>
      </c>
      <c r="E1124" s="91">
        <v>1991</v>
      </c>
      <c r="F1124" s="91" t="s">
        <v>19</v>
      </c>
      <c r="G1124" s="91" t="s">
        <v>3874</v>
      </c>
      <c r="H1124" s="91" t="s">
        <v>3874</v>
      </c>
      <c r="I1124" s="91" t="s">
        <v>3942</v>
      </c>
      <c r="J1124" s="91">
        <v>6199</v>
      </c>
      <c r="K1124" s="91">
        <v>0</v>
      </c>
      <c r="L1124" s="91">
        <v>0</v>
      </c>
      <c r="M1124" s="91">
        <v>0</v>
      </c>
      <c r="N1124" s="91">
        <v>0</v>
      </c>
      <c r="O1124" s="91">
        <v>0</v>
      </c>
      <c r="P1124" s="91">
        <v>0</v>
      </c>
      <c r="Q1124" s="97">
        <f t="shared" si="34"/>
        <v>6199</v>
      </c>
      <c r="R1124" s="95">
        <f t="shared" si="35"/>
        <v>5269.15</v>
      </c>
    </row>
    <row r="1125" spans="1:23" ht="34.049999999999997" customHeight="1" x14ac:dyDescent="0.3">
      <c r="A1125" s="90">
        <v>1114</v>
      </c>
      <c r="B1125" s="91" t="s">
        <v>3714</v>
      </c>
      <c r="C1125" s="91" t="s">
        <v>3803</v>
      </c>
      <c r="D1125" s="91" t="s">
        <v>3804</v>
      </c>
      <c r="E1125" s="91">
        <v>1999</v>
      </c>
      <c r="F1125" s="91" t="s">
        <v>18</v>
      </c>
      <c r="G1125" s="91" t="s">
        <v>3875</v>
      </c>
      <c r="H1125" s="91" t="s">
        <v>3875</v>
      </c>
      <c r="I1125" s="91" t="s">
        <v>540</v>
      </c>
      <c r="J1125" s="91">
        <v>3582</v>
      </c>
      <c r="K1125" s="91">
        <v>0</v>
      </c>
      <c r="L1125" s="91">
        <v>0</v>
      </c>
      <c r="M1125" s="91">
        <v>0</v>
      </c>
      <c r="N1125" s="91">
        <f>27380+34016</f>
        <v>61396</v>
      </c>
      <c r="O1125" s="91">
        <v>0</v>
      </c>
      <c r="P1125" s="91">
        <v>0</v>
      </c>
      <c r="Q1125" s="97">
        <f t="shared" si="34"/>
        <v>64978</v>
      </c>
      <c r="R1125" s="95">
        <f t="shared" si="35"/>
        <v>55231.3</v>
      </c>
    </row>
    <row r="1126" spans="1:23" ht="34.049999999999997" customHeight="1" x14ac:dyDescent="0.3">
      <c r="A1126" s="96">
        <v>1115</v>
      </c>
      <c r="B1126" s="91" t="s">
        <v>3714</v>
      </c>
      <c r="C1126" s="91" t="s">
        <v>3805</v>
      </c>
      <c r="D1126" s="91" t="s">
        <v>2151</v>
      </c>
      <c r="E1126" s="91">
        <v>1973</v>
      </c>
      <c r="F1126" s="91" t="s">
        <v>18</v>
      </c>
      <c r="G1126" s="91" t="s">
        <v>2316</v>
      </c>
      <c r="H1126" s="91" t="s">
        <v>2316</v>
      </c>
      <c r="I1126" s="91" t="s">
        <v>1277</v>
      </c>
      <c r="J1126" s="91">
        <v>3793</v>
      </c>
      <c r="K1126" s="91">
        <v>0</v>
      </c>
      <c r="L1126" s="91">
        <v>0</v>
      </c>
      <c r="M1126" s="91">
        <v>0</v>
      </c>
      <c r="N1126" s="91">
        <v>0</v>
      </c>
      <c r="O1126" s="91">
        <v>0</v>
      </c>
      <c r="P1126" s="91">
        <v>0</v>
      </c>
      <c r="Q1126" s="97">
        <f t="shared" si="34"/>
        <v>3793</v>
      </c>
      <c r="R1126" s="95">
        <f t="shared" si="35"/>
        <v>3224.05</v>
      </c>
    </row>
    <row r="1127" spans="1:23" ht="34.049999999999997" customHeight="1" x14ac:dyDescent="0.3">
      <c r="A1127" s="90">
        <v>1116</v>
      </c>
      <c r="B1127" s="91" t="s">
        <v>3714</v>
      </c>
      <c r="C1127" s="91" t="s">
        <v>3806</v>
      </c>
      <c r="D1127" s="91" t="s">
        <v>3807</v>
      </c>
      <c r="E1127" s="91">
        <v>2024</v>
      </c>
      <c r="F1127" s="91" t="s">
        <v>19</v>
      </c>
      <c r="G1127" s="91" t="s">
        <v>3876</v>
      </c>
      <c r="H1127" s="91" t="s">
        <v>3874</v>
      </c>
      <c r="I1127" s="91" t="s">
        <v>3943</v>
      </c>
      <c r="J1127" s="91">
        <v>6199</v>
      </c>
      <c r="K1127" s="91">
        <v>0</v>
      </c>
      <c r="L1127" s="91">
        <v>0</v>
      </c>
      <c r="M1127" s="91">
        <v>0</v>
      </c>
      <c r="N1127" s="91">
        <v>0</v>
      </c>
      <c r="O1127" s="91">
        <v>0</v>
      </c>
      <c r="P1127" s="91">
        <v>0</v>
      </c>
      <c r="Q1127" s="97">
        <f t="shared" si="34"/>
        <v>6199</v>
      </c>
      <c r="R1127" s="95">
        <f t="shared" si="35"/>
        <v>5269.15</v>
      </c>
    </row>
    <row r="1128" spans="1:23" ht="34.049999999999997" customHeight="1" x14ac:dyDescent="0.3">
      <c r="A1128" s="90">
        <v>1117</v>
      </c>
      <c r="B1128" s="91" t="s">
        <v>3714</v>
      </c>
      <c r="C1128" s="91" t="s">
        <v>3808</v>
      </c>
      <c r="D1128" s="91" t="s">
        <v>3809</v>
      </c>
      <c r="E1128" s="91">
        <v>1971</v>
      </c>
      <c r="F1128" s="91" t="s">
        <v>18</v>
      </c>
      <c r="G1128" s="91" t="s">
        <v>3877</v>
      </c>
      <c r="H1128" s="91" t="s">
        <v>3877</v>
      </c>
      <c r="I1128" s="91" t="s">
        <v>274</v>
      </c>
      <c r="J1128" s="91">
        <v>6199</v>
      </c>
      <c r="K1128" s="91">
        <v>0</v>
      </c>
      <c r="L1128" s="91">
        <v>0</v>
      </c>
      <c r="M1128" s="91">
        <v>0</v>
      </c>
      <c r="N1128" s="91">
        <v>0</v>
      </c>
      <c r="O1128" s="91">
        <v>0</v>
      </c>
      <c r="P1128" s="91">
        <v>0</v>
      </c>
      <c r="Q1128" s="97">
        <f t="shared" si="34"/>
        <v>6199</v>
      </c>
      <c r="R1128" s="95">
        <f t="shared" si="35"/>
        <v>5269.15</v>
      </c>
    </row>
    <row r="1129" spans="1:23" ht="34.049999999999997" customHeight="1" x14ac:dyDescent="0.3">
      <c r="A1129" s="96">
        <v>1118</v>
      </c>
      <c r="B1129" s="91" t="s">
        <v>3714</v>
      </c>
      <c r="C1129" s="91" t="s">
        <v>3810</v>
      </c>
      <c r="D1129" s="91" t="s">
        <v>3811</v>
      </c>
      <c r="E1129" s="91">
        <v>2014</v>
      </c>
      <c r="F1129" s="91" t="s">
        <v>19</v>
      </c>
      <c r="G1129" s="91" t="s">
        <v>3878</v>
      </c>
      <c r="H1129" s="91" t="s">
        <v>3916</v>
      </c>
      <c r="I1129" s="91" t="s">
        <v>299</v>
      </c>
      <c r="J1129" s="91">
        <v>6199</v>
      </c>
      <c r="K1129" s="91">
        <v>0</v>
      </c>
      <c r="L1129" s="91">
        <v>0</v>
      </c>
      <c r="M1129" s="91">
        <v>0</v>
      </c>
      <c r="N1129" s="91">
        <v>0</v>
      </c>
      <c r="O1129" s="91">
        <v>0</v>
      </c>
      <c r="P1129" s="91">
        <v>0</v>
      </c>
      <c r="Q1129" s="97">
        <f t="shared" si="34"/>
        <v>6199</v>
      </c>
      <c r="R1129" s="95">
        <f t="shared" si="35"/>
        <v>5269.15</v>
      </c>
    </row>
    <row r="1130" spans="1:23" ht="34.049999999999997" customHeight="1" x14ac:dyDescent="0.3">
      <c r="A1130" s="90">
        <v>1119</v>
      </c>
      <c r="B1130" s="91" t="s">
        <v>3714</v>
      </c>
      <c r="C1130" s="91" t="s">
        <v>3812</v>
      </c>
      <c r="D1130" s="91" t="s">
        <v>3813</v>
      </c>
      <c r="E1130" s="91">
        <v>2023</v>
      </c>
      <c r="F1130" s="91" t="s">
        <v>19</v>
      </c>
      <c r="G1130" s="91" t="s">
        <v>3879</v>
      </c>
      <c r="H1130" s="91" t="s">
        <v>3917</v>
      </c>
      <c r="I1130" s="91" t="s">
        <v>536</v>
      </c>
      <c r="J1130" s="91">
        <v>6199</v>
      </c>
      <c r="K1130" s="91">
        <f>6278+4484+1346+4484+2332+1166+2332+2332+2332+2332+2332+6995+6995+2332+6995</f>
        <v>55067</v>
      </c>
      <c r="L1130" s="91">
        <v>0</v>
      </c>
      <c r="M1130" s="91">
        <v>0</v>
      </c>
      <c r="N1130" s="91">
        <v>3148</v>
      </c>
      <c r="O1130" s="91">
        <v>0</v>
      </c>
      <c r="P1130" s="91">
        <v>0</v>
      </c>
      <c r="Q1130" s="97">
        <f t="shared" si="34"/>
        <v>64414</v>
      </c>
      <c r="R1130" s="95">
        <f t="shared" si="35"/>
        <v>54751.9</v>
      </c>
    </row>
    <row r="1131" spans="1:23" ht="34.049999999999997" customHeight="1" x14ac:dyDescent="0.3">
      <c r="A1131" s="90">
        <v>1120</v>
      </c>
      <c r="B1131" s="98" t="s">
        <v>3714</v>
      </c>
      <c r="C1131" s="98" t="s">
        <v>3814</v>
      </c>
      <c r="D1131" s="98" t="s">
        <v>3815</v>
      </c>
      <c r="E1131" s="98">
        <v>2011</v>
      </c>
      <c r="F1131" s="98" t="s">
        <v>19</v>
      </c>
      <c r="G1131" s="98" t="s">
        <v>3880</v>
      </c>
      <c r="H1131" s="98" t="s">
        <v>3918</v>
      </c>
      <c r="I1131" s="98" t="s">
        <v>3932</v>
      </c>
      <c r="J1131" s="98">
        <v>6199</v>
      </c>
      <c r="K1131" s="98">
        <f>6278+4484+4484+4484+2332+2332+2332+2332+2332+3000+3000+2332+2332+1166</f>
        <v>43220</v>
      </c>
      <c r="L1131" s="98">
        <v>0</v>
      </c>
      <c r="M1131" s="98">
        <v>0</v>
      </c>
      <c r="N1131" s="98">
        <v>3148</v>
      </c>
      <c r="O1131" s="98">
        <v>0</v>
      </c>
      <c r="P1131" s="98">
        <v>0</v>
      </c>
      <c r="Q1131" s="97">
        <f t="shared" si="34"/>
        <v>52567</v>
      </c>
      <c r="R1131" s="95">
        <f t="shared" si="35"/>
        <v>44681.95</v>
      </c>
      <c r="S1131" s="41"/>
      <c r="T1131" s="41"/>
      <c r="U1131" s="41"/>
      <c r="V1131" s="41"/>
      <c r="W1131" s="41"/>
    </row>
    <row r="1132" spans="1:23" ht="34.049999999999997" customHeight="1" x14ac:dyDescent="0.3">
      <c r="A1132" s="96">
        <v>1121</v>
      </c>
      <c r="B1132" s="91" t="s">
        <v>3714</v>
      </c>
      <c r="C1132" s="91" t="s">
        <v>3816</v>
      </c>
      <c r="D1132" s="91" t="s">
        <v>3817</v>
      </c>
      <c r="E1132" s="91">
        <v>1982</v>
      </c>
      <c r="F1132" s="91" t="s">
        <v>18</v>
      </c>
      <c r="G1132" s="91" t="s">
        <v>3881</v>
      </c>
      <c r="H1132" s="91" t="s">
        <v>3881</v>
      </c>
      <c r="I1132" s="91" t="s">
        <v>3944</v>
      </c>
      <c r="J1132" s="91">
        <v>6199</v>
      </c>
      <c r="K1132" s="91">
        <f>2801+1166</f>
        <v>3967</v>
      </c>
      <c r="L1132" s="91">
        <v>0</v>
      </c>
      <c r="M1132" s="91">
        <v>0</v>
      </c>
      <c r="N1132" s="91">
        <v>0</v>
      </c>
      <c r="O1132" s="91">
        <v>0</v>
      </c>
      <c r="P1132" s="91">
        <v>0</v>
      </c>
      <c r="Q1132" s="97">
        <f t="shared" si="34"/>
        <v>10166</v>
      </c>
      <c r="R1132" s="95">
        <f t="shared" si="35"/>
        <v>8641.1</v>
      </c>
    </row>
    <row r="1133" spans="1:23" ht="34.049999999999997" customHeight="1" x14ac:dyDescent="0.3">
      <c r="A1133" s="90">
        <v>1122</v>
      </c>
      <c r="B1133" s="91" t="s">
        <v>3714</v>
      </c>
      <c r="C1133" s="91" t="s">
        <v>7391</v>
      </c>
      <c r="D1133" s="91" t="s">
        <v>3818</v>
      </c>
      <c r="E1133" s="91">
        <v>1989</v>
      </c>
      <c r="F1133" s="91" t="s">
        <v>19</v>
      </c>
      <c r="G1133" s="91" t="s">
        <v>3882</v>
      </c>
      <c r="H1133" s="91" t="s">
        <v>3919</v>
      </c>
      <c r="I1133" s="91" t="s">
        <v>2446</v>
      </c>
      <c r="J1133" s="91">
        <v>6199</v>
      </c>
      <c r="K1133" s="91">
        <f>1346+6278+4484</f>
        <v>12108</v>
      </c>
      <c r="L1133" s="91">
        <v>0</v>
      </c>
      <c r="M1133" s="91">
        <v>0</v>
      </c>
      <c r="N1133" s="91">
        <v>1793</v>
      </c>
      <c r="O1133" s="91">
        <v>0</v>
      </c>
      <c r="P1133" s="91">
        <v>0</v>
      </c>
      <c r="Q1133" s="97">
        <f t="shared" si="34"/>
        <v>20100</v>
      </c>
      <c r="R1133" s="95">
        <f t="shared" si="35"/>
        <v>17085</v>
      </c>
    </row>
    <row r="1134" spans="1:23" ht="34.049999999999997" customHeight="1" x14ac:dyDescent="0.3">
      <c r="A1134" s="90">
        <v>1123</v>
      </c>
      <c r="B1134" s="91" t="s">
        <v>3714</v>
      </c>
      <c r="C1134" s="91" t="s">
        <v>7392</v>
      </c>
      <c r="D1134" s="91" t="s">
        <v>3819</v>
      </c>
      <c r="E1134" s="91">
        <v>2024</v>
      </c>
      <c r="F1134" s="91" t="s">
        <v>18</v>
      </c>
      <c r="G1134" s="91" t="s">
        <v>3883</v>
      </c>
      <c r="H1134" s="91" t="s">
        <v>3919</v>
      </c>
      <c r="I1134" s="91" t="s">
        <v>2446</v>
      </c>
      <c r="J1134" s="91">
        <v>6199</v>
      </c>
      <c r="K1134" s="91">
        <f>1346+6278+4484+2332+2332+2332+2332+2332+2332+6995+6995+2332+6995+4484</f>
        <v>53901</v>
      </c>
      <c r="L1134" s="91">
        <v>0</v>
      </c>
      <c r="M1134" s="91">
        <v>0</v>
      </c>
      <c r="N1134" s="91">
        <v>3148</v>
      </c>
      <c r="O1134" s="91">
        <v>0</v>
      </c>
      <c r="P1134" s="91">
        <v>0</v>
      </c>
      <c r="Q1134" s="97">
        <f t="shared" si="34"/>
        <v>63248</v>
      </c>
      <c r="R1134" s="95">
        <f t="shared" si="35"/>
        <v>53760.800000000003</v>
      </c>
    </row>
    <row r="1135" spans="1:23" ht="34.049999999999997" customHeight="1" x14ac:dyDescent="0.3">
      <c r="A1135" s="96">
        <v>1124</v>
      </c>
      <c r="B1135" s="91" t="s">
        <v>3714</v>
      </c>
      <c r="C1135" s="91" t="s">
        <v>7392</v>
      </c>
      <c r="D1135" s="91" t="s">
        <v>3819</v>
      </c>
      <c r="E1135" s="91">
        <v>2024</v>
      </c>
      <c r="F1135" s="91" t="s">
        <v>18</v>
      </c>
      <c r="G1135" s="91" t="s">
        <v>3883</v>
      </c>
      <c r="H1135" s="91" t="s">
        <v>3919</v>
      </c>
      <c r="I1135" s="91" t="s">
        <v>2446</v>
      </c>
      <c r="J1135" s="91">
        <v>0</v>
      </c>
      <c r="K1135" s="91">
        <v>0</v>
      </c>
      <c r="L1135" s="91">
        <v>0</v>
      </c>
      <c r="M1135" s="91">
        <v>0</v>
      </c>
      <c r="N1135" s="91">
        <f>4053+1178</f>
        <v>5231</v>
      </c>
      <c r="O1135" s="91">
        <v>0</v>
      </c>
      <c r="P1135" s="91">
        <f>720+1080+1200</f>
        <v>3000</v>
      </c>
      <c r="Q1135" s="97">
        <f t="shared" si="34"/>
        <v>8231</v>
      </c>
      <c r="R1135" s="95">
        <f t="shared" si="35"/>
        <v>6996.35</v>
      </c>
    </row>
    <row r="1136" spans="1:23" ht="34.049999999999997" customHeight="1" x14ac:dyDescent="0.3">
      <c r="A1136" s="90">
        <v>1125</v>
      </c>
      <c r="B1136" s="91" t="s">
        <v>3714</v>
      </c>
      <c r="C1136" s="91" t="s">
        <v>7392</v>
      </c>
      <c r="D1136" s="91" t="s">
        <v>3819</v>
      </c>
      <c r="E1136" s="91">
        <v>2024</v>
      </c>
      <c r="F1136" s="91" t="s">
        <v>18</v>
      </c>
      <c r="G1136" s="91" t="s">
        <v>3883</v>
      </c>
      <c r="H1136" s="91" t="s">
        <v>3919</v>
      </c>
      <c r="I1136" s="91" t="s">
        <v>2446</v>
      </c>
      <c r="J1136" s="91">
        <v>0</v>
      </c>
      <c r="K1136" s="91">
        <v>0</v>
      </c>
      <c r="L1136" s="91">
        <v>0</v>
      </c>
      <c r="M1136" s="91">
        <v>17688</v>
      </c>
      <c r="N1136" s="91">
        <v>2088</v>
      </c>
      <c r="O1136" s="91">
        <v>0</v>
      </c>
      <c r="P1136" s="91">
        <f>360+56</f>
        <v>416</v>
      </c>
      <c r="Q1136" s="97">
        <f t="shared" si="34"/>
        <v>20192</v>
      </c>
      <c r="R1136" s="95">
        <f t="shared" si="35"/>
        <v>17163.2</v>
      </c>
    </row>
    <row r="1137" spans="1:23" ht="34.049999999999997" customHeight="1" x14ac:dyDescent="0.3">
      <c r="A1137" s="90">
        <v>1126</v>
      </c>
      <c r="B1137" s="91" t="s">
        <v>3714</v>
      </c>
      <c r="C1137" s="91" t="s">
        <v>7393</v>
      </c>
      <c r="D1137" s="91" t="s">
        <v>3820</v>
      </c>
      <c r="E1137" s="91">
        <v>2025</v>
      </c>
      <c r="F1137" s="91" t="s">
        <v>19</v>
      </c>
      <c r="G1137" s="91" t="s">
        <v>3884</v>
      </c>
      <c r="H1137" s="91" t="s">
        <v>3920</v>
      </c>
      <c r="I1137" s="91" t="s">
        <v>3945</v>
      </c>
      <c r="J1137" s="91">
        <v>6199</v>
      </c>
      <c r="K1137" s="91">
        <f>1346+6278+4484</f>
        <v>12108</v>
      </c>
      <c r="L1137" s="91">
        <v>0</v>
      </c>
      <c r="M1137" s="91">
        <v>0</v>
      </c>
      <c r="N1137" s="91">
        <v>3148</v>
      </c>
      <c r="O1137" s="91">
        <v>0</v>
      </c>
      <c r="P1137" s="91">
        <v>0</v>
      </c>
      <c r="Q1137" s="97">
        <f t="shared" si="34"/>
        <v>21455</v>
      </c>
      <c r="R1137" s="95">
        <f t="shared" si="35"/>
        <v>18236.75</v>
      </c>
    </row>
    <row r="1138" spans="1:23" ht="34.049999999999997" customHeight="1" x14ac:dyDescent="0.3">
      <c r="A1138" s="96">
        <v>1127</v>
      </c>
      <c r="B1138" s="91" t="s">
        <v>3714</v>
      </c>
      <c r="C1138" s="91" t="s">
        <v>7394</v>
      </c>
      <c r="D1138" s="91" t="s">
        <v>3821</v>
      </c>
      <c r="E1138" s="91">
        <v>1981</v>
      </c>
      <c r="F1138" s="91" t="s">
        <v>19</v>
      </c>
      <c r="G1138" s="91" t="s">
        <v>3885</v>
      </c>
      <c r="H1138" s="91" t="s">
        <v>3885</v>
      </c>
      <c r="I1138" s="91" t="s">
        <v>1469</v>
      </c>
      <c r="J1138" s="91">
        <v>6199</v>
      </c>
      <c r="K1138" s="91">
        <v>0</v>
      </c>
      <c r="L1138" s="91">
        <v>0</v>
      </c>
      <c r="M1138" s="91">
        <v>0</v>
      </c>
      <c r="N1138" s="91">
        <v>0</v>
      </c>
      <c r="O1138" s="91">
        <v>0</v>
      </c>
      <c r="P1138" s="91">
        <v>0</v>
      </c>
      <c r="Q1138" s="97">
        <f t="shared" si="34"/>
        <v>6199</v>
      </c>
      <c r="R1138" s="95">
        <f t="shared" si="35"/>
        <v>5269.15</v>
      </c>
    </row>
    <row r="1139" spans="1:23" ht="34.049999999999997" customHeight="1" x14ac:dyDescent="0.3">
      <c r="A1139" s="90">
        <v>1128</v>
      </c>
      <c r="B1139" s="91" t="s">
        <v>3714</v>
      </c>
      <c r="C1139" s="91" t="s">
        <v>7395</v>
      </c>
      <c r="D1139" s="91" t="s">
        <v>3822</v>
      </c>
      <c r="E1139" s="91">
        <v>2024</v>
      </c>
      <c r="F1139" s="91" t="s">
        <v>18</v>
      </c>
      <c r="G1139" s="91" t="s">
        <v>3886</v>
      </c>
      <c r="H1139" s="91" t="s">
        <v>3921</v>
      </c>
      <c r="I1139" s="91" t="s">
        <v>300</v>
      </c>
      <c r="J1139" s="91">
        <v>6199</v>
      </c>
      <c r="K1139" s="91">
        <f>1346+6278+4484+2332+2332+2332</f>
        <v>19104</v>
      </c>
      <c r="L1139" s="91">
        <v>0</v>
      </c>
      <c r="M1139" s="91">
        <v>0</v>
      </c>
      <c r="N1139" s="91">
        <v>3148</v>
      </c>
      <c r="O1139" s="91">
        <v>0</v>
      </c>
      <c r="P1139" s="91">
        <v>0</v>
      </c>
      <c r="Q1139" s="97">
        <f t="shared" si="34"/>
        <v>28451</v>
      </c>
      <c r="R1139" s="95">
        <f t="shared" si="35"/>
        <v>24183.35</v>
      </c>
    </row>
    <row r="1140" spans="1:23" ht="34.049999999999997" customHeight="1" x14ac:dyDescent="0.3">
      <c r="A1140" s="90">
        <v>1129</v>
      </c>
      <c r="B1140" s="91" t="s">
        <v>3714</v>
      </c>
      <c r="C1140" s="91" t="s">
        <v>7396</v>
      </c>
      <c r="D1140" s="91" t="s">
        <v>3823</v>
      </c>
      <c r="E1140" s="91">
        <v>2020</v>
      </c>
      <c r="F1140" s="91" t="s">
        <v>18</v>
      </c>
      <c r="G1140" s="91" t="s">
        <v>3887</v>
      </c>
      <c r="H1140" s="91" t="s">
        <v>3922</v>
      </c>
      <c r="I1140" s="91" t="s">
        <v>3946</v>
      </c>
      <c r="J1140" s="91">
        <v>6199</v>
      </c>
      <c r="K1140" s="91">
        <f>1346+6278+4484</f>
        <v>12108</v>
      </c>
      <c r="L1140" s="91">
        <v>0</v>
      </c>
      <c r="M1140" s="91">
        <v>0</v>
      </c>
      <c r="N1140" s="91">
        <v>3148</v>
      </c>
      <c r="O1140" s="91">
        <v>0</v>
      </c>
      <c r="P1140" s="91">
        <v>0</v>
      </c>
      <c r="Q1140" s="97">
        <f t="shared" si="34"/>
        <v>21455</v>
      </c>
      <c r="R1140" s="95">
        <f t="shared" si="35"/>
        <v>18236.75</v>
      </c>
    </row>
    <row r="1141" spans="1:23" ht="34.049999999999997" customHeight="1" x14ac:dyDescent="0.3">
      <c r="A1141" s="96">
        <v>1130</v>
      </c>
      <c r="B1141" s="91" t="s">
        <v>3714</v>
      </c>
      <c r="C1141" s="91" t="s">
        <v>7397</v>
      </c>
      <c r="D1141" s="91" t="s">
        <v>2513</v>
      </c>
      <c r="E1141" s="91">
        <v>1987</v>
      </c>
      <c r="F1141" s="91" t="s">
        <v>18</v>
      </c>
      <c r="G1141" s="91" t="s">
        <v>2565</v>
      </c>
      <c r="H1141" s="91" t="s">
        <v>2565</v>
      </c>
      <c r="I1141" s="91" t="s">
        <v>2627</v>
      </c>
      <c r="J1141" s="91">
        <v>3793</v>
      </c>
      <c r="K1141" s="91">
        <v>0</v>
      </c>
      <c r="L1141" s="91">
        <v>0</v>
      </c>
      <c r="M1141" s="91">
        <v>0</v>
      </c>
      <c r="N1141" s="91">
        <v>0</v>
      </c>
      <c r="O1141" s="91">
        <v>0</v>
      </c>
      <c r="P1141" s="91">
        <v>0</v>
      </c>
      <c r="Q1141" s="97">
        <f t="shared" si="34"/>
        <v>3793</v>
      </c>
      <c r="R1141" s="95">
        <f t="shared" si="35"/>
        <v>3224.05</v>
      </c>
    </row>
    <row r="1142" spans="1:23" ht="34.049999999999997" customHeight="1" x14ac:dyDescent="0.3">
      <c r="A1142" s="90">
        <v>1131</v>
      </c>
      <c r="B1142" s="91" t="s">
        <v>3714</v>
      </c>
      <c r="C1142" s="91" t="s">
        <v>7398</v>
      </c>
      <c r="D1142" s="91" t="s">
        <v>1747</v>
      </c>
      <c r="E1142" s="91">
        <v>2023</v>
      </c>
      <c r="F1142" s="91" t="s">
        <v>19</v>
      </c>
      <c r="G1142" s="91" t="s">
        <v>1820</v>
      </c>
      <c r="H1142" s="91" t="s">
        <v>1864</v>
      </c>
      <c r="I1142" s="91" t="s">
        <v>1892</v>
      </c>
      <c r="J1142" s="91">
        <v>0</v>
      </c>
      <c r="K1142" s="91">
        <f>1346+6278+4484+1166</f>
        <v>13274</v>
      </c>
      <c r="L1142" s="91">
        <v>0</v>
      </c>
      <c r="M1142" s="91">
        <v>0</v>
      </c>
      <c r="N1142" s="91">
        <v>3148</v>
      </c>
      <c r="O1142" s="91">
        <v>0</v>
      </c>
      <c r="P1142" s="91">
        <v>0</v>
      </c>
      <c r="Q1142" s="97">
        <f t="shared" si="34"/>
        <v>16422</v>
      </c>
      <c r="R1142" s="95">
        <f t="shared" si="35"/>
        <v>13958.7</v>
      </c>
    </row>
    <row r="1143" spans="1:23" ht="34.049999999999997" customHeight="1" x14ac:dyDescent="0.3">
      <c r="A1143" s="90">
        <v>1132</v>
      </c>
      <c r="B1143" s="91" t="s">
        <v>3714</v>
      </c>
      <c r="C1143" s="91" t="s">
        <v>7399</v>
      </c>
      <c r="D1143" s="91" t="s">
        <v>3824</v>
      </c>
      <c r="E1143" s="91">
        <v>2024</v>
      </c>
      <c r="F1143" s="91" t="s">
        <v>18</v>
      </c>
      <c r="G1143" s="91" t="s">
        <v>3888</v>
      </c>
      <c r="H1143" s="91" t="s">
        <v>3923</v>
      </c>
      <c r="I1143" s="91" t="s">
        <v>3947</v>
      </c>
      <c r="J1143" s="91">
        <v>6199</v>
      </c>
      <c r="K1143" s="91">
        <v>0</v>
      </c>
      <c r="L1143" s="91">
        <v>0</v>
      </c>
      <c r="M1143" s="91">
        <v>0</v>
      </c>
      <c r="N1143" s="91">
        <v>0</v>
      </c>
      <c r="O1143" s="91">
        <v>0</v>
      </c>
      <c r="P1143" s="91">
        <v>0</v>
      </c>
      <c r="Q1143" s="94">
        <f t="shared" si="34"/>
        <v>6199</v>
      </c>
      <c r="R1143" s="95">
        <f t="shared" si="35"/>
        <v>5269.15</v>
      </c>
    </row>
    <row r="1144" spans="1:23" ht="34.049999999999997" customHeight="1" x14ac:dyDescent="0.3">
      <c r="A1144" s="96">
        <v>1133</v>
      </c>
      <c r="B1144" s="91" t="s">
        <v>3714</v>
      </c>
      <c r="C1144" s="91" t="s">
        <v>7400</v>
      </c>
      <c r="D1144" s="91" t="s">
        <v>3825</v>
      </c>
      <c r="E1144" s="91">
        <v>1979</v>
      </c>
      <c r="F1144" s="91" t="s">
        <v>18</v>
      </c>
      <c r="G1144" s="91" t="s">
        <v>3889</v>
      </c>
      <c r="H1144" s="91" t="s">
        <v>3889</v>
      </c>
      <c r="I1144" s="91" t="s">
        <v>2618</v>
      </c>
      <c r="J1144" s="91">
        <v>6199</v>
      </c>
      <c r="K1144" s="91">
        <v>0</v>
      </c>
      <c r="L1144" s="91">
        <v>0</v>
      </c>
      <c r="M1144" s="91">
        <v>0</v>
      </c>
      <c r="N1144" s="91">
        <v>0</v>
      </c>
      <c r="O1144" s="91">
        <v>0</v>
      </c>
      <c r="P1144" s="91">
        <v>0</v>
      </c>
      <c r="Q1144" s="97">
        <f t="shared" si="34"/>
        <v>6199</v>
      </c>
      <c r="R1144" s="95">
        <f t="shared" si="35"/>
        <v>5269.15</v>
      </c>
    </row>
    <row r="1145" spans="1:23" ht="34.049999999999997" customHeight="1" x14ac:dyDescent="0.3">
      <c r="A1145" s="90">
        <v>1134</v>
      </c>
      <c r="B1145" s="91" t="s">
        <v>3714</v>
      </c>
      <c r="C1145" s="91" t="s">
        <v>7401</v>
      </c>
      <c r="D1145" s="91" t="s">
        <v>3826</v>
      </c>
      <c r="E1145" s="91">
        <v>2024</v>
      </c>
      <c r="F1145" s="91" t="s">
        <v>18</v>
      </c>
      <c r="G1145" s="91" t="s">
        <v>3890</v>
      </c>
      <c r="H1145" s="91" t="s">
        <v>3924</v>
      </c>
      <c r="I1145" s="91" t="s">
        <v>299</v>
      </c>
      <c r="J1145" s="91">
        <v>6199</v>
      </c>
      <c r="K1145" s="91">
        <v>0</v>
      </c>
      <c r="L1145" s="91">
        <v>0</v>
      </c>
      <c r="M1145" s="91">
        <v>0</v>
      </c>
      <c r="N1145" s="91">
        <v>0</v>
      </c>
      <c r="O1145" s="91">
        <v>0</v>
      </c>
      <c r="P1145" s="91">
        <v>0</v>
      </c>
      <c r="Q1145" s="97">
        <f t="shared" si="34"/>
        <v>6199</v>
      </c>
      <c r="R1145" s="95">
        <f t="shared" si="35"/>
        <v>5269.15</v>
      </c>
    </row>
    <row r="1146" spans="1:23" ht="34.049999999999997" customHeight="1" x14ac:dyDescent="0.3">
      <c r="A1146" s="90">
        <v>1135</v>
      </c>
      <c r="B1146" s="91" t="s">
        <v>3714</v>
      </c>
      <c r="C1146" s="91" t="s">
        <v>7402</v>
      </c>
      <c r="D1146" s="91" t="s">
        <v>3827</v>
      </c>
      <c r="E1146" s="91">
        <v>2010</v>
      </c>
      <c r="F1146" s="91" t="s">
        <v>18</v>
      </c>
      <c r="G1146" s="91" t="s">
        <v>3891</v>
      </c>
      <c r="H1146" s="91" t="s">
        <v>3925</v>
      </c>
      <c r="I1146" s="91" t="s">
        <v>1050</v>
      </c>
      <c r="J1146" s="91">
        <v>6199</v>
      </c>
      <c r="K1146" s="91">
        <v>0</v>
      </c>
      <c r="L1146" s="91">
        <v>0</v>
      </c>
      <c r="M1146" s="91">
        <v>0</v>
      </c>
      <c r="N1146" s="91">
        <v>0</v>
      </c>
      <c r="O1146" s="91">
        <v>0</v>
      </c>
      <c r="P1146" s="91">
        <v>0</v>
      </c>
      <c r="Q1146" s="94">
        <f t="shared" si="34"/>
        <v>6199</v>
      </c>
      <c r="R1146" s="95">
        <f t="shared" si="35"/>
        <v>5269.15</v>
      </c>
    </row>
    <row r="1147" spans="1:23" ht="34.049999999999997" customHeight="1" x14ac:dyDescent="0.3">
      <c r="A1147" s="96">
        <v>1136</v>
      </c>
      <c r="B1147" s="91" t="s">
        <v>3714</v>
      </c>
      <c r="C1147" s="91" t="s">
        <v>7403</v>
      </c>
      <c r="D1147" s="91" t="s">
        <v>3828</v>
      </c>
      <c r="E1147" s="91">
        <v>1988</v>
      </c>
      <c r="F1147" s="91" t="s">
        <v>18</v>
      </c>
      <c r="G1147" s="91" t="s">
        <v>3892</v>
      </c>
      <c r="H1147" s="91" t="s">
        <v>3892</v>
      </c>
      <c r="I1147" s="91" t="s">
        <v>3948</v>
      </c>
      <c r="J1147" s="91">
        <v>6199</v>
      </c>
      <c r="K1147" s="91">
        <f>1346+6278+4484</f>
        <v>12108</v>
      </c>
      <c r="L1147" s="91">
        <v>0</v>
      </c>
      <c r="M1147" s="91">
        <v>0</v>
      </c>
      <c r="N1147" s="91">
        <v>1793</v>
      </c>
      <c r="O1147" s="91">
        <v>0</v>
      </c>
      <c r="P1147" s="91">
        <v>0</v>
      </c>
      <c r="Q1147" s="97">
        <f t="shared" si="34"/>
        <v>20100</v>
      </c>
      <c r="R1147" s="95">
        <f t="shared" si="35"/>
        <v>17085</v>
      </c>
    </row>
    <row r="1148" spans="1:23" ht="34.049999999999997" customHeight="1" x14ac:dyDescent="0.3">
      <c r="A1148" s="90">
        <v>1137</v>
      </c>
      <c r="B1148" s="91" t="s">
        <v>3714</v>
      </c>
      <c r="C1148" s="91" t="s">
        <v>7404</v>
      </c>
      <c r="D1148" s="91" t="s">
        <v>3829</v>
      </c>
      <c r="E1148" s="91">
        <v>2022</v>
      </c>
      <c r="F1148" s="91" t="s">
        <v>19</v>
      </c>
      <c r="G1148" s="91" t="s">
        <v>3893</v>
      </c>
      <c r="H1148" s="91" t="s">
        <v>477</v>
      </c>
      <c r="I1148" s="91" t="s">
        <v>32</v>
      </c>
      <c r="J1148" s="91">
        <v>6199</v>
      </c>
      <c r="K1148" s="91">
        <f>1346+6278+4484</f>
        <v>12108</v>
      </c>
      <c r="L1148" s="91">
        <v>0</v>
      </c>
      <c r="M1148" s="91">
        <v>0</v>
      </c>
      <c r="N1148" s="91">
        <v>3148</v>
      </c>
      <c r="O1148" s="91">
        <v>0</v>
      </c>
      <c r="P1148" s="91">
        <v>63</v>
      </c>
      <c r="Q1148" s="97">
        <f t="shared" si="34"/>
        <v>21518</v>
      </c>
      <c r="R1148" s="95">
        <f t="shared" si="35"/>
        <v>18290.3</v>
      </c>
    </row>
    <row r="1149" spans="1:23" ht="34.049999999999997" customHeight="1" x14ac:dyDescent="0.3">
      <c r="A1149" s="90">
        <v>1138</v>
      </c>
      <c r="B1149" s="91" t="s">
        <v>3714</v>
      </c>
      <c r="C1149" s="91" t="s">
        <v>7405</v>
      </c>
      <c r="D1149" s="91" t="s">
        <v>3830</v>
      </c>
      <c r="E1149" s="91">
        <v>2025</v>
      </c>
      <c r="F1149" s="91" t="s">
        <v>18</v>
      </c>
      <c r="G1149" s="91" t="s">
        <v>3894</v>
      </c>
      <c r="H1149" s="91" t="s">
        <v>3895</v>
      </c>
      <c r="I1149" s="91" t="s">
        <v>3949</v>
      </c>
      <c r="J1149" s="91">
        <v>6199</v>
      </c>
      <c r="K1149" s="91">
        <v>0</v>
      </c>
      <c r="L1149" s="91">
        <v>0</v>
      </c>
      <c r="M1149" s="91">
        <v>0</v>
      </c>
      <c r="N1149" s="91">
        <v>0</v>
      </c>
      <c r="O1149" s="91">
        <v>0</v>
      </c>
      <c r="P1149" s="91">
        <v>0</v>
      </c>
      <c r="Q1149" s="94">
        <f t="shared" si="34"/>
        <v>6199</v>
      </c>
      <c r="R1149" s="95">
        <f t="shared" si="35"/>
        <v>5269.15</v>
      </c>
    </row>
    <row r="1150" spans="1:23" ht="34.049999999999997" customHeight="1" x14ac:dyDescent="0.3">
      <c r="A1150" s="96">
        <v>1139</v>
      </c>
      <c r="B1150" s="91" t="s">
        <v>3714</v>
      </c>
      <c r="C1150" s="91" t="s">
        <v>7406</v>
      </c>
      <c r="D1150" s="91" t="s">
        <v>3830</v>
      </c>
      <c r="E1150" s="91">
        <v>1995</v>
      </c>
      <c r="F1150" s="91" t="s">
        <v>19</v>
      </c>
      <c r="G1150" s="91" t="s">
        <v>3895</v>
      </c>
      <c r="H1150" s="91" t="s">
        <v>3895</v>
      </c>
      <c r="I1150" s="91" t="s">
        <v>3950</v>
      </c>
      <c r="J1150" s="91">
        <v>6199</v>
      </c>
      <c r="K1150" s="91">
        <v>0</v>
      </c>
      <c r="L1150" s="91">
        <v>0</v>
      </c>
      <c r="M1150" s="91">
        <v>0</v>
      </c>
      <c r="N1150" s="91">
        <v>0</v>
      </c>
      <c r="O1150" s="91">
        <v>0</v>
      </c>
      <c r="P1150" s="91">
        <v>0</v>
      </c>
      <c r="Q1150" s="97">
        <f t="shared" si="34"/>
        <v>6199</v>
      </c>
      <c r="R1150" s="95">
        <f t="shared" si="35"/>
        <v>5269.15</v>
      </c>
    </row>
    <row r="1151" spans="1:23" ht="34.049999999999997" customHeight="1" x14ac:dyDescent="0.3">
      <c r="A1151" s="90">
        <v>1140</v>
      </c>
      <c r="B1151" s="98" t="s">
        <v>3714</v>
      </c>
      <c r="C1151" s="98" t="s">
        <v>7407</v>
      </c>
      <c r="D1151" s="99" t="s">
        <v>3526</v>
      </c>
      <c r="E1151" s="98">
        <v>2008</v>
      </c>
      <c r="F1151" s="98" t="s">
        <v>19</v>
      </c>
      <c r="G1151" s="98" t="s">
        <v>3626</v>
      </c>
      <c r="H1151" s="98" t="s">
        <v>189</v>
      </c>
      <c r="I1151" s="98" t="s">
        <v>1480</v>
      </c>
      <c r="J1151" s="98">
        <v>2900</v>
      </c>
      <c r="K1151" s="98">
        <v>0</v>
      </c>
      <c r="L1151" s="98">
        <v>0</v>
      </c>
      <c r="M1151" s="98">
        <v>0</v>
      </c>
      <c r="N1151" s="98">
        <v>2088</v>
      </c>
      <c r="O1151" s="98">
        <v>0</v>
      </c>
      <c r="P1151" s="98">
        <f>312+56+396</f>
        <v>764</v>
      </c>
      <c r="Q1151" s="97">
        <f t="shared" si="34"/>
        <v>5752</v>
      </c>
      <c r="R1151" s="95">
        <f t="shared" si="35"/>
        <v>4889.2</v>
      </c>
      <c r="S1151" s="41"/>
      <c r="T1151" s="41"/>
      <c r="U1151" s="41"/>
      <c r="V1151" s="41"/>
      <c r="W1151" s="41"/>
    </row>
    <row r="1152" spans="1:23" ht="34.049999999999997" customHeight="1" x14ac:dyDescent="0.3">
      <c r="A1152" s="90">
        <v>1141</v>
      </c>
      <c r="B1152" s="98" t="s">
        <v>3714</v>
      </c>
      <c r="C1152" s="98" t="s">
        <v>4425</v>
      </c>
      <c r="D1152" s="99" t="s">
        <v>2544</v>
      </c>
      <c r="E1152" s="98">
        <v>2022</v>
      </c>
      <c r="F1152" s="98" t="s">
        <v>19</v>
      </c>
      <c r="G1152" s="98" t="s">
        <v>2580</v>
      </c>
      <c r="H1152" s="98" t="s">
        <v>4426</v>
      </c>
      <c r="I1152" s="98" t="s">
        <v>1065</v>
      </c>
      <c r="J1152" s="98">
        <v>2900</v>
      </c>
      <c r="K1152" s="98">
        <v>0</v>
      </c>
      <c r="L1152" s="98">
        <v>0</v>
      </c>
      <c r="M1152" s="98">
        <v>0</v>
      </c>
      <c r="N1152" s="98">
        <v>2088</v>
      </c>
      <c r="O1152" s="98">
        <v>0</v>
      </c>
      <c r="P1152" s="98">
        <f>720+112</f>
        <v>832</v>
      </c>
      <c r="Q1152" s="97">
        <f t="shared" si="34"/>
        <v>5820</v>
      </c>
      <c r="R1152" s="95">
        <f t="shared" si="35"/>
        <v>4947</v>
      </c>
      <c r="S1152" s="41"/>
      <c r="T1152" s="41"/>
      <c r="U1152" s="41"/>
      <c r="V1152" s="41"/>
      <c r="W1152" s="41"/>
    </row>
    <row r="1153" spans="1:23" ht="34.049999999999997" customHeight="1" x14ac:dyDescent="0.3">
      <c r="A1153" s="96">
        <v>1142</v>
      </c>
      <c r="B1153" s="98" t="s">
        <v>3714</v>
      </c>
      <c r="C1153" s="98" t="s">
        <v>7408</v>
      </c>
      <c r="D1153" s="99" t="s">
        <v>3516</v>
      </c>
      <c r="E1153" s="98">
        <v>2017</v>
      </c>
      <c r="F1153" s="98" t="s">
        <v>19</v>
      </c>
      <c r="G1153" s="98" t="s">
        <v>3621</v>
      </c>
      <c r="H1153" s="98" t="s">
        <v>4427</v>
      </c>
      <c r="I1153" s="98" t="s">
        <v>2846</v>
      </c>
      <c r="J1153" s="98">
        <v>2900</v>
      </c>
      <c r="K1153" s="98">
        <v>0</v>
      </c>
      <c r="L1153" s="98">
        <v>0</v>
      </c>
      <c r="M1153" s="98">
        <v>0</v>
      </c>
      <c r="N1153" s="98">
        <v>2088</v>
      </c>
      <c r="O1153" s="98">
        <v>0</v>
      </c>
      <c r="P1153" s="98">
        <f>396+360+56</f>
        <v>812</v>
      </c>
      <c r="Q1153" s="97">
        <f t="shared" si="34"/>
        <v>5800</v>
      </c>
      <c r="R1153" s="95">
        <f t="shared" si="35"/>
        <v>4930</v>
      </c>
      <c r="S1153" s="41"/>
      <c r="T1153" s="41"/>
      <c r="U1153" s="41"/>
      <c r="V1153" s="41"/>
      <c r="W1153" s="41"/>
    </row>
    <row r="1154" spans="1:23" ht="34.049999999999997" customHeight="1" x14ac:dyDescent="0.3">
      <c r="A1154" s="90">
        <v>1143</v>
      </c>
      <c r="B1154" s="98" t="s">
        <v>3714</v>
      </c>
      <c r="C1154" s="98" t="s">
        <v>7409</v>
      </c>
      <c r="D1154" s="99" t="s">
        <v>3586</v>
      </c>
      <c r="E1154" s="98">
        <v>2022</v>
      </c>
      <c r="F1154" s="98" t="s">
        <v>18</v>
      </c>
      <c r="G1154" s="98" t="s">
        <v>3667</v>
      </c>
      <c r="H1154" s="98" t="s">
        <v>3618</v>
      </c>
      <c r="I1154" s="98" t="s">
        <v>28</v>
      </c>
      <c r="J1154" s="98">
        <v>2900</v>
      </c>
      <c r="K1154" s="98">
        <f>6278+4484+1346+2332+2332+2332+2332+2332+2332</f>
        <v>26100</v>
      </c>
      <c r="L1154" s="98">
        <v>0</v>
      </c>
      <c r="M1154" s="98">
        <v>0</v>
      </c>
      <c r="N1154" s="98">
        <f>2088+3148</f>
        <v>5236</v>
      </c>
      <c r="O1154" s="98">
        <v>0</v>
      </c>
      <c r="P1154" s="98">
        <f>360+56</f>
        <v>416</v>
      </c>
      <c r="Q1154" s="97">
        <f t="shared" si="34"/>
        <v>34652</v>
      </c>
      <c r="R1154" s="95">
        <f t="shared" si="35"/>
        <v>29454.2</v>
      </c>
      <c r="S1154" s="41"/>
      <c r="T1154" s="41"/>
      <c r="U1154" s="41"/>
      <c r="V1154" s="41"/>
      <c r="W1154" s="41"/>
    </row>
    <row r="1155" spans="1:23" ht="34.049999999999997" customHeight="1" x14ac:dyDescent="0.3">
      <c r="A1155" s="90">
        <v>1144</v>
      </c>
      <c r="B1155" s="98" t="s">
        <v>3714</v>
      </c>
      <c r="C1155" s="98" t="s">
        <v>7410</v>
      </c>
      <c r="D1155" s="99" t="s">
        <v>3344</v>
      </c>
      <c r="E1155" s="98">
        <v>1981</v>
      </c>
      <c r="F1155" s="98" t="s">
        <v>19</v>
      </c>
      <c r="G1155" s="98" t="s">
        <v>3427</v>
      </c>
      <c r="H1155" s="98" t="s">
        <v>3427</v>
      </c>
      <c r="I1155" s="98" t="s">
        <v>300</v>
      </c>
      <c r="J1155" s="98">
        <v>2900</v>
      </c>
      <c r="K1155" s="98">
        <v>0</v>
      </c>
      <c r="L1155" s="98">
        <v>0</v>
      </c>
      <c r="M1155" s="98">
        <v>0</v>
      </c>
      <c r="N1155" s="98">
        <v>1681</v>
      </c>
      <c r="O1155" s="98">
        <v>0</v>
      </c>
      <c r="P1155" s="98">
        <f>312+56+300</f>
        <v>668</v>
      </c>
      <c r="Q1155" s="97">
        <f t="shared" si="34"/>
        <v>5249</v>
      </c>
      <c r="R1155" s="95">
        <f t="shared" si="35"/>
        <v>4461.6499999999996</v>
      </c>
      <c r="S1155" s="41"/>
      <c r="T1155" s="41"/>
      <c r="U1155" s="41"/>
      <c r="V1155" s="41"/>
      <c r="W1155" s="41"/>
    </row>
    <row r="1156" spans="1:23" ht="34.049999999999997" customHeight="1" x14ac:dyDescent="0.3">
      <c r="A1156" s="96">
        <v>1145</v>
      </c>
      <c r="B1156" s="98" t="s">
        <v>3951</v>
      </c>
      <c r="C1156" s="98" t="s">
        <v>3952</v>
      </c>
      <c r="D1156" s="98" t="s">
        <v>3953</v>
      </c>
      <c r="E1156" s="98">
        <v>2021</v>
      </c>
      <c r="F1156" s="98" t="s">
        <v>19</v>
      </c>
      <c r="G1156" s="98" t="s">
        <v>4092</v>
      </c>
      <c r="H1156" s="98" t="s">
        <v>4157</v>
      </c>
      <c r="I1156" s="98" t="s">
        <v>4202</v>
      </c>
      <c r="J1156" s="98">
        <v>6199</v>
      </c>
      <c r="K1156" s="98">
        <v>0</v>
      </c>
      <c r="L1156" s="98">
        <v>0</v>
      </c>
      <c r="M1156" s="98">
        <v>0</v>
      </c>
      <c r="N1156" s="98">
        <v>0</v>
      </c>
      <c r="O1156" s="98">
        <v>0</v>
      </c>
      <c r="P1156" s="98">
        <v>0</v>
      </c>
      <c r="Q1156" s="97">
        <f t="shared" si="34"/>
        <v>6199</v>
      </c>
      <c r="R1156" s="95">
        <f t="shared" si="35"/>
        <v>5269.15</v>
      </c>
      <c r="S1156" s="41"/>
      <c r="T1156" s="41"/>
      <c r="U1156" s="41"/>
      <c r="V1156" s="41"/>
      <c r="W1156" s="41"/>
    </row>
    <row r="1157" spans="1:23" ht="34.049999999999997" customHeight="1" x14ac:dyDescent="0.3">
      <c r="A1157" s="90">
        <v>1146</v>
      </c>
      <c r="B1157" s="91" t="s">
        <v>3951</v>
      </c>
      <c r="C1157" s="91" t="s">
        <v>3954</v>
      </c>
      <c r="D1157" s="91" t="s">
        <v>3955</v>
      </c>
      <c r="E1157" s="91">
        <v>1992</v>
      </c>
      <c r="F1157" s="91" t="s">
        <v>19</v>
      </c>
      <c r="G1157" s="91" t="s">
        <v>4093</v>
      </c>
      <c r="H1157" s="91" t="s">
        <v>4158</v>
      </c>
      <c r="I1157" s="91" t="s">
        <v>4203</v>
      </c>
      <c r="J1157" s="91">
        <v>6199</v>
      </c>
      <c r="K1157" s="91">
        <f>1346+6278+4484+2332+2332+2332+1166</f>
        <v>20270</v>
      </c>
      <c r="L1157" s="91">
        <v>0</v>
      </c>
      <c r="M1157" s="91">
        <v>0</v>
      </c>
      <c r="N1157" s="91">
        <f>1793+3179+1178+1681</f>
        <v>7831</v>
      </c>
      <c r="O1157" s="91">
        <v>0</v>
      </c>
      <c r="P1157" s="91">
        <f>1440+660+312+56+396</f>
        <v>2864</v>
      </c>
      <c r="Q1157" s="97">
        <f t="shared" si="34"/>
        <v>37164</v>
      </c>
      <c r="R1157" s="95">
        <f t="shared" si="35"/>
        <v>31589.4</v>
      </c>
    </row>
    <row r="1158" spans="1:23" ht="34.049999999999997" customHeight="1" x14ac:dyDescent="0.3">
      <c r="A1158" s="90">
        <v>1147</v>
      </c>
      <c r="B1158" s="91" t="s">
        <v>3951</v>
      </c>
      <c r="C1158" s="91" t="s">
        <v>3956</v>
      </c>
      <c r="D1158" s="91" t="s">
        <v>3957</v>
      </c>
      <c r="E1158" s="91">
        <v>1964</v>
      </c>
      <c r="F1158" s="91" t="s">
        <v>18</v>
      </c>
      <c r="G1158" s="91" t="s">
        <v>4094</v>
      </c>
      <c r="H1158" s="91" t="s">
        <v>4159</v>
      </c>
      <c r="I1158" s="91" t="s">
        <v>824</v>
      </c>
      <c r="J1158" s="91">
        <v>6199</v>
      </c>
      <c r="K1158" s="91">
        <f>6278+4484+4484+2332+2332+2332+6995+1346+1346+6995+3228+3000+3000+2332+2332+4484+4484+2332+4484</f>
        <v>68600</v>
      </c>
      <c r="L1158" s="91">
        <v>20807</v>
      </c>
      <c r="M1158" s="91">
        <v>0</v>
      </c>
      <c r="N1158" s="91">
        <v>1793</v>
      </c>
      <c r="O1158" s="91">
        <v>0</v>
      </c>
      <c r="P1158" s="91">
        <v>0</v>
      </c>
      <c r="Q1158" s="97">
        <f t="shared" si="34"/>
        <v>97399</v>
      </c>
      <c r="R1158" s="95">
        <f t="shared" si="35"/>
        <v>82789.149999999994</v>
      </c>
    </row>
    <row r="1159" spans="1:23" ht="34.049999999999997" customHeight="1" x14ac:dyDescent="0.3">
      <c r="A1159" s="96">
        <v>1148</v>
      </c>
      <c r="B1159" s="91" t="s">
        <v>3951</v>
      </c>
      <c r="C1159" s="91" t="s">
        <v>3958</v>
      </c>
      <c r="D1159" s="91" t="s">
        <v>3959</v>
      </c>
      <c r="E1159" s="91">
        <v>1997</v>
      </c>
      <c r="F1159" s="91" t="s">
        <v>19</v>
      </c>
      <c r="G1159" s="91" t="s">
        <v>4095</v>
      </c>
      <c r="H1159" s="91" t="s">
        <v>4160</v>
      </c>
      <c r="I1159" s="91" t="s">
        <v>4204</v>
      </c>
      <c r="J1159" s="91">
        <v>6199</v>
      </c>
      <c r="K1159" s="91">
        <v>0</v>
      </c>
      <c r="L1159" s="91">
        <v>9422</v>
      </c>
      <c r="M1159" s="91">
        <v>0</v>
      </c>
      <c r="N1159" s="91">
        <v>0</v>
      </c>
      <c r="O1159" s="91">
        <v>0</v>
      </c>
      <c r="P1159" s="91">
        <v>0</v>
      </c>
      <c r="Q1159" s="97">
        <f t="shared" si="34"/>
        <v>15621</v>
      </c>
      <c r="R1159" s="95">
        <f t="shared" si="35"/>
        <v>13277.85</v>
      </c>
    </row>
    <row r="1160" spans="1:23" ht="34.049999999999997" customHeight="1" x14ac:dyDescent="0.3">
      <c r="A1160" s="90">
        <v>1149</v>
      </c>
      <c r="B1160" s="91" t="s">
        <v>3951</v>
      </c>
      <c r="C1160" s="91" t="s">
        <v>3960</v>
      </c>
      <c r="D1160" s="91" t="s">
        <v>3824</v>
      </c>
      <c r="E1160" s="91">
        <v>2024</v>
      </c>
      <c r="F1160" s="91" t="s">
        <v>18</v>
      </c>
      <c r="G1160" s="91" t="s">
        <v>3888</v>
      </c>
      <c r="H1160" s="91" t="s">
        <v>3923</v>
      </c>
      <c r="I1160" s="91" t="s">
        <v>3947</v>
      </c>
      <c r="J1160" s="91">
        <v>3793</v>
      </c>
      <c r="K1160" s="91">
        <v>0</v>
      </c>
      <c r="L1160" s="91">
        <f>13298+13298</f>
        <v>26596</v>
      </c>
      <c r="M1160" s="91">
        <v>0</v>
      </c>
      <c r="N1160" s="91">
        <v>0</v>
      </c>
      <c r="O1160" s="91">
        <v>0</v>
      </c>
      <c r="P1160" s="91">
        <v>0</v>
      </c>
      <c r="Q1160" s="97">
        <f t="shared" si="34"/>
        <v>30389</v>
      </c>
      <c r="R1160" s="95">
        <f t="shared" si="35"/>
        <v>25830.65</v>
      </c>
    </row>
    <row r="1161" spans="1:23" ht="34.049999999999997" customHeight="1" x14ac:dyDescent="0.3">
      <c r="A1161" s="90">
        <v>1150</v>
      </c>
      <c r="B1161" s="91" t="s">
        <v>3951</v>
      </c>
      <c r="C1161" s="91" t="s">
        <v>3961</v>
      </c>
      <c r="D1161" s="91" t="s">
        <v>3962</v>
      </c>
      <c r="E1161" s="91">
        <v>2020</v>
      </c>
      <c r="F1161" s="91" t="s">
        <v>19</v>
      </c>
      <c r="G1161" s="91" t="s">
        <v>4096</v>
      </c>
      <c r="H1161" s="91" t="s">
        <v>3889</v>
      </c>
      <c r="I1161" s="91" t="s">
        <v>24</v>
      </c>
      <c r="J1161" s="91">
        <v>6199</v>
      </c>
      <c r="K1161" s="91">
        <f>1346+6278+4484+4484</f>
        <v>16592</v>
      </c>
      <c r="L1161" s="91">
        <v>0</v>
      </c>
      <c r="M1161" s="91">
        <v>0</v>
      </c>
      <c r="N1161" s="91">
        <v>3148</v>
      </c>
      <c r="O1161" s="91">
        <v>0</v>
      </c>
      <c r="P1161" s="91">
        <v>0</v>
      </c>
      <c r="Q1161" s="97">
        <f t="shared" si="34"/>
        <v>25939</v>
      </c>
      <c r="R1161" s="95">
        <f t="shared" si="35"/>
        <v>22048.15</v>
      </c>
    </row>
    <row r="1162" spans="1:23" ht="34.049999999999997" customHeight="1" x14ac:dyDescent="0.3">
      <c r="A1162" s="96">
        <v>1151</v>
      </c>
      <c r="B1162" s="91" t="s">
        <v>3951</v>
      </c>
      <c r="C1162" s="91" t="s">
        <v>3963</v>
      </c>
      <c r="D1162" s="91" t="s">
        <v>3157</v>
      </c>
      <c r="E1162" s="91">
        <v>1995</v>
      </c>
      <c r="F1162" s="91" t="s">
        <v>19</v>
      </c>
      <c r="G1162" s="91" t="s">
        <v>3246</v>
      </c>
      <c r="H1162" s="91" t="s">
        <v>4161</v>
      </c>
      <c r="I1162" s="91" t="s">
        <v>570</v>
      </c>
      <c r="J1162" s="91">
        <v>3793</v>
      </c>
      <c r="K1162" s="91">
        <v>0</v>
      </c>
      <c r="L1162" s="91">
        <v>0</v>
      </c>
      <c r="M1162" s="91">
        <v>0</v>
      </c>
      <c r="N1162" s="91">
        <v>0</v>
      </c>
      <c r="O1162" s="91">
        <v>0</v>
      </c>
      <c r="P1162" s="91">
        <v>0</v>
      </c>
      <c r="Q1162" s="97">
        <f t="shared" si="34"/>
        <v>3793</v>
      </c>
      <c r="R1162" s="95">
        <f t="shared" si="35"/>
        <v>3224.05</v>
      </c>
    </row>
    <row r="1163" spans="1:23" ht="34.049999999999997" customHeight="1" x14ac:dyDescent="0.3">
      <c r="A1163" s="90">
        <v>1152</v>
      </c>
      <c r="B1163" s="91" t="s">
        <v>3951</v>
      </c>
      <c r="C1163" s="91" t="s">
        <v>3964</v>
      </c>
      <c r="D1163" s="91" t="s">
        <v>3965</v>
      </c>
      <c r="E1163" s="91">
        <v>2021</v>
      </c>
      <c r="F1163" s="91" t="s">
        <v>19</v>
      </c>
      <c r="G1163" s="91" t="s">
        <v>4097</v>
      </c>
      <c r="H1163" s="91" t="s">
        <v>4162</v>
      </c>
      <c r="I1163" s="91" t="s">
        <v>4205</v>
      </c>
      <c r="J1163" s="91">
        <v>6199</v>
      </c>
      <c r="K1163" s="91">
        <f>1346+6278+4484</f>
        <v>12108</v>
      </c>
      <c r="L1163" s="91">
        <v>0</v>
      </c>
      <c r="M1163" s="91">
        <v>0</v>
      </c>
      <c r="N1163" s="91">
        <v>3148</v>
      </c>
      <c r="O1163" s="91">
        <v>0</v>
      </c>
      <c r="P1163" s="91">
        <v>0</v>
      </c>
      <c r="Q1163" s="97">
        <f t="shared" si="34"/>
        <v>21455</v>
      </c>
      <c r="R1163" s="95">
        <f t="shared" si="35"/>
        <v>18236.75</v>
      </c>
    </row>
    <row r="1164" spans="1:23" ht="34.049999999999997" customHeight="1" x14ac:dyDescent="0.3">
      <c r="A1164" s="90">
        <v>1153</v>
      </c>
      <c r="B1164" s="91" t="s">
        <v>3951</v>
      </c>
      <c r="C1164" s="91" t="s">
        <v>3966</v>
      </c>
      <c r="D1164" s="91" t="s">
        <v>3967</v>
      </c>
      <c r="E1164" s="91">
        <v>2021</v>
      </c>
      <c r="F1164" s="91" t="s">
        <v>18</v>
      </c>
      <c r="G1164" s="91" t="s">
        <v>4098</v>
      </c>
      <c r="H1164" s="91" t="s">
        <v>4163</v>
      </c>
      <c r="I1164" s="91" t="s">
        <v>1698</v>
      </c>
      <c r="J1164" s="91">
        <v>3582</v>
      </c>
      <c r="K1164" s="91">
        <v>0</v>
      </c>
      <c r="L1164" s="91">
        <v>0</v>
      </c>
      <c r="M1164" s="91">
        <v>0</v>
      </c>
      <c r="N1164" s="91">
        <f>15443+21194+13563</f>
        <v>50200</v>
      </c>
      <c r="O1164" s="91">
        <v>0</v>
      </c>
      <c r="P1164" s="91">
        <v>0</v>
      </c>
      <c r="Q1164" s="97">
        <f t="shared" ref="Q1164:Q1227" si="36">SUM(J1164:P1164)</f>
        <v>53782</v>
      </c>
      <c r="R1164" s="95">
        <f t="shared" si="35"/>
        <v>45714.7</v>
      </c>
    </row>
    <row r="1165" spans="1:23" ht="34.049999999999997" customHeight="1" x14ac:dyDescent="0.3">
      <c r="A1165" s="96">
        <v>1154</v>
      </c>
      <c r="B1165" s="91" t="s">
        <v>3951</v>
      </c>
      <c r="C1165" s="91" t="s">
        <v>3968</v>
      </c>
      <c r="D1165" s="91" t="s">
        <v>3969</v>
      </c>
      <c r="E1165" s="91">
        <v>2023</v>
      </c>
      <c r="F1165" s="91" t="s">
        <v>19</v>
      </c>
      <c r="G1165" s="91" t="s">
        <v>4099</v>
      </c>
      <c r="H1165" s="91" t="s">
        <v>4164</v>
      </c>
      <c r="I1165" s="91" t="s">
        <v>1050</v>
      </c>
      <c r="J1165" s="91">
        <v>6199</v>
      </c>
      <c r="K1165" s="91">
        <f>6278+4484+1346+4484+2332+2332+2332+2332+2332</f>
        <v>28252</v>
      </c>
      <c r="L1165" s="91">
        <v>0</v>
      </c>
      <c r="M1165" s="91">
        <v>0</v>
      </c>
      <c r="N1165" s="91">
        <v>3148</v>
      </c>
      <c r="O1165" s="91">
        <v>0</v>
      </c>
      <c r="P1165" s="91">
        <v>0</v>
      </c>
      <c r="Q1165" s="94">
        <f t="shared" si="36"/>
        <v>37599</v>
      </c>
      <c r="R1165" s="95">
        <f t="shared" ref="R1165:R1228" si="37">Q1165*85/100</f>
        <v>31959.15</v>
      </c>
    </row>
    <row r="1166" spans="1:23" ht="34.049999999999997" customHeight="1" x14ac:dyDescent="0.3">
      <c r="A1166" s="90">
        <v>1155</v>
      </c>
      <c r="B1166" s="91" t="s">
        <v>3951</v>
      </c>
      <c r="C1166" s="91" t="s">
        <v>3970</v>
      </c>
      <c r="D1166" s="91" t="s">
        <v>3971</v>
      </c>
      <c r="E1166" s="91">
        <v>2021</v>
      </c>
      <c r="F1166" s="91" t="s">
        <v>18</v>
      </c>
      <c r="G1166" s="91" t="s">
        <v>4100</v>
      </c>
      <c r="H1166" s="91" t="s">
        <v>4165</v>
      </c>
      <c r="I1166" s="91" t="s">
        <v>4206</v>
      </c>
      <c r="J1166" s="91">
        <v>6199</v>
      </c>
      <c r="K1166" s="91">
        <v>0</v>
      </c>
      <c r="L1166" s="91">
        <v>0</v>
      </c>
      <c r="M1166" s="91">
        <v>0</v>
      </c>
      <c r="N1166" s="91">
        <v>0</v>
      </c>
      <c r="O1166" s="91">
        <v>0</v>
      </c>
      <c r="P1166" s="91">
        <v>0</v>
      </c>
      <c r="Q1166" s="97">
        <f t="shared" si="36"/>
        <v>6199</v>
      </c>
      <c r="R1166" s="95">
        <f t="shared" si="37"/>
        <v>5269.15</v>
      </c>
    </row>
    <row r="1167" spans="1:23" ht="34.049999999999997" customHeight="1" x14ac:dyDescent="0.3">
      <c r="A1167" s="90">
        <v>1156</v>
      </c>
      <c r="B1167" s="91" t="s">
        <v>3951</v>
      </c>
      <c r="C1167" s="91" t="s">
        <v>3972</v>
      </c>
      <c r="D1167" s="91" t="s">
        <v>3973</v>
      </c>
      <c r="E1167" s="91">
        <v>1984</v>
      </c>
      <c r="F1167" s="91" t="s">
        <v>18</v>
      </c>
      <c r="G1167" s="91" t="s">
        <v>3627</v>
      </c>
      <c r="H1167" s="91" t="s">
        <v>3627</v>
      </c>
      <c r="I1167" s="91" t="s">
        <v>4207</v>
      </c>
      <c r="J1167" s="91">
        <v>3793</v>
      </c>
      <c r="K1167" s="91">
        <f>1346+6278+4484+1166+2332+2332+2332+3228+2332+2332+2332+6995+6995+2332+6995</f>
        <v>53811</v>
      </c>
      <c r="L1167" s="91">
        <v>0</v>
      </c>
      <c r="M1167" s="91">
        <v>0</v>
      </c>
      <c r="N1167" s="91">
        <f>1793+1178+3179+1681</f>
        <v>7831</v>
      </c>
      <c r="O1167" s="91">
        <v>0</v>
      </c>
      <c r="P1167" s="91">
        <f>2160+374+396+312+56</f>
        <v>3298</v>
      </c>
      <c r="Q1167" s="97">
        <f t="shared" si="36"/>
        <v>68733</v>
      </c>
      <c r="R1167" s="95">
        <f t="shared" si="37"/>
        <v>58423.05</v>
      </c>
    </row>
    <row r="1168" spans="1:23" ht="34.049999999999997" customHeight="1" x14ac:dyDescent="0.3">
      <c r="A1168" s="96">
        <v>1157</v>
      </c>
      <c r="B1168" s="91" t="s">
        <v>3951</v>
      </c>
      <c r="C1168" s="91" t="s">
        <v>3974</v>
      </c>
      <c r="D1168" s="91" t="s">
        <v>3975</v>
      </c>
      <c r="E1168" s="91">
        <v>2022</v>
      </c>
      <c r="F1168" s="91" t="s">
        <v>19</v>
      </c>
      <c r="G1168" s="91" t="s">
        <v>4101</v>
      </c>
      <c r="H1168" s="91" t="s">
        <v>4166</v>
      </c>
      <c r="I1168" s="91" t="s">
        <v>289</v>
      </c>
      <c r="J1168" s="91">
        <v>6199</v>
      </c>
      <c r="K1168" s="91">
        <f>1346+6278+4484+2332+2332+2332+4484+2332+2332+2332+6995+6995+2332+6995</f>
        <v>53901</v>
      </c>
      <c r="L1168" s="91">
        <v>0</v>
      </c>
      <c r="M1168" s="91">
        <v>0</v>
      </c>
      <c r="N1168" s="91">
        <v>3148</v>
      </c>
      <c r="O1168" s="91">
        <v>0</v>
      </c>
      <c r="P1168" s="91">
        <v>0</v>
      </c>
      <c r="Q1168" s="97">
        <f t="shared" si="36"/>
        <v>63248</v>
      </c>
      <c r="R1168" s="95">
        <f t="shared" si="37"/>
        <v>53760.800000000003</v>
      </c>
    </row>
    <row r="1169" spans="1:18" ht="34.049999999999997" customHeight="1" x14ac:dyDescent="0.3">
      <c r="A1169" s="90">
        <v>1158</v>
      </c>
      <c r="B1169" s="91" t="s">
        <v>3951</v>
      </c>
      <c r="C1169" s="91" t="s">
        <v>3976</v>
      </c>
      <c r="D1169" s="91" t="s">
        <v>3977</v>
      </c>
      <c r="E1169" s="91">
        <v>1991</v>
      </c>
      <c r="F1169" s="91" t="s">
        <v>19</v>
      </c>
      <c r="G1169" s="91" t="s">
        <v>4102</v>
      </c>
      <c r="H1169" s="91" t="s">
        <v>4167</v>
      </c>
      <c r="I1169" s="91" t="s">
        <v>1063</v>
      </c>
      <c r="J1169" s="91">
        <v>3582</v>
      </c>
      <c r="K1169" s="91">
        <v>0</v>
      </c>
      <c r="L1169" s="91">
        <v>0</v>
      </c>
      <c r="M1169" s="91">
        <v>0</v>
      </c>
      <c r="N1169" s="91">
        <f>15443+20859</f>
        <v>36302</v>
      </c>
      <c r="O1169" s="91">
        <v>0</v>
      </c>
      <c r="P1169" s="91">
        <v>0</v>
      </c>
      <c r="Q1169" s="97">
        <f t="shared" si="36"/>
        <v>39884</v>
      </c>
      <c r="R1169" s="95">
        <f t="shared" si="37"/>
        <v>33901.4</v>
      </c>
    </row>
    <row r="1170" spans="1:18" ht="34.049999999999997" customHeight="1" x14ac:dyDescent="0.3">
      <c r="A1170" s="90">
        <v>1159</v>
      </c>
      <c r="B1170" s="91" t="s">
        <v>3951</v>
      </c>
      <c r="C1170" s="91" t="s">
        <v>3978</v>
      </c>
      <c r="D1170" s="91" t="s">
        <v>3979</v>
      </c>
      <c r="E1170" s="91">
        <v>2020</v>
      </c>
      <c r="F1170" s="91" t="s">
        <v>19</v>
      </c>
      <c r="G1170" s="91" t="s">
        <v>4103</v>
      </c>
      <c r="H1170" s="91" t="s">
        <v>4102</v>
      </c>
      <c r="I1170" s="91" t="s">
        <v>3979</v>
      </c>
      <c r="J1170" s="91">
        <v>3582</v>
      </c>
      <c r="K1170" s="91">
        <v>0</v>
      </c>
      <c r="L1170" s="91">
        <v>0</v>
      </c>
      <c r="M1170" s="91">
        <v>0</v>
      </c>
      <c r="N1170" s="91">
        <v>15443</v>
      </c>
      <c r="O1170" s="91">
        <v>0</v>
      </c>
      <c r="P1170" s="91">
        <v>0</v>
      </c>
      <c r="Q1170" s="97">
        <f t="shared" si="36"/>
        <v>19025</v>
      </c>
      <c r="R1170" s="95">
        <f t="shared" si="37"/>
        <v>16171.25</v>
      </c>
    </row>
    <row r="1171" spans="1:18" ht="34.049999999999997" customHeight="1" x14ac:dyDescent="0.3">
      <c r="A1171" s="96">
        <v>1160</v>
      </c>
      <c r="B1171" s="91" t="s">
        <v>3951</v>
      </c>
      <c r="C1171" s="91" t="s">
        <v>3980</v>
      </c>
      <c r="D1171" s="91" t="s">
        <v>3981</v>
      </c>
      <c r="E1171" s="91">
        <v>2018</v>
      </c>
      <c r="F1171" s="91" t="s">
        <v>18</v>
      </c>
      <c r="G1171" s="91" t="s">
        <v>4104</v>
      </c>
      <c r="H1171" s="91" t="s">
        <v>4167</v>
      </c>
      <c r="I1171" s="91" t="s">
        <v>1063</v>
      </c>
      <c r="J1171" s="91">
        <v>6199</v>
      </c>
      <c r="K1171" s="91">
        <f>1346+6278+4484+4484+2332+2332+2332+6995+2332+6995+2332+2332+2332+6995+1166</f>
        <v>55067</v>
      </c>
      <c r="L1171" s="91">
        <v>0</v>
      </c>
      <c r="M1171" s="91">
        <v>0</v>
      </c>
      <c r="N1171" s="91">
        <v>3148</v>
      </c>
      <c r="O1171" s="91">
        <v>0</v>
      </c>
      <c r="P1171" s="91">
        <v>0</v>
      </c>
      <c r="Q1171" s="97">
        <f t="shared" si="36"/>
        <v>64414</v>
      </c>
      <c r="R1171" s="95">
        <f t="shared" si="37"/>
        <v>54751.9</v>
      </c>
    </row>
    <row r="1172" spans="1:18" ht="34.049999999999997" customHeight="1" x14ac:dyDescent="0.3">
      <c r="A1172" s="90">
        <v>1161</v>
      </c>
      <c r="B1172" s="91" t="s">
        <v>3951</v>
      </c>
      <c r="C1172" s="91" t="s">
        <v>3982</v>
      </c>
      <c r="D1172" s="91" t="s">
        <v>3983</v>
      </c>
      <c r="E1172" s="91">
        <v>2022</v>
      </c>
      <c r="F1172" s="91" t="s">
        <v>18</v>
      </c>
      <c r="G1172" s="91" t="s">
        <v>4105</v>
      </c>
      <c r="H1172" s="91" t="s">
        <v>4168</v>
      </c>
      <c r="I1172" s="91" t="s">
        <v>4208</v>
      </c>
      <c r="J1172" s="91">
        <v>6199</v>
      </c>
      <c r="K1172" s="91">
        <f>6278+4484+1346+4484+2332+2332+2332+2332+2332+2332+6995+6995+2332+6995+1166</f>
        <v>55067</v>
      </c>
      <c r="L1172" s="91">
        <v>0</v>
      </c>
      <c r="M1172" s="91">
        <v>0</v>
      </c>
      <c r="N1172" s="91">
        <v>3148</v>
      </c>
      <c r="O1172" s="91">
        <v>0</v>
      </c>
      <c r="P1172" s="91">
        <v>0</v>
      </c>
      <c r="Q1172" s="94">
        <f t="shared" si="36"/>
        <v>64414</v>
      </c>
      <c r="R1172" s="95">
        <f t="shared" si="37"/>
        <v>54751.9</v>
      </c>
    </row>
    <row r="1173" spans="1:18" ht="34.049999999999997" customHeight="1" x14ac:dyDescent="0.3">
      <c r="A1173" s="90">
        <v>1162</v>
      </c>
      <c r="B1173" s="91" t="s">
        <v>3951</v>
      </c>
      <c r="C1173" s="91" t="s">
        <v>3984</v>
      </c>
      <c r="D1173" s="91" t="s">
        <v>3985</v>
      </c>
      <c r="E1173" s="91">
        <v>1999</v>
      </c>
      <c r="F1173" s="91" t="s">
        <v>19</v>
      </c>
      <c r="G1173" s="91" t="s">
        <v>4106</v>
      </c>
      <c r="H1173" s="91" t="s">
        <v>4106</v>
      </c>
      <c r="I1173" s="91" t="s">
        <v>4209</v>
      </c>
      <c r="J1173" s="91">
        <v>6199</v>
      </c>
      <c r="K1173" s="91">
        <f>6278+4484+1166</f>
        <v>11928</v>
      </c>
      <c r="L1173" s="91">
        <v>0</v>
      </c>
      <c r="M1173" s="91">
        <v>0</v>
      </c>
      <c r="N1173" s="91">
        <v>3148</v>
      </c>
      <c r="O1173" s="91">
        <v>0</v>
      </c>
      <c r="P1173" s="91">
        <v>0</v>
      </c>
      <c r="Q1173" s="97">
        <f t="shared" si="36"/>
        <v>21275</v>
      </c>
      <c r="R1173" s="95">
        <f t="shared" si="37"/>
        <v>18083.75</v>
      </c>
    </row>
    <row r="1174" spans="1:18" ht="34.049999999999997" customHeight="1" x14ac:dyDescent="0.3">
      <c r="A1174" s="96">
        <v>1163</v>
      </c>
      <c r="B1174" s="91" t="s">
        <v>3951</v>
      </c>
      <c r="C1174" s="91" t="s">
        <v>3986</v>
      </c>
      <c r="D1174" s="91" t="s">
        <v>433</v>
      </c>
      <c r="E1174" s="91">
        <v>2021</v>
      </c>
      <c r="F1174" s="91" t="s">
        <v>19</v>
      </c>
      <c r="G1174" s="91" t="s">
        <v>498</v>
      </c>
      <c r="H1174" s="91" t="s">
        <v>533</v>
      </c>
      <c r="I1174" s="91" t="s">
        <v>27</v>
      </c>
      <c r="J1174" s="91">
        <v>3793</v>
      </c>
      <c r="K1174" s="91">
        <f>1346+6278+4484</f>
        <v>12108</v>
      </c>
      <c r="L1174" s="91">
        <v>0</v>
      </c>
      <c r="M1174" s="91">
        <v>0</v>
      </c>
      <c r="N1174" s="91">
        <v>3148</v>
      </c>
      <c r="O1174" s="91">
        <v>0</v>
      </c>
      <c r="P1174" s="91">
        <v>0</v>
      </c>
      <c r="Q1174" s="97">
        <f t="shared" si="36"/>
        <v>19049</v>
      </c>
      <c r="R1174" s="95">
        <f t="shared" si="37"/>
        <v>16191.65</v>
      </c>
    </row>
    <row r="1175" spans="1:18" ht="34.049999999999997" customHeight="1" x14ac:dyDescent="0.3">
      <c r="A1175" s="90">
        <v>1164</v>
      </c>
      <c r="B1175" s="91" t="s">
        <v>3951</v>
      </c>
      <c r="C1175" s="91" t="s">
        <v>3987</v>
      </c>
      <c r="D1175" s="91" t="s">
        <v>3988</v>
      </c>
      <c r="E1175" s="91">
        <v>2019</v>
      </c>
      <c r="F1175" s="91" t="s">
        <v>18</v>
      </c>
      <c r="G1175" s="91" t="s">
        <v>4107</v>
      </c>
      <c r="H1175" s="91" t="s">
        <v>4169</v>
      </c>
      <c r="I1175" s="91" t="s">
        <v>27</v>
      </c>
      <c r="J1175" s="91">
        <v>6199</v>
      </c>
      <c r="K1175" s="91">
        <f>1346+6278+4484</f>
        <v>12108</v>
      </c>
      <c r="L1175" s="91">
        <v>0</v>
      </c>
      <c r="M1175" s="91">
        <v>0</v>
      </c>
      <c r="N1175" s="91">
        <v>3148</v>
      </c>
      <c r="O1175" s="91">
        <v>0</v>
      </c>
      <c r="P1175" s="91">
        <v>0</v>
      </c>
      <c r="Q1175" s="97">
        <f t="shared" si="36"/>
        <v>21455</v>
      </c>
      <c r="R1175" s="95">
        <f t="shared" si="37"/>
        <v>18236.75</v>
      </c>
    </row>
    <row r="1176" spans="1:18" ht="34.049999999999997" customHeight="1" x14ac:dyDescent="0.3">
      <c r="A1176" s="90">
        <v>1165</v>
      </c>
      <c r="B1176" s="91" t="s">
        <v>3951</v>
      </c>
      <c r="C1176" s="91" t="s">
        <v>3989</v>
      </c>
      <c r="D1176" s="91" t="s">
        <v>3990</v>
      </c>
      <c r="E1176" s="91">
        <v>1988</v>
      </c>
      <c r="F1176" s="91" t="s">
        <v>19</v>
      </c>
      <c r="G1176" s="91" t="s">
        <v>4108</v>
      </c>
      <c r="H1176" s="91" t="s">
        <v>4108</v>
      </c>
      <c r="I1176" s="91" t="s">
        <v>1483</v>
      </c>
      <c r="J1176" s="91">
        <v>6199</v>
      </c>
      <c r="K1176" s="91">
        <f>1346+6278+4484</f>
        <v>12108</v>
      </c>
      <c r="L1176" s="91">
        <v>0</v>
      </c>
      <c r="M1176" s="91">
        <v>0</v>
      </c>
      <c r="N1176" s="91">
        <v>1793</v>
      </c>
      <c r="O1176" s="91">
        <v>0</v>
      </c>
      <c r="P1176" s="91">
        <v>0</v>
      </c>
      <c r="Q1176" s="97">
        <f t="shared" si="36"/>
        <v>20100</v>
      </c>
      <c r="R1176" s="95">
        <f t="shared" si="37"/>
        <v>17085</v>
      </c>
    </row>
    <row r="1177" spans="1:18" ht="34.049999999999997" customHeight="1" x14ac:dyDescent="0.3">
      <c r="A1177" s="96">
        <v>1166</v>
      </c>
      <c r="B1177" s="91" t="s">
        <v>3951</v>
      </c>
      <c r="C1177" s="91" t="s">
        <v>3991</v>
      </c>
      <c r="D1177" s="91" t="s">
        <v>1526</v>
      </c>
      <c r="E1177" s="91">
        <v>2022</v>
      </c>
      <c r="F1177" s="91" t="s">
        <v>19</v>
      </c>
      <c r="G1177" s="91" t="s">
        <v>1617</v>
      </c>
      <c r="H1177" s="91" t="s">
        <v>1663</v>
      </c>
      <c r="I1177" s="91" t="s">
        <v>1694</v>
      </c>
      <c r="J1177" s="91">
        <v>3793</v>
      </c>
      <c r="K1177" s="91">
        <f>1346+6278+4484+4484+2332+2332+2332+2332+2332+2332+6995+6995+2332+6995</f>
        <v>53901</v>
      </c>
      <c r="L1177" s="91">
        <v>0</v>
      </c>
      <c r="M1177" s="91">
        <v>0</v>
      </c>
      <c r="N1177" s="91">
        <v>3148</v>
      </c>
      <c r="O1177" s="91">
        <v>0</v>
      </c>
      <c r="P1177" s="91">
        <v>0</v>
      </c>
      <c r="Q1177" s="97">
        <f t="shared" si="36"/>
        <v>60842</v>
      </c>
      <c r="R1177" s="95">
        <f t="shared" si="37"/>
        <v>51715.7</v>
      </c>
    </row>
    <row r="1178" spans="1:18" ht="34.049999999999997" customHeight="1" x14ac:dyDescent="0.3">
      <c r="A1178" s="90">
        <v>1167</v>
      </c>
      <c r="B1178" s="91" t="s">
        <v>3951</v>
      </c>
      <c r="C1178" s="91" t="s">
        <v>3992</v>
      </c>
      <c r="D1178" s="91" t="s">
        <v>3993</v>
      </c>
      <c r="E1178" s="91">
        <v>2023</v>
      </c>
      <c r="F1178" s="91" t="s">
        <v>18</v>
      </c>
      <c r="G1178" s="91" t="s">
        <v>4109</v>
      </c>
      <c r="H1178" s="91" t="s">
        <v>4170</v>
      </c>
      <c r="I1178" s="91" t="s">
        <v>1279</v>
      </c>
      <c r="J1178" s="91">
        <v>6199</v>
      </c>
      <c r="K1178" s="91">
        <v>0</v>
      </c>
      <c r="L1178" s="91">
        <v>0</v>
      </c>
      <c r="M1178" s="91">
        <v>0</v>
      </c>
      <c r="N1178" s="91">
        <v>0</v>
      </c>
      <c r="O1178" s="91">
        <v>0</v>
      </c>
      <c r="P1178" s="91">
        <v>0</v>
      </c>
      <c r="Q1178" s="97">
        <f t="shared" si="36"/>
        <v>6199</v>
      </c>
      <c r="R1178" s="95">
        <f t="shared" si="37"/>
        <v>5269.15</v>
      </c>
    </row>
    <row r="1179" spans="1:18" ht="34.049999999999997" customHeight="1" x14ac:dyDescent="0.3">
      <c r="A1179" s="90">
        <v>1168</v>
      </c>
      <c r="B1179" s="91" t="s">
        <v>3951</v>
      </c>
      <c r="C1179" s="91" t="s">
        <v>3994</v>
      </c>
      <c r="D1179" s="91" t="s">
        <v>3995</v>
      </c>
      <c r="E1179" s="91">
        <v>2018</v>
      </c>
      <c r="F1179" s="91" t="s">
        <v>19</v>
      </c>
      <c r="G1179" s="91" t="s">
        <v>4110</v>
      </c>
      <c r="H1179" s="91" t="s">
        <v>3902</v>
      </c>
      <c r="I1179" s="91" t="s">
        <v>836</v>
      </c>
      <c r="J1179" s="91">
        <v>6199</v>
      </c>
      <c r="K1179" s="91">
        <f>1346+6278+4484</f>
        <v>12108</v>
      </c>
      <c r="L1179" s="91">
        <v>0</v>
      </c>
      <c r="M1179" s="91">
        <v>0</v>
      </c>
      <c r="N1179" s="91">
        <v>3148</v>
      </c>
      <c r="O1179" s="91">
        <v>0</v>
      </c>
      <c r="P1179" s="91">
        <v>0</v>
      </c>
      <c r="Q1179" s="97">
        <f t="shared" si="36"/>
        <v>21455</v>
      </c>
      <c r="R1179" s="95">
        <f t="shared" si="37"/>
        <v>18236.75</v>
      </c>
    </row>
    <row r="1180" spans="1:18" ht="34.049999999999997" customHeight="1" x14ac:dyDescent="0.3">
      <c r="A1180" s="96">
        <v>1169</v>
      </c>
      <c r="B1180" s="91" t="s">
        <v>3951</v>
      </c>
      <c r="C1180" s="91" t="s">
        <v>3996</v>
      </c>
      <c r="D1180" s="91" t="s">
        <v>3997</v>
      </c>
      <c r="E1180" s="91">
        <v>2001</v>
      </c>
      <c r="F1180" s="91" t="s">
        <v>19</v>
      </c>
      <c r="G1180" s="91" t="s">
        <v>4111</v>
      </c>
      <c r="H1180" s="91" t="s">
        <v>4111</v>
      </c>
      <c r="I1180" s="91" t="s">
        <v>4210</v>
      </c>
      <c r="J1180" s="91">
        <v>6199</v>
      </c>
      <c r="K1180" s="91">
        <v>0</v>
      </c>
      <c r="L1180" s="91">
        <v>0</v>
      </c>
      <c r="M1180" s="91">
        <v>0</v>
      </c>
      <c r="N1180" s="91">
        <v>0</v>
      </c>
      <c r="O1180" s="91">
        <v>0</v>
      </c>
      <c r="P1180" s="91">
        <v>0</v>
      </c>
      <c r="Q1180" s="94">
        <f t="shared" si="36"/>
        <v>6199</v>
      </c>
      <c r="R1180" s="95">
        <f t="shared" si="37"/>
        <v>5269.15</v>
      </c>
    </row>
    <row r="1181" spans="1:18" ht="34.049999999999997" customHeight="1" x14ac:dyDescent="0.3">
      <c r="A1181" s="90">
        <v>1170</v>
      </c>
      <c r="B1181" s="91" t="s">
        <v>3951</v>
      </c>
      <c r="C1181" s="91" t="s">
        <v>3998</v>
      </c>
      <c r="D1181" s="91" t="s">
        <v>3999</v>
      </c>
      <c r="E1181" s="91">
        <v>2024</v>
      </c>
      <c r="F1181" s="91" t="s">
        <v>19</v>
      </c>
      <c r="G1181" s="91" t="s">
        <v>4112</v>
      </c>
      <c r="H1181" s="91" t="s">
        <v>4171</v>
      </c>
      <c r="I1181" s="91" t="s">
        <v>3319</v>
      </c>
      <c r="J1181" s="91">
        <v>6199</v>
      </c>
      <c r="K1181" s="91">
        <f>6278+4484+1346+4484+2332+2332+2332+2332+2332+2332+6995+6995+2332+6995</f>
        <v>53901</v>
      </c>
      <c r="L1181" s="91">
        <v>0</v>
      </c>
      <c r="M1181" s="91">
        <v>0</v>
      </c>
      <c r="N1181" s="91">
        <v>3148</v>
      </c>
      <c r="O1181" s="91">
        <v>0</v>
      </c>
      <c r="P1181" s="91">
        <v>0</v>
      </c>
      <c r="Q1181" s="94">
        <f t="shared" si="36"/>
        <v>63248</v>
      </c>
      <c r="R1181" s="95">
        <f t="shared" si="37"/>
        <v>53760.800000000003</v>
      </c>
    </row>
    <row r="1182" spans="1:18" ht="34.049999999999997" customHeight="1" x14ac:dyDescent="0.3">
      <c r="A1182" s="90">
        <v>1171</v>
      </c>
      <c r="B1182" s="91" t="s">
        <v>3951</v>
      </c>
      <c r="C1182" s="91" t="s">
        <v>4000</v>
      </c>
      <c r="D1182" s="91" t="s">
        <v>4001</v>
      </c>
      <c r="E1182" s="91">
        <v>2023</v>
      </c>
      <c r="F1182" s="91" t="s">
        <v>19</v>
      </c>
      <c r="G1182" s="91" t="s">
        <v>4113</v>
      </c>
      <c r="H1182" s="91" t="s">
        <v>4172</v>
      </c>
      <c r="I1182" s="91" t="s">
        <v>4211</v>
      </c>
      <c r="J1182" s="91">
        <v>6199</v>
      </c>
      <c r="K1182" s="91">
        <f>6278+4484+1346+4484+2332+1166+2332+2332+2332+2332+2332+6995+6995+2332+6995</f>
        <v>55067</v>
      </c>
      <c r="L1182" s="91">
        <v>0</v>
      </c>
      <c r="M1182" s="91">
        <v>0</v>
      </c>
      <c r="N1182" s="91">
        <f>3148+4053+1178</f>
        <v>8379</v>
      </c>
      <c r="O1182" s="91">
        <v>0</v>
      </c>
      <c r="P1182" s="91">
        <f>720+1080+120</f>
        <v>1920</v>
      </c>
      <c r="Q1182" s="94">
        <f t="shared" si="36"/>
        <v>71565</v>
      </c>
      <c r="R1182" s="95">
        <f t="shared" si="37"/>
        <v>60830.25</v>
      </c>
    </row>
    <row r="1183" spans="1:18" ht="34.049999999999997" customHeight="1" x14ac:dyDescent="0.3">
      <c r="A1183" s="96">
        <v>1172</v>
      </c>
      <c r="B1183" s="91" t="s">
        <v>3951</v>
      </c>
      <c r="C1183" s="91" t="s">
        <v>4002</v>
      </c>
      <c r="D1183" s="91" t="s">
        <v>4003</v>
      </c>
      <c r="E1183" s="91">
        <v>1999</v>
      </c>
      <c r="F1183" s="91" t="s">
        <v>19</v>
      </c>
      <c r="G1183" s="91" t="s">
        <v>4114</v>
      </c>
      <c r="H1183" s="91" t="s">
        <v>4114</v>
      </c>
      <c r="I1183" s="91" t="s">
        <v>2622</v>
      </c>
      <c r="J1183" s="91">
        <v>6199</v>
      </c>
      <c r="K1183" s="91">
        <v>0</v>
      </c>
      <c r="L1183" s="91">
        <v>9422</v>
      </c>
      <c r="M1183" s="91">
        <v>0</v>
      </c>
      <c r="N1183" s="91">
        <v>0</v>
      </c>
      <c r="O1183" s="91">
        <v>0</v>
      </c>
      <c r="P1183" s="91">
        <v>0</v>
      </c>
      <c r="Q1183" s="94">
        <f t="shared" si="36"/>
        <v>15621</v>
      </c>
      <c r="R1183" s="95">
        <f t="shared" si="37"/>
        <v>13277.85</v>
      </c>
    </row>
    <row r="1184" spans="1:18" ht="34.049999999999997" customHeight="1" x14ac:dyDescent="0.3">
      <c r="A1184" s="90">
        <v>1173</v>
      </c>
      <c r="B1184" s="91" t="s">
        <v>3951</v>
      </c>
      <c r="C1184" s="91" t="s">
        <v>4004</v>
      </c>
      <c r="D1184" s="91" t="s">
        <v>4005</v>
      </c>
      <c r="E1184" s="91">
        <v>1973</v>
      </c>
      <c r="F1184" s="91" t="s">
        <v>18</v>
      </c>
      <c r="G1184" s="91" t="s">
        <v>4115</v>
      </c>
      <c r="H1184" s="91" t="s">
        <v>4173</v>
      </c>
      <c r="I1184" s="91" t="s">
        <v>4212</v>
      </c>
      <c r="J1184" s="91">
        <v>6199</v>
      </c>
      <c r="K1184" s="91">
        <v>0</v>
      </c>
      <c r="L1184" s="91">
        <v>0</v>
      </c>
      <c r="M1184" s="91">
        <v>0</v>
      </c>
      <c r="N1184" s="91">
        <v>0</v>
      </c>
      <c r="O1184" s="91">
        <v>0</v>
      </c>
      <c r="P1184" s="91">
        <v>0</v>
      </c>
      <c r="Q1184" s="97">
        <f t="shared" si="36"/>
        <v>6199</v>
      </c>
      <c r="R1184" s="95">
        <f t="shared" si="37"/>
        <v>5269.15</v>
      </c>
    </row>
    <row r="1185" spans="1:18" ht="34.049999999999997" customHeight="1" x14ac:dyDescent="0.3">
      <c r="A1185" s="90">
        <v>1174</v>
      </c>
      <c r="B1185" s="91" t="s">
        <v>3951</v>
      </c>
      <c r="C1185" s="91" t="s">
        <v>4006</v>
      </c>
      <c r="D1185" s="91" t="s">
        <v>3556</v>
      </c>
      <c r="E1185" s="91">
        <v>2024</v>
      </c>
      <c r="F1185" s="91" t="s">
        <v>18</v>
      </c>
      <c r="G1185" s="91" t="s">
        <v>3640</v>
      </c>
      <c r="H1185" s="91" t="s">
        <v>3597</v>
      </c>
      <c r="I1185" s="91" t="s">
        <v>1075</v>
      </c>
      <c r="J1185" s="91">
        <v>3793</v>
      </c>
      <c r="K1185" s="91">
        <f>1346+6278+4484+4484+2332+2332+2332+2332+2332+2332+6995+6995+2332+6995</f>
        <v>53901</v>
      </c>
      <c r="L1185" s="91">
        <v>0</v>
      </c>
      <c r="M1185" s="91">
        <v>0</v>
      </c>
      <c r="N1185" s="91">
        <v>3148</v>
      </c>
      <c r="O1185" s="91">
        <v>0</v>
      </c>
      <c r="P1185" s="91">
        <v>0</v>
      </c>
      <c r="Q1185" s="97">
        <f t="shared" si="36"/>
        <v>60842</v>
      </c>
      <c r="R1185" s="95">
        <f t="shared" si="37"/>
        <v>51715.7</v>
      </c>
    </row>
    <row r="1186" spans="1:18" ht="34.049999999999997" customHeight="1" x14ac:dyDescent="0.3">
      <c r="A1186" s="96">
        <v>1175</v>
      </c>
      <c r="B1186" s="91" t="s">
        <v>3951</v>
      </c>
      <c r="C1186" s="91" t="s">
        <v>4006</v>
      </c>
      <c r="D1186" s="91" t="s">
        <v>3556</v>
      </c>
      <c r="E1186" s="91">
        <v>2024</v>
      </c>
      <c r="F1186" s="91" t="s">
        <v>18</v>
      </c>
      <c r="G1186" s="91" t="s">
        <v>3640</v>
      </c>
      <c r="H1186" s="91" t="s">
        <v>3597</v>
      </c>
      <c r="I1186" s="91" t="s">
        <v>1075</v>
      </c>
      <c r="J1186" s="91">
        <v>0</v>
      </c>
      <c r="K1186" s="91">
        <v>0</v>
      </c>
      <c r="L1186" s="91">
        <v>0</v>
      </c>
      <c r="M1186" s="91">
        <v>17688</v>
      </c>
      <c r="N1186" s="91">
        <f>4053+2088</f>
        <v>6141</v>
      </c>
      <c r="O1186" s="91">
        <v>0</v>
      </c>
      <c r="P1186" s="91">
        <f>720+112+120+720+1080</f>
        <v>2752</v>
      </c>
      <c r="Q1186" s="97">
        <f t="shared" si="36"/>
        <v>26581</v>
      </c>
      <c r="R1186" s="95">
        <f t="shared" si="37"/>
        <v>22593.85</v>
      </c>
    </row>
    <row r="1187" spans="1:18" ht="34.049999999999997" customHeight="1" x14ac:dyDescent="0.3">
      <c r="A1187" s="90">
        <v>1176</v>
      </c>
      <c r="B1187" s="91" t="s">
        <v>3951</v>
      </c>
      <c r="C1187" s="91" t="s">
        <v>4007</v>
      </c>
      <c r="D1187" s="91" t="s">
        <v>4008</v>
      </c>
      <c r="E1187" s="91">
        <v>2015</v>
      </c>
      <c r="F1187" s="91" t="s">
        <v>19</v>
      </c>
      <c r="G1187" s="91" t="s">
        <v>4116</v>
      </c>
      <c r="H1187" s="91" t="s">
        <v>2112</v>
      </c>
      <c r="I1187" s="91" t="s">
        <v>2139</v>
      </c>
      <c r="J1187" s="91">
        <v>6199</v>
      </c>
      <c r="K1187" s="91">
        <f>1346+6278+4484</f>
        <v>12108</v>
      </c>
      <c r="L1187" s="91">
        <v>0</v>
      </c>
      <c r="M1187" s="91">
        <v>0</v>
      </c>
      <c r="N1187" s="91">
        <v>3148</v>
      </c>
      <c r="O1187" s="91">
        <v>0</v>
      </c>
      <c r="P1187" s="91">
        <v>0</v>
      </c>
      <c r="Q1187" s="97">
        <f t="shared" si="36"/>
        <v>21455</v>
      </c>
      <c r="R1187" s="95">
        <f t="shared" si="37"/>
        <v>18236.75</v>
      </c>
    </row>
    <row r="1188" spans="1:18" ht="34.049999999999997" customHeight="1" x14ac:dyDescent="0.3">
      <c r="A1188" s="90">
        <v>1177</v>
      </c>
      <c r="B1188" s="91" t="s">
        <v>3951</v>
      </c>
      <c r="C1188" s="91" t="s">
        <v>4009</v>
      </c>
      <c r="D1188" s="91" t="s">
        <v>4010</v>
      </c>
      <c r="E1188" s="91">
        <v>2024</v>
      </c>
      <c r="F1188" s="91" t="s">
        <v>19</v>
      </c>
      <c r="G1188" s="91" t="s">
        <v>4117</v>
      </c>
      <c r="H1188" s="91" t="s">
        <v>4174</v>
      </c>
      <c r="I1188" s="91" t="s">
        <v>1695</v>
      </c>
      <c r="J1188" s="91">
        <v>6199</v>
      </c>
      <c r="K1188" s="91">
        <v>0</v>
      </c>
      <c r="L1188" s="91">
        <v>0</v>
      </c>
      <c r="M1188" s="91">
        <v>0</v>
      </c>
      <c r="N1188" s="91">
        <v>0</v>
      </c>
      <c r="O1188" s="91">
        <v>0</v>
      </c>
      <c r="P1188" s="91">
        <v>0</v>
      </c>
      <c r="Q1188" s="94">
        <f t="shared" si="36"/>
        <v>6199</v>
      </c>
      <c r="R1188" s="95">
        <f t="shared" si="37"/>
        <v>5269.15</v>
      </c>
    </row>
    <row r="1189" spans="1:18" ht="34.049999999999997" customHeight="1" x14ac:dyDescent="0.3">
      <c r="A1189" s="96">
        <v>1178</v>
      </c>
      <c r="B1189" s="91" t="s">
        <v>3951</v>
      </c>
      <c r="C1189" s="91" t="s">
        <v>4011</v>
      </c>
      <c r="D1189" s="91" t="s">
        <v>4012</v>
      </c>
      <c r="E1189" s="91">
        <v>1998</v>
      </c>
      <c r="F1189" s="91" t="s">
        <v>19</v>
      </c>
      <c r="G1189" s="91" t="s">
        <v>4118</v>
      </c>
      <c r="H1189" s="91" t="s">
        <v>4118</v>
      </c>
      <c r="I1189" s="91" t="s">
        <v>539</v>
      </c>
      <c r="J1189" s="91">
        <v>6199</v>
      </c>
      <c r="K1189" s="91">
        <v>0</v>
      </c>
      <c r="L1189" s="91">
        <v>0</v>
      </c>
      <c r="M1189" s="91">
        <v>0</v>
      </c>
      <c r="N1189" s="91">
        <v>0</v>
      </c>
      <c r="O1189" s="91">
        <v>0</v>
      </c>
      <c r="P1189" s="91">
        <v>0</v>
      </c>
      <c r="Q1189" s="97">
        <f t="shared" si="36"/>
        <v>6199</v>
      </c>
      <c r="R1189" s="95">
        <f t="shared" si="37"/>
        <v>5269.15</v>
      </c>
    </row>
    <row r="1190" spans="1:18" ht="34.049999999999997" customHeight="1" x14ac:dyDescent="0.3">
      <c r="A1190" s="90">
        <v>1179</v>
      </c>
      <c r="B1190" s="91" t="s">
        <v>3951</v>
      </c>
      <c r="C1190" s="91" t="s">
        <v>4013</v>
      </c>
      <c r="D1190" s="91" t="s">
        <v>4014</v>
      </c>
      <c r="E1190" s="91">
        <v>2024</v>
      </c>
      <c r="F1190" s="91" t="s">
        <v>18</v>
      </c>
      <c r="G1190" s="91" t="s">
        <v>4119</v>
      </c>
      <c r="H1190" s="91" t="s">
        <v>4175</v>
      </c>
      <c r="I1190" s="91" t="s">
        <v>25</v>
      </c>
      <c r="J1190" s="91">
        <v>6199</v>
      </c>
      <c r="K1190" s="91">
        <f>6278+4484+1346+4484+2332+1166+2332+2332+2332+2332+2332+6995+6995+2332+6995</f>
        <v>55067</v>
      </c>
      <c r="L1190" s="91">
        <v>0</v>
      </c>
      <c r="M1190" s="91">
        <v>0</v>
      </c>
      <c r="N1190" s="91">
        <v>3148</v>
      </c>
      <c r="O1190" s="91">
        <v>0</v>
      </c>
      <c r="P1190" s="91">
        <v>0</v>
      </c>
      <c r="Q1190" s="94">
        <f t="shared" si="36"/>
        <v>64414</v>
      </c>
      <c r="R1190" s="95">
        <f t="shared" si="37"/>
        <v>54751.9</v>
      </c>
    </row>
    <row r="1191" spans="1:18" ht="34.049999999999997" customHeight="1" x14ac:dyDescent="0.3">
      <c r="A1191" s="90">
        <v>1180</v>
      </c>
      <c r="B1191" s="91" t="s">
        <v>3951</v>
      </c>
      <c r="C1191" s="91" t="s">
        <v>4015</v>
      </c>
      <c r="D1191" s="91" t="s">
        <v>4016</v>
      </c>
      <c r="E1191" s="91">
        <v>1980</v>
      </c>
      <c r="F1191" s="91" t="s">
        <v>19</v>
      </c>
      <c r="G1191" s="91" t="s">
        <v>4120</v>
      </c>
      <c r="H1191" s="91" t="s">
        <v>4120</v>
      </c>
      <c r="I1191" s="91" t="s">
        <v>2446</v>
      </c>
      <c r="J1191" s="91">
        <v>6199</v>
      </c>
      <c r="K1191" s="91">
        <v>0</v>
      </c>
      <c r="L1191" s="91">
        <v>0</v>
      </c>
      <c r="M1191" s="91">
        <v>0</v>
      </c>
      <c r="N1191" s="91">
        <v>0</v>
      </c>
      <c r="O1191" s="91">
        <v>0</v>
      </c>
      <c r="P1191" s="91">
        <v>0</v>
      </c>
      <c r="Q1191" s="97">
        <f t="shared" si="36"/>
        <v>6199</v>
      </c>
      <c r="R1191" s="95">
        <f t="shared" si="37"/>
        <v>5269.15</v>
      </c>
    </row>
    <row r="1192" spans="1:18" ht="34.049999999999997" customHeight="1" x14ac:dyDescent="0.3">
      <c r="A1192" s="96">
        <v>1181</v>
      </c>
      <c r="B1192" s="91" t="s">
        <v>3951</v>
      </c>
      <c r="C1192" s="91" t="s">
        <v>4017</v>
      </c>
      <c r="D1192" s="91" t="s">
        <v>4018</v>
      </c>
      <c r="E1192" s="91">
        <v>2022</v>
      </c>
      <c r="F1192" s="91" t="s">
        <v>19</v>
      </c>
      <c r="G1192" s="91" t="s">
        <v>4121</v>
      </c>
      <c r="H1192" s="91" t="s">
        <v>4176</v>
      </c>
      <c r="I1192" s="91" t="s">
        <v>2446</v>
      </c>
      <c r="J1192" s="91">
        <v>6199</v>
      </c>
      <c r="K1192" s="91">
        <v>0</v>
      </c>
      <c r="L1192" s="91">
        <v>0</v>
      </c>
      <c r="M1192" s="91">
        <v>0</v>
      </c>
      <c r="N1192" s="91">
        <v>0</v>
      </c>
      <c r="O1192" s="91">
        <v>0</v>
      </c>
      <c r="P1192" s="91">
        <v>0</v>
      </c>
      <c r="Q1192" s="97">
        <f t="shared" si="36"/>
        <v>6199</v>
      </c>
      <c r="R1192" s="95">
        <f t="shared" si="37"/>
        <v>5269.15</v>
      </c>
    </row>
    <row r="1193" spans="1:18" ht="34.049999999999997" customHeight="1" x14ac:dyDescent="0.3">
      <c r="A1193" s="90">
        <v>1182</v>
      </c>
      <c r="B1193" s="91" t="s">
        <v>3951</v>
      </c>
      <c r="C1193" s="91" t="s">
        <v>4019</v>
      </c>
      <c r="D1193" s="91" t="s">
        <v>4020</v>
      </c>
      <c r="E1193" s="91">
        <v>2024</v>
      </c>
      <c r="F1193" s="91" t="s">
        <v>18</v>
      </c>
      <c r="G1193" s="91" t="s">
        <v>4122</v>
      </c>
      <c r="H1193" s="91" t="s">
        <v>4177</v>
      </c>
      <c r="I1193" s="91" t="s">
        <v>4213</v>
      </c>
      <c r="J1193" s="91">
        <v>6199</v>
      </c>
      <c r="K1193" s="91">
        <f>1346+6278+4484+4484</f>
        <v>16592</v>
      </c>
      <c r="L1193" s="91">
        <v>0</v>
      </c>
      <c r="M1193" s="91">
        <v>0</v>
      </c>
      <c r="N1193" s="91">
        <v>3148</v>
      </c>
      <c r="O1193" s="91">
        <v>0</v>
      </c>
      <c r="P1193" s="91">
        <v>0</v>
      </c>
      <c r="Q1193" s="97">
        <f t="shared" si="36"/>
        <v>25939</v>
      </c>
      <c r="R1193" s="95">
        <f t="shared" si="37"/>
        <v>22048.15</v>
      </c>
    </row>
    <row r="1194" spans="1:18" ht="34.049999999999997" customHeight="1" x14ac:dyDescent="0.3">
      <c r="A1194" s="90">
        <v>1183</v>
      </c>
      <c r="B1194" s="91" t="s">
        <v>3951</v>
      </c>
      <c r="C1194" s="91" t="s">
        <v>4021</v>
      </c>
      <c r="D1194" s="91" t="s">
        <v>4022</v>
      </c>
      <c r="E1194" s="91">
        <v>1998</v>
      </c>
      <c r="F1194" s="91" t="s">
        <v>19</v>
      </c>
      <c r="G1194" s="91" t="s">
        <v>4123</v>
      </c>
      <c r="H1194" s="91" t="s">
        <v>4123</v>
      </c>
      <c r="I1194" s="91" t="s">
        <v>299</v>
      </c>
      <c r="J1194" s="91">
        <v>6199</v>
      </c>
      <c r="K1194" s="91">
        <f>1346+6278+4484+2332+2332+2332+2332+2332+6995+2332+2332+2332</f>
        <v>37759</v>
      </c>
      <c r="L1194" s="91">
        <v>0</v>
      </c>
      <c r="M1194" s="91">
        <v>0</v>
      </c>
      <c r="N1194" s="91">
        <v>1793</v>
      </c>
      <c r="O1194" s="91">
        <v>0</v>
      </c>
      <c r="P1194" s="91">
        <v>0</v>
      </c>
      <c r="Q1194" s="97">
        <f t="shared" si="36"/>
        <v>45751</v>
      </c>
      <c r="R1194" s="95">
        <f t="shared" si="37"/>
        <v>38888.35</v>
      </c>
    </row>
    <row r="1195" spans="1:18" ht="34.049999999999997" customHeight="1" x14ac:dyDescent="0.3">
      <c r="A1195" s="96">
        <v>1184</v>
      </c>
      <c r="B1195" s="91" t="s">
        <v>3951</v>
      </c>
      <c r="C1195" s="91" t="s">
        <v>4023</v>
      </c>
      <c r="D1195" s="91" t="s">
        <v>4024</v>
      </c>
      <c r="E1195" s="91">
        <v>2021</v>
      </c>
      <c r="F1195" s="91" t="s">
        <v>19</v>
      </c>
      <c r="G1195" s="91" t="s">
        <v>4124</v>
      </c>
      <c r="H1195" s="91" t="s">
        <v>4178</v>
      </c>
      <c r="I1195" s="91" t="s">
        <v>4214</v>
      </c>
      <c r="J1195" s="91">
        <v>6199</v>
      </c>
      <c r="K1195" s="91">
        <f>1346+6278+4484+4484+2332+2332+2332+2332+2332+2332+6995+6995+2332+6995</f>
        <v>53901</v>
      </c>
      <c r="L1195" s="91">
        <v>0</v>
      </c>
      <c r="M1195" s="91">
        <v>0</v>
      </c>
      <c r="N1195" s="91">
        <v>3148</v>
      </c>
      <c r="O1195" s="91">
        <v>0</v>
      </c>
      <c r="P1195" s="91">
        <v>0</v>
      </c>
      <c r="Q1195" s="97">
        <f t="shared" si="36"/>
        <v>63248</v>
      </c>
      <c r="R1195" s="95">
        <f t="shared" si="37"/>
        <v>53760.800000000003</v>
      </c>
    </row>
    <row r="1196" spans="1:18" ht="34.049999999999997" customHeight="1" x14ac:dyDescent="0.3">
      <c r="A1196" s="90">
        <v>1185</v>
      </c>
      <c r="B1196" s="91" t="s">
        <v>3951</v>
      </c>
      <c r="C1196" s="91" t="s">
        <v>4025</v>
      </c>
      <c r="D1196" s="91" t="s">
        <v>4026</v>
      </c>
      <c r="E1196" s="91">
        <v>2016</v>
      </c>
      <c r="F1196" s="91" t="s">
        <v>18</v>
      </c>
      <c r="G1196" s="91" t="s">
        <v>4125</v>
      </c>
      <c r="H1196" s="91" t="s">
        <v>4179</v>
      </c>
      <c r="I1196" s="91" t="s">
        <v>268</v>
      </c>
      <c r="J1196" s="91">
        <v>6199</v>
      </c>
      <c r="K1196" s="91">
        <f>1346+6278+4484</f>
        <v>12108</v>
      </c>
      <c r="L1196" s="91">
        <v>0</v>
      </c>
      <c r="M1196" s="91">
        <v>0</v>
      </c>
      <c r="N1196" s="91">
        <v>3148</v>
      </c>
      <c r="O1196" s="91">
        <v>0</v>
      </c>
      <c r="P1196" s="91">
        <v>0</v>
      </c>
      <c r="Q1196" s="97">
        <f t="shared" si="36"/>
        <v>21455</v>
      </c>
      <c r="R1196" s="95">
        <f t="shared" si="37"/>
        <v>18236.75</v>
      </c>
    </row>
    <row r="1197" spans="1:18" ht="34.049999999999997" customHeight="1" x14ac:dyDescent="0.3">
      <c r="A1197" s="90">
        <v>1186</v>
      </c>
      <c r="B1197" s="91" t="s">
        <v>3951</v>
      </c>
      <c r="C1197" s="91" t="s">
        <v>4027</v>
      </c>
      <c r="D1197" s="91" t="s">
        <v>4028</v>
      </c>
      <c r="E1197" s="91">
        <v>2025</v>
      </c>
      <c r="F1197" s="91" t="s">
        <v>19</v>
      </c>
      <c r="G1197" s="91" t="s">
        <v>4126</v>
      </c>
      <c r="H1197" s="91" t="s">
        <v>4180</v>
      </c>
      <c r="I1197" s="91" t="s">
        <v>285</v>
      </c>
      <c r="J1197" s="91">
        <v>6199</v>
      </c>
      <c r="K1197" s="91">
        <v>0</v>
      </c>
      <c r="L1197" s="91">
        <v>0</v>
      </c>
      <c r="M1197" s="91">
        <v>0</v>
      </c>
      <c r="N1197" s="91">
        <v>0</v>
      </c>
      <c r="O1197" s="91">
        <v>0</v>
      </c>
      <c r="P1197" s="91">
        <v>0</v>
      </c>
      <c r="Q1197" s="94">
        <f t="shared" si="36"/>
        <v>6199</v>
      </c>
      <c r="R1197" s="95">
        <f t="shared" si="37"/>
        <v>5269.15</v>
      </c>
    </row>
    <row r="1198" spans="1:18" ht="34.049999999999997" customHeight="1" x14ac:dyDescent="0.3">
      <c r="A1198" s="96">
        <v>1187</v>
      </c>
      <c r="B1198" s="91" t="s">
        <v>3951</v>
      </c>
      <c r="C1198" s="91" t="s">
        <v>4029</v>
      </c>
      <c r="D1198" s="91" t="s">
        <v>4030</v>
      </c>
      <c r="E1198" s="91">
        <v>2024</v>
      </c>
      <c r="F1198" s="91" t="s">
        <v>18</v>
      </c>
      <c r="G1198" s="91" t="s">
        <v>4127</v>
      </c>
      <c r="H1198" s="91" t="s">
        <v>4181</v>
      </c>
      <c r="I1198" s="91" t="s">
        <v>3506</v>
      </c>
      <c r="J1198" s="91">
        <v>6199</v>
      </c>
      <c r="K1198" s="91">
        <f>1346+6278+4484+1166+2332+2332+2332+6995+6995+2332+6995+2332+2332+2332+4484</f>
        <v>55067</v>
      </c>
      <c r="L1198" s="91">
        <v>0</v>
      </c>
      <c r="M1198" s="91">
        <v>0</v>
      </c>
      <c r="N1198" s="91">
        <v>3148</v>
      </c>
      <c r="O1198" s="91">
        <v>0</v>
      </c>
      <c r="P1198" s="91">
        <v>0</v>
      </c>
      <c r="Q1198" s="94">
        <f t="shared" si="36"/>
        <v>64414</v>
      </c>
      <c r="R1198" s="95">
        <f t="shared" si="37"/>
        <v>54751.9</v>
      </c>
    </row>
    <row r="1199" spans="1:18" ht="34.049999999999997" customHeight="1" x14ac:dyDescent="0.3">
      <c r="A1199" s="90">
        <v>1188</v>
      </c>
      <c r="B1199" s="91" t="s">
        <v>3951</v>
      </c>
      <c r="C1199" s="91" t="s">
        <v>4031</v>
      </c>
      <c r="D1199" s="91" t="s">
        <v>4032</v>
      </c>
      <c r="E1199" s="91">
        <v>2025</v>
      </c>
      <c r="F1199" s="91" t="s">
        <v>18</v>
      </c>
      <c r="G1199" s="91" t="s">
        <v>4128</v>
      </c>
      <c r="H1199" s="91" t="s">
        <v>4182</v>
      </c>
      <c r="I1199" s="91" t="s">
        <v>4215</v>
      </c>
      <c r="J1199" s="91">
        <v>6199</v>
      </c>
      <c r="K1199" s="91">
        <v>0</v>
      </c>
      <c r="L1199" s="91">
        <v>0</v>
      </c>
      <c r="M1199" s="91">
        <v>0</v>
      </c>
      <c r="N1199" s="91">
        <v>0</v>
      </c>
      <c r="O1199" s="91">
        <v>0</v>
      </c>
      <c r="P1199" s="91">
        <v>0</v>
      </c>
      <c r="Q1199" s="97">
        <f t="shared" si="36"/>
        <v>6199</v>
      </c>
      <c r="R1199" s="95">
        <f t="shared" si="37"/>
        <v>5269.15</v>
      </c>
    </row>
    <row r="1200" spans="1:18" ht="34.049999999999997" customHeight="1" x14ac:dyDescent="0.3">
      <c r="A1200" s="90">
        <v>1189</v>
      </c>
      <c r="B1200" s="91" t="s">
        <v>3951</v>
      </c>
      <c r="C1200" s="91" t="s">
        <v>4033</v>
      </c>
      <c r="D1200" s="91" t="s">
        <v>4034</v>
      </c>
      <c r="E1200" s="91">
        <v>2014</v>
      </c>
      <c r="F1200" s="91" t="s">
        <v>19</v>
      </c>
      <c r="G1200" s="91" t="s">
        <v>4129</v>
      </c>
      <c r="H1200" s="91" t="s">
        <v>3838</v>
      </c>
      <c r="I1200" s="91" t="s">
        <v>268</v>
      </c>
      <c r="J1200" s="91">
        <v>6199</v>
      </c>
      <c r="K1200" s="91">
        <f>1346+6278+4484</f>
        <v>12108</v>
      </c>
      <c r="L1200" s="91">
        <v>0</v>
      </c>
      <c r="M1200" s="91">
        <v>0</v>
      </c>
      <c r="N1200" s="91">
        <v>3148</v>
      </c>
      <c r="O1200" s="91">
        <v>0</v>
      </c>
      <c r="P1200" s="91">
        <v>0</v>
      </c>
      <c r="Q1200" s="97">
        <f t="shared" si="36"/>
        <v>21455</v>
      </c>
      <c r="R1200" s="95">
        <f t="shared" si="37"/>
        <v>18236.75</v>
      </c>
    </row>
    <row r="1201" spans="1:18" ht="34.049999999999997" customHeight="1" x14ac:dyDescent="0.3">
      <c r="A1201" s="96">
        <v>1190</v>
      </c>
      <c r="B1201" s="91" t="s">
        <v>3951</v>
      </c>
      <c r="C1201" s="91" t="s">
        <v>4035</v>
      </c>
      <c r="D1201" s="91" t="s">
        <v>4036</v>
      </c>
      <c r="E1201" s="91">
        <v>1987</v>
      </c>
      <c r="F1201" s="91" t="s">
        <v>18</v>
      </c>
      <c r="G1201" s="91" t="s">
        <v>4130</v>
      </c>
      <c r="H1201" s="91" t="s">
        <v>4130</v>
      </c>
      <c r="I1201" s="91" t="s">
        <v>2864</v>
      </c>
      <c r="J1201" s="91">
        <v>6199</v>
      </c>
      <c r="K1201" s="91">
        <f>1166+2801+2332+2332</f>
        <v>8631</v>
      </c>
      <c r="L1201" s="91">
        <v>0</v>
      </c>
      <c r="M1201" s="91">
        <v>0</v>
      </c>
      <c r="N1201" s="91">
        <v>0</v>
      </c>
      <c r="O1201" s="91">
        <v>0</v>
      </c>
      <c r="P1201" s="91">
        <v>0</v>
      </c>
      <c r="Q1201" s="94">
        <f t="shared" si="36"/>
        <v>14830</v>
      </c>
      <c r="R1201" s="95">
        <f t="shared" si="37"/>
        <v>12605.5</v>
      </c>
    </row>
    <row r="1202" spans="1:18" ht="34.049999999999997" customHeight="1" x14ac:dyDescent="0.3">
      <c r="A1202" s="90">
        <v>1191</v>
      </c>
      <c r="B1202" s="91" t="s">
        <v>3951</v>
      </c>
      <c r="C1202" s="91" t="s">
        <v>4037</v>
      </c>
      <c r="D1202" s="91" t="s">
        <v>4038</v>
      </c>
      <c r="E1202" s="91">
        <v>2019</v>
      </c>
      <c r="F1202" s="91" t="s">
        <v>18</v>
      </c>
      <c r="G1202" s="91" t="s">
        <v>4131</v>
      </c>
      <c r="H1202" s="91" t="s">
        <v>4183</v>
      </c>
      <c r="I1202" s="91" t="s">
        <v>4216</v>
      </c>
      <c r="J1202" s="91">
        <v>6199</v>
      </c>
      <c r="K1202" s="91">
        <f>6278+4484+1346+4484+2332+2332+2332+2332+2332</f>
        <v>28252</v>
      </c>
      <c r="L1202" s="91">
        <v>0</v>
      </c>
      <c r="M1202" s="91">
        <v>0</v>
      </c>
      <c r="N1202" s="91">
        <v>3148</v>
      </c>
      <c r="O1202" s="91">
        <v>0</v>
      </c>
      <c r="P1202" s="91">
        <v>0</v>
      </c>
      <c r="Q1202" s="94">
        <f t="shared" si="36"/>
        <v>37599</v>
      </c>
      <c r="R1202" s="95">
        <f t="shared" si="37"/>
        <v>31959.15</v>
      </c>
    </row>
    <row r="1203" spans="1:18" ht="34.049999999999997" customHeight="1" x14ac:dyDescent="0.3">
      <c r="A1203" s="90">
        <v>1192</v>
      </c>
      <c r="B1203" s="91" t="s">
        <v>3951</v>
      </c>
      <c r="C1203" s="91" t="s">
        <v>4039</v>
      </c>
      <c r="D1203" s="91" t="s">
        <v>4040</v>
      </c>
      <c r="E1203" s="91">
        <v>1983</v>
      </c>
      <c r="F1203" s="91" t="s">
        <v>19</v>
      </c>
      <c r="G1203" s="91" t="s">
        <v>4132</v>
      </c>
      <c r="H1203" s="91" t="s">
        <v>4184</v>
      </c>
      <c r="I1203" s="91" t="s">
        <v>1060</v>
      </c>
      <c r="J1203" s="91">
        <v>3582</v>
      </c>
      <c r="K1203" s="91">
        <v>0</v>
      </c>
      <c r="L1203" s="91">
        <v>0</v>
      </c>
      <c r="M1203" s="91">
        <v>0</v>
      </c>
      <c r="N1203" s="91">
        <f>34016+27380</f>
        <v>61396</v>
      </c>
      <c r="O1203" s="91">
        <v>0</v>
      </c>
      <c r="P1203" s="91">
        <v>0</v>
      </c>
      <c r="Q1203" s="97">
        <f t="shared" si="36"/>
        <v>64978</v>
      </c>
      <c r="R1203" s="95">
        <f t="shared" si="37"/>
        <v>55231.3</v>
      </c>
    </row>
    <row r="1204" spans="1:18" ht="34.049999999999997" customHeight="1" x14ac:dyDescent="0.3">
      <c r="A1204" s="96">
        <v>1193</v>
      </c>
      <c r="B1204" s="91" t="s">
        <v>3951</v>
      </c>
      <c r="C1204" s="91" t="s">
        <v>4041</v>
      </c>
      <c r="D1204" s="91" t="s">
        <v>4042</v>
      </c>
      <c r="E1204" s="91">
        <v>2024</v>
      </c>
      <c r="F1204" s="91" t="s">
        <v>18</v>
      </c>
      <c r="G1204" s="91" t="s">
        <v>4133</v>
      </c>
      <c r="H1204" s="91" t="s">
        <v>4185</v>
      </c>
      <c r="I1204" s="91" t="s">
        <v>848</v>
      </c>
      <c r="J1204" s="91">
        <v>6199</v>
      </c>
      <c r="K1204" s="91">
        <v>0</v>
      </c>
      <c r="L1204" s="91">
        <v>0</v>
      </c>
      <c r="M1204" s="91">
        <v>0</v>
      </c>
      <c r="N1204" s="91">
        <v>0</v>
      </c>
      <c r="O1204" s="91">
        <v>0</v>
      </c>
      <c r="P1204" s="91">
        <v>0</v>
      </c>
      <c r="Q1204" s="94">
        <f t="shared" si="36"/>
        <v>6199</v>
      </c>
      <c r="R1204" s="95">
        <f t="shared" si="37"/>
        <v>5269.15</v>
      </c>
    </row>
    <row r="1205" spans="1:18" ht="34.049999999999997" customHeight="1" x14ac:dyDescent="0.3">
      <c r="A1205" s="90">
        <v>1194</v>
      </c>
      <c r="B1205" s="91" t="s">
        <v>3951</v>
      </c>
      <c r="C1205" s="91" t="s">
        <v>4043</v>
      </c>
      <c r="D1205" s="91" t="s">
        <v>4044</v>
      </c>
      <c r="E1205" s="91">
        <v>1995</v>
      </c>
      <c r="F1205" s="91" t="s">
        <v>18</v>
      </c>
      <c r="G1205" s="91" t="s">
        <v>4134</v>
      </c>
      <c r="H1205" s="91" t="s">
        <v>4134</v>
      </c>
      <c r="I1205" s="91" t="s">
        <v>3935</v>
      </c>
      <c r="J1205" s="91">
        <v>6199</v>
      </c>
      <c r="K1205" s="91">
        <f>6278+1346</f>
        <v>7624</v>
      </c>
      <c r="L1205" s="91">
        <v>0</v>
      </c>
      <c r="M1205" s="91">
        <v>0</v>
      </c>
      <c r="N1205" s="91">
        <v>1793</v>
      </c>
      <c r="O1205" s="91">
        <v>0</v>
      </c>
      <c r="P1205" s="91">
        <v>0</v>
      </c>
      <c r="Q1205" s="94">
        <f t="shared" si="36"/>
        <v>15616</v>
      </c>
      <c r="R1205" s="95">
        <f t="shared" si="37"/>
        <v>13273.6</v>
      </c>
    </row>
    <row r="1206" spans="1:18" ht="34.049999999999997" customHeight="1" x14ac:dyDescent="0.3">
      <c r="A1206" s="90">
        <v>1195</v>
      </c>
      <c r="B1206" s="91" t="s">
        <v>3951</v>
      </c>
      <c r="C1206" s="91" t="s">
        <v>4045</v>
      </c>
      <c r="D1206" s="91" t="s">
        <v>4046</v>
      </c>
      <c r="E1206" s="91">
        <v>1996</v>
      </c>
      <c r="F1206" s="91" t="s">
        <v>19</v>
      </c>
      <c r="G1206" s="91" t="s">
        <v>4135</v>
      </c>
      <c r="H1206" s="91" t="s">
        <v>209</v>
      </c>
      <c r="I1206" s="91" t="s">
        <v>4217</v>
      </c>
      <c r="J1206" s="91">
        <v>6199</v>
      </c>
      <c r="K1206" s="91">
        <v>0</v>
      </c>
      <c r="L1206" s="91">
        <v>0</v>
      </c>
      <c r="M1206" s="91">
        <v>0</v>
      </c>
      <c r="N1206" s="91">
        <v>0</v>
      </c>
      <c r="O1206" s="91">
        <v>0</v>
      </c>
      <c r="P1206" s="91">
        <v>0</v>
      </c>
      <c r="Q1206" s="94">
        <f t="shared" si="36"/>
        <v>6199</v>
      </c>
      <c r="R1206" s="95">
        <f t="shared" si="37"/>
        <v>5269.15</v>
      </c>
    </row>
    <row r="1207" spans="1:18" ht="34.049999999999997" customHeight="1" x14ac:dyDescent="0.3">
      <c r="A1207" s="96">
        <v>1196</v>
      </c>
      <c r="B1207" s="91" t="s">
        <v>3951</v>
      </c>
      <c r="C1207" s="91" t="s">
        <v>4047</v>
      </c>
      <c r="D1207" s="91" t="s">
        <v>4048</v>
      </c>
      <c r="E1207" s="91">
        <v>2019</v>
      </c>
      <c r="F1207" s="91" t="s">
        <v>18</v>
      </c>
      <c r="G1207" s="91" t="s">
        <v>4136</v>
      </c>
      <c r="H1207" s="91" t="s">
        <v>4135</v>
      </c>
      <c r="I1207" s="91" t="s">
        <v>4218</v>
      </c>
      <c r="J1207" s="91">
        <v>6199</v>
      </c>
      <c r="K1207" s="91">
        <v>0</v>
      </c>
      <c r="L1207" s="91">
        <v>0</v>
      </c>
      <c r="M1207" s="91">
        <v>0</v>
      </c>
      <c r="N1207" s="91">
        <v>0</v>
      </c>
      <c r="O1207" s="91">
        <v>0</v>
      </c>
      <c r="P1207" s="91">
        <v>0</v>
      </c>
      <c r="Q1207" s="94">
        <f t="shared" si="36"/>
        <v>6199</v>
      </c>
      <c r="R1207" s="95">
        <f t="shared" si="37"/>
        <v>5269.15</v>
      </c>
    </row>
    <row r="1208" spans="1:18" ht="34.049999999999997" customHeight="1" x14ac:dyDescent="0.3">
      <c r="A1208" s="90">
        <v>1197</v>
      </c>
      <c r="B1208" s="91" t="s">
        <v>3951</v>
      </c>
      <c r="C1208" s="91" t="s">
        <v>4049</v>
      </c>
      <c r="D1208" s="91" t="s">
        <v>4050</v>
      </c>
      <c r="E1208" s="91">
        <v>1988</v>
      </c>
      <c r="F1208" s="91" t="s">
        <v>19</v>
      </c>
      <c r="G1208" s="91" t="s">
        <v>4137</v>
      </c>
      <c r="H1208" s="91" t="s">
        <v>4186</v>
      </c>
      <c r="I1208" s="91" t="s">
        <v>3683</v>
      </c>
      <c r="J1208" s="91">
        <v>6199</v>
      </c>
      <c r="K1208" s="91">
        <f>2332+2332+2243</f>
        <v>6907</v>
      </c>
      <c r="L1208" s="91">
        <v>0</v>
      </c>
      <c r="M1208" s="91">
        <v>0</v>
      </c>
      <c r="N1208" s="91">
        <v>0</v>
      </c>
      <c r="O1208" s="91">
        <v>0</v>
      </c>
      <c r="P1208" s="91">
        <v>0</v>
      </c>
      <c r="Q1208" s="94">
        <f t="shared" si="36"/>
        <v>13106</v>
      </c>
      <c r="R1208" s="95">
        <f t="shared" si="37"/>
        <v>11140.1</v>
      </c>
    </row>
    <row r="1209" spans="1:18" ht="34.049999999999997" customHeight="1" x14ac:dyDescent="0.3">
      <c r="A1209" s="90">
        <v>1198</v>
      </c>
      <c r="B1209" s="91" t="s">
        <v>3951</v>
      </c>
      <c r="C1209" s="91" t="s">
        <v>4051</v>
      </c>
      <c r="D1209" s="91" t="s">
        <v>4052</v>
      </c>
      <c r="E1209" s="91">
        <v>1989</v>
      </c>
      <c r="F1209" s="91" t="s">
        <v>19</v>
      </c>
      <c r="G1209" s="91" t="s">
        <v>4138</v>
      </c>
      <c r="H1209" s="91" t="s">
        <v>4138</v>
      </c>
      <c r="I1209" s="91" t="s">
        <v>3100</v>
      </c>
      <c r="J1209" s="91">
        <v>6199</v>
      </c>
      <c r="K1209" s="91">
        <f>1346+6278+4484+2332+2332+2332+6995+2332+2332+2332</f>
        <v>33095</v>
      </c>
      <c r="L1209" s="91">
        <v>0</v>
      </c>
      <c r="M1209" s="91">
        <v>0</v>
      </c>
      <c r="N1209" s="91">
        <v>1793</v>
      </c>
      <c r="O1209" s="91">
        <v>0</v>
      </c>
      <c r="P1209" s="91">
        <v>0</v>
      </c>
      <c r="Q1209" s="94">
        <f t="shared" si="36"/>
        <v>41087</v>
      </c>
      <c r="R1209" s="95">
        <f t="shared" si="37"/>
        <v>34923.949999999997</v>
      </c>
    </row>
    <row r="1210" spans="1:18" ht="34.049999999999997" customHeight="1" x14ac:dyDescent="0.3">
      <c r="A1210" s="96">
        <v>1199</v>
      </c>
      <c r="B1210" s="91" t="s">
        <v>3951</v>
      </c>
      <c r="C1210" s="91" t="s">
        <v>4053</v>
      </c>
      <c r="D1210" s="91" t="s">
        <v>4054</v>
      </c>
      <c r="E1210" s="91">
        <v>2018</v>
      </c>
      <c r="F1210" s="91" t="s">
        <v>19</v>
      </c>
      <c r="G1210" s="91" t="s">
        <v>4139</v>
      </c>
      <c r="H1210" s="91" t="s">
        <v>4187</v>
      </c>
      <c r="I1210" s="91" t="s">
        <v>1050</v>
      </c>
      <c r="J1210" s="91">
        <v>6199</v>
      </c>
      <c r="K1210" s="91">
        <v>0</v>
      </c>
      <c r="L1210" s="91">
        <v>0</v>
      </c>
      <c r="M1210" s="91">
        <v>0</v>
      </c>
      <c r="N1210" s="91">
        <v>0</v>
      </c>
      <c r="O1210" s="91">
        <v>0</v>
      </c>
      <c r="P1210" s="91">
        <v>0</v>
      </c>
      <c r="Q1210" s="97">
        <f t="shared" si="36"/>
        <v>6199</v>
      </c>
      <c r="R1210" s="95">
        <f t="shared" si="37"/>
        <v>5269.15</v>
      </c>
    </row>
    <row r="1211" spans="1:18" ht="34.049999999999997" customHeight="1" x14ac:dyDescent="0.3">
      <c r="A1211" s="90">
        <v>1200</v>
      </c>
      <c r="B1211" s="91" t="s">
        <v>3951</v>
      </c>
      <c r="C1211" s="91" t="s">
        <v>4055</v>
      </c>
      <c r="D1211" s="91" t="s">
        <v>4056</v>
      </c>
      <c r="E1211" s="91">
        <v>2012</v>
      </c>
      <c r="F1211" s="91" t="s">
        <v>19</v>
      </c>
      <c r="G1211" s="91" t="s">
        <v>4140</v>
      </c>
      <c r="H1211" s="91" t="s">
        <v>4188</v>
      </c>
      <c r="I1211" s="91" t="s">
        <v>3497</v>
      </c>
      <c r="J1211" s="91">
        <v>6199</v>
      </c>
      <c r="K1211" s="91">
        <f>1346+6278+4484+2332+2332+2332+6995+2332+2332+2332+1166+2801+3000+3000</f>
        <v>43062</v>
      </c>
      <c r="L1211" s="91">
        <v>0</v>
      </c>
      <c r="M1211" s="91">
        <v>0</v>
      </c>
      <c r="N1211" s="91">
        <v>1793</v>
      </c>
      <c r="O1211" s="91">
        <v>0</v>
      </c>
      <c r="P1211" s="91">
        <v>0</v>
      </c>
      <c r="Q1211" s="97">
        <f t="shared" si="36"/>
        <v>51054</v>
      </c>
      <c r="R1211" s="95">
        <f t="shared" si="37"/>
        <v>43395.9</v>
      </c>
    </row>
    <row r="1212" spans="1:18" ht="34.049999999999997" customHeight="1" x14ac:dyDescent="0.3">
      <c r="A1212" s="90">
        <v>1201</v>
      </c>
      <c r="B1212" s="91" t="s">
        <v>3951</v>
      </c>
      <c r="C1212" s="91" t="s">
        <v>4057</v>
      </c>
      <c r="D1212" s="91" t="s">
        <v>4058</v>
      </c>
      <c r="E1212" s="91">
        <v>1992</v>
      </c>
      <c r="F1212" s="91" t="s">
        <v>19</v>
      </c>
      <c r="G1212" s="91" t="s">
        <v>4141</v>
      </c>
      <c r="H1212" s="91" t="s">
        <v>4141</v>
      </c>
      <c r="I1212" s="91" t="s">
        <v>1254</v>
      </c>
      <c r="J1212" s="91">
        <v>6199</v>
      </c>
      <c r="K1212" s="91">
        <f>1346+6278+4484+6995+2332+2332+2332+3000+3000+3228+2332+2332+2332+6995+6995+2332+6995+1166+2801+4484</f>
        <v>74091</v>
      </c>
      <c r="L1212" s="91">
        <v>0</v>
      </c>
      <c r="M1212" s="91">
        <v>0</v>
      </c>
      <c r="N1212" s="91">
        <v>1793</v>
      </c>
      <c r="O1212" s="91">
        <v>0</v>
      </c>
      <c r="P1212" s="91">
        <v>0</v>
      </c>
      <c r="Q1212" s="97">
        <f t="shared" si="36"/>
        <v>82083</v>
      </c>
      <c r="R1212" s="95">
        <f t="shared" si="37"/>
        <v>69770.55</v>
      </c>
    </row>
    <row r="1213" spans="1:18" ht="34.049999999999997" customHeight="1" x14ac:dyDescent="0.3">
      <c r="A1213" s="96">
        <v>1202</v>
      </c>
      <c r="B1213" s="91" t="s">
        <v>3951</v>
      </c>
      <c r="C1213" s="91" t="s">
        <v>4059</v>
      </c>
      <c r="D1213" s="91" t="s">
        <v>4060</v>
      </c>
      <c r="E1213" s="91">
        <v>2015</v>
      </c>
      <c r="F1213" s="91" t="s">
        <v>19</v>
      </c>
      <c r="G1213" s="91" t="s">
        <v>4142</v>
      </c>
      <c r="H1213" s="91" t="s">
        <v>4189</v>
      </c>
      <c r="I1213" s="91" t="s">
        <v>4219</v>
      </c>
      <c r="J1213" s="91">
        <v>6199</v>
      </c>
      <c r="K1213" s="91">
        <v>0</v>
      </c>
      <c r="L1213" s="91">
        <v>0</v>
      </c>
      <c r="M1213" s="91">
        <v>0</v>
      </c>
      <c r="N1213" s="91">
        <v>0</v>
      </c>
      <c r="O1213" s="91">
        <v>0</v>
      </c>
      <c r="P1213" s="91">
        <v>0</v>
      </c>
      <c r="Q1213" s="97">
        <f t="shared" si="36"/>
        <v>6199</v>
      </c>
      <c r="R1213" s="95">
        <f t="shared" si="37"/>
        <v>5269.15</v>
      </c>
    </row>
    <row r="1214" spans="1:18" ht="34.049999999999997" customHeight="1" x14ac:dyDescent="0.3">
      <c r="A1214" s="90">
        <v>1203</v>
      </c>
      <c r="B1214" s="91" t="s">
        <v>3951</v>
      </c>
      <c r="C1214" s="91" t="s">
        <v>4061</v>
      </c>
      <c r="D1214" s="91" t="s">
        <v>4062</v>
      </c>
      <c r="E1214" s="91">
        <v>1992</v>
      </c>
      <c r="F1214" s="91" t="s">
        <v>19</v>
      </c>
      <c r="G1214" s="91" t="s">
        <v>4143</v>
      </c>
      <c r="H1214" s="91" t="s">
        <v>4190</v>
      </c>
      <c r="I1214" s="91" t="s">
        <v>570</v>
      </c>
      <c r="J1214" s="91">
        <v>6199</v>
      </c>
      <c r="K1214" s="91">
        <f>6278+6995+4484+2332+2332</f>
        <v>22421</v>
      </c>
      <c r="L1214" s="91">
        <v>0</v>
      </c>
      <c r="M1214" s="91">
        <v>0</v>
      </c>
      <c r="N1214" s="91">
        <f>1793+3179+1681</f>
        <v>6653</v>
      </c>
      <c r="O1214" s="91">
        <v>0</v>
      </c>
      <c r="P1214" s="91">
        <f>660+624+112+720</f>
        <v>2116</v>
      </c>
      <c r="Q1214" s="97">
        <f t="shared" si="36"/>
        <v>37389</v>
      </c>
      <c r="R1214" s="95">
        <f t="shared" si="37"/>
        <v>31780.65</v>
      </c>
    </row>
    <row r="1215" spans="1:18" ht="34.049999999999997" customHeight="1" x14ac:dyDescent="0.3">
      <c r="A1215" s="90">
        <v>1204</v>
      </c>
      <c r="B1215" s="91" t="s">
        <v>3951</v>
      </c>
      <c r="C1215" s="91" t="s">
        <v>4063</v>
      </c>
      <c r="D1215" s="91" t="s">
        <v>4064</v>
      </c>
      <c r="E1215" s="91">
        <v>2011</v>
      </c>
      <c r="F1215" s="91" t="s">
        <v>19</v>
      </c>
      <c r="G1215" s="91" t="s">
        <v>4144</v>
      </c>
      <c r="H1215" s="91" t="s">
        <v>4191</v>
      </c>
      <c r="I1215" s="91" t="s">
        <v>1460</v>
      </c>
      <c r="J1215" s="91">
        <v>6199</v>
      </c>
      <c r="K1215" s="91">
        <f>1346+6278+4484+2332+2332+2332+2332+2332+2332+2332+2332</f>
        <v>30764</v>
      </c>
      <c r="L1215" s="91">
        <v>0</v>
      </c>
      <c r="M1215" s="91">
        <v>0</v>
      </c>
      <c r="N1215" s="91">
        <v>1793</v>
      </c>
      <c r="O1215" s="91">
        <v>0</v>
      </c>
      <c r="P1215" s="91">
        <v>0</v>
      </c>
      <c r="Q1215" s="97">
        <f t="shared" si="36"/>
        <v>38756</v>
      </c>
      <c r="R1215" s="95">
        <f t="shared" si="37"/>
        <v>32942.6</v>
      </c>
    </row>
    <row r="1216" spans="1:18" ht="34.049999999999997" customHeight="1" x14ac:dyDescent="0.3">
      <c r="A1216" s="96">
        <v>1205</v>
      </c>
      <c r="B1216" s="91" t="s">
        <v>3951</v>
      </c>
      <c r="C1216" s="91" t="s">
        <v>4065</v>
      </c>
      <c r="D1216" s="91" t="s">
        <v>4066</v>
      </c>
      <c r="E1216" s="91">
        <v>2017</v>
      </c>
      <c r="F1216" s="91" t="s">
        <v>18</v>
      </c>
      <c r="G1216" s="91" t="s">
        <v>4145</v>
      </c>
      <c r="H1216" s="91" t="s">
        <v>4192</v>
      </c>
      <c r="I1216" s="91" t="s">
        <v>2137</v>
      </c>
      <c r="J1216" s="91">
        <v>6199</v>
      </c>
      <c r="K1216" s="91">
        <f>1346+6278+4484</f>
        <v>12108</v>
      </c>
      <c r="L1216" s="91">
        <v>0</v>
      </c>
      <c r="M1216" s="91">
        <v>0</v>
      </c>
      <c r="N1216" s="91">
        <v>3148</v>
      </c>
      <c r="O1216" s="91">
        <v>0</v>
      </c>
      <c r="P1216" s="91">
        <v>0</v>
      </c>
      <c r="Q1216" s="97">
        <f t="shared" si="36"/>
        <v>21455</v>
      </c>
      <c r="R1216" s="95">
        <f t="shared" si="37"/>
        <v>18236.75</v>
      </c>
    </row>
    <row r="1217" spans="1:23" ht="34.049999999999997" customHeight="1" x14ac:dyDescent="0.3">
      <c r="A1217" s="90">
        <v>1206</v>
      </c>
      <c r="B1217" s="91" t="s">
        <v>3951</v>
      </c>
      <c r="C1217" s="91" t="s">
        <v>4067</v>
      </c>
      <c r="D1217" s="91" t="s">
        <v>4068</v>
      </c>
      <c r="E1217" s="91">
        <v>2022</v>
      </c>
      <c r="F1217" s="91" t="s">
        <v>19</v>
      </c>
      <c r="G1217" s="91" t="s">
        <v>4146</v>
      </c>
      <c r="H1217" s="91" t="s">
        <v>4193</v>
      </c>
      <c r="I1217" s="91" t="s">
        <v>1267</v>
      </c>
      <c r="J1217" s="91">
        <v>6199</v>
      </c>
      <c r="K1217" s="91">
        <f>1346+6278+4484+4484+2332+2332+2332+2332+2332+2332+6995+6995+2332+6995+1166</f>
        <v>55067</v>
      </c>
      <c r="L1217" s="91">
        <v>0</v>
      </c>
      <c r="M1217" s="91">
        <v>0</v>
      </c>
      <c r="N1217" s="91">
        <v>3148</v>
      </c>
      <c r="O1217" s="91">
        <v>0</v>
      </c>
      <c r="P1217" s="91">
        <v>0</v>
      </c>
      <c r="Q1217" s="97">
        <f t="shared" si="36"/>
        <v>64414</v>
      </c>
      <c r="R1217" s="95">
        <f t="shared" si="37"/>
        <v>54751.9</v>
      </c>
    </row>
    <row r="1218" spans="1:23" ht="34.049999999999997" customHeight="1" x14ac:dyDescent="0.3">
      <c r="A1218" s="90">
        <v>1207</v>
      </c>
      <c r="B1218" s="91" t="s">
        <v>3951</v>
      </c>
      <c r="C1218" s="91" t="s">
        <v>4069</v>
      </c>
      <c r="D1218" s="91" t="s">
        <v>4070</v>
      </c>
      <c r="E1218" s="91">
        <v>2016</v>
      </c>
      <c r="F1218" s="91" t="s">
        <v>18</v>
      </c>
      <c r="G1218" s="91" t="s">
        <v>4147</v>
      </c>
      <c r="H1218" s="91" t="s">
        <v>4194</v>
      </c>
      <c r="I1218" s="91" t="s">
        <v>546</v>
      </c>
      <c r="J1218" s="91">
        <v>6199</v>
      </c>
      <c r="K1218" s="91">
        <f>1346+6278+4484</f>
        <v>12108</v>
      </c>
      <c r="L1218" s="91">
        <v>0</v>
      </c>
      <c r="M1218" s="91">
        <v>0</v>
      </c>
      <c r="N1218" s="91">
        <v>3148</v>
      </c>
      <c r="O1218" s="91">
        <v>0</v>
      </c>
      <c r="P1218" s="91">
        <v>0</v>
      </c>
      <c r="Q1218" s="97">
        <f t="shared" si="36"/>
        <v>21455</v>
      </c>
      <c r="R1218" s="95">
        <f t="shared" si="37"/>
        <v>18236.75</v>
      </c>
    </row>
    <row r="1219" spans="1:23" ht="34.049999999999997" customHeight="1" x14ac:dyDescent="0.3">
      <c r="A1219" s="96">
        <v>1208</v>
      </c>
      <c r="B1219" s="91" t="s">
        <v>3951</v>
      </c>
      <c r="C1219" s="91" t="s">
        <v>4071</v>
      </c>
      <c r="D1219" s="91" t="s">
        <v>4072</v>
      </c>
      <c r="E1219" s="91">
        <v>1987</v>
      </c>
      <c r="F1219" s="91" t="s">
        <v>18</v>
      </c>
      <c r="G1219" s="91" t="s">
        <v>4148</v>
      </c>
      <c r="H1219" s="91" t="s">
        <v>4148</v>
      </c>
      <c r="I1219" s="91" t="s">
        <v>542</v>
      </c>
      <c r="J1219" s="91">
        <v>6199</v>
      </c>
      <c r="K1219" s="91">
        <f>1346+6278+4484+2332+2332+2332</f>
        <v>19104</v>
      </c>
      <c r="L1219" s="91">
        <v>0</v>
      </c>
      <c r="M1219" s="91">
        <v>0</v>
      </c>
      <c r="N1219" s="91">
        <v>1793</v>
      </c>
      <c r="O1219" s="91">
        <v>0</v>
      </c>
      <c r="P1219" s="91">
        <v>0</v>
      </c>
      <c r="Q1219" s="97">
        <f t="shared" si="36"/>
        <v>27096</v>
      </c>
      <c r="R1219" s="95">
        <f t="shared" si="37"/>
        <v>23031.599999999999</v>
      </c>
    </row>
    <row r="1220" spans="1:23" ht="34.049999999999997" customHeight="1" x14ac:dyDescent="0.3">
      <c r="A1220" s="90">
        <v>1209</v>
      </c>
      <c r="B1220" s="91" t="s">
        <v>3951</v>
      </c>
      <c r="C1220" s="91" t="s">
        <v>4073</v>
      </c>
      <c r="D1220" s="91" t="s">
        <v>1735</v>
      </c>
      <c r="E1220" s="91">
        <v>2013</v>
      </c>
      <c r="F1220" s="91" t="s">
        <v>19</v>
      </c>
      <c r="G1220" s="91" t="s">
        <v>1814</v>
      </c>
      <c r="H1220" s="91" t="s">
        <v>1858</v>
      </c>
      <c r="I1220" s="91" t="s">
        <v>1046</v>
      </c>
      <c r="J1220" s="91">
        <v>3793</v>
      </c>
      <c r="K1220" s="91">
        <v>0</v>
      </c>
      <c r="L1220" s="91">
        <v>0</v>
      </c>
      <c r="M1220" s="91">
        <v>0</v>
      </c>
      <c r="N1220" s="91">
        <v>0</v>
      </c>
      <c r="O1220" s="91">
        <v>0</v>
      </c>
      <c r="P1220" s="91">
        <v>0</v>
      </c>
      <c r="Q1220" s="97">
        <f t="shared" si="36"/>
        <v>3793</v>
      </c>
      <c r="R1220" s="95">
        <f t="shared" si="37"/>
        <v>3224.05</v>
      </c>
    </row>
    <row r="1221" spans="1:23" ht="34.049999999999997" customHeight="1" x14ac:dyDescent="0.3">
      <c r="A1221" s="90">
        <v>1210</v>
      </c>
      <c r="B1221" s="91" t="s">
        <v>3951</v>
      </c>
      <c r="C1221" s="91" t="s">
        <v>4074</v>
      </c>
      <c r="D1221" s="91" t="s">
        <v>4075</v>
      </c>
      <c r="E1221" s="91">
        <v>2021</v>
      </c>
      <c r="F1221" s="91" t="s">
        <v>18</v>
      </c>
      <c r="G1221" s="91" t="s">
        <v>4149</v>
      </c>
      <c r="H1221" s="91" t="s">
        <v>4195</v>
      </c>
      <c r="I1221" s="91" t="s">
        <v>1257</v>
      </c>
      <c r="J1221" s="91">
        <v>6199</v>
      </c>
      <c r="K1221" s="91">
        <v>0</v>
      </c>
      <c r="L1221" s="91">
        <v>0</v>
      </c>
      <c r="M1221" s="91">
        <v>0</v>
      </c>
      <c r="N1221" s="91">
        <v>0</v>
      </c>
      <c r="O1221" s="91">
        <v>0</v>
      </c>
      <c r="P1221" s="91">
        <v>0</v>
      </c>
      <c r="Q1221" s="97">
        <f t="shared" si="36"/>
        <v>6199</v>
      </c>
      <c r="R1221" s="95">
        <f t="shared" si="37"/>
        <v>5269.15</v>
      </c>
    </row>
    <row r="1222" spans="1:23" ht="34.049999999999997" customHeight="1" x14ac:dyDescent="0.3">
      <c r="A1222" s="96">
        <v>1211</v>
      </c>
      <c r="B1222" s="91" t="s">
        <v>3951</v>
      </c>
      <c r="C1222" s="91" t="s">
        <v>4076</v>
      </c>
      <c r="D1222" s="91" t="s">
        <v>4077</v>
      </c>
      <c r="E1222" s="91">
        <v>2016</v>
      </c>
      <c r="F1222" s="91" t="s">
        <v>19</v>
      </c>
      <c r="G1222" s="91" t="s">
        <v>4150</v>
      </c>
      <c r="H1222" s="91" t="s">
        <v>4196</v>
      </c>
      <c r="I1222" s="91" t="s">
        <v>2476</v>
      </c>
      <c r="J1222" s="91">
        <v>6199</v>
      </c>
      <c r="K1222" s="91">
        <f>1346+6278+4484+4484+2332+2332+2332+6995+6995+6995+2332+2332+2332+2332</f>
        <v>53901</v>
      </c>
      <c r="L1222" s="91">
        <v>0</v>
      </c>
      <c r="M1222" s="91">
        <v>0</v>
      </c>
      <c r="N1222" s="91">
        <v>3148</v>
      </c>
      <c r="O1222" s="91">
        <v>0</v>
      </c>
      <c r="P1222" s="91">
        <v>0</v>
      </c>
      <c r="Q1222" s="97">
        <f t="shared" si="36"/>
        <v>63248</v>
      </c>
      <c r="R1222" s="95">
        <f t="shared" si="37"/>
        <v>53760.800000000003</v>
      </c>
    </row>
    <row r="1223" spans="1:23" ht="34.049999999999997" customHeight="1" x14ac:dyDescent="0.3">
      <c r="A1223" s="90">
        <v>1212</v>
      </c>
      <c r="B1223" s="91" t="s">
        <v>3951</v>
      </c>
      <c r="C1223" s="91" t="s">
        <v>4078</v>
      </c>
      <c r="D1223" s="91" t="s">
        <v>4079</v>
      </c>
      <c r="E1223" s="91">
        <v>2018</v>
      </c>
      <c r="F1223" s="91" t="s">
        <v>18</v>
      </c>
      <c r="G1223" s="91" t="s">
        <v>4151</v>
      </c>
      <c r="H1223" s="91" t="s">
        <v>4197</v>
      </c>
      <c r="I1223" s="91" t="s">
        <v>4220</v>
      </c>
      <c r="J1223" s="91">
        <v>6199</v>
      </c>
      <c r="K1223" s="91">
        <v>0</v>
      </c>
      <c r="L1223" s="91">
        <v>0</v>
      </c>
      <c r="M1223" s="91">
        <v>0</v>
      </c>
      <c r="N1223" s="91">
        <v>0</v>
      </c>
      <c r="O1223" s="91">
        <v>0</v>
      </c>
      <c r="P1223" s="91">
        <v>0</v>
      </c>
      <c r="Q1223" s="97">
        <f t="shared" si="36"/>
        <v>6199</v>
      </c>
      <c r="R1223" s="95">
        <f t="shared" si="37"/>
        <v>5269.15</v>
      </c>
    </row>
    <row r="1224" spans="1:23" ht="34.049999999999997" customHeight="1" x14ac:dyDescent="0.3">
      <c r="A1224" s="90">
        <v>1213</v>
      </c>
      <c r="B1224" s="91" t="s">
        <v>3951</v>
      </c>
      <c r="C1224" s="91" t="s">
        <v>4080</v>
      </c>
      <c r="D1224" s="91" t="s">
        <v>4081</v>
      </c>
      <c r="E1224" s="91">
        <v>1998</v>
      </c>
      <c r="F1224" s="91" t="s">
        <v>19</v>
      </c>
      <c r="G1224" s="91" t="s">
        <v>4152</v>
      </c>
      <c r="H1224" s="91" t="s">
        <v>4152</v>
      </c>
      <c r="I1224" s="91" t="s">
        <v>4221</v>
      </c>
      <c r="J1224" s="91">
        <v>6199</v>
      </c>
      <c r="K1224" s="91">
        <f>2332+2332</f>
        <v>4664</v>
      </c>
      <c r="L1224" s="91">
        <v>0</v>
      </c>
      <c r="M1224" s="91">
        <v>0</v>
      </c>
      <c r="N1224" s="91">
        <v>0</v>
      </c>
      <c r="O1224" s="91">
        <v>0</v>
      </c>
      <c r="P1224" s="91">
        <v>0</v>
      </c>
      <c r="Q1224" s="97">
        <f t="shared" si="36"/>
        <v>10863</v>
      </c>
      <c r="R1224" s="95">
        <f t="shared" si="37"/>
        <v>9233.5499999999993</v>
      </c>
    </row>
    <row r="1225" spans="1:23" ht="34.049999999999997" customHeight="1" x14ac:dyDescent="0.3">
      <c r="A1225" s="96">
        <v>1214</v>
      </c>
      <c r="B1225" s="91" t="s">
        <v>3951</v>
      </c>
      <c r="C1225" s="91" t="s">
        <v>4082</v>
      </c>
      <c r="D1225" s="91" t="s">
        <v>1372</v>
      </c>
      <c r="E1225" s="91">
        <v>1991</v>
      </c>
      <c r="F1225" s="91" t="s">
        <v>18</v>
      </c>
      <c r="G1225" s="91" t="s">
        <v>1424</v>
      </c>
      <c r="H1225" s="91" t="s">
        <v>1424</v>
      </c>
      <c r="I1225" s="91" t="s">
        <v>1483</v>
      </c>
      <c r="J1225" s="91">
        <v>3793</v>
      </c>
      <c r="K1225" s="91">
        <v>0</v>
      </c>
      <c r="L1225" s="91">
        <v>0</v>
      </c>
      <c r="M1225" s="91">
        <v>0</v>
      </c>
      <c r="N1225" s="91">
        <v>0</v>
      </c>
      <c r="O1225" s="91">
        <v>0</v>
      </c>
      <c r="P1225" s="91">
        <v>0</v>
      </c>
      <c r="Q1225" s="97">
        <f t="shared" si="36"/>
        <v>3793</v>
      </c>
      <c r="R1225" s="95">
        <f t="shared" si="37"/>
        <v>3224.05</v>
      </c>
    </row>
    <row r="1226" spans="1:23" ht="34.049999999999997" customHeight="1" x14ac:dyDescent="0.3">
      <c r="A1226" s="90">
        <v>1215</v>
      </c>
      <c r="B1226" s="98" t="s">
        <v>3951</v>
      </c>
      <c r="C1226" s="98" t="s">
        <v>4083</v>
      </c>
      <c r="D1226" s="98" t="s">
        <v>4084</v>
      </c>
      <c r="E1226" s="98">
        <v>1991</v>
      </c>
      <c r="F1226" s="98" t="s">
        <v>19</v>
      </c>
      <c r="G1226" s="98" t="s">
        <v>4153</v>
      </c>
      <c r="H1226" s="98" t="s">
        <v>4198</v>
      </c>
      <c r="I1226" s="98" t="s">
        <v>1050</v>
      </c>
      <c r="J1226" s="98">
        <v>6199</v>
      </c>
      <c r="K1226" s="98">
        <v>0</v>
      </c>
      <c r="L1226" s="98">
        <v>0</v>
      </c>
      <c r="M1226" s="98">
        <v>0</v>
      </c>
      <c r="N1226" s="98">
        <v>9871</v>
      </c>
      <c r="O1226" s="98">
        <v>0</v>
      </c>
      <c r="P1226" s="98">
        <v>0</v>
      </c>
      <c r="Q1226" s="97">
        <f t="shared" si="36"/>
        <v>16070</v>
      </c>
      <c r="R1226" s="95">
        <f t="shared" si="37"/>
        <v>13659.5</v>
      </c>
      <c r="S1226" s="41"/>
      <c r="T1226" s="41"/>
      <c r="U1226" s="41"/>
      <c r="V1226" s="41"/>
      <c r="W1226" s="41"/>
    </row>
    <row r="1227" spans="1:23" ht="34.049999999999997" customHeight="1" x14ac:dyDescent="0.3">
      <c r="A1227" s="90">
        <v>1216</v>
      </c>
      <c r="B1227" s="91" t="s">
        <v>3951</v>
      </c>
      <c r="C1227" s="91" t="s">
        <v>4085</v>
      </c>
      <c r="D1227" s="91" t="s">
        <v>4086</v>
      </c>
      <c r="E1227" s="91">
        <v>2025</v>
      </c>
      <c r="F1227" s="91" t="s">
        <v>18</v>
      </c>
      <c r="G1227" s="91" t="s">
        <v>4154</v>
      </c>
      <c r="H1227" s="91" t="s">
        <v>4199</v>
      </c>
      <c r="I1227" s="91" t="s">
        <v>299</v>
      </c>
      <c r="J1227" s="91">
        <v>6199</v>
      </c>
      <c r="K1227" s="91">
        <v>0</v>
      </c>
      <c r="L1227" s="91">
        <v>0</v>
      </c>
      <c r="M1227" s="91">
        <v>0</v>
      </c>
      <c r="N1227" s="91">
        <v>0</v>
      </c>
      <c r="O1227" s="91">
        <v>0</v>
      </c>
      <c r="P1227" s="91">
        <v>0</v>
      </c>
      <c r="Q1227" s="94">
        <f t="shared" si="36"/>
        <v>6199</v>
      </c>
      <c r="R1227" s="95">
        <f t="shared" si="37"/>
        <v>5269.15</v>
      </c>
    </row>
    <row r="1228" spans="1:23" ht="34.049999999999997" customHeight="1" x14ac:dyDescent="0.3">
      <c r="A1228" s="96">
        <v>1217</v>
      </c>
      <c r="B1228" s="91" t="s">
        <v>3951</v>
      </c>
      <c r="C1228" s="91" t="s">
        <v>4087</v>
      </c>
      <c r="D1228" s="91" t="s">
        <v>4088</v>
      </c>
      <c r="E1228" s="91">
        <v>1997</v>
      </c>
      <c r="F1228" s="91" t="s">
        <v>19</v>
      </c>
      <c r="G1228" s="91" t="s">
        <v>4155</v>
      </c>
      <c r="H1228" s="91" t="s">
        <v>4200</v>
      </c>
      <c r="I1228" s="91" t="s">
        <v>4222</v>
      </c>
      <c r="J1228" s="91">
        <v>6199</v>
      </c>
      <c r="K1228" s="91">
        <f>1346+6278+4484+2332+2332+2332+1166+2801</f>
        <v>23071</v>
      </c>
      <c r="L1228" s="91">
        <v>0</v>
      </c>
      <c r="M1228" s="91">
        <v>0</v>
      </c>
      <c r="N1228" s="91">
        <f>1793+3179+1178</f>
        <v>6150</v>
      </c>
      <c r="O1228" s="91">
        <v>0</v>
      </c>
      <c r="P1228" s="91">
        <f>720+720+374+120</f>
        <v>1934</v>
      </c>
      <c r="Q1228" s="97">
        <f t="shared" ref="Q1228:Q1291" si="38">SUM(J1228:P1228)</f>
        <v>37354</v>
      </c>
      <c r="R1228" s="95">
        <f t="shared" si="37"/>
        <v>31750.9</v>
      </c>
    </row>
    <row r="1229" spans="1:23" ht="34.049999999999997" customHeight="1" x14ac:dyDescent="0.3">
      <c r="A1229" s="90">
        <v>1218</v>
      </c>
      <c r="B1229" s="91" t="s">
        <v>3951</v>
      </c>
      <c r="C1229" s="91" t="s">
        <v>4089</v>
      </c>
      <c r="D1229" s="91" t="s">
        <v>4090</v>
      </c>
      <c r="E1229" s="91">
        <v>2024</v>
      </c>
      <c r="F1229" s="91" t="s">
        <v>18</v>
      </c>
      <c r="G1229" s="91" t="s">
        <v>4156</v>
      </c>
      <c r="H1229" s="91" t="s">
        <v>4201</v>
      </c>
      <c r="I1229" s="91" t="s">
        <v>4223</v>
      </c>
      <c r="J1229" s="91">
        <v>6199</v>
      </c>
      <c r="K1229" s="91">
        <f>6278+4484+1166+1346</f>
        <v>13274</v>
      </c>
      <c r="L1229" s="91">
        <v>0</v>
      </c>
      <c r="M1229" s="91">
        <v>0</v>
      </c>
      <c r="N1229" s="91">
        <v>3148</v>
      </c>
      <c r="O1229" s="91">
        <v>0</v>
      </c>
      <c r="P1229" s="91">
        <v>0</v>
      </c>
      <c r="Q1229" s="97">
        <f t="shared" si="38"/>
        <v>22621</v>
      </c>
      <c r="R1229" s="95">
        <f t="shared" ref="R1229:R1292" si="39">Q1229*85/100</f>
        <v>19227.849999999999</v>
      </c>
    </row>
    <row r="1230" spans="1:23" ht="34.049999999999997" customHeight="1" x14ac:dyDescent="0.3">
      <c r="A1230" s="90">
        <v>1219</v>
      </c>
      <c r="B1230" s="91" t="s">
        <v>3951</v>
      </c>
      <c r="C1230" s="91" t="s">
        <v>4091</v>
      </c>
      <c r="D1230" s="91" t="s">
        <v>699</v>
      </c>
      <c r="E1230" s="91">
        <v>1986</v>
      </c>
      <c r="F1230" s="91" t="s">
        <v>18</v>
      </c>
      <c r="G1230" s="91" t="s">
        <v>776</v>
      </c>
      <c r="H1230" s="91" t="s">
        <v>776</v>
      </c>
      <c r="I1230" s="91" t="s">
        <v>300</v>
      </c>
      <c r="J1230" s="91">
        <v>6199</v>
      </c>
      <c r="K1230" s="91">
        <f>1346+6278+4484+2332+2332</f>
        <v>16772</v>
      </c>
      <c r="L1230" s="91">
        <v>0</v>
      </c>
      <c r="M1230" s="91">
        <v>0</v>
      </c>
      <c r="N1230" s="91">
        <v>1793</v>
      </c>
      <c r="O1230" s="91">
        <v>0</v>
      </c>
      <c r="P1230" s="91">
        <v>0</v>
      </c>
      <c r="Q1230" s="97">
        <f t="shared" si="38"/>
        <v>24764</v>
      </c>
      <c r="R1230" s="95">
        <f t="shared" si="39"/>
        <v>21049.4</v>
      </c>
    </row>
    <row r="1231" spans="1:23" ht="34.049999999999997" customHeight="1" x14ac:dyDescent="0.3">
      <c r="A1231" s="96">
        <v>1220</v>
      </c>
      <c r="B1231" s="91" t="s">
        <v>3951</v>
      </c>
      <c r="C1231" s="91" t="s">
        <v>7263</v>
      </c>
      <c r="D1231" s="93" t="s">
        <v>3346</v>
      </c>
      <c r="E1231" s="91">
        <v>2019</v>
      </c>
      <c r="F1231" s="91" t="s">
        <v>19</v>
      </c>
      <c r="G1231" s="91" t="s">
        <v>3428</v>
      </c>
      <c r="H1231" s="91" t="s">
        <v>3466</v>
      </c>
      <c r="I1231" s="91" t="s">
        <v>3495</v>
      </c>
      <c r="J1231" s="91">
        <v>3793</v>
      </c>
      <c r="K1231" s="91">
        <v>0</v>
      </c>
      <c r="L1231" s="91">
        <v>0</v>
      </c>
      <c r="M1231" s="91">
        <v>0</v>
      </c>
      <c r="N1231" s="91">
        <f>3148+4053+1178</f>
        <v>8379</v>
      </c>
      <c r="O1231" s="91">
        <v>0</v>
      </c>
      <c r="P1231" s="91">
        <f>720+1080+120</f>
        <v>1920</v>
      </c>
      <c r="Q1231" s="97">
        <f t="shared" si="38"/>
        <v>14092</v>
      </c>
      <c r="R1231" s="95">
        <f t="shared" si="39"/>
        <v>11978.2</v>
      </c>
    </row>
    <row r="1232" spans="1:23" ht="34.049999999999997" customHeight="1" x14ac:dyDescent="0.3">
      <c r="A1232" s="90">
        <v>1221</v>
      </c>
      <c r="B1232" s="91" t="s">
        <v>3951</v>
      </c>
      <c r="C1232" s="91" t="s">
        <v>7263</v>
      </c>
      <c r="D1232" s="93" t="s">
        <v>3346</v>
      </c>
      <c r="E1232" s="91">
        <v>2019</v>
      </c>
      <c r="F1232" s="91" t="s">
        <v>19</v>
      </c>
      <c r="G1232" s="91" t="s">
        <v>3428</v>
      </c>
      <c r="H1232" s="91" t="s">
        <v>3466</v>
      </c>
      <c r="I1232" s="91" t="s">
        <v>3495</v>
      </c>
      <c r="J1232" s="91">
        <v>0</v>
      </c>
      <c r="K1232" s="91">
        <v>0</v>
      </c>
      <c r="L1232" s="91">
        <v>0</v>
      </c>
      <c r="M1232" s="91">
        <v>17688</v>
      </c>
      <c r="N1232" s="91">
        <v>1681</v>
      </c>
      <c r="O1232" s="91">
        <v>0</v>
      </c>
      <c r="P1232" s="91">
        <f>360+56</f>
        <v>416</v>
      </c>
      <c r="Q1232" s="97">
        <f t="shared" si="38"/>
        <v>19785</v>
      </c>
      <c r="R1232" s="95">
        <f t="shared" si="39"/>
        <v>16817.25</v>
      </c>
    </row>
    <row r="1233" spans="1:23" ht="34.049999999999997" customHeight="1" x14ac:dyDescent="0.3">
      <c r="A1233" s="90">
        <v>1222</v>
      </c>
      <c r="B1233" s="91" t="s">
        <v>3951</v>
      </c>
      <c r="C1233" s="91" t="s">
        <v>7264</v>
      </c>
      <c r="D1233" s="93" t="s">
        <v>3819</v>
      </c>
      <c r="E1233" s="91">
        <v>2024</v>
      </c>
      <c r="F1233" s="91" t="s">
        <v>18</v>
      </c>
      <c r="G1233" s="91" t="s">
        <v>3883</v>
      </c>
      <c r="H1233" s="91" t="s">
        <v>3919</v>
      </c>
      <c r="I1233" s="91" t="s">
        <v>2446</v>
      </c>
      <c r="J1233" s="91">
        <v>2900</v>
      </c>
      <c r="K1233" s="91">
        <v>0</v>
      </c>
      <c r="L1233" s="91">
        <v>0</v>
      </c>
      <c r="M1233" s="91">
        <v>17688</v>
      </c>
      <c r="N1233" s="91">
        <f>2088+4053</f>
        <v>6141</v>
      </c>
      <c r="O1233" s="91">
        <v>0</v>
      </c>
      <c r="P1233" s="91">
        <f>1080+168</f>
        <v>1248</v>
      </c>
      <c r="Q1233" s="97">
        <f t="shared" si="38"/>
        <v>27977</v>
      </c>
      <c r="R1233" s="95">
        <f t="shared" si="39"/>
        <v>23780.45</v>
      </c>
    </row>
    <row r="1234" spans="1:23" ht="34.049999999999997" customHeight="1" x14ac:dyDescent="0.3">
      <c r="A1234" s="96">
        <v>1223</v>
      </c>
      <c r="B1234" s="91" t="s">
        <v>3951</v>
      </c>
      <c r="C1234" s="91" t="s">
        <v>7265</v>
      </c>
      <c r="D1234" s="93" t="s">
        <v>7170</v>
      </c>
      <c r="E1234" s="91">
        <v>1997</v>
      </c>
      <c r="F1234" s="91" t="s">
        <v>19</v>
      </c>
      <c r="G1234" s="91" t="s">
        <v>3849</v>
      </c>
      <c r="H1234" s="91" t="s">
        <v>3849</v>
      </c>
      <c r="I1234" s="91" t="s">
        <v>3935</v>
      </c>
      <c r="J1234" s="91">
        <v>2900</v>
      </c>
      <c r="K1234" s="91">
        <v>0</v>
      </c>
      <c r="L1234" s="91">
        <v>0</v>
      </c>
      <c r="M1234" s="91">
        <v>17688</v>
      </c>
      <c r="N1234" s="91">
        <f>1681+1178</f>
        <v>2859</v>
      </c>
      <c r="O1234" s="91">
        <v>0</v>
      </c>
      <c r="P1234" s="91">
        <f>624+112+1440+748+360</f>
        <v>3284</v>
      </c>
      <c r="Q1234" s="97">
        <f t="shared" si="38"/>
        <v>26731</v>
      </c>
      <c r="R1234" s="95">
        <f t="shared" si="39"/>
        <v>22721.35</v>
      </c>
    </row>
    <row r="1235" spans="1:23" ht="34.049999999999997" customHeight="1" x14ac:dyDescent="0.3">
      <c r="A1235" s="90">
        <v>1224</v>
      </c>
      <c r="B1235" s="91" t="s">
        <v>3951</v>
      </c>
      <c r="C1235" s="91" t="s">
        <v>7266</v>
      </c>
      <c r="D1235" s="93" t="s">
        <v>3768</v>
      </c>
      <c r="E1235" s="91">
        <v>2021</v>
      </c>
      <c r="F1235" s="91" t="s">
        <v>19</v>
      </c>
      <c r="G1235" s="91" t="s">
        <v>3857</v>
      </c>
      <c r="H1235" s="91" t="s">
        <v>3905</v>
      </c>
      <c r="I1235" s="91" t="s">
        <v>3936</v>
      </c>
      <c r="J1235" s="91">
        <v>2900</v>
      </c>
      <c r="K1235" s="91">
        <v>0</v>
      </c>
      <c r="L1235" s="91">
        <v>0</v>
      </c>
      <c r="M1235" s="91">
        <v>17688</v>
      </c>
      <c r="N1235" s="91">
        <v>2088</v>
      </c>
      <c r="O1235" s="91">
        <v>0</v>
      </c>
      <c r="P1235" s="91">
        <f>1080+168</f>
        <v>1248</v>
      </c>
      <c r="Q1235" s="97">
        <f t="shared" si="38"/>
        <v>23924</v>
      </c>
      <c r="R1235" s="95">
        <f t="shared" si="39"/>
        <v>20335.400000000001</v>
      </c>
    </row>
    <row r="1236" spans="1:23" ht="34.049999999999997" customHeight="1" x14ac:dyDescent="0.3">
      <c r="A1236" s="90">
        <v>1225</v>
      </c>
      <c r="B1236" s="91" t="s">
        <v>3951</v>
      </c>
      <c r="C1236" s="91" t="s">
        <v>7267</v>
      </c>
      <c r="D1236" s="93" t="s">
        <v>3770</v>
      </c>
      <c r="E1236" s="91">
        <v>2017</v>
      </c>
      <c r="F1236" s="91" t="s">
        <v>19</v>
      </c>
      <c r="G1236" s="91" t="s">
        <v>3858</v>
      </c>
      <c r="H1236" s="91" t="s">
        <v>4424</v>
      </c>
      <c r="I1236" s="91" t="s">
        <v>830</v>
      </c>
      <c r="J1236" s="91">
        <v>2900</v>
      </c>
      <c r="K1236" s="91">
        <v>0</v>
      </c>
      <c r="L1236" s="91">
        <v>0</v>
      </c>
      <c r="M1236" s="91">
        <v>0</v>
      </c>
      <c r="N1236" s="91">
        <v>2088</v>
      </c>
      <c r="O1236" s="91">
        <v>0</v>
      </c>
      <c r="P1236" s="91">
        <f>360+56</f>
        <v>416</v>
      </c>
      <c r="Q1236" s="97">
        <f t="shared" si="38"/>
        <v>5404</v>
      </c>
      <c r="R1236" s="95">
        <f t="shared" si="39"/>
        <v>4593.3999999999996</v>
      </c>
    </row>
    <row r="1237" spans="1:23" ht="34.049999999999997" customHeight="1" x14ac:dyDescent="0.3">
      <c r="A1237" s="96">
        <v>1226</v>
      </c>
      <c r="B1237" s="91" t="s">
        <v>4224</v>
      </c>
      <c r="C1237" s="91" t="s">
        <v>4225</v>
      </c>
      <c r="D1237" s="91" t="s">
        <v>4226</v>
      </c>
      <c r="E1237" s="91">
        <v>2024</v>
      </c>
      <c r="F1237" s="91" t="s">
        <v>19</v>
      </c>
      <c r="G1237" s="91" t="s">
        <v>4330</v>
      </c>
      <c r="H1237" s="91" t="s">
        <v>4378</v>
      </c>
      <c r="I1237" s="91" t="s">
        <v>4403</v>
      </c>
      <c r="J1237" s="91">
        <v>6199</v>
      </c>
      <c r="K1237" s="91">
        <f>6278+4484+2332+2332+2332+2332+4484+2332+6995+6995+2332+6995+2332</f>
        <v>52555</v>
      </c>
      <c r="L1237" s="91">
        <v>13298</v>
      </c>
      <c r="M1237" s="91">
        <v>0</v>
      </c>
      <c r="N1237" s="91">
        <v>3148</v>
      </c>
      <c r="O1237" s="91">
        <v>0</v>
      </c>
      <c r="P1237" s="91">
        <v>0</v>
      </c>
      <c r="Q1237" s="97">
        <f t="shared" si="38"/>
        <v>75200</v>
      </c>
      <c r="R1237" s="95">
        <f t="shared" si="39"/>
        <v>63920</v>
      </c>
    </row>
    <row r="1238" spans="1:23" ht="34.049999999999997" customHeight="1" x14ac:dyDescent="0.3">
      <c r="A1238" s="90">
        <v>1227</v>
      </c>
      <c r="B1238" s="91" t="s">
        <v>4224</v>
      </c>
      <c r="C1238" s="91" t="s">
        <v>4227</v>
      </c>
      <c r="D1238" s="91" t="s">
        <v>2936</v>
      </c>
      <c r="E1238" s="91">
        <v>2016</v>
      </c>
      <c r="F1238" s="91" t="s">
        <v>19</v>
      </c>
      <c r="G1238" s="91" t="s">
        <v>3022</v>
      </c>
      <c r="H1238" s="91" t="s">
        <v>3066</v>
      </c>
      <c r="I1238" s="91" t="s">
        <v>3095</v>
      </c>
      <c r="J1238" s="91">
        <v>3793</v>
      </c>
      <c r="K1238" s="91">
        <f>6278+4484+1346+4484+2332+2332+2332+2332+2332+2332+1166+6995+6995+2332+6995+3000+3000</f>
        <v>61067</v>
      </c>
      <c r="L1238" s="91">
        <v>0</v>
      </c>
      <c r="M1238" s="91">
        <v>0</v>
      </c>
      <c r="N1238" s="91">
        <v>3148</v>
      </c>
      <c r="O1238" s="91">
        <v>0</v>
      </c>
      <c r="P1238" s="91">
        <v>0</v>
      </c>
      <c r="Q1238" s="97">
        <f t="shared" si="38"/>
        <v>68008</v>
      </c>
      <c r="R1238" s="95">
        <f t="shared" si="39"/>
        <v>57806.8</v>
      </c>
    </row>
    <row r="1239" spans="1:23" ht="34.049999999999997" customHeight="1" x14ac:dyDescent="0.3">
      <c r="A1239" s="90">
        <v>1228</v>
      </c>
      <c r="B1239" s="91" t="s">
        <v>4224</v>
      </c>
      <c r="C1239" s="91" t="s">
        <v>4228</v>
      </c>
      <c r="D1239" s="91" t="s">
        <v>4229</v>
      </c>
      <c r="E1239" s="91">
        <v>1996</v>
      </c>
      <c r="F1239" s="91" t="s">
        <v>18</v>
      </c>
      <c r="G1239" s="91" t="s">
        <v>4331</v>
      </c>
      <c r="H1239" s="91" t="s">
        <v>4379</v>
      </c>
      <c r="I1239" s="91" t="s">
        <v>3935</v>
      </c>
      <c r="J1239" s="91">
        <v>6199</v>
      </c>
      <c r="K1239" s="91">
        <f>2332+2332+2332+2332+1346</f>
        <v>10674</v>
      </c>
      <c r="L1239" s="91">
        <v>0</v>
      </c>
      <c r="M1239" s="91">
        <v>0</v>
      </c>
      <c r="N1239" s="91">
        <v>1793</v>
      </c>
      <c r="O1239" s="91">
        <v>0</v>
      </c>
      <c r="P1239" s="91">
        <v>0</v>
      </c>
      <c r="Q1239" s="97">
        <f t="shared" si="38"/>
        <v>18666</v>
      </c>
      <c r="R1239" s="95">
        <f t="shared" si="39"/>
        <v>15866.1</v>
      </c>
    </row>
    <row r="1240" spans="1:23" ht="34.049999999999997" customHeight="1" x14ac:dyDescent="0.3">
      <c r="A1240" s="96">
        <v>1229</v>
      </c>
      <c r="B1240" s="91" t="s">
        <v>4224</v>
      </c>
      <c r="C1240" s="91" t="s">
        <v>4230</v>
      </c>
      <c r="D1240" s="91" t="s">
        <v>4231</v>
      </c>
      <c r="E1240" s="91">
        <v>2023</v>
      </c>
      <c r="F1240" s="91" t="s">
        <v>18</v>
      </c>
      <c r="G1240" s="91" t="s">
        <v>4332</v>
      </c>
      <c r="H1240" s="91" t="s">
        <v>3870</v>
      </c>
      <c r="I1240" s="91" t="s">
        <v>1069</v>
      </c>
      <c r="J1240" s="91">
        <v>6199</v>
      </c>
      <c r="K1240" s="91">
        <v>0</v>
      </c>
      <c r="L1240" s="91">
        <v>0</v>
      </c>
      <c r="M1240" s="91">
        <v>0</v>
      </c>
      <c r="N1240" s="91">
        <v>0</v>
      </c>
      <c r="O1240" s="91">
        <v>0</v>
      </c>
      <c r="P1240" s="91">
        <v>0</v>
      </c>
      <c r="Q1240" s="97">
        <f t="shared" si="38"/>
        <v>6199</v>
      </c>
      <c r="R1240" s="95">
        <f t="shared" si="39"/>
        <v>5269.15</v>
      </c>
    </row>
    <row r="1241" spans="1:23" ht="34.049999999999997" customHeight="1" x14ac:dyDescent="0.3">
      <c r="A1241" s="90">
        <v>1230</v>
      </c>
      <c r="B1241" s="91" t="s">
        <v>4224</v>
      </c>
      <c r="C1241" s="91" t="s">
        <v>4232</v>
      </c>
      <c r="D1241" s="91" t="s">
        <v>4233</v>
      </c>
      <c r="E1241" s="91">
        <v>1990</v>
      </c>
      <c r="F1241" s="91" t="s">
        <v>18</v>
      </c>
      <c r="G1241" s="91" t="s">
        <v>4333</v>
      </c>
      <c r="H1241" s="91" t="s">
        <v>4333</v>
      </c>
      <c r="I1241" s="91" t="s">
        <v>4404</v>
      </c>
      <c r="J1241" s="91">
        <v>6199</v>
      </c>
      <c r="K1241" s="91">
        <f>6278+4484+6995+2332+2332+2332+1166+2801</f>
        <v>28720</v>
      </c>
      <c r="L1241" s="91">
        <v>0</v>
      </c>
      <c r="M1241" s="91">
        <v>0</v>
      </c>
      <c r="N1241" s="91">
        <v>1793</v>
      </c>
      <c r="O1241" s="91">
        <v>0</v>
      </c>
      <c r="P1241" s="91">
        <v>0</v>
      </c>
      <c r="Q1241" s="97">
        <f t="shared" si="38"/>
        <v>36712</v>
      </c>
      <c r="R1241" s="95">
        <f t="shared" si="39"/>
        <v>31205.200000000001</v>
      </c>
    </row>
    <row r="1242" spans="1:23" ht="34.049999999999997" customHeight="1" x14ac:dyDescent="0.3">
      <c r="A1242" s="90">
        <v>1231</v>
      </c>
      <c r="B1242" s="91" t="s">
        <v>4224</v>
      </c>
      <c r="C1242" s="91" t="s">
        <v>4234</v>
      </c>
      <c r="D1242" s="91" t="s">
        <v>4235</v>
      </c>
      <c r="E1242" s="91">
        <v>1989</v>
      </c>
      <c r="F1242" s="91" t="s">
        <v>19</v>
      </c>
      <c r="G1242" s="91" t="s">
        <v>4334</v>
      </c>
      <c r="H1242" s="91" t="s">
        <v>4334</v>
      </c>
      <c r="I1242" s="91" t="s">
        <v>4405</v>
      </c>
      <c r="J1242" s="91">
        <v>6199</v>
      </c>
      <c r="K1242" s="91">
        <v>0</v>
      </c>
      <c r="L1242" s="91">
        <v>0</v>
      </c>
      <c r="M1242" s="91">
        <v>0</v>
      </c>
      <c r="N1242" s="91">
        <v>0</v>
      </c>
      <c r="O1242" s="91">
        <v>0</v>
      </c>
      <c r="P1242" s="91">
        <v>0</v>
      </c>
      <c r="Q1242" s="97">
        <f t="shared" si="38"/>
        <v>6199</v>
      </c>
      <c r="R1242" s="95">
        <f t="shared" si="39"/>
        <v>5269.15</v>
      </c>
    </row>
    <row r="1243" spans="1:23" ht="34.049999999999997" customHeight="1" x14ac:dyDescent="0.3">
      <c r="A1243" s="96">
        <v>1232</v>
      </c>
      <c r="B1243" s="91" t="s">
        <v>4224</v>
      </c>
      <c r="C1243" s="91" t="s">
        <v>4236</v>
      </c>
      <c r="D1243" s="91" t="s">
        <v>4237</v>
      </c>
      <c r="E1243" s="91">
        <v>2021</v>
      </c>
      <c r="F1243" s="91" t="s">
        <v>19</v>
      </c>
      <c r="G1243" s="91" t="s">
        <v>4335</v>
      </c>
      <c r="H1243" s="91" t="s">
        <v>2602</v>
      </c>
      <c r="I1243" s="91" t="s">
        <v>4406</v>
      </c>
      <c r="J1243" s="91">
        <v>6199</v>
      </c>
      <c r="K1243" s="91">
        <f>6278+4484+1346</f>
        <v>12108</v>
      </c>
      <c r="L1243" s="91">
        <v>0</v>
      </c>
      <c r="M1243" s="91">
        <v>0</v>
      </c>
      <c r="N1243" s="91">
        <v>3148</v>
      </c>
      <c r="O1243" s="91">
        <v>0</v>
      </c>
      <c r="P1243" s="91">
        <v>0</v>
      </c>
      <c r="Q1243" s="97">
        <f t="shared" si="38"/>
        <v>21455</v>
      </c>
      <c r="R1243" s="95">
        <f t="shared" si="39"/>
        <v>18236.75</v>
      </c>
    </row>
    <row r="1244" spans="1:23" ht="34.049999999999997" customHeight="1" x14ac:dyDescent="0.3">
      <c r="A1244" s="90">
        <v>1233</v>
      </c>
      <c r="B1244" s="91" t="s">
        <v>4224</v>
      </c>
      <c r="C1244" s="91" t="s">
        <v>4238</v>
      </c>
      <c r="D1244" s="91" t="s">
        <v>4239</v>
      </c>
      <c r="E1244" s="91">
        <v>2018</v>
      </c>
      <c r="F1244" s="91" t="s">
        <v>18</v>
      </c>
      <c r="G1244" s="91" t="s">
        <v>4336</v>
      </c>
      <c r="H1244" s="91" t="s">
        <v>530</v>
      </c>
      <c r="I1244" s="91" t="s">
        <v>4407</v>
      </c>
      <c r="J1244" s="91">
        <v>6199</v>
      </c>
      <c r="K1244" s="91">
        <v>0</v>
      </c>
      <c r="L1244" s="91">
        <v>0</v>
      </c>
      <c r="M1244" s="91">
        <v>0</v>
      </c>
      <c r="N1244" s="91">
        <v>0</v>
      </c>
      <c r="O1244" s="91">
        <v>0</v>
      </c>
      <c r="P1244" s="91">
        <v>0</v>
      </c>
      <c r="Q1244" s="97">
        <f t="shared" si="38"/>
        <v>6199</v>
      </c>
      <c r="R1244" s="95">
        <f t="shared" si="39"/>
        <v>5269.15</v>
      </c>
    </row>
    <row r="1245" spans="1:23" ht="34.049999999999997" customHeight="1" x14ac:dyDescent="0.3">
      <c r="A1245" s="90">
        <v>1234</v>
      </c>
      <c r="B1245" s="98" t="s">
        <v>4224</v>
      </c>
      <c r="C1245" s="98" t="s">
        <v>4240</v>
      </c>
      <c r="D1245" s="98" t="s">
        <v>3577</v>
      </c>
      <c r="E1245" s="98">
        <v>2015</v>
      </c>
      <c r="F1245" s="98" t="s">
        <v>18</v>
      </c>
      <c r="G1245" s="98" t="s">
        <v>4337</v>
      </c>
      <c r="H1245" s="98" t="s">
        <v>3612</v>
      </c>
      <c r="I1245" s="98" t="s">
        <v>4408</v>
      </c>
      <c r="J1245" s="98">
        <v>3793</v>
      </c>
      <c r="K1245" s="98">
        <f>1346+6278+4484+2332+2332+2332+4484+2332+2332+2332+6995+6995+2332+6995</f>
        <v>53901</v>
      </c>
      <c r="L1245" s="98">
        <v>0</v>
      </c>
      <c r="M1245" s="98">
        <v>0</v>
      </c>
      <c r="N1245" s="98">
        <v>3148</v>
      </c>
      <c r="O1245" s="98">
        <v>0</v>
      </c>
      <c r="P1245" s="98">
        <v>0</v>
      </c>
      <c r="Q1245" s="97">
        <f t="shared" si="38"/>
        <v>60842</v>
      </c>
      <c r="R1245" s="95">
        <f t="shared" si="39"/>
        <v>51715.7</v>
      </c>
      <c r="S1245" s="41"/>
      <c r="T1245" s="41"/>
      <c r="U1245" s="41"/>
      <c r="V1245" s="41"/>
      <c r="W1245" s="41"/>
    </row>
    <row r="1246" spans="1:23" ht="34.049999999999997" customHeight="1" x14ac:dyDescent="0.3">
      <c r="A1246" s="96">
        <v>1235</v>
      </c>
      <c r="B1246" s="91" t="s">
        <v>4224</v>
      </c>
      <c r="C1246" s="91" t="s">
        <v>4241</v>
      </c>
      <c r="D1246" s="91" t="s">
        <v>4242</v>
      </c>
      <c r="E1246" s="91">
        <v>1987</v>
      </c>
      <c r="F1246" s="91" t="s">
        <v>19</v>
      </c>
      <c r="G1246" s="91" t="s">
        <v>4338</v>
      </c>
      <c r="H1246" s="91" t="s">
        <v>4380</v>
      </c>
      <c r="I1246" s="91" t="s">
        <v>3500</v>
      </c>
      <c r="J1246" s="91">
        <v>6199</v>
      </c>
      <c r="K1246" s="91">
        <v>0</v>
      </c>
      <c r="L1246" s="91">
        <v>0</v>
      </c>
      <c r="M1246" s="91">
        <v>0</v>
      </c>
      <c r="N1246" s="91">
        <v>0</v>
      </c>
      <c r="O1246" s="91">
        <v>0</v>
      </c>
      <c r="P1246" s="91">
        <v>0</v>
      </c>
      <c r="Q1246" s="97">
        <f t="shared" si="38"/>
        <v>6199</v>
      </c>
      <c r="R1246" s="95">
        <f t="shared" si="39"/>
        <v>5269.15</v>
      </c>
    </row>
    <row r="1247" spans="1:23" ht="34.049999999999997" customHeight="1" x14ac:dyDescent="0.3">
      <c r="A1247" s="90">
        <v>1236</v>
      </c>
      <c r="B1247" s="91" t="s">
        <v>4224</v>
      </c>
      <c r="C1247" s="91" t="s">
        <v>4243</v>
      </c>
      <c r="D1247" s="91" t="s">
        <v>4244</v>
      </c>
      <c r="E1247" s="91">
        <v>1992</v>
      </c>
      <c r="F1247" s="91" t="s">
        <v>19</v>
      </c>
      <c r="G1247" s="91" t="s">
        <v>4339</v>
      </c>
      <c r="H1247" s="91" t="s">
        <v>4339</v>
      </c>
      <c r="I1247" s="91" t="s">
        <v>1269</v>
      </c>
      <c r="J1247" s="91">
        <v>6199</v>
      </c>
      <c r="K1247" s="91">
        <f>1346+6278+4484+6995+2332+2332+2332+2332+2332+2332+6995+6995+2332+6995+3000+3000</f>
        <v>62412</v>
      </c>
      <c r="L1247" s="91">
        <v>0</v>
      </c>
      <c r="M1247" s="91">
        <v>0</v>
      </c>
      <c r="N1247" s="91">
        <f>3179+1178+1681+1793</f>
        <v>7831</v>
      </c>
      <c r="O1247" s="91">
        <v>0</v>
      </c>
      <c r="P1247" s="91">
        <f>720+360+60+374+660+720+144+624+112</f>
        <v>3774</v>
      </c>
      <c r="Q1247" s="97">
        <f t="shared" si="38"/>
        <v>80216</v>
      </c>
      <c r="R1247" s="95">
        <f t="shared" si="39"/>
        <v>68183.600000000006</v>
      </c>
    </row>
    <row r="1248" spans="1:23" ht="34.049999999999997" customHeight="1" x14ac:dyDescent="0.3">
      <c r="A1248" s="90">
        <v>1237</v>
      </c>
      <c r="B1248" s="91" t="s">
        <v>4224</v>
      </c>
      <c r="C1248" s="91" t="s">
        <v>4245</v>
      </c>
      <c r="D1248" s="91" t="s">
        <v>4246</v>
      </c>
      <c r="E1248" s="91">
        <v>2020</v>
      </c>
      <c r="F1248" s="91" t="s">
        <v>19</v>
      </c>
      <c r="G1248" s="91" t="s">
        <v>4340</v>
      </c>
      <c r="H1248" s="91" t="s">
        <v>4381</v>
      </c>
      <c r="I1248" s="91" t="s">
        <v>1702</v>
      </c>
      <c r="J1248" s="91">
        <v>6199</v>
      </c>
      <c r="K1248" s="91">
        <f>6278+4484+1346+4484+2332+1166+2332+2332+2332+2332+2332+2332+6995+6995+2332+6995+3000+3000</f>
        <v>63399</v>
      </c>
      <c r="L1248" s="91">
        <v>0</v>
      </c>
      <c r="M1248" s="91">
        <v>0</v>
      </c>
      <c r="N1248" s="91">
        <v>3148</v>
      </c>
      <c r="O1248" s="91">
        <v>0</v>
      </c>
      <c r="P1248" s="91">
        <v>0</v>
      </c>
      <c r="Q1248" s="97">
        <f t="shared" si="38"/>
        <v>72746</v>
      </c>
      <c r="R1248" s="95">
        <f t="shared" si="39"/>
        <v>61834.1</v>
      </c>
    </row>
    <row r="1249" spans="1:23" ht="34.049999999999997" customHeight="1" x14ac:dyDescent="0.3">
      <c r="A1249" s="96">
        <v>1238</v>
      </c>
      <c r="B1249" s="91" t="s">
        <v>4224</v>
      </c>
      <c r="C1249" s="91" t="s">
        <v>4245</v>
      </c>
      <c r="D1249" s="91" t="s">
        <v>4246</v>
      </c>
      <c r="E1249" s="91">
        <v>2020</v>
      </c>
      <c r="F1249" s="91" t="s">
        <v>19</v>
      </c>
      <c r="G1249" s="91" t="s">
        <v>4340</v>
      </c>
      <c r="H1249" s="91" t="s">
        <v>4381</v>
      </c>
      <c r="I1249" s="91" t="s">
        <v>1702</v>
      </c>
      <c r="J1249" s="91">
        <v>0</v>
      </c>
      <c r="K1249" s="91">
        <v>0</v>
      </c>
      <c r="L1249" s="91">
        <v>0</v>
      </c>
      <c r="M1249" s="91">
        <v>17688</v>
      </c>
      <c r="N1249" s="91">
        <f>3179+1681+1178</f>
        <v>6038</v>
      </c>
      <c r="O1249" s="91">
        <v>0</v>
      </c>
      <c r="P1249" s="91">
        <f>720+112+720+396+1080</f>
        <v>3028</v>
      </c>
      <c r="Q1249" s="97">
        <f t="shared" si="38"/>
        <v>26754</v>
      </c>
      <c r="R1249" s="95">
        <f t="shared" si="39"/>
        <v>22740.9</v>
      </c>
    </row>
    <row r="1250" spans="1:23" ht="34.049999999999997" customHeight="1" x14ac:dyDescent="0.3">
      <c r="A1250" s="90">
        <v>1239</v>
      </c>
      <c r="B1250" s="91" t="s">
        <v>4224</v>
      </c>
      <c r="C1250" s="91" t="s">
        <v>4247</v>
      </c>
      <c r="D1250" s="91" t="s">
        <v>4248</v>
      </c>
      <c r="E1250" s="91">
        <v>1997</v>
      </c>
      <c r="F1250" s="91" t="s">
        <v>19</v>
      </c>
      <c r="G1250" s="91" t="s">
        <v>4341</v>
      </c>
      <c r="H1250" s="91" t="s">
        <v>4341</v>
      </c>
      <c r="I1250" s="91" t="s">
        <v>4409</v>
      </c>
      <c r="J1250" s="91">
        <v>6199</v>
      </c>
      <c r="K1250" s="91">
        <f>6278+4484+2332+2332+2332+2332+2332</f>
        <v>22422</v>
      </c>
      <c r="L1250" s="91">
        <v>20807</v>
      </c>
      <c r="M1250" s="91">
        <v>0</v>
      </c>
      <c r="N1250" s="91">
        <v>1793</v>
      </c>
      <c r="O1250" s="91">
        <v>0</v>
      </c>
      <c r="P1250" s="91">
        <v>0</v>
      </c>
      <c r="Q1250" s="97">
        <f t="shared" si="38"/>
        <v>51221</v>
      </c>
      <c r="R1250" s="95">
        <f t="shared" si="39"/>
        <v>43537.85</v>
      </c>
    </row>
    <row r="1251" spans="1:23" ht="34.049999999999997" customHeight="1" x14ac:dyDescent="0.3">
      <c r="A1251" s="90">
        <v>1240</v>
      </c>
      <c r="B1251" s="91" t="s">
        <v>4224</v>
      </c>
      <c r="C1251" s="91" t="s">
        <v>4249</v>
      </c>
      <c r="D1251" s="91" t="s">
        <v>4250</v>
      </c>
      <c r="E1251" s="91">
        <v>2021</v>
      </c>
      <c r="F1251" s="91" t="s">
        <v>18</v>
      </c>
      <c r="G1251" s="91" t="s">
        <v>4342</v>
      </c>
      <c r="H1251" s="91" t="s">
        <v>2600</v>
      </c>
      <c r="I1251" s="91" t="s">
        <v>4410</v>
      </c>
      <c r="J1251" s="91">
        <v>6199</v>
      </c>
      <c r="K1251" s="91">
        <f>6278+4484+4484+2332+1166+1346+2332+2332+2332+2332</f>
        <v>29418</v>
      </c>
      <c r="L1251" s="91">
        <v>0</v>
      </c>
      <c r="M1251" s="91">
        <v>0</v>
      </c>
      <c r="N1251" s="91">
        <v>3148</v>
      </c>
      <c r="O1251" s="91">
        <v>0</v>
      </c>
      <c r="P1251" s="91">
        <v>0</v>
      </c>
      <c r="Q1251" s="97">
        <f t="shared" si="38"/>
        <v>38765</v>
      </c>
      <c r="R1251" s="95">
        <f t="shared" si="39"/>
        <v>32950.25</v>
      </c>
    </row>
    <row r="1252" spans="1:23" ht="34.049999999999997" customHeight="1" x14ac:dyDescent="0.3">
      <c r="A1252" s="96">
        <v>1241</v>
      </c>
      <c r="B1252" s="91" t="s">
        <v>4224</v>
      </c>
      <c r="C1252" s="91" t="s">
        <v>4251</v>
      </c>
      <c r="D1252" s="91" t="s">
        <v>4252</v>
      </c>
      <c r="E1252" s="91">
        <v>1986</v>
      </c>
      <c r="F1252" s="91" t="s">
        <v>19</v>
      </c>
      <c r="G1252" s="91" t="s">
        <v>4343</v>
      </c>
      <c r="H1252" s="91" t="s">
        <v>4382</v>
      </c>
      <c r="I1252" s="91" t="s">
        <v>4207</v>
      </c>
      <c r="J1252" s="91">
        <v>6199</v>
      </c>
      <c r="K1252" s="91">
        <f>6278+4484+1346+2332+2332+2332+3000+3000+2332+2332+2332+2332+4484+4484+6995</f>
        <v>50395</v>
      </c>
      <c r="L1252" s="91">
        <v>0</v>
      </c>
      <c r="M1252" s="91">
        <v>0</v>
      </c>
      <c r="N1252" s="91">
        <v>1793</v>
      </c>
      <c r="O1252" s="91">
        <v>0</v>
      </c>
      <c r="P1252" s="91">
        <v>0</v>
      </c>
      <c r="Q1252" s="97">
        <f t="shared" si="38"/>
        <v>58387</v>
      </c>
      <c r="R1252" s="95">
        <f t="shared" si="39"/>
        <v>49628.95</v>
      </c>
    </row>
    <row r="1253" spans="1:23" ht="34.049999999999997" customHeight="1" x14ac:dyDescent="0.3">
      <c r="A1253" s="90">
        <v>1242</v>
      </c>
      <c r="B1253" s="91" t="s">
        <v>4224</v>
      </c>
      <c r="C1253" s="91" t="s">
        <v>4253</v>
      </c>
      <c r="D1253" s="91" t="s">
        <v>4254</v>
      </c>
      <c r="E1253" s="91">
        <v>2019</v>
      </c>
      <c r="F1253" s="91" t="s">
        <v>19</v>
      </c>
      <c r="G1253" s="91" t="s">
        <v>4344</v>
      </c>
      <c r="H1253" s="91" t="s">
        <v>4383</v>
      </c>
      <c r="I1253" s="91" t="s">
        <v>1279</v>
      </c>
      <c r="J1253" s="91">
        <v>6199</v>
      </c>
      <c r="K1253" s="91">
        <f>1346+6278+4484+4484</f>
        <v>16592</v>
      </c>
      <c r="L1253" s="91">
        <v>0</v>
      </c>
      <c r="M1253" s="91">
        <v>0</v>
      </c>
      <c r="N1253" s="91">
        <v>3148</v>
      </c>
      <c r="O1253" s="91">
        <v>0</v>
      </c>
      <c r="P1253" s="91">
        <v>0</v>
      </c>
      <c r="Q1253" s="97">
        <f t="shared" si="38"/>
        <v>25939</v>
      </c>
      <c r="R1253" s="95">
        <f t="shared" si="39"/>
        <v>22048.15</v>
      </c>
    </row>
    <row r="1254" spans="1:23" ht="34.049999999999997" customHeight="1" x14ac:dyDescent="0.3">
      <c r="A1254" s="90">
        <v>1243</v>
      </c>
      <c r="B1254" s="98" t="s">
        <v>4224</v>
      </c>
      <c r="C1254" s="98" t="s">
        <v>4255</v>
      </c>
      <c r="D1254" s="98" t="s">
        <v>4256</v>
      </c>
      <c r="E1254" s="98">
        <v>1991</v>
      </c>
      <c r="F1254" s="98" t="s">
        <v>18</v>
      </c>
      <c r="G1254" s="98" t="s">
        <v>4345</v>
      </c>
      <c r="H1254" s="98" t="s">
        <v>4345</v>
      </c>
      <c r="I1254" s="98" t="s">
        <v>2122</v>
      </c>
      <c r="J1254" s="98">
        <v>6199</v>
      </c>
      <c r="K1254" s="98">
        <v>0</v>
      </c>
      <c r="L1254" s="98">
        <v>26596</v>
      </c>
      <c r="M1254" s="98">
        <v>0</v>
      </c>
      <c r="N1254" s="98">
        <v>0</v>
      </c>
      <c r="O1254" s="98">
        <v>0</v>
      </c>
      <c r="P1254" s="98">
        <v>0</v>
      </c>
      <c r="Q1254" s="97">
        <f t="shared" si="38"/>
        <v>32795</v>
      </c>
      <c r="R1254" s="95">
        <f t="shared" si="39"/>
        <v>27875.75</v>
      </c>
      <c r="S1254" s="41"/>
      <c r="T1254" s="41"/>
      <c r="U1254" s="41"/>
      <c r="V1254" s="41"/>
      <c r="W1254" s="41"/>
    </row>
    <row r="1255" spans="1:23" ht="34.049999999999997" customHeight="1" x14ac:dyDescent="0.3">
      <c r="A1255" s="96">
        <v>1244</v>
      </c>
      <c r="B1255" s="91" t="s">
        <v>4224</v>
      </c>
      <c r="C1255" s="91" t="s">
        <v>4257</v>
      </c>
      <c r="D1255" s="91" t="s">
        <v>2699</v>
      </c>
      <c r="E1255" s="91">
        <v>1966</v>
      </c>
      <c r="F1255" s="91" t="s">
        <v>19</v>
      </c>
      <c r="G1255" s="91" t="s">
        <v>2777</v>
      </c>
      <c r="H1255" s="91" t="s">
        <v>2822</v>
      </c>
      <c r="I1255" s="91" t="s">
        <v>1480</v>
      </c>
      <c r="J1255" s="91">
        <v>3793</v>
      </c>
      <c r="K1255" s="91">
        <f>2332+2332</f>
        <v>4664</v>
      </c>
      <c r="L1255" s="91">
        <v>0</v>
      </c>
      <c r="M1255" s="91">
        <v>0</v>
      </c>
      <c r="N1255" s="91">
        <v>1681</v>
      </c>
      <c r="O1255" s="91">
        <v>0</v>
      </c>
      <c r="P1255" s="91">
        <f>240+56</f>
        <v>296</v>
      </c>
      <c r="Q1255" s="97">
        <f t="shared" si="38"/>
        <v>10434</v>
      </c>
      <c r="R1255" s="95">
        <f t="shared" si="39"/>
        <v>8868.9</v>
      </c>
    </row>
    <row r="1256" spans="1:23" ht="34.049999999999997" customHeight="1" x14ac:dyDescent="0.3">
      <c r="A1256" s="90">
        <v>1245</v>
      </c>
      <c r="B1256" s="91" t="s">
        <v>4224</v>
      </c>
      <c r="C1256" s="91" t="s">
        <v>4258</v>
      </c>
      <c r="D1256" s="91" t="s">
        <v>4259</v>
      </c>
      <c r="E1256" s="91">
        <v>1951</v>
      </c>
      <c r="F1256" s="91" t="s">
        <v>18</v>
      </c>
      <c r="G1256" s="91" t="s">
        <v>4346</v>
      </c>
      <c r="H1256" s="91" t="s">
        <v>4346</v>
      </c>
      <c r="I1256" s="91" t="s">
        <v>824</v>
      </c>
      <c r="J1256" s="91">
        <v>6199</v>
      </c>
      <c r="K1256" s="91">
        <f>6278+4484+2332+2332+6995+3228+3000+3000+2332+2332+2332+6995+2332+2332+2332</f>
        <v>52636</v>
      </c>
      <c r="L1256" s="91">
        <v>0</v>
      </c>
      <c r="M1256" s="91">
        <v>0</v>
      </c>
      <c r="N1256" s="91">
        <v>1793</v>
      </c>
      <c r="O1256" s="91">
        <v>0</v>
      </c>
      <c r="P1256" s="91">
        <v>0</v>
      </c>
      <c r="Q1256" s="97">
        <f t="shared" si="38"/>
        <v>60628</v>
      </c>
      <c r="R1256" s="95">
        <f t="shared" si="39"/>
        <v>51533.8</v>
      </c>
    </row>
    <row r="1257" spans="1:23" ht="34.049999999999997" customHeight="1" x14ac:dyDescent="0.3">
      <c r="A1257" s="90">
        <v>1246</v>
      </c>
      <c r="B1257" s="91" t="s">
        <v>4224</v>
      </c>
      <c r="C1257" s="91" t="s">
        <v>4260</v>
      </c>
      <c r="D1257" s="91" t="s">
        <v>4261</v>
      </c>
      <c r="E1257" s="91">
        <v>1983</v>
      </c>
      <c r="F1257" s="91" t="s">
        <v>19</v>
      </c>
      <c r="G1257" s="91" t="s">
        <v>4347</v>
      </c>
      <c r="H1257" s="91" t="s">
        <v>4384</v>
      </c>
      <c r="I1257" s="91" t="s">
        <v>276</v>
      </c>
      <c r="J1257" s="91">
        <v>6199</v>
      </c>
      <c r="K1257" s="91">
        <f>1346+6278+4484+2332+2332+2332+3587</f>
        <v>22691</v>
      </c>
      <c r="L1257" s="91">
        <v>0</v>
      </c>
      <c r="M1257" s="91">
        <v>0</v>
      </c>
      <c r="N1257" s="91">
        <v>1793</v>
      </c>
      <c r="O1257" s="91">
        <v>0</v>
      </c>
      <c r="P1257" s="91">
        <v>0</v>
      </c>
      <c r="Q1257" s="97">
        <f t="shared" si="38"/>
        <v>30683</v>
      </c>
      <c r="R1257" s="95">
        <f t="shared" si="39"/>
        <v>26080.55</v>
      </c>
    </row>
    <row r="1258" spans="1:23" ht="34.049999999999997" customHeight="1" x14ac:dyDescent="0.3">
      <c r="A1258" s="96">
        <v>1247</v>
      </c>
      <c r="B1258" s="98" t="s">
        <v>4224</v>
      </c>
      <c r="C1258" s="98" t="s">
        <v>4262</v>
      </c>
      <c r="D1258" s="98" t="s">
        <v>4263</v>
      </c>
      <c r="E1258" s="98">
        <v>2008</v>
      </c>
      <c r="F1258" s="98" t="s">
        <v>19</v>
      </c>
      <c r="G1258" s="98" t="s">
        <v>4348</v>
      </c>
      <c r="H1258" s="98" t="s">
        <v>4385</v>
      </c>
      <c r="I1258" s="98" t="s">
        <v>4411</v>
      </c>
      <c r="J1258" s="98">
        <v>6199</v>
      </c>
      <c r="K1258" s="98">
        <v>0</v>
      </c>
      <c r="L1258" s="98">
        <v>0</v>
      </c>
      <c r="M1258" s="98">
        <v>0</v>
      </c>
      <c r="N1258" s="98">
        <v>0</v>
      </c>
      <c r="O1258" s="98">
        <v>0</v>
      </c>
      <c r="P1258" s="98">
        <v>0</v>
      </c>
      <c r="Q1258" s="97">
        <f t="shared" si="38"/>
        <v>6199</v>
      </c>
      <c r="R1258" s="95">
        <f t="shared" si="39"/>
        <v>5269.15</v>
      </c>
      <c r="S1258" s="41"/>
      <c r="T1258" s="41"/>
      <c r="U1258" s="41"/>
      <c r="V1258" s="41"/>
      <c r="W1258" s="41"/>
    </row>
    <row r="1259" spans="1:23" ht="34.049999999999997" customHeight="1" x14ac:dyDescent="0.3">
      <c r="A1259" s="90">
        <v>1248</v>
      </c>
      <c r="B1259" s="91" t="s">
        <v>4224</v>
      </c>
      <c r="C1259" s="91" t="s">
        <v>4264</v>
      </c>
      <c r="D1259" s="91" t="s">
        <v>1735</v>
      </c>
      <c r="E1259" s="91">
        <v>2013</v>
      </c>
      <c r="F1259" s="91" t="s">
        <v>19</v>
      </c>
      <c r="G1259" s="91" t="s">
        <v>1814</v>
      </c>
      <c r="H1259" s="91" t="s">
        <v>1858</v>
      </c>
      <c r="I1259" s="91" t="s">
        <v>1046</v>
      </c>
      <c r="J1259" s="91">
        <v>0</v>
      </c>
      <c r="K1259" s="91">
        <v>0</v>
      </c>
      <c r="L1259" s="91">
        <v>13298</v>
      </c>
      <c r="M1259" s="91">
        <v>0</v>
      </c>
      <c r="N1259" s="91">
        <v>0</v>
      </c>
      <c r="O1259" s="91">
        <v>0</v>
      </c>
      <c r="P1259" s="91">
        <v>0</v>
      </c>
      <c r="Q1259" s="97">
        <f t="shared" si="38"/>
        <v>13298</v>
      </c>
      <c r="R1259" s="95">
        <f t="shared" si="39"/>
        <v>11303.3</v>
      </c>
    </row>
    <row r="1260" spans="1:23" ht="34.049999999999997" customHeight="1" x14ac:dyDescent="0.3">
      <c r="A1260" s="90">
        <v>1249</v>
      </c>
      <c r="B1260" s="91" t="s">
        <v>4224</v>
      </c>
      <c r="C1260" s="91" t="s">
        <v>4265</v>
      </c>
      <c r="D1260" s="91" t="s">
        <v>4266</v>
      </c>
      <c r="E1260" s="91">
        <v>2012</v>
      </c>
      <c r="F1260" s="91" t="s">
        <v>19</v>
      </c>
      <c r="G1260" s="91" t="s">
        <v>4349</v>
      </c>
      <c r="H1260" s="91" t="s">
        <v>4386</v>
      </c>
      <c r="I1260" s="91" t="s">
        <v>4412</v>
      </c>
      <c r="J1260" s="91">
        <v>6199</v>
      </c>
      <c r="K1260" s="91">
        <f>2332+2332</f>
        <v>4664</v>
      </c>
      <c r="L1260" s="91">
        <v>0</v>
      </c>
      <c r="M1260" s="91">
        <v>0</v>
      </c>
      <c r="N1260" s="91">
        <v>0</v>
      </c>
      <c r="O1260" s="91">
        <v>0</v>
      </c>
      <c r="P1260" s="91">
        <v>0</v>
      </c>
      <c r="Q1260" s="94">
        <f t="shared" si="38"/>
        <v>10863</v>
      </c>
      <c r="R1260" s="95">
        <f t="shared" si="39"/>
        <v>9233.5499999999993</v>
      </c>
    </row>
    <row r="1261" spans="1:23" ht="34.049999999999997" customHeight="1" x14ac:dyDescent="0.3">
      <c r="A1261" s="96">
        <v>1250</v>
      </c>
      <c r="B1261" s="91" t="s">
        <v>4224</v>
      </c>
      <c r="C1261" s="91" t="s">
        <v>4267</v>
      </c>
      <c r="D1261" s="91" t="s">
        <v>4268</v>
      </c>
      <c r="E1261" s="91">
        <v>2002</v>
      </c>
      <c r="F1261" s="91" t="s">
        <v>18</v>
      </c>
      <c r="G1261" s="91" t="s">
        <v>4350</v>
      </c>
      <c r="H1261" s="91" t="s">
        <v>4350</v>
      </c>
      <c r="I1261" s="91" t="s">
        <v>4413</v>
      </c>
      <c r="J1261" s="91">
        <v>6199</v>
      </c>
      <c r="K1261" s="91">
        <f>6278+4484+1346+2332+2332+2332+2332+2332+3000+3000+3228+6995</f>
        <v>39991</v>
      </c>
      <c r="L1261" s="91">
        <v>0</v>
      </c>
      <c r="M1261" s="91">
        <v>0</v>
      </c>
      <c r="N1261" s="91">
        <v>1793</v>
      </c>
      <c r="O1261" s="91">
        <v>0</v>
      </c>
      <c r="P1261" s="91">
        <v>0</v>
      </c>
      <c r="Q1261" s="97">
        <f t="shared" si="38"/>
        <v>47983</v>
      </c>
      <c r="R1261" s="95">
        <f t="shared" si="39"/>
        <v>40785.550000000003</v>
      </c>
    </row>
    <row r="1262" spans="1:23" ht="34.049999999999997" customHeight="1" x14ac:dyDescent="0.3">
      <c r="A1262" s="90">
        <v>1251</v>
      </c>
      <c r="B1262" s="91" t="s">
        <v>4224</v>
      </c>
      <c r="C1262" s="91" t="s">
        <v>4269</v>
      </c>
      <c r="D1262" s="91" t="s">
        <v>4270</v>
      </c>
      <c r="E1262" s="91">
        <v>2000</v>
      </c>
      <c r="F1262" s="91" t="s">
        <v>18</v>
      </c>
      <c r="G1262" s="91" t="s">
        <v>4351</v>
      </c>
      <c r="H1262" s="91" t="s">
        <v>4351</v>
      </c>
      <c r="I1262" s="91" t="s">
        <v>4414</v>
      </c>
      <c r="J1262" s="91">
        <v>6199</v>
      </c>
      <c r="K1262" s="91">
        <v>0</v>
      </c>
      <c r="L1262" s="91">
        <v>0</v>
      </c>
      <c r="M1262" s="91">
        <v>0</v>
      </c>
      <c r="N1262" s="91">
        <v>0</v>
      </c>
      <c r="O1262" s="91">
        <v>0</v>
      </c>
      <c r="P1262" s="91">
        <v>0</v>
      </c>
      <c r="Q1262" s="97">
        <f t="shared" si="38"/>
        <v>6199</v>
      </c>
      <c r="R1262" s="95">
        <f t="shared" si="39"/>
        <v>5269.15</v>
      </c>
    </row>
    <row r="1263" spans="1:23" ht="34.049999999999997" customHeight="1" x14ac:dyDescent="0.3">
      <c r="A1263" s="90">
        <v>1252</v>
      </c>
      <c r="B1263" s="91" t="s">
        <v>4224</v>
      </c>
      <c r="C1263" s="91" t="s">
        <v>4271</v>
      </c>
      <c r="D1263" s="91" t="s">
        <v>4272</v>
      </c>
      <c r="E1263" s="91">
        <v>2012</v>
      </c>
      <c r="F1263" s="91" t="s">
        <v>19</v>
      </c>
      <c r="G1263" s="91" t="s">
        <v>4352</v>
      </c>
      <c r="H1263" s="91" t="s">
        <v>4387</v>
      </c>
      <c r="I1263" s="91" t="s">
        <v>4415</v>
      </c>
      <c r="J1263" s="91">
        <v>6199</v>
      </c>
      <c r="K1263" s="91">
        <f>1346+6278+4484+1166</f>
        <v>13274</v>
      </c>
      <c r="L1263" s="91">
        <v>0</v>
      </c>
      <c r="M1263" s="91">
        <v>0</v>
      </c>
      <c r="N1263" s="91">
        <v>3148</v>
      </c>
      <c r="O1263" s="91">
        <v>0</v>
      </c>
      <c r="P1263" s="91">
        <v>0</v>
      </c>
      <c r="Q1263" s="97">
        <f t="shared" si="38"/>
        <v>22621</v>
      </c>
      <c r="R1263" s="95">
        <f t="shared" si="39"/>
        <v>19227.849999999999</v>
      </c>
    </row>
    <row r="1264" spans="1:23" ht="34.049999999999997" customHeight="1" x14ac:dyDescent="0.3">
      <c r="A1264" s="96">
        <v>1253</v>
      </c>
      <c r="B1264" s="91" t="s">
        <v>4224</v>
      </c>
      <c r="C1264" s="91" t="s">
        <v>4273</v>
      </c>
      <c r="D1264" s="91" t="s">
        <v>4274</v>
      </c>
      <c r="E1264" s="91">
        <v>2020</v>
      </c>
      <c r="F1264" s="91" t="s">
        <v>19</v>
      </c>
      <c r="G1264" s="91" t="s">
        <v>4353</v>
      </c>
      <c r="H1264" s="91" t="s">
        <v>4388</v>
      </c>
      <c r="I1264" s="91" t="s">
        <v>4416</v>
      </c>
      <c r="J1264" s="91">
        <v>6199</v>
      </c>
      <c r="K1264" s="91">
        <f>1346+6278+4484</f>
        <v>12108</v>
      </c>
      <c r="L1264" s="91">
        <v>0</v>
      </c>
      <c r="M1264" s="91">
        <v>0</v>
      </c>
      <c r="N1264" s="91">
        <v>3148</v>
      </c>
      <c r="O1264" s="91">
        <v>0</v>
      </c>
      <c r="P1264" s="91">
        <v>0</v>
      </c>
      <c r="Q1264" s="97">
        <f t="shared" si="38"/>
        <v>21455</v>
      </c>
      <c r="R1264" s="95">
        <f t="shared" si="39"/>
        <v>18236.75</v>
      </c>
    </row>
    <row r="1265" spans="1:18" ht="34.049999999999997" customHeight="1" x14ac:dyDescent="0.3">
      <c r="A1265" s="90">
        <v>1254</v>
      </c>
      <c r="B1265" s="91" t="s">
        <v>4224</v>
      </c>
      <c r="C1265" s="91" t="s">
        <v>4275</v>
      </c>
      <c r="D1265" s="91" t="s">
        <v>4276</v>
      </c>
      <c r="E1265" s="91">
        <v>1998</v>
      </c>
      <c r="F1265" s="91" t="s">
        <v>19</v>
      </c>
      <c r="G1265" s="91" t="s">
        <v>4354</v>
      </c>
      <c r="H1265" s="91" t="s">
        <v>4389</v>
      </c>
      <c r="I1265" s="91" t="s">
        <v>4417</v>
      </c>
      <c r="J1265" s="91">
        <v>6199</v>
      </c>
      <c r="K1265" s="91">
        <v>0</v>
      </c>
      <c r="L1265" s="91">
        <v>9422</v>
      </c>
      <c r="M1265" s="91">
        <v>0</v>
      </c>
      <c r="N1265" s="91">
        <v>0</v>
      </c>
      <c r="O1265" s="91">
        <v>0</v>
      </c>
      <c r="P1265" s="91">
        <v>0</v>
      </c>
      <c r="Q1265" s="97">
        <f t="shared" si="38"/>
        <v>15621</v>
      </c>
      <c r="R1265" s="95">
        <f t="shared" si="39"/>
        <v>13277.85</v>
      </c>
    </row>
    <row r="1266" spans="1:18" ht="34.049999999999997" customHeight="1" x14ac:dyDescent="0.3">
      <c r="A1266" s="90">
        <v>1255</v>
      </c>
      <c r="B1266" s="91" t="s">
        <v>4224</v>
      </c>
      <c r="C1266" s="91" t="s">
        <v>4277</v>
      </c>
      <c r="D1266" s="91" t="s">
        <v>4278</v>
      </c>
      <c r="E1266" s="91">
        <v>1996</v>
      </c>
      <c r="F1266" s="91" t="s">
        <v>19</v>
      </c>
      <c r="G1266" s="91" t="s">
        <v>4355</v>
      </c>
      <c r="H1266" s="91" t="s">
        <v>4390</v>
      </c>
      <c r="I1266" s="91" t="s">
        <v>33</v>
      </c>
      <c r="J1266" s="91">
        <v>6199</v>
      </c>
      <c r="K1266" s="91">
        <f>6278+4484+1346+6995+2332+2332+2332+2332+2332+2332+6995+2243+2332+2332+3000+3000+3228+3587</f>
        <v>59812</v>
      </c>
      <c r="L1266" s="91">
        <v>20807</v>
      </c>
      <c r="M1266" s="91">
        <v>0</v>
      </c>
      <c r="N1266" s="91">
        <f>1793+3179+1178</f>
        <v>6150</v>
      </c>
      <c r="O1266" s="91">
        <v>0</v>
      </c>
      <c r="P1266" s="91">
        <f>720+720+624+112+396+660+360+60</f>
        <v>3652</v>
      </c>
      <c r="Q1266" s="97">
        <f t="shared" si="38"/>
        <v>96620</v>
      </c>
      <c r="R1266" s="95">
        <f t="shared" si="39"/>
        <v>82127</v>
      </c>
    </row>
    <row r="1267" spans="1:18" ht="34.049999999999997" customHeight="1" x14ac:dyDescent="0.3">
      <c r="A1267" s="96">
        <v>1256</v>
      </c>
      <c r="B1267" s="91" t="s">
        <v>4224</v>
      </c>
      <c r="C1267" s="91" t="s">
        <v>4279</v>
      </c>
      <c r="D1267" s="91" t="s">
        <v>4280</v>
      </c>
      <c r="E1267" s="91">
        <v>2020</v>
      </c>
      <c r="F1267" s="91" t="s">
        <v>19</v>
      </c>
      <c r="G1267" s="91" t="s">
        <v>4356</v>
      </c>
      <c r="H1267" s="91" t="s">
        <v>4391</v>
      </c>
      <c r="I1267" s="91" t="s">
        <v>300</v>
      </c>
      <c r="J1267" s="91">
        <v>6199</v>
      </c>
      <c r="K1267" s="91">
        <f>6278+4484+1346+2332+2332+2332+2332+2332+4484+1166+6995+6995+2332+6995</f>
        <v>52735</v>
      </c>
      <c r="L1267" s="91">
        <v>0</v>
      </c>
      <c r="M1267" s="91">
        <v>0</v>
      </c>
      <c r="N1267" s="91">
        <v>3148</v>
      </c>
      <c r="O1267" s="91">
        <v>0</v>
      </c>
      <c r="P1267" s="91">
        <v>0</v>
      </c>
      <c r="Q1267" s="97">
        <f t="shared" si="38"/>
        <v>62082</v>
      </c>
      <c r="R1267" s="95">
        <f t="shared" si="39"/>
        <v>52769.7</v>
      </c>
    </row>
    <row r="1268" spans="1:18" ht="34.049999999999997" customHeight="1" x14ac:dyDescent="0.3">
      <c r="A1268" s="90">
        <v>1257</v>
      </c>
      <c r="B1268" s="91" t="s">
        <v>4224</v>
      </c>
      <c r="C1268" s="91" t="s">
        <v>4281</v>
      </c>
      <c r="D1268" s="91" t="s">
        <v>4282</v>
      </c>
      <c r="E1268" s="91">
        <v>1963</v>
      </c>
      <c r="F1268" s="91" t="s">
        <v>19</v>
      </c>
      <c r="G1268" s="91" t="s">
        <v>4357</v>
      </c>
      <c r="H1268" s="91" t="s">
        <v>4392</v>
      </c>
      <c r="I1268" s="91" t="s">
        <v>276</v>
      </c>
      <c r="J1268" s="91">
        <v>6199</v>
      </c>
      <c r="K1268" s="91">
        <f>6278+4484+4484+2332+2332+2332+4484+4484+2332+4484+2332+2332+2332+3000+3000+3228+1166</f>
        <v>55416</v>
      </c>
      <c r="L1268" s="91">
        <v>0</v>
      </c>
      <c r="M1268" s="91">
        <v>0</v>
      </c>
      <c r="N1268" s="91">
        <v>1793</v>
      </c>
      <c r="O1268" s="91">
        <v>0</v>
      </c>
      <c r="P1268" s="91">
        <v>0</v>
      </c>
      <c r="Q1268" s="97">
        <f t="shared" si="38"/>
        <v>63408</v>
      </c>
      <c r="R1268" s="95">
        <f t="shared" si="39"/>
        <v>53896.800000000003</v>
      </c>
    </row>
    <row r="1269" spans="1:18" ht="34.049999999999997" customHeight="1" x14ac:dyDescent="0.3">
      <c r="A1269" s="90">
        <v>1258</v>
      </c>
      <c r="B1269" s="91" t="s">
        <v>4224</v>
      </c>
      <c r="C1269" s="91" t="s">
        <v>4283</v>
      </c>
      <c r="D1269" s="91" t="s">
        <v>4284</v>
      </c>
      <c r="E1269" s="91">
        <v>2023</v>
      </c>
      <c r="F1269" s="91" t="s">
        <v>19</v>
      </c>
      <c r="G1269" s="91" t="s">
        <v>4358</v>
      </c>
      <c r="H1269" s="91" t="s">
        <v>4393</v>
      </c>
      <c r="I1269" s="91" t="s">
        <v>1278</v>
      </c>
      <c r="J1269" s="91">
        <v>6199</v>
      </c>
      <c r="K1269" s="91">
        <f>6278+4484+1346+2332+2332+2332+2332+2332+4484</f>
        <v>28252</v>
      </c>
      <c r="L1269" s="91">
        <v>0</v>
      </c>
      <c r="M1269" s="91">
        <v>0</v>
      </c>
      <c r="N1269" s="91">
        <v>3148</v>
      </c>
      <c r="O1269" s="91">
        <v>0</v>
      </c>
      <c r="P1269" s="91">
        <v>0</v>
      </c>
      <c r="Q1269" s="97">
        <f t="shared" si="38"/>
        <v>37599</v>
      </c>
      <c r="R1269" s="95">
        <f t="shared" si="39"/>
        <v>31959.15</v>
      </c>
    </row>
    <row r="1270" spans="1:18" ht="34.049999999999997" customHeight="1" x14ac:dyDescent="0.3">
      <c r="A1270" s="96">
        <v>1259</v>
      </c>
      <c r="B1270" s="91" t="s">
        <v>4224</v>
      </c>
      <c r="C1270" s="91" t="s">
        <v>4285</v>
      </c>
      <c r="D1270" s="91" t="s">
        <v>4286</v>
      </c>
      <c r="E1270" s="91">
        <v>1987</v>
      </c>
      <c r="F1270" s="91" t="s">
        <v>19</v>
      </c>
      <c r="G1270" s="91" t="s">
        <v>4359</v>
      </c>
      <c r="H1270" s="91" t="s">
        <v>4359</v>
      </c>
      <c r="I1270" s="91" t="s">
        <v>1886</v>
      </c>
      <c r="J1270" s="91">
        <v>6199</v>
      </c>
      <c r="K1270" s="91">
        <v>0</v>
      </c>
      <c r="L1270" s="91">
        <v>9422</v>
      </c>
      <c r="M1270" s="91">
        <v>0</v>
      </c>
      <c r="N1270" s="91">
        <v>0</v>
      </c>
      <c r="O1270" s="91">
        <v>0</v>
      </c>
      <c r="P1270" s="91">
        <v>0</v>
      </c>
      <c r="Q1270" s="97">
        <f t="shared" si="38"/>
        <v>15621</v>
      </c>
      <c r="R1270" s="95">
        <f t="shared" si="39"/>
        <v>13277.85</v>
      </c>
    </row>
    <row r="1271" spans="1:18" ht="34.049999999999997" customHeight="1" x14ac:dyDescent="0.3">
      <c r="A1271" s="90">
        <v>1260</v>
      </c>
      <c r="B1271" s="91" t="s">
        <v>4224</v>
      </c>
      <c r="C1271" s="91" t="s">
        <v>4287</v>
      </c>
      <c r="D1271" s="91" t="s">
        <v>4288</v>
      </c>
      <c r="E1271" s="91">
        <v>1998</v>
      </c>
      <c r="F1271" s="91" t="s">
        <v>19</v>
      </c>
      <c r="G1271" s="91" t="s">
        <v>4360</v>
      </c>
      <c r="H1271" s="91" t="s">
        <v>4360</v>
      </c>
      <c r="I1271" s="91" t="s">
        <v>3935</v>
      </c>
      <c r="J1271" s="91">
        <v>6199</v>
      </c>
      <c r="K1271" s="91">
        <f>2332+2332+2243</f>
        <v>6907</v>
      </c>
      <c r="L1271" s="91">
        <v>9422</v>
      </c>
      <c r="M1271" s="91">
        <v>0</v>
      </c>
      <c r="N1271" s="91">
        <v>0</v>
      </c>
      <c r="O1271" s="91">
        <v>0</v>
      </c>
      <c r="P1271" s="91">
        <v>0</v>
      </c>
      <c r="Q1271" s="97">
        <f t="shared" si="38"/>
        <v>22528</v>
      </c>
      <c r="R1271" s="95">
        <f t="shared" si="39"/>
        <v>19148.8</v>
      </c>
    </row>
    <row r="1272" spans="1:18" ht="34.049999999999997" customHeight="1" x14ac:dyDescent="0.3">
      <c r="A1272" s="90">
        <v>1261</v>
      </c>
      <c r="B1272" s="91" t="s">
        <v>4224</v>
      </c>
      <c r="C1272" s="91" t="s">
        <v>4289</v>
      </c>
      <c r="D1272" s="91" t="s">
        <v>4290</v>
      </c>
      <c r="E1272" s="91">
        <v>2022</v>
      </c>
      <c r="F1272" s="91" t="s">
        <v>18</v>
      </c>
      <c r="G1272" s="91" t="s">
        <v>4361</v>
      </c>
      <c r="H1272" s="91" t="s">
        <v>4394</v>
      </c>
      <c r="I1272" s="91" t="s">
        <v>1277</v>
      </c>
      <c r="J1272" s="91">
        <v>6199</v>
      </c>
      <c r="K1272" s="91">
        <f>1346+6278+4484+4484</f>
        <v>16592</v>
      </c>
      <c r="L1272" s="91">
        <v>0</v>
      </c>
      <c r="M1272" s="91">
        <v>0</v>
      </c>
      <c r="N1272" s="91">
        <v>3148</v>
      </c>
      <c r="O1272" s="91">
        <v>0</v>
      </c>
      <c r="P1272" s="91">
        <v>0</v>
      </c>
      <c r="Q1272" s="97">
        <f t="shared" si="38"/>
        <v>25939</v>
      </c>
      <c r="R1272" s="95">
        <f t="shared" si="39"/>
        <v>22048.15</v>
      </c>
    </row>
    <row r="1273" spans="1:18" ht="34.049999999999997" customHeight="1" x14ac:dyDescent="0.3">
      <c r="A1273" s="96">
        <v>1262</v>
      </c>
      <c r="B1273" s="91" t="s">
        <v>4224</v>
      </c>
      <c r="C1273" s="91" t="s">
        <v>4291</v>
      </c>
      <c r="D1273" s="91" t="s">
        <v>4292</v>
      </c>
      <c r="E1273" s="91">
        <v>2015</v>
      </c>
      <c r="F1273" s="91" t="s">
        <v>18</v>
      </c>
      <c r="G1273" s="91" t="s">
        <v>4362</v>
      </c>
      <c r="H1273" s="91" t="s">
        <v>4395</v>
      </c>
      <c r="I1273" s="91" t="s">
        <v>299</v>
      </c>
      <c r="J1273" s="91">
        <v>6199</v>
      </c>
      <c r="K1273" s="91">
        <f>1346+6278+4484+4484</f>
        <v>16592</v>
      </c>
      <c r="L1273" s="91">
        <v>0</v>
      </c>
      <c r="M1273" s="91">
        <v>0</v>
      </c>
      <c r="N1273" s="91">
        <v>3148</v>
      </c>
      <c r="O1273" s="91">
        <v>0</v>
      </c>
      <c r="P1273" s="91">
        <v>0</v>
      </c>
      <c r="Q1273" s="97">
        <f t="shared" si="38"/>
        <v>25939</v>
      </c>
      <c r="R1273" s="95">
        <f t="shared" si="39"/>
        <v>22048.15</v>
      </c>
    </row>
    <row r="1274" spans="1:18" ht="34.049999999999997" customHeight="1" x14ac:dyDescent="0.3">
      <c r="A1274" s="90">
        <v>1263</v>
      </c>
      <c r="B1274" s="91" t="s">
        <v>4224</v>
      </c>
      <c r="C1274" s="91" t="s">
        <v>4293</v>
      </c>
      <c r="D1274" s="91" t="s">
        <v>4294</v>
      </c>
      <c r="E1274" s="91">
        <v>2025</v>
      </c>
      <c r="F1274" s="91" t="s">
        <v>18</v>
      </c>
      <c r="G1274" s="91" t="s">
        <v>4363</v>
      </c>
      <c r="H1274" s="91" t="s">
        <v>4396</v>
      </c>
      <c r="I1274" s="91" t="s">
        <v>3497</v>
      </c>
      <c r="J1274" s="91">
        <v>6199</v>
      </c>
      <c r="K1274" s="91">
        <v>0</v>
      </c>
      <c r="L1274" s="91">
        <v>13298</v>
      </c>
      <c r="M1274" s="91">
        <v>0</v>
      </c>
      <c r="N1274" s="91">
        <v>84494</v>
      </c>
      <c r="O1274" s="91">
        <v>0</v>
      </c>
      <c r="P1274" s="91">
        <v>0</v>
      </c>
      <c r="Q1274" s="97">
        <f t="shared" si="38"/>
        <v>103991</v>
      </c>
      <c r="R1274" s="95">
        <f t="shared" si="39"/>
        <v>88392.35</v>
      </c>
    </row>
    <row r="1275" spans="1:18" ht="34.049999999999997" customHeight="1" x14ac:dyDescent="0.3">
      <c r="A1275" s="90">
        <v>1264</v>
      </c>
      <c r="B1275" s="91" t="s">
        <v>4224</v>
      </c>
      <c r="C1275" s="91" t="s">
        <v>4295</v>
      </c>
      <c r="D1275" s="91" t="s">
        <v>4296</v>
      </c>
      <c r="E1275" s="91">
        <v>1985</v>
      </c>
      <c r="F1275" s="91" t="s">
        <v>19</v>
      </c>
      <c r="G1275" s="91" t="s">
        <v>4364</v>
      </c>
      <c r="H1275" s="91" t="s">
        <v>4397</v>
      </c>
      <c r="I1275" s="91" t="s">
        <v>24</v>
      </c>
      <c r="J1275" s="91">
        <v>6199</v>
      </c>
      <c r="K1275" s="91">
        <f>2332+2332+2243</f>
        <v>6907</v>
      </c>
      <c r="L1275" s="91">
        <v>0</v>
      </c>
      <c r="M1275" s="91">
        <v>0</v>
      </c>
      <c r="N1275" s="91">
        <v>0</v>
      </c>
      <c r="O1275" s="91">
        <v>0</v>
      </c>
      <c r="P1275" s="91">
        <v>0</v>
      </c>
      <c r="Q1275" s="97">
        <f t="shared" si="38"/>
        <v>13106</v>
      </c>
      <c r="R1275" s="95">
        <f t="shared" si="39"/>
        <v>11140.1</v>
      </c>
    </row>
    <row r="1276" spans="1:18" ht="34.049999999999997" customHeight="1" x14ac:dyDescent="0.3">
      <c r="A1276" s="96">
        <v>1265</v>
      </c>
      <c r="B1276" s="91" t="s">
        <v>4224</v>
      </c>
      <c r="C1276" s="91" t="s">
        <v>4297</v>
      </c>
      <c r="D1276" s="91" t="s">
        <v>4298</v>
      </c>
      <c r="E1276" s="91">
        <v>2025</v>
      </c>
      <c r="F1276" s="91" t="s">
        <v>18</v>
      </c>
      <c r="G1276" s="91" t="s">
        <v>4365</v>
      </c>
      <c r="H1276" s="91" t="s">
        <v>4398</v>
      </c>
      <c r="I1276" s="91" t="s">
        <v>4418</v>
      </c>
      <c r="J1276" s="91">
        <v>6199</v>
      </c>
      <c r="K1276" s="91">
        <v>0</v>
      </c>
      <c r="L1276" s="91">
        <v>13526</v>
      </c>
      <c r="M1276" s="91">
        <v>0</v>
      </c>
      <c r="N1276" s="91">
        <v>0</v>
      </c>
      <c r="O1276" s="91">
        <v>0</v>
      </c>
      <c r="P1276" s="91">
        <v>0</v>
      </c>
      <c r="Q1276" s="94">
        <f t="shared" si="38"/>
        <v>19725</v>
      </c>
      <c r="R1276" s="95">
        <f t="shared" si="39"/>
        <v>16766.25</v>
      </c>
    </row>
    <row r="1277" spans="1:18" ht="34.049999999999997" customHeight="1" x14ac:dyDescent="0.3">
      <c r="A1277" s="90">
        <v>1266</v>
      </c>
      <c r="B1277" s="91" t="s">
        <v>4224</v>
      </c>
      <c r="C1277" s="91" t="s">
        <v>4299</v>
      </c>
      <c r="D1277" s="91" t="s">
        <v>4300</v>
      </c>
      <c r="E1277" s="91">
        <v>1998</v>
      </c>
      <c r="F1277" s="91" t="s">
        <v>19</v>
      </c>
      <c r="G1277" s="91" t="s">
        <v>4366</v>
      </c>
      <c r="H1277" s="91" t="s">
        <v>1435</v>
      </c>
      <c r="I1277" s="91" t="s">
        <v>4419</v>
      </c>
      <c r="J1277" s="91">
        <v>3793</v>
      </c>
      <c r="K1277" s="91">
        <f>6278+4484+6995+2332+2332+2332+2332+2332+2332+3000+3000+2332+2332+3587+3228</f>
        <v>49228</v>
      </c>
      <c r="L1277" s="91">
        <v>20807</v>
      </c>
      <c r="M1277" s="91">
        <v>0</v>
      </c>
      <c r="N1277" s="91">
        <v>0</v>
      </c>
      <c r="O1277" s="91">
        <v>0</v>
      </c>
      <c r="P1277" s="91">
        <v>0</v>
      </c>
      <c r="Q1277" s="97">
        <f t="shared" si="38"/>
        <v>73828</v>
      </c>
      <c r="R1277" s="95">
        <f t="shared" si="39"/>
        <v>62753.8</v>
      </c>
    </row>
    <row r="1278" spans="1:18" ht="34.049999999999997" customHeight="1" x14ac:dyDescent="0.3">
      <c r="A1278" s="90">
        <v>1267</v>
      </c>
      <c r="B1278" s="91" t="s">
        <v>4224</v>
      </c>
      <c r="C1278" s="91" t="s">
        <v>4301</v>
      </c>
      <c r="D1278" s="91" t="s">
        <v>4302</v>
      </c>
      <c r="E1278" s="91">
        <v>1973</v>
      </c>
      <c r="F1278" s="91" t="s">
        <v>19</v>
      </c>
      <c r="G1278" s="91" t="s">
        <v>4367</v>
      </c>
      <c r="H1278" s="91" t="s">
        <v>4399</v>
      </c>
      <c r="I1278" s="91" t="s">
        <v>4420</v>
      </c>
      <c r="J1278" s="91">
        <v>6199</v>
      </c>
      <c r="K1278" s="91">
        <f>6278+4484+6995+3228+2332+2332+2243+1166+2332+2332+2332</f>
        <v>36054</v>
      </c>
      <c r="L1278" s="91">
        <v>0</v>
      </c>
      <c r="M1278" s="91">
        <v>0</v>
      </c>
      <c r="N1278" s="91">
        <v>1793</v>
      </c>
      <c r="O1278" s="91">
        <v>0</v>
      </c>
      <c r="P1278" s="91">
        <v>0</v>
      </c>
      <c r="Q1278" s="97">
        <f t="shared" si="38"/>
        <v>44046</v>
      </c>
      <c r="R1278" s="95">
        <f t="shared" si="39"/>
        <v>37439.1</v>
      </c>
    </row>
    <row r="1279" spans="1:18" ht="34.049999999999997" customHeight="1" x14ac:dyDescent="0.3">
      <c r="A1279" s="96">
        <v>1268</v>
      </c>
      <c r="B1279" s="91" t="s">
        <v>4224</v>
      </c>
      <c r="C1279" s="91" t="s">
        <v>4303</v>
      </c>
      <c r="D1279" s="91" t="s">
        <v>1576</v>
      </c>
      <c r="E1279" s="91">
        <v>1959</v>
      </c>
      <c r="F1279" s="91" t="s">
        <v>19</v>
      </c>
      <c r="G1279" s="91" t="s">
        <v>1642</v>
      </c>
      <c r="H1279" s="91" t="s">
        <v>1642</v>
      </c>
      <c r="I1279" s="91" t="s">
        <v>824</v>
      </c>
      <c r="J1279" s="91">
        <v>3793</v>
      </c>
      <c r="K1279" s="91">
        <f>6278+4484+2332+2332+1346+4484+4484+2332+4484</f>
        <v>32556</v>
      </c>
      <c r="L1279" s="91">
        <v>0</v>
      </c>
      <c r="M1279" s="91">
        <v>0</v>
      </c>
      <c r="N1279" s="91">
        <v>1793</v>
      </c>
      <c r="O1279" s="91">
        <v>0</v>
      </c>
      <c r="P1279" s="91">
        <v>0</v>
      </c>
      <c r="Q1279" s="97">
        <f t="shared" si="38"/>
        <v>38142</v>
      </c>
      <c r="R1279" s="95">
        <f t="shared" si="39"/>
        <v>32420.7</v>
      </c>
    </row>
    <row r="1280" spans="1:18" ht="34.049999999999997" customHeight="1" x14ac:dyDescent="0.3">
      <c r="A1280" s="90">
        <v>1269</v>
      </c>
      <c r="B1280" s="91" t="s">
        <v>4224</v>
      </c>
      <c r="C1280" s="91" t="s">
        <v>4304</v>
      </c>
      <c r="D1280" s="91" t="s">
        <v>4305</v>
      </c>
      <c r="E1280" s="91">
        <v>1974</v>
      </c>
      <c r="F1280" s="91" t="s">
        <v>18</v>
      </c>
      <c r="G1280" s="91" t="s">
        <v>4368</v>
      </c>
      <c r="H1280" s="91" t="s">
        <v>4368</v>
      </c>
      <c r="I1280" s="91" t="s">
        <v>4421</v>
      </c>
      <c r="J1280" s="91">
        <v>6199</v>
      </c>
      <c r="K1280" s="91">
        <f>6278+2332+2332+2332+2332+2332+3000+3000+3228+4484+4484</f>
        <v>36134</v>
      </c>
      <c r="L1280" s="91">
        <v>0</v>
      </c>
      <c r="M1280" s="91">
        <v>0</v>
      </c>
      <c r="N1280" s="91">
        <v>1793</v>
      </c>
      <c r="O1280" s="91">
        <v>0</v>
      </c>
      <c r="P1280" s="91">
        <v>0</v>
      </c>
      <c r="Q1280" s="97">
        <f t="shared" si="38"/>
        <v>44126</v>
      </c>
      <c r="R1280" s="95">
        <f t="shared" si="39"/>
        <v>37507.1</v>
      </c>
    </row>
    <row r="1281" spans="1:23" ht="34.049999999999997" customHeight="1" x14ac:dyDescent="0.3">
      <c r="A1281" s="90">
        <v>1270</v>
      </c>
      <c r="B1281" s="91" t="s">
        <v>4224</v>
      </c>
      <c r="C1281" s="91" t="s">
        <v>4306</v>
      </c>
      <c r="D1281" s="91" t="s">
        <v>3831</v>
      </c>
      <c r="E1281" s="91">
        <v>1984</v>
      </c>
      <c r="F1281" s="91" t="s">
        <v>18</v>
      </c>
      <c r="G1281" s="91" t="s">
        <v>2832</v>
      </c>
      <c r="H1281" s="91" t="s">
        <v>2832</v>
      </c>
      <c r="I1281" s="91" t="s">
        <v>300</v>
      </c>
      <c r="J1281" s="91">
        <v>3793</v>
      </c>
      <c r="K1281" s="91">
        <v>0</v>
      </c>
      <c r="L1281" s="91">
        <v>0</v>
      </c>
      <c r="M1281" s="91">
        <v>0</v>
      </c>
      <c r="N1281" s="91">
        <v>0</v>
      </c>
      <c r="O1281" s="91">
        <v>0</v>
      </c>
      <c r="P1281" s="91">
        <v>0</v>
      </c>
      <c r="Q1281" s="94">
        <f t="shared" si="38"/>
        <v>3793</v>
      </c>
      <c r="R1281" s="95">
        <f t="shared" si="39"/>
        <v>3224.05</v>
      </c>
    </row>
    <row r="1282" spans="1:23" ht="34.049999999999997" customHeight="1" x14ac:dyDescent="0.3">
      <c r="A1282" s="96">
        <v>1271</v>
      </c>
      <c r="B1282" s="91" t="s">
        <v>4224</v>
      </c>
      <c r="C1282" s="91" t="s">
        <v>4307</v>
      </c>
      <c r="D1282" s="91" t="s">
        <v>3792</v>
      </c>
      <c r="E1282" s="91">
        <v>1991</v>
      </c>
      <c r="F1282" s="91" t="s">
        <v>18</v>
      </c>
      <c r="G1282" s="91" t="s">
        <v>3869</v>
      </c>
      <c r="H1282" s="91" t="s">
        <v>3915</v>
      </c>
      <c r="I1282" s="91" t="s">
        <v>3939</v>
      </c>
      <c r="J1282" s="91">
        <v>0</v>
      </c>
      <c r="K1282" s="91">
        <v>0</v>
      </c>
      <c r="L1282" s="91">
        <v>0</v>
      </c>
      <c r="M1282" s="91">
        <v>0</v>
      </c>
      <c r="N1282" s="91">
        <v>5321</v>
      </c>
      <c r="O1282" s="91">
        <v>0</v>
      </c>
      <c r="P1282" s="91">
        <v>0</v>
      </c>
      <c r="Q1282" s="97">
        <f t="shared" si="38"/>
        <v>5321</v>
      </c>
      <c r="R1282" s="95">
        <f t="shared" si="39"/>
        <v>4522.8500000000004</v>
      </c>
    </row>
    <row r="1283" spans="1:23" ht="34.049999999999997" customHeight="1" x14ac:dyDescent="0.3">
      <c r="A1283" s="90">
        <v>1272</v>
      </c>
      <c r="B1283" s="91" t="s">
        <v>4224</v>
      </c>
      <c r="C1283" s="91" t="s">
        <v>4308</v>
      </c>
      <c r="D1283" s="91" t="s">
        <v>2965</v>
      </c>
      <c r="E1283" s="91">
        <v>1984</v>
      </c>
      <c r="F1283" s="91" t="s">
        <v>19</v>
      </c>
      <c r="G1283" s="91" t="s">
        <v>3036</v>
      </c>
      <c r="H1283" s="91" t="s">
        <v>3036</v>
      </c>
      <c r="I1283" s="91" t="s">
        <v>1279</v>
      </c>
      <c r="J1283" s="91">
        <v>3793</v>
      </c>
      <c r="K1283" s="91">
        <f>2332+2332+2332+1346+6278</f>
        <v>14620</v>
      </c>
      <c r="L1283" s="91">
        <v>0</v>
      </c>
      <c r="M1283" s="91">
        <v>0</v>
      </c>
      <c r="N1283" s="91">
        <v>1793</v>
      </c>
      <c r="O1283" s="91">
        <v>0</v>
      </c>
      <c r="P1283" s="91">
        <v>0</v>
      </c>
      <c r="Q1283" s="97">
        <f t="shared" si="38"/>
        <v>20206</v>
      </c>
      <c r="R1283" s="95">
        <f t="shared" si="39"/>
        <v>17175.099999999999</v>
      </c>
    </row>
    <row r="1284" spans="1:23" ht="34.049999999999997" customHeight="1" x14ac:dyDescent="0.3">
      <c r="A1284" s="90">
        <v>1273</v>
      </c>
      <c r="B1284" s="91" t="s">
        <v>4224</v>
      </c>
      <c r="C1284" s="91" t="s">
        <v>4309</v>
      </c>
      <c r="D1284" s="91" t="s">
        <v>1165</v>
      </c>
      <c r="E1284" s="91">
        <v>1999</v>
      </c>
      <c r="F1284" s="91" t="s">
        <v>19</v>
      </c>
      <c r="G1284" s="91" t="s">
        <v>1219</v>
      </c>
      <c r="H1284" s="91" t="s">
        <v>1219</v>
      </c>
      <c r="I1284" s="91" t="s">
        <v>1283</v>
      </c>
      <c r="J1284" s="91">
        <v>3793</v>
      </c>
      <c r="K1284" s="91">
        <v>0</v>
      </c>
      <c r="L1284" s="91">
        <v>0</v>
      </c>
      <c r="M1284" s="91">
        <v>0</v>
      </c>
      <c r="N1284" s="91">
        <v>0</v>
      </c>
      <c r="O1284" s="91">
        <v>0</v>
      </c>
      <c r="P1284" s="91">
        <v>0</v>
      </c>
      <c r="Q1284" s="97">
        <f t="shared" si="38"/>
        <v>3793</v>
      </c>
      <c r="R1284" s="95">
        <f t="shared" si="39"/>
        <v>3224.05</v>
      </c>
    </row>
    <row r="1285" spans="1:23" ht="34.049999999999997" customHeight="1" x14ac:dyDescent="0.3">
      <c r="A1285" s="96">
        <v>1274</v>
      </c>
      <c r="B1285" s="91" t="s">
        <v>4224</v>
      </c>
      <c r="C1285" s="91" t="s">
        <v>4310</v>
      </c>
      <c r="D1285" s="91" t="s">
        <v>4311</v>
      </c>
      <c r="E1285" s="91">
        <v>2014</v>
      </c>
      <c r="F1285" s="91" t="s">
        <v>19</v>
      </c>
      <c r="G1285" s="91" t="s">
        <v>4369</v>
      </c>
      <c r="H1285" s="91" t="s">
        <v>1034</v>
      </c>
      <c r="I1285" s="91" t="s">
        <v>1067</v>
      </c>
      <c r="J1285" s="91">
        <v>6199</v>
      </c>
      <c r="K1285" s="91">
        <v>0</v>
      </c>
      <c r="L1285" s="91">
        <v>0</v>
      </c>
      <c r="M1285" s="91">
        <v>0</v>
      </c>
      <c r="N1285" s="91">
        <v>0</v>
      </c>
      <c r="O1285" s="91">
        <v>0</v>
      </c>
      <c r="P1285" s="91">
        <v>0</v>
      </c>
      <c r="Q1285" s="97">
        <f t="shared" si="38"/>
        <v>6199</v>
      </c>
      <c r="R1285" s="95">
        <f t="shared" si="39"/>
        <v>5269.15</v>
      </c>
    </row>
    <row r="1286" spans="1:23" ht="34.049999999999997" customHeight="1" x14ac:dyDescent="0.3">
      <c r="A1286" s="90">
        <v>1275</v>
      </c>
      <c r="B1286" s="91" t="s">
        <v>4224</v>
      </c>
      <c r="C1286" s="91" t="s">
        <v>4312</v>
      </c>
      <c r="D1286" s="91" t="s">
        <v>4313</v>
      </c>
      <c r="E1286" s="91">
        <v>1994</v>
      </c>
      <c r="F1286" s="91" t="s">
        <v>19</v>
      </c>
      <c r="G1286" s="91" t="s">
        <v>4370</v>
      </c>
      <c r="H1286" s="91" t="s">
        <v>4391</v>
      </c>
      <c r="I1286" s="91" t="s">
        <v>300</v>
      </c>
      <c r="J1286" s="91">
        <v>6199</v>
      </c>
      <c r="K1286" s="91">
        <v>0</v>
      </c>
      <c r="L1286" s="91">
        <v>0</v>
      </c>
      <c r="M1286" s="91">
        <v>0</v>
      </c>
      <c r="N1286" s="91">
        <v>0</v>
      </c>
      <c r="O1286" s="91">
        <v>0</v>
      </c>
      <c r="P1286" s="91">
        <v>0</v>
      </c>
      <c r="Q1286" s="94">
        <f t="shared" si="38"/>
        <v>6199</v>
      </c>
      <c r="R1286" s="95">
        <f t="shared" si="39"/>
        <v>5269.15</v>
      </c>
    </row>
    <row r="1287" spans="1:23" ht="34.049999999999997" customHeight="1" x14ac:dyDescent="0.3">
      <c r="A1287" s="90">
        <v>1276</v>
      </c>
      <c r="B1287" s="91" t="s">
        <v>4224</v>
      </c>
      <c r="C1287" s="91" t="s">
        <v>4314</v>
      </c>
      <c r="D1287" s="91" t="s">
        <v>4315</v>
      </c>
      <c r="E1287" s="91">
        <v>1975</v>
      </c>
      <c r="F1287" s="91" t="s">
        <v>18</v>
      </c>
      <c r="G1287" s="91" t="s">
        <v>4371</v>
      </c>
      <c r="H1287" s="91" t="s">
        <v>4371</v>
      </c>
      <c r="I1287" s="91" t="s">
        <v>565</v>
      </c>
      <c r="J1287" s="91">
        <v>6199</v>
      </c>
      <c r="K1287" s="91">
        <v>0</v>
      </c>
      <c r="L1287" s="91">
        <v>0</v>
      </c>
      <c r="M1287" s="91">
        <v>0</v>
      </c>
      <c r="N1287" s="91">
        <v>0</v>
      </c>
      <c r="O1287" s="91">
        <v>0</v>
      </c>
      <c r="P1287" s="91">
        <v>0</v>
      </c>
      <c r="Q1287" s="97">
        <f t="shared" si="38"/>
        <v>6199</v>
      </c>
      <c r="R1287" s="95">
        <f t="shared" si="39"/>
        <v>5269.15</v>
      </c>
    </row>
    <row r="1288" spans="1:23" ht="34.049999999999997" customHeight="1" x14ac:dyDescent="0.3">
      <c r="A1288" s="96">
        <v>1277</v>
      </c>
      <c r="B1288" s="91" t="s">
        <v>4224</v>
      </c>
      <c r="C1288" s="91" t="s">
        <v>4316</v>
      </c>
      <c r="D1288" s="91" t="s">
        <v>4317</v>
      </c>
      <c r="E1288" s="91">
        <v>1987</v>
      </c>
      <c r="F1288" s="91" t="s">
        <v>19</v>
      </c>
      <c r="G1288" s="91" t="s">
        <v>4372</v>
      </c>
      <c r="H1288" s="91" t="s">
        <v>4372</v>
      </c>
      <c r="I1288" s="91" t="s">
        <v>556</v>
      </c>
      <c r="J1288" s="91">
        <v>6199</v>
      </c>
      <c r="K1288" s="91">
        <f>6278+4484+1166+3228+2332+2332+2332+1166+6995+2332+2332+2332+3000+3000+2332+2332+2243+6995</f>
        <v>57211</v>
      </c>
      <c r="L1288" s="91">
        <v>0</v>
      </c>
      <c r="M1288" s="91">
        <v>0</v>
      </c>
      <c r="N1288" s="91">
        <f>1681+1793</f>
        <v>3474</v>
      </c>
      <c r="O1288" s="91">
        <v>0</v>
      </c>
      <c r="P1288" s="91">
        <v>200</v>
      </c>
      <c r="Q1288" s="97">
        <f t="shared" si="38"/>
        <v>67084</v>
      </c>
      <c r="R1288" s="95">
        <f t="shared" si="39"/>
        <v>57021.4</v>
      </c>
    </row>
    <row r="1289" spans="1:23" ht="34.049999999999997" customHeight="1" x14ac:dyDescent="0.3">
      <c r="A1289" s="90">
        <v>1278</v>
      </c>
      <c r="B1289" s="91" t="s">
        <v>4224</v>
      </c>
      <c r="C1289" s="91" t="s">
        <v>4318</v>
      </c>
      <c r="D1289" s="91" t="s">
        <v>4319</v>
      </c>
      <c r="E1289" s="91">
        <v>1988</v>
      </c>
      <c r="F1289" s="91" t="s">
        <v>19</v>
      </c>
      <c r="G1289" s="91" t="s">
        <v>808</v>
      </c>
      <c r="H1289" s="91" t="s">
        <v>808</v>
      </c>
      <c r="I1289" s="91" t="s">
        <v>4422</v>
      </c>
      <c r="J1289" s="91">
        <v>6199</v>
      </c>
      <c r="K1289" s="91">
        <v>0</v>
      </c>
      <c r="L1289" s="91">
        <v>0</v>
      </c>
      <c r="M1289" s="91">
        <v>0</v>
      </c>
      <c r="N1289" s="91">
        <v>0</v>
      </c>
      <c r="O1289" s="91">
        <v>0</v>
      </c>
      <c r="P1289" s="91">
        <v>0</v>
      </c>
      <c r="Q1289" s="97">
        <f t="shared" si="38"/>
        <v>6199</v>
      </c>
      <c r="R1289" s="95">
        <f t="shared" si="39"/>
        <v>5269.15</v>
      </c>
    </row>
    <row r="1290" spans="1:23" ht="34.049999999999997" customHeight="1" x14ac:dyDescent="0.3">
      <c r="A1290" s="90">
        <v>1279</v>
      </c>
      <c r="B1290" s="91" t="s">
        <v>4224</v>
      </c>
      <c r="C1290" s="91" t="s">
        <v>4320</v>
      </c>
      <c r="D1290" s="91" t="s">
        <v>4321</v>
      </c>
      <c r="E1290" s="91">
        <v>2018</v>
      </c>
      <c r="F1290" s="91" t="s">
        <v>19</v>
      </c>
      <c r="G1290" s="91" t="s">
        <v>4373</v>
      </c>
      <c r="H1290" s="91" t="s">
        <v>4400</v>
      </c>
      <c r="I1290" s="91" t="s">
        <v>299</v>
      </c>
      <c r="J1290" s="91">
        <v>6199</v>
      </c>
      <c r="K1290" s="91">
        <f>1346+6278+4484+4484+2332+2332+2332+2332+2332+2332+6995+6995+2332+6995</f>
        <v>53901</v>
      </c>
      <c r="L1290" s="91">
        <v>0</v>
      </c>
      <c r="M1290" s="91">
        <v>0</v>
      </c>
      <c r="N1290" s="91">
        <v>3148</v>
      </c>
      <c r="O1290" s="91">
        <v>0</v>
      </c>
      <c r="P1290" s="91">
        <v>0</v>
      </c>
      <c r="Q1290" s="97">
        <f t="shared" si="38"/>
        <v>63248</v>
      </c>
      <c r="R1290" s="95">
        <f t="shared" si="39"/>
        <v>53760.800000000003</v>
      </c>
    </row>
    <row r="1291" spans="1:23" ht="34.049999999999997" customHeight="1" x14ac:dyDescent="0.3">
      <c r="A1291" s="96">
        <v>1280</v>
      </c>
      <c r="B1291" s="98" t="s">
        <v>4224</v>
      </c>
      <c r="C1291" s="98" t="s">
        <v>4322</v>
      </c>
      <c r="D1291" s="98" t="s">
        <v>4323</v>
      </c>
      <c r="E1291" s="98">
        <v>2024</v>
      </c>
      <c r="F1291" s="98" t="s">
        <v>18</v>
      </c>
      <c r="G1291" s="98" t="s">
        <v>4374</v>
      </c>
      <c r="H1291" s="98" t="s">
        <v>4401</v>
      </c>
      <c r="I1291" s="98" t="s">
        <v>2137</v>
      </c>
      <c r="J1291" s="98">
        <v>6199</v>
      </c>
      <c r="K1291" s="98">
        <f>1346+6278+4484+4484+2332+2332+2332+2332+2332+6995+6995+2332+6995+2332</f>
        <v>53901</v>
      </c>
      <c r="L1291" s="98">
        <v>0</v>
      </c>
      <c r="M1291" s="98">
        <v>0</v>
      </c>
      <c r="N1291" s="98">
        <v>3148</v>
      </c>
      <c r="O1291" s="98">
        <v>0</v>
      </c>
      <c r="P1291" s="98">
        <v>0</v>
      </c>
      <c r="Q1291" s="97">
        <f t="shared" si="38"/>
        <v>63248</v>
      </c>
      <c r="R1291" s="95">
        <f t="shared" si="39"/>
        <v>53760.800000000003</v>
      </c>
      <c r="S1291" s="41"/>
      <c r="T1291" s="41"/>
      <c r="U1291" s="41"/>
      <c r="V1291" s="41"/>
      <c r="W1291" s="41"/>
    </row>
    <row r="1292" spans="1:23" ht="34.049999999999997" customHeight="1" x14ac:dyDescent="0.3">
      <c r="A1292" s="90">
        <v>1281</v>
      </c>
      <c r="B1292" s="91" t="s">
        <v>4224</v>
      </c>
      <c r="C1292" s="91" t="s">
        <v>4324</v>
      </c>
      <c r="D1292" s="91" t="s">
        <v>4325</v>
      </c>
      <c r="E1292" s="91">
        <v>2015</v>
      </c>
      <c r="F1292" s="91" t="s">
        <v>18</v>
      </c>
      <c r="G1292" s="91" t="s">
        <v>4375</v>
      </c>
      <c r="H1292" s="91" t="s">
        <v>3629</v>
      </c>
      <c r="I1292" s="91" t="s">
        <v>3100</v>
      </c>
      <c r="J1292" s="91">
        <v>6199</v>
      </c>
      <c r="K1292" s="91">
        <f>6278+1346+4484+1166</f>
        <v>13274</v>
      </c>
      <c r="L1292" s="91">
        <v>0</v>
      </c>
      <c r="M1292" s="91">
        <v>0</v>
      </c>
      <c r="N1292" s="91">
        <v>3148</v>
      </c>
      <c r="O1292" s="91">
        <v>0</v>
      </c>
      <c r="P1292" s="91">
        <v>0</v>
      </c>
      <c r="Q1292" s="97">
        <f t="shared" ref="Q1292:Q1355" si="40">SUM(J1292:P1292)</f>
        <v>22621</v>
      </c>
      <c r="R1292" s="95">
        <f t="shared" si="39"/>
        <v>19227.849999999999</v>
      </c>
    </row>
    <row r="1293" spans="1:23" ht="34.049999999999997" customHeight="1" x14ac:dyDescent="0.3">
      <c r="A1293" s="90">
        <v>1282</v>
      </c>
      <c r="B1293" s="91" t="s">
        <v>4224</v>
      </c>
      <c r="C1293" s="91" t="s">
        <v>4326</v>
      </c>
      <c r="D1293" s="91" t="s">
        <v>4327</v>
      </c>
      <c r="E1293" s="91">
        <v>2021</v>
      </c>
      <c r="F1293" s="91" t="s">
        <v>19</v>
      </c>
      <c r="G1293" s="91" t="s">
        <v>4376</v>
      </c>
      <c r="H1293" s="91" t="s">
        <v>4402</v>
      </c>
      <c r="I1293" s="91" t="s">
        <v>1083</v>
      </c>
      <c r="J1293" s="91">
        <v>6199</v>
      </c>
      <c r="K1293" s="91">
        <v>0</v>
      </c>
      <c r="L1293" s="91">
        <v>0</v>
      </c>
      <c r="M1293" s="91">
        <v>0</v>
      </c>
      <c r="N1293" s="91">
        <v>0</v>
      </c>
      <c r="O1293" s="91">
        <v>0</v>
      </c>
      <c r="P1293" s="91">
        <v>0</v>
      </c>
      <c r="Q1293" s="97">
        <f t="shared" si="40"/>
        <v>6199</v>
      </c>
      <c r="R1293" s="95">
        <f t="shared" ref="R1293:R1356" si="41">Q1293*85/100</f>
        <v>5269.15</v>
      </c>
    </row>
    <row r="1294" spans="1:23" ht="34.049999999999997" customHeight="1" x14ac:dyDescent="0.3">
      <c r="A1294" s="96">
        <v>1283</v>
      </c>
      <c r="B1294" s="91" t="s">
        <v>4224</v>
      </c>
      <c r="C1294" s="91" t="s">
        <v>4328</v>
      </c>
      <c r="D1294" s="91" t="s">
        <v>963</v>
      </c>
      <c r="E1294" s="91">
        <v>1995</v>
      </c>
      <c r="F1294" s="91" t="s">
        <v>19</v>
      </c>
      <c r="G1294" s="91" t="s">
        <v>1013</v>
      </c>
      <c r="H1294" s="91" t="s">
        <v>1045</v>
      </c>
      <c r="I1294" s="91" t="s">
        <v>1083</v>
      </c>
      <c r="J1294" s="91">
        <v>6199</v>
      </c>
      <c r="K1294" s="91">
        <f>2332+2332+2243</f>
        <v>6907</v>
      </c>
      <c r="L1294" s="91">
        <v>0</v>
      </c>
      <c r="M1294" s="91">
        <v>0</v>
      </c>
      <c r="N1294" s="91">
        <f>1681</f>
        <v>1681</v>
      </c>
      <c r="O1294" s="91">
        <v>0</v>
      </c>
      <c r="P1294" s="91">
        <f>624+112</f>
        <v>736</v>
      </c>
      <c r="Q1294" s="97">
        <f t="shared" si="40"/>
        <v>15523</v>
      </c>
      <c r="R1294" s="95">
        <f t="shared" si="41"/>
        <v>13194.55</v>
      </c>
    </row>
    <row r="1295" spans="1:23" ht="34.049999999999997" customHeight="1" x14ac:dyDescent="0.3">
      <c r="A1295" s="90">
        <v>1284</v>
      </c>
      <c r="B1295" s="91" t="s">
        <v>4224</v>
      </c>
      <c r="C1295" s="91" t="s">
        <v>4329</v>
      </c>
      <c r="D1295" s="91" t="s">
        <v>1152</v>
      </c>
      <c r="E1295" s="91">
        <v>2017</v>
      </c>
      <c r="F1295" s="91" t="s">
        <v>18</v>
      </c>
      <c r="G1295" s="91" t="s">
        <v>4377</v>
      </c>
      <c r="H1295" s="91" t="s">
        <v>1207</v>
      </c>
      <c r="I1295" s="91" t="s">
        <v>1278</v>
      </c>
      <c r="J1295" s="91">
        <v>6199</v>
      </c>
      <c r="K1295" s="91">
        <v>0</v>
      </c>
      <c r="L1295" s="91">
        <v>0</v>
      </c>
      <c r="M1295" s="91">
        <v>0</v>
      </c>
      <c r="N1295" s="91">
        <v>0</v>
      </c>
      <c r="O1295" s="91">
        <v>0</v>
      </c>
      <c r="P1295" s="91">
        <v>0</v>
      </c>
      <c r="Q1295" s="97">
        <f t="shared" si="40"/>
        <v>6199</v>
      </c>
      <c r="R1295" s="95">
        <f t="shared" si="41"/>
        <v>5269.15</v>
      </c>
    </row>
    <row r="1296" spans="1:23" ht="34.049999999999997" customHeight="1" x14ac:dyDescent="0.3">
      <c r="A1296" s="90">
        <v>1285</v>
      </c>
      <c r="B1296" s="91" t="s">
        <v>4224</v>
      </c>
      <c r="C1296" s="91" t="s">
        <v>7268</v>
      </c>
      <c r="D1296" s="93" t="s">
        <v>6393</v>
      </c>
      <c r="E1296" s="91">
        <v>2021</v>
      </c>
      <c r="F1296" s="91" t="s">
        <v>18</v>
      </c>
      <c r="G1296" s="91" t="s">
        <v>6394</v>
      </c>
      <c r="H1296" s="91" t="s">
        <v>6395</v>
      </c>
      <c r="I1296" s="91" t="s">
        <v>539</v>
      </c>
      <c r="J1296" s="91">
        <v>6199</v>
      </c>
      <c r="K1296" s="91">
        <f>1346+6278+4484+4484+2332+2332+2332+2332+2332+2332+6995+6995+2332+6995+1166</f>
        <v>55067</v>
      </c>
      <c r="L1296" s="91">
        <v>0</v>
      </c>
      <c r="M1296" s="91">
        <v>0</v>
      </c>
      <c r="N1296" s="91">
        <f>3148+4053+1178+1681</f>
        <v>10060</v>
      </c>
      <c r="O1296" s="91">
        <v>0</v>
      </c>
      <c r="P1296" s="91">
        <f>720+1080+1200+360+56</f>
        <v>3416</v>
      </c>
      <c r="Q1296" s="97">
        <f t="shared" si="40"/>
        <v>74742</v>
      </c>
      <c r="R1296" s="95">
        <f t="shared" si="41"/>
        <v>63530.7</v>
      </c>
    </row>
    <row r="1297" spans="1:18" ht="34.049999999999997" customHeight="1" x14ac:dyDescent="0.3">
      <c r="A1297" s="96">
        <v>1286</v>
      </c>
      <c r="B1297" s="91" t="s">
        <v>4224</v>
      </c>
      <c r="C1297" s="91" t="s">
        <v>7268</v>
      </c>
      <c r="D1297" s="93" t="s">
        <v>6393</v>
      </c>
      <c r="E1297" s="91">
        <v>2021</v>
      </c>
      <c r="F1297" s="91" t="s">
        <v>18</v>
      </c>
      <c r="G1297" s="91" t="s">
        <v>6394</v>
      </c>
      <c r="H1297" s="91" t="s">
        <v>6395</v>
      </c>
      <c r="I1297" s="91" t="s">
        <v>539</v>
      </c>
      <c r="J1297" s="91">
        <v>0</v>
      </c>
      <c r="K1297" s="91">
        <v>0</v>
      </c>
      <c r="L1297" s="91">
        <v>0</v>
      </c>
      <c r="M1297" s="91">
        <v>17688</v>
      </c>
      <c r="N1297" s="91">
        <v>2088</v>
      </c>
      <c r="O1297" s="91">
        <v>0</v>
      </c>
      <c r="P1297" s="91">
        <f>360+56</f>
        <v>416</v>
      </c>
      <c r="Q1297" s="97">
        <f t="shared" si="40"/>
        <v>20192</v>
      </c>
      <c r="R1297" s="95">
        <f t="shared" si="41"/>
        <v>17163.2</v>
      </c>
    </row>
    <row r="1298" spans="1:18" ht="34.049999999999997" customHeight="1" x14ac:dyDescent="0.3">
      <c r="A1298" s="90">
        <v>1287</v>
      </c>
      <c r="B1298" s="91" t="s">
        <v>4224</v>
      </c>
      <c r="C1298" s="91" t="s">
        <v>7269</v>
      </c>
      <c r="D1298" s="93" t="s">
        <v>3346</v>
      </c>
      <c r="E1298" s="91">
        <v>2019</v>
      </c>
      <c r="F1298" s="91" t="s">
        <v>19</v>
      </c>
      <c r="G1298" s="91" t="s">
        <v>3428</v>
      </c>
      <c r="H1298" s="91" t="s">
        <v>3466</v>
      </c>
      <c r="I1298" s="91" t="s">
        <v>3495</v>
      </c>
      <c r="J1298" s="91">
        <v>2900</v>
      </c>
      <c r="K1298" s="91">
        <v>0</v>
      </c>
      <c r="L1298" s="91">
        <v>0</v>
      </c>
      <c r="M1298" s="91">
        <v>17688</v>
      </c>
      <c r="N1298" s="91">
        <v>2088</v>
      </c>
      <c r="O1298" s="91">
        <v>0</v>
      </c>
      <c r="P1298" s="91">
        <f>1080+168</f>
        <v>1248</v>
      </c>
      <c r="Q1298" s="97">
        <f t="shared" si="40"/>
        <v>23924</v>
      </c>
      <c r="R1298" s="95">
        <f t="shared" si="41"/>
        <v>20335.400000000001</v>
      </c>
    </row>
    <row r="1299" spans="1:18" ht="34.049999999999997" customHeight="1" x14ac:dyDescent="0.3">
      <c r="A1299" s="90">
        <v>1288</v>
      </c>
      <c r="B1299" s="91" t="s">
        <v>4224</v>
      </c>
      <c r="C1299" s="91" t="s">
        <v>7270</v>
      </c>
      <c r="D1299" s="93" t="s">
        <v>3556</v>
      </c>
      <c r="E1299" s="91">
        <v>2024</v>
      </c>
      <c r="F1299" s="91" t="s">
        <v>18</v>
      </c>
      <c r="G1299" s="91" t="s">
        <v>3640</v>
      </c>
      <c r="H1299" s="91" t="s">
        <v>3597</v>
      </c>
      <c r="I1299" s="91" t="s">
        <v>7171</v>
      </c>
      <c r="J1299" s="91">
        <v>2900</v>
      </c>
      <c r="K1299" s="91">
        <v>0</v>
      </c>
      <c r="L1299" s="91">
        <v>0</v>
      </c>
      <c r="M1299" s="91">
        <v>17688</v>
      </c>
      <c r="N1299" s="91">
        <v>2088</v>
      </c>
      <c r="O1299" s="91">
        <v>0</v>
      </c>
      <c r="P1299" s="91">
        <f>1080+168</f>
        <v>1248</v>
      </c>
      <c r="Q1299" s="97">
        <f t="shared" si="40"/>
        <v>23924</v>
      </c>
      <c r="R1299" s="95">
        <f t="shared" si="41"/>
        <v>20335.400000000001</v>
      </c>
    </row>
    <row r="1300" spans="1:18" ht="34.049999999999997" customHeight="1" x14ac:dyDescent="0.3">
      <c r="A1300" s="96">
        <v>1289</v>
      </c>
      <c r="B1300" s="91" t="s">
        <v>4224</v>
      </c>
      <c r="C1300" s="91" t="s">
        <v>7271</v>
      </c>
      <c r="D1300" s="93" t="s">
        <v>3819</v>
      </c>
      <c r="E1300" s="91">
        <v>2024</v>
      </c>
      <c r="F1300" s="91" t="s">
        <v>18</v>
      </c>
      <c r="G1300" s="91" t="s">
        <v>3883</v>
      </c>
      <c r="H1300" s="91" t="s">
        <v>3919</v>
      </c>
      <c r="I1300" s="91" t="s">
        <v>2446</v>
      </c>
      <c r="J1300" s="91">
        <v>2900</v>
      </c>
      <c r="K1300" s="91">
        <v>0</v>
      </c>
      <c r="L1300" s="91">
        <v>0</v>
      </c>
      <c r="M1300" s="91">
        <v>0</v>
      </c>
      <c r="N1300" s="91">
        <v>2088</v>
      </c>
      <c r="O1300" s="91">
        <v>0</v>
      </c>
      <c r="P1300" s="91">
        <f>360+56</f>
        <v>416</v>
      </c>
      <c r="Q1300" s="97">
        <f t="shared" si="40"/>
        <v>5404</v>
      </c>
      <c r="R1300" s="95">
        <f t="shared" si="41"/>
        <v>4593.3999999999996</v>
      </c>
    </row>
    <row r="1301" spans="1:18" ht="34.049999999999997" customHeight="1" x14ac:dyDescent="0.3">
      <c r="A1301" s="90">
        <v>1290</v>
      </c>
      <c r="B1301" s="91" t="s">
        <v>4224</v>
      </c>
      <c r="C1301" s="91" t="s">
        <v>7272</v>
      </c>
      <c r="D1301" s="93" t="s">
        <v>7170</v>
      </c>
      <c r="E1301" s="91">
        <v>1997</v>
      </c>
      <c r="F1301" s="91" t="s">
        <v>19</v>
      </c>
      <c r="G1301" s="91" t="s">
        <v>3849</v>
      </c>
      <c r="H1301" s="91" t="s">
        <v>3849</v>
      </c>
      <c r="I1301" s="91" t="s">
        <v>3935</v>
      </c>
      <c r="J1301" s="91">
        <v>2900</v>
      </c>
      <c r="K1301" s="91">
        <v>0</v>
      </c>
      <c r="L1301" s="91">
        <v>0</v>
      </c>
      <c r="M1301" s="91">
        <v>0</v>
      </c>
      <c r="N1301" s="91">
        <v>1681</v>
      </c>
      <c r="O1301" s="91">
        <v>0</v>
      </c>
      <c r="P1301" s="91">
        <f>312+56</f>
        <v>368</v>
      </c>
      <c r="Q1301" s="97">
        <f t="shared" si="40"/>
        <v>4949</v>
      </c>
      <c r="R1301" s="95">
        <f t="shared" si="41"/>
        <v>4206.6499999999996</v>
      </c>
    </row>
    <row r="1302" spans="1:18" ht="34.049999999999997" customHeight="1" x14ac:dyDescent="0.3">
      <c r="A1302" s="90">
        <v>1291</v>
      </c>
      <c r="B1302" s="91" t="s">
        <v>4224</v>
      </c>
      <c r="C1302" s="91" t="s">
        <v>7273</v>
      </c>
      <c r="D1302" s="93" t="s">
        <v>3768</v>
      </c>
      <c r="E1302" s="91">
        <v>2021</v>
      </c>
      <c r="F1302" s="91" t="s">
        <v>19</v>
      </c>
      <c r="G1302" s="91" t="s">
        <v>3857</v>
      </c>
      <c r="H1302" s="91" t="s">
        <v>3905</v>
      </c>
      <c r="I1302" s="91" t="s">
        <v>3936</v>
      </c>
      <c r="J1302" s="91">
        <v>2900</v>
      </c>
      <c r="K1302" s="91">
        <v>0</v>
      </c>
      <c r="L1302" s="91">
        <v>0</v>
      </c>
      <c r="M1302" s="91">
        <v>0</v>
      </c>
      <c r="N1302" s="91">
        <v>2088</v>
      </c>
      <c r="O1302" s="91">
        <v>0</v>
      </c>
      <c r="P1302" s="91">
        <f>360+56</f>
        <v>416</v>
      </c>
      <c r="Q1302" s="97">
        <f t="shared" si="40"/>
        <v>5404</v>
      </c>
      <c r="R1302" s="95">
        <f t="shared" si="41"/>
        <v>4593.3999999999996</v>
      </c>
    </row>
    <row r="1303" spans="1:18" ht="34.049999999999997" customHeight="1" x14ac:dyDescent="0.3">
      <c r="A1303" s="96">
        <v>1292</v>
      </c>
      <c r="B1303" s="91" t="s">
        <v>4428</v>
      </c>
      <c r="C1303" s="91" t="s">
        <v>4429</v>
      </c>
      <c r="D1303" s="91" t="s">
        <v>4430</v>
      </c>
      <c r="E1303" s="91">
        <v>2015</v>
      </c>
      <c r="F1303" s="91" t="s">
        <v>18</v>
      </c>
      <c r="G1303" s="91" t="s">
        <v>4531</v>
      </c>
      <c r="H1303" s="91" t="s">
        <v>4580</v>
      </c>
      <c r="I1303" s="91" t="s">
        <v>4611</v>
      </c>
      <c r="J1303" s="91">
        <v>6199</v>
      </c>
      <c r="K1303" s="91">
        <f>1346+6278+4484+4484</f>
        <v>16592</v>
      </c>
      <c r="L1303" s="91">
        <v>0</v>
      </c>
      <c r="M1303" s="91">
        <v>0</v>
      </c>
      <c r="N1303" s="91">
        <v>3148</v>
      </c>
      <c r="O1303" s="91">
        <v>0</v>
      </c>
      <c r="P1303" s="91">
        <v>0</v>
      </c>
      <c r="Q1303" s="97">
        <f t="shared" si="40"/>
        <v>25939</v>
      </c>
      <c r="R1303" s="95">
        <f t="shared" si="41"/>
        <v>22048.15</v>
      </c>
    </row>
    <row r="1304" spans="1:18" ht="34.049999999999997" customHeight="1" x14ac:dyDescent="0.3">
      <c r="A1304" s="90">
        <v>1293</v>
      </c>
      <c r="B1304" s="91" t="s">
        <v>4428</v>
      </c>
      <c r="C1304" s="91" t="s">
        <v>4431</v>
      </c>
      <c r="D1304" s="91" t="s">
        <v>4432</v>
      </c>
      <c r="E1304" s="91">
        <v>1975</v>
      </c>
      <c r="F1304" s="91" t="s">
        <v>19</v>
      </c>
      <c r="G1304" s="91" t="s">
        <v>4532</v>
      </c>
      <c r="H1304" s="91" t="s">
        <v>4532</v>
      </c>
      <c r="I1304" s="91" t="s">
        <v>278</v>
      </c>
      <c r="J1304" s="91">
        <v>6199</v>
      </c>
      <c r="K1304" s="91">
        <f>2332+2332+2243+6278+2332+2332+2332+2332+2332+1166</f>
        <v>26011</v>
      </c>
      <c r="L1304" s="91">
        <v>0</v>
      </c>
      <c r="M1304" s="91">
        <v>0</v>
      </c>
      <c r="N1304" s="91">
        <v>1793</v>
      </c>
      <c r="O1304" s="91">
        <v>0</v>
      </c>
      <c r="P1304" s="91">
        <v>0</v>
      </c>
      <c r="Q1304" s="97">
        <f t="shared" si="40"/>
        <v>34003</v>
      </c>
      <c r="R1304" s="95">
        <f t="shared" si="41"/>
        <v>28902.55</v>
      </c>
    </row>
    <row r="1305" spans="1:18" ht="34.049999999999997" customHeight="1" x14ac:dyDescent="0.3">
      <c r="A1305" s="90">
        <v>1294</v>
      </c>
      <c r="B1305" s="91" t="s">
        <v>4428</v>
      </c>
      <c r="C1305" s="91" t="s">
        <v>4433</v>
      </c>
      <c r="D1305" s="91" t="s">
        <v>4434</v>
      </c>
      <c r="E1305" s="91">
        <v>1991</v>
      </c>
      <c r="F1305" s="91" t="s">
        <v>18</v>
      </c>
      <c r="G1305" s="91" t="s">
        <v>4533</v>
      </c>
      <c r="H1305" s="91" t="s">
        <v>4533</v>
      </c>
      <c r="I1305" s="91" t="s">
        <v>4612</v>
      </c>
      <c r="J1305" s="91">
        <v>6199</v>
      </c>
      <c r="K1305" s="91">
        <f>6278+4484+6995+3228+3000+3000+2332+2332+2332+2332+1346</f>
        <v>37659</v>
      </c>
      <c r="L1305" s="91">
        <v>0</v>
      </c>
      <c r="M1305" s="91">
        <v>0</v>
      </c>
      <c r="N1305" s="91">
        <v>1793</v>
      </c>
      <c r="O1305" s="91">
        <v>0</v>
      </c>
      <c r="P1305" s="91">
        <v>0</v>
      </c>
      <c r="Q1305" s="97">
        <f t="shared" si="40"/>
        <v>45651</v>
      </c>
      <c r="R1305" s="95">
        <f t="shared" si="41"/>
        <v>38803.35</v>
      </c>
    </row>
    <row r="1306" spans="1:18" ht="34.049999999999997" customHeight="1" x14ac:dyDescent="0.3">
      <c r="A1306" s="96">
        <v>1295</v>
      </c>
      <c r="B1306" s="91" t="s">
        <v>4428</v>
      </c>
      <c r="C1306" s="91" t="s">
        <v>4435</v>
      </c>
      <c r="D1306" s="91" t="s">
        <v>4436</v>
      </c>
      <c r="E1306" s="91">
        <v>1989</v>
      </c>
      <c r="F1306" s="91" t="s">
        <v>19</v>
      </c>
      <c r="G1306" s="91" t="s">
        <v>4534</v>
      </c>
      <c r="H1306" s="91" t="s">
        <v>4534</v>
      </c>
      <c r="I1306" s="91" t="s">
        <v>4613</v>
      </c>
      <c r="J1306" s="91">
        <v>6199</v>
      </c>
      <c r="K1306" s="91">
        <v>0</v>
      </c>
      <c r="L1306" s="91">
        <v>0</v>
      </c>
      <c r="M1306" s="91">
        <v>0</v>
      </c>
      <c r="N1306" s="91">
        <v>0</v>
      </c>
      <c r="O1306" s="91">
        <v>0</v>
      </c>
      <c r="P1306" s="91">
        <v>0</v>
      </c>
      <c r="Q1306" s="97">
        <f t="shared" si="40"/>
        <v>6199</v>
      </c>
      <c r="R1306" s="95">
        <f t="shared" si="41"/>
        <v>5269.15</v>
      </c>
    </row>
    <row r="1307" spans="1:18" ht="34.049999999999997" customHeight="1" x14ac:dyDescent="0.3">
      <c r="A1307" s="90">
        <v>1296</v>
      </c>
      <c r="B1307" s="91" t="s">
        <v>4428</v>
      </c>
      <c r="C1307" s="91" t="s">
        <v>4437</v>
      </c>
      <c r="D1307" s="91" t="s">
        <v>4438</v>
      </c>
      <c r="E1307" s="91">
        <v>2022</v>
      </c>
      <c r="F1307" s="91" t="s">
        <v>19</v>
      </c>
      <c r="G1307" s="91" t="s">
        <v>4535</v>
      </c>
      <c r="H1307" s="91" t="s">
        <v>4581</v>
      </c>
      <c r="I1307" s="91" t="s">
        <v>576</v>
      </c>
      <c r="J1307" s="91">
        <v>6199</v>
      </c>
      <c r="K1307" s="91">
        <v>0</v>
      </c>
      <c r="L1307" s="91">
        <v>0</v>
      </c>
      <c r="M1307" s="91">
        <v>0</v>
      </c>
      <c r="N1307" s="91">
        <v>0</v>
      </c>
      <c r="O1307" s="91">
        <v>0</v>
      </c>
      <c r="P1307" s="91">
        <v>0</v>
      </c>
      <c r="Q1307" s="97">
        <f t="shared" si="40"/>
        <v>6199</v>
      </c>
      <c r="R1307" s="95">
        <f t="shared" si="41"/>
        <v>5269.15</v>
      </c>
    </row>
    <row r="1308" spans="1:18" ht="34.049999999999997" customHeight="1" x14ac:dyDescent="0.3">
      <c r="A1308" s="90">
        <v>1297</v>
      </c>
      <c r="B1308" s="91" t="s">
        <v>4428</v>
      </c>
      <c r="C1308" s="91" t="s">
        <v>4439</v>
      </c>
      <c r="D1308" s="91" t="s">
        <v>4440</v>
      </c>
      <c r="E1308" s="91">
        <v>1976</v>
      </c>
      <c r="F1308" s="91" t="s">
        <v>19</v>
      </c>
      <c r="G1308" s="91" t="s">
        <v>4536</v>
      </c>
      <c r="H1308" s="91" t="s">
        <v>4582</v>
      </c>
      <c r="I1308" s="91" t="s">
        <v>4614</v>
      </c>
      <c r="J1308" s="91">
        <v>6199</v>
      </c>
      <c r="K1308" s="91">
        <f>6278+4484+2332+1346+2332+2332+2332+2332+6995+6995+6995+2332+1166+2801+2332+6995+6995+4484+4484</f>
        <v>76342</v>
      </c>
      <c r="L1308" s="91">
        <v>0</v>
      </c>
      <c r="M1308" s="91">
        <v>0</v>
      </c>
      <c r="N1308" s="91">
        <v>1793</v>
      </c>
      <c r="O1308" s="91">
        <v>0</v>
      </c>
      <c r="P1308" s="91">
        <v>0</v>
      </c>
      <c r="Q1308" s="97">
        <f t="shared" si="40"/>
        <v>84334</v>
      </c>
      <c r="R1308" s="95">
        <f t="shared" si="41"/>
        <v>71683.899999999994</v>
      </c>
    </row>
    <row r="1309" spans="1:18" ht="34.049999999999997" customHeight="1" x14ac:dyDescent="0.3">
      <c r="A1309" s="96">
        <v>1298</v>
      </c>
      <c r="B1309" s="91" t="s">
        <v>4428</v>
      </c>
      <c r="C1309" s="91" t="s">
        <v>4441</v>
      </c>
      <c r="D1309" s="91" t="s">
        <v>4442</v>
      </c>
      <c r="E1309" s="91">
        <v>2024</v>
      </c>
      <c r="F1309" s="91" t="s">
        <v>18</v>
      </c>
      <c r="G1309" s="91" t="s">
        <v>4537</v>
      </c>
      <c r="H1309" s="91" t="s">
        <v>4583</v>
      </c>
      <c r="I1309" s="91" t="s">
        <v>4615</v>
      </c>
      <c r="J1309" s="91">
        <v>6199</v>
      </c>
      <c r="K1309" s="91">
        <f>1346+6278+4484+4484+2332+2332+2332+1166+2332+2332+2332+6995+6995+2332+6995</f>
        <v>55067</v>
      </c>
      <c r="L1309" s="91">
        <v>0</v>
      </c>
      <c r="M1309" s="91">
        <v>0</v>
      </c>
      <c r="N1309" s="91">
        <v>3148</v>
      </c>
      <c r="O1309" s="91">
        <v>0</v>
      </c>
      <c r="P1309" s="91">
        <v>0</v>
      </c>
      <c r="Q1309" s="97">
        <f t="shared" si="40"/>
        <v>64414</v>
      </c>
      <c r="R1309" s="95">
        <f t="shared" si="41"/>
        <v>54751.9</v>
      </c>
    </row>
    <row r="1310" spans="1:18" ht="34.049999999999997" customHeight="1" x14ac:dyDescent="0.3">
      <c r="A1310" s="90">
        <v>1299</v>
      </c>
      <c r="B1310" s="91" t="s">
        <v>4428</v>
      </c>
      <c r="C1310" s="91" t="s">
        <v>4443</v>
      </c>
      <c r="D1310" s="91" t="s">
        <v>4444</v>
      </c>
      <c r="E1310" s="91">
        <v>1984</v>
      </c>
      <c r="F1310" s="91" t="s">
        <v>18</v>
      </c>
      <c r="G1310" s="91" t="s">
        <v>4538</v>
      </c>
      <c r="H1310" s="91" t="s">
        <v>4538</v>
      </c>
      <c r="I1310" s="91" t="s">
        <v>1050</v>
      </c>
      <c r="J1310" s="91">
        <v>6199</v>
      </c>
      <c r="K1310" s="91">
        <f>6278+4484+2332+1346+2332+2332+2332+2332+4484+4484+2332+4484+2332+6995+6995+6995+6995+2332+6995+4484</f>
        <v>83675</v>
      </c>
      <c r="L1310" s="91">
        <v>0</v>
      </c>
      <c r="M1310" s="91">
        <v>0</v>
      </c>
      <c r="N1310" s="91">
        <v>1793</v>
      </c>
      <c r="O1310" s="91">
        <v>0</v>
      </c>
      <c r="P1310" s="91">
        <v>0</v>
      </c>
      <c r="Q1310" s="97">
        <f t="shared" si="40"/>
        <v>91667</v>
      </c>
      <c r="R1310" s="95">
        <f t="shared" si="41"/>
        <v>77916.95</v>
      </c>
    </row>
    <row r="1311" spans="1:18" ht="34.049999999999997" customHeight="1" x14ac:dyDescent="0.3">
      <c r="A1311" s="90">
        <v>1300</v>
      </c>
      <c r="B1311" s="91" t="s">
        <v>4428</v>
      </c>
      <c r="C1311" s="91" t="s">
        <v>4445</v>
      </c>
      <c r="D1311" s="91" t="s">
        <v>4446</v>
      </c>
      <c r="E1311" s="91">
        <v>1991</v>
      </c>
      <c r="F1311" s="91" t="s">
        <v>19</v>
      </c>
      <c r="G1311" s="91" t="s">
        <v>4539</v>
      </c>
      <c r="H1311" s="91" t="s">
        <v>4539</v>
      </c>
      <c r="I1311" s="91" t="s">
        <v>1465</v>
      </c>
      <c r="J1311" s="91">
        <v>6199</v>
      </c>
      <c r="K1311" s="91">
        <v>0</v>
      </c>
      <c r="L1311" s="91">
        <v>0</v>
      </c>
      <c r="M1311" s="91">
        <v>0</v>
      </c>
      <c r="N1311" s="91">
        <v>0</v>
      </c>
      <c r="O1311" s="91">
        <v>0</v>
      </c>
      <c r="P1311" s="91">
        <v>0</v>
      </c>
      <c r="Q1311" s="97">
        <f t="shared" si="40"/>
        <v>6199</v>
      </c>
      <c r="R1311" s="95">
        <f t="shared" si="41"/>
        <v>5269.15</v>
      </c>
    </row>
    <row r="1312" spans="1:18" ht="34.049999999999997" customHeight="1" x14ac:dyDescent="0.3">
      <c r="A1312" s="96">
        <v>1301</v>
      </c>
      <c r="B1312" s="91" t="s">
        <v>4428</v>
      </c>
      <c r="C1312" s="91" t="s">
        <v>4447</v>
      </c>
      <c r="D1312" s="91" t="s">
        <v>4448</v>
      </c>
      <c r="E1312" s="91">
        <v>1985</v>
      </c>
      <c r="F1312" s="91" t="s">
        <v>18</v>
      </c>
      <c r="G1312" s="91" t="s">
        <v>4540</v>
      </c>
      <c r="H1312" s="91" t="s">
        <v>4540</v>
      </c>
      <c r="I1312" s="91" t="s">
        <v>4616</v>
      </c>
      <c r="J1312" s="91">
        <v>6199</v>
      </c>
      <c r="K1312" s="91">
        <f>4484+2332+1346+6278+4484+2332+2332+2332+2332+6995+6995+2332+6995+6995+4484+6995</f>
        <v>70043</v>
      </c>
      <c r="L1312" s="91">
        <v>0</v>
      </c>
      <c r="M1312" s="91">
        <v>0</v>
      </c>
      <c r="N1312" s="91">
        <v>1793</v>
      </c>
      <c r="O1312" s="91">
        <v>0</v>
      </c>
      <c r="P1312" s="91">
        <v>0</v>
      </c>
      <c r="Q1312" s="97">
        <f t="shared" si="40"/>
        <v>78035</v>
      </c>
      <c r="R1312" s="95">
        <f t="shared" si="41"/>
        <v>66329.75</v>
      </c>
    </row>
    <row r="1313" spans="1:18" ht="34.049999999999997" customHeight="1" x14ac:dyDescent="0.3">
      <c r="A1313" s="90">
        <v>1302</v>
      </c>
      <c r="B1313" s="91" t="s">
        <v>4428</v>
      </c>
      <c r="C1313" s="91" t="s">
        <v>4449</v>
      </c>
      <c r="D1313" s="91" t="s">
        <v>4450</v>
      </c>
      <c r="E1313" s="91">
        <v>2022</v>
      </c>
      <c r="F1313" s="91" t="s">
        <v>19</v>
      </c>
      <c r="G1313" s="91" t="s">
        <v>4541</v>
      </c>
      <c r="H1313" s="91" t="s">
        <v>4584</v>
      </c>
      <c r="I1313" s="91" t="s">
        <v>267</v>
      </c>
      <c r="J1313" s="91">
        <v>6199</v>
      </c>
      <c r="K1313" s="91">
        <f>1346+6278+4484+4484+2332+2332+2332+2332+2332+2332+6995+6995+2332+6995</f>
        <v>53901</v>
      </c>
      <c r="L1313" s="91">
        <v>0</v>
      </c>
      <c r="M1313" s="91">
        <v>0</v>
      </c>
      <c r="N1313" s="91">
        <f>3148+2088+4053+1178+3362</f>
        <v>13829</v>
      </c>
      <c r="O1313" s="91">
        <v>0</v>
      </c>
      <c r="P1313" s="91">
        <f>720+1080+720+112+60</f>
        <v>2692</v>
      </c>
      <c r="Q1313" s="97">
        <f t="shared" si="40"/>
        <v>76621</v>
      </c>
      <c r="R1313" s="95">
        <f t="shared" si="41"/>
        <v>65127.85</v>
      </c>
    </row>
    <row r="1314" spans="1:18" ht="34.049999999999997" customHeight="1" x14ac:dyDescent="0.3">
      <c r="A1314" s="90">
        <v>1303</v>
      </c>
      <c r="B1314" s="91" t="s">
        <v>4428</v>
      </c>
      <c r="C1314" s="91" t="s">
        <v>4451</v>
      </c>
      <c r="D1314" s="91" t="s">
        <v>4452</v>
      </c>
      <c r="E1314" s="91">
        <v>1999</v>
      </c>
      <c r="F1314" s="91" t="s">
        <v>19</v>
      </c>
      <c r="G1314" s="91" t="s">
        <v>4542</v>
      </c>
      <c r="H1314" s="91" t="s">
        <v>4542</v>
      </c>
      <c r="I1314" s="91" t="s">
        <v>4617</v>
      </c>
      <c r="J1314" s="91">
        <v>3582</v>
      </c>
      <c r="K1314" s="91">
        <v>0</v>
      </c>
      <c r="L1314" s="91">
        <v>0</v>
      </c>
      <c r="M1314" s="91">
        <v>0</v>
      </c>
      <c r="N1314" s="91">
        <f>15443+21194+13563</f>
        <v>50200</v>
      </c>
      <c r="O1314" s="91">
        <v>0</v>
      </c>
      <c r="P1314" s="91">
        <v>0</v>
      </c>
      <c r="Q1314" s="97">
        <f t="shared" si="40"/>
        <v>53782</v>
      </c>
      <c r="R1314" s="95">
        <f t="shared" si="41"/>
        <v>45714.7</v>
      </c>
    </row>
    <row r="1315" spans="1:18" ht="34.049999999999997" customHeight="1" x14ac:dyDescent="0.3">
      <c r="A1315" s="96">
        <v>1304</v>
      </c>
      <c r="B1315" s="91" t="s">
        <v>4428</v>
      </c>
      <c r="C1315" s="91" t="s">
        <v>4453</v>
      </c>
      <c r="D1315" s="91" t="s">
        <v>4454</v>
      </c>
      <c r="E1315" s="91">
        <v>2018</v>
      </c>
      <c r="F1315" s="91" t="s">
        <v>19</v>
      </c>
      <c r="G1315" s="91" t="s">
        <v>4543</v>
      </c>
      <c r="H1315" s="91" t="s">
        <v>4585</v>
      </c>
      <c r="I1315" s="91" t="s">
        <v>1460</v>
      </c>
      <c r="J1315" s="91">
        <v>3582</v>
      </c>
      <c r="K1315" s="91">
        <v>0</v>
      </c>
      <c r="L1315" s="91">
        <v>0</v>
      </c>
      <c r="M1315" s="91">
        <v>0</v>
      </c>
      <c r="N1315" s="91">
        <f>13563+17918</f>
        <v>31481</v>
      </c>
      <c r="O1315" s="91">
        <v>0</v>
      </c>
      <c r="P1315" s="91">
        <v>0</v>
      </c>
      <c r="Q1315" s="97">
        <f t="shared" si="40"/>
        <v>35063</v>
      </c>
      <c r="R1315" s="95">
        <f t="shared" si="41"/>
        <v>29803.55</v>
      </c>
    </row>
    <row r="1316" spans="1:18" ht="34.049999999999997" customHeight="1" x14ac:dyDescent="0.3">
      <c r="A1316" s="90">
        <v>1305</v>
      </c>
      <c r="B1316" s="91" t="s">
        <v>4428</v>
      </c>
      <c r="C1316" s="91" t="s">
        <v>4455</v>
      </c>
      <c r="D1316" s="91" t="s">
        <v>4456</v>
      </c>
      <c r="E1316" s="91">
        <v>1998</v>
      </c>
      <c r="F1316" s="91" t="s">
        <v>19</v>
      </c>
      <c r="G1316" s="91" t="s">
        <v>4544</v>
      </c>
      <c r="H1316" s="91" t="s">
        <v>4586</v>
      </c>
      <c r="I1316" s="91" t="s">
        <v>4618</v>
      </c>
      <c r="J1316" s="91">
        <v>6199</v>
      </c>
      <c r="K1316" s="91">
        <v>0</v>
      </c>
      <c r="L1316" s="91">
        <v>0</v>
      </c>
      <c r="M1316" s="91">
        <v>0</v>
      </c>
      <c r="N1316" s="91">
        <v>0</v>
      </c>
      <c r="O1316" s="91">
        <v>0</v>
      </c>
      <c r="P1316" s="91">
        <v>0</v>
      </c>
      <c r="Q1316" s="97">
        <f t="shared" si="40"/>
        <v>6199</v>
      </c>
      <c r="R1316" s="95">
        <f t="shared" si="41"/>
        <v>5269.15</v>
      </c>
    </row>
    <row r="1317" spans="1:18" ht="34.049999999999997" customHeight="1" x14ac:dyDescent="0.3">
      <c r="A1317" s="90">
        <v>1306</v>
      </c>
      <c r="B1317" s="91" t="s">
        <v>4428</v>
      </c>
      <c r="C1317" s="91" t="s">
        <v>4457</v>
      </c>
      <c r="D1317" s="91" t="s">
        <v>4458</v>
      </c>
      <c r="E1317" s="91">
        <v>2024</v>
      </c>
      <c r="F1317" s="91" t="s">
        <v>19</v>
      </c>
      <c r="G1317" s="91" t="s">
        <v>4545</v>
      </c>
      <c r="H1317" s="91" t="s">
        <v>4587</v>
      </c>
      <c r="I1317" s="91" t="s">
        <v>4619</v>
      </c>
      <c r="J1317" s="91">
        <v>6199</v>
      </c>
      <c r="K1317" s="91">
        <f>6278+4484+1346+2332+2332+2332+2332+6995+2332+6995+6995+2332+2332+4484</f>
        <v>53901</v>
      </c>
      <c r="L1317" s="91">
        <v>0</v>
      </c>
      <c r="M1317" s="91">
        <v>0</v>
      </c>
      <c r="N1317" s="91">
        <v>3148</v>
      </c>
      <c r="O1317" s="91">
        <v>0</v>
      </c>
      <c r="P1317" s="91">
        <v>0</v>
      </c>
      <c r="Q1317" s="97">
        <f t="shared" si="40"/>
        <v>63248</v>
      </c>
      <c r="R1317" s="95">
        <f t="shared" si="41"/>
        <v>53760.800000000003</v>
      </c>
    </row>
    <row r="1318" spans="1:18" ht="34.049999999999997" customHeight="1" x14ac:dyDescent="0.3">
      <c r="A1318" s="96">
        <v>1307</v>
      </c>
      <c r="B1318" s="91" t="s">
        <v>4428</v>
      </c>
      <c r="C1318" s="91" t="s">
        <v>4459</v>
      </c>
      <c r="D1318" s="91" t="s">
        <v>4460</v>
      </c>
      <c r="E1318" s="91">
        <v>2012</v>
      </c>
      <c r="F1318" s="91" t="s">
        <v>18</v>
      </c>
      <c r="G1318" s="91" t="s">
        <v>4546</v>
      </c>
      <c r="H1318" s="91" t="s">
        <v>4588</v>
      </c>
      <c r="I1318" s="91" t="s">
        <v>268</v>
      </c>
      <c r="J1318" s="91">
        <v>6199</v>
      </c>
      <c r="K1318" s="91">
        <f>6278+4484+6995+2332+2332+2332+3000+3000+1166+2801</f>
        <v>34720</v>
      </c>
      <c r="L1318" s="91">
        <v>0</v>
      </c>
      <c r="M1318" s="91">
        <v>0</v>
      </c>
      <c r="N1318" s="91">
        <v>1793</v>
      </c>
      <c r="O1318" s="91">
        <v>0</v>
      </c>
      <c r="P1318" s="91">
        <v>0</v>
      </c>
      <c r="Q1318" s="97">
        <f t="shared" si="40"/>
        <v>42712</v>
      </c>
      <c r="R1318" s="95">
        <f t="shared" si="41"/>
        <v>36305.199999999997</v>
      </c>
    </row>
    <row r="1319" spans="1:18" ht="34.049999999999997" customHeight="1" x14ac:dyDescent="0.3">
      <c r="A1319" s="90">
        <v>1308</v>
      </c>
      <c r="B1319" s="91" t="s">
        <v>4428</v>
      </c>
      <c r="C1319" s="91" t="s">
        <v>4461</v>
      </c>
      <c r="D1319" s="91" t="s">
        <v>4462</v>
      </c>
      <c r="E1319" s="91">
        <v>2011</v>
      </c>
      <c r="F1319" s="91" t="s">
        <v>18</v>
      </c>
      <c r="G1319" s="91" t="s">
        <v>4547</v>
      </c>
      <c r="H1319" s="91" t="s">
        <v>4589</v>
      </c>
      <c r="I1319" s="91" t="s">
        <v>1070</v>
      </c>
      <c r="J1319" s="91">
        <v>6199</v>
      </c>
      <c r="K1319" s="91">
        <v>0</v>
      </c>
      <c r="L1319" s="91">
        <v>0</v>
      </c>
      <c r="M1319" s="91">
        <v>0</v>
      </c>
      <c r="N1319" s="91">
        <v>30758</v>
      </c>
      <c r="O1319" s="91">
        <v>0</v>
      </c>
      <c r="P1319" s="91">
        <v>0</v>
      </c>
      <c r="Q1319" s="97">
        <f t="shared" si="40"/>
        <v>36957</v>
      </c>
      <c r="R1319" s="95">
        <f t="shared" si="41"/>
        <v>31413.45</v>
      </c>
    </row>
    <row r="1320" spans="1:18" ht="34.049999999999997" customHeight="1" x14ac:dyDescent="0.3">
      <c r="A1320" s="90">
        <v>1309</v>
      </c>
      <c r="B1320" s="91" t="s">
        <v>4428</v>
      </c>
      <c r="C1320" s="91" t="s">
        <v>4463</v>
      </c>
      <c r="D1320" s="91" t="s">
        <v>4464</v>
      </c>
      <c r="E1320" s="91">
        <v>1989</v>
      </c>
      <c r="F1320" s="91" t="s">
        <v>18</v>
      </c>
      <c r="G1320" s="91" t="s">
        <v>4548</v>
      </c>
      <c r="H1320" s="91" t="s">
        <v>4590</v>
      </c>
      <c r="I1320" s="91" t="s">
        <v>3102</v>
      </c>
      <c r="J1320" s="91">
        <v>6199</v>
      </c>
      <c r="K1320" s="91">
        <f>6278+4484+1346+2332+2332+2332+6995+2332+2332+2332+3228+3000+3000+4484+1166+2801</f>
        <v>50774</v>
      </c>
      <c r="L1320" s="91">
        <v>0</v>
      </c>
      <c r="M1320" s="91">
        <v>0</v>
      </c>
      <c r="N1320" s="91">
        <v>1793</v>
      </c>
      <c r="O1320" s="91">
        <v>0</v>
      </c>
      <c r="P1320" s="91">
        <v>0</v>
      </c>
      <c r="Q1320" s="97">
        <f t="shared" si="40"/>
        <v>58766</v>
      </c>
      <c r="R1320" s="95">
        <f t="shared" si="41"/>
        <v>49951.1</v>
      </c>
    </row>
    <row r="1321" spans="1:18" ht="34.049999999999997" customHeight="1" x14ac:dyDescent="0.3">
      <c r="A1321" s="96">
        <v>1310</v>
      </c>
      <c r="B1321" s="91" t="s">
        <v>4428</v>
      </c>
      <c r="C1321" s="91" t="s">
        <v>4465</v>
      </c>
      <c r="D1321" s="91" t="s">
        <v>4466</v>
      </c>
      <c r="E1321" s="91">
        <v>2008</v>
      </c>
      <c r="F1321" s="91" t="s">
        <v>19</v>
      </c>
      <c r="G1321" s="91" t="s">
        <v>4549</v>
      </c>
      <c r="H1321" s="91" t="s">
        <v>4591</v>
      </c>
      <c r="I1321" s="91" t="s">
        <v>4620</v>
      </c>
      <c r="J1321" s="91">
        <v>6199</v>
      </c>
      <c r="K1321" s="91">
        <v>0</v>
      </c>
      <c r="L1321" s="91">
        <v>0</v>
      </c>
      <c r="M1321" s="91">
        <v>0</v>
      </c>
      <c r="N1321" s="91">
        <v>0</v>
      </c>
      <c r="O1321" s="91">
        <v>0</v>
      </c>
      <c r="P1321" s="91">
        <v>0</v>
      </c>
      <c r="Q1321" s="97">
        <f t="shared" si="40"/>
        <v>6199</v>
      </c>
      <c r="R1321" s="95">
        <f t="shared" si="41"/>
        <v>5269.15</v>
      </c>
    </row>
    <row r="1322" spans="1:18" ht="34.049999999999997" customHeight="1" x14ac:dyDescent="0.3">
      <c r="A1322" s="90">
        <v>1311</v>
      </c>
      <c r="B1322" s="91" t="s">
        <v>4428</v>
      </c>
      <c r="C1322" s="91" t="s">
        <v>4467</v>
      </c>
      <c r="D1322" s="91" t="s">
        <v>4468</v>
      </c>
      <c r="E1322" s="91">
        <v>2021</v>
      </c>
      <c r="F1322" s="91" t="s">
        <v>18</v>
      </c>
      <c r="G1322" s="91" t="s">
        <v>4550</v>
      </c>
      <c r="H1322" s="91" t="s">
        <v>4592</v>
      </c>
      <c r="I1322" s="91" t="s">
        <v>4621</v>
      </c>
      <c r="J1322" s="91">
        <v>6199</v>
      </c>
      <c r="K1322" s="91">
        <f>6278+4484+1346+2332+2332+2332+2332+2332+6995+6995+2332+6995+4484+2332</f>
        <v>53901</v>
      </c>
      <c r="L1322" s="91">
        <v>0</v>
      </c>
      <c r="M1322" s="91">
        <v>0</v>
      </c>
      <c r="N1322" s="91">
        <v>3148</v>
      </c>
      <c r="O1322" s="91">
        <v>0</v>
      </c>
      <c r="P1322" s="91">
        <v>0</v>
      </c>
      <c r="Q1322" s="97">
        <f t="shared" si="40"/>
        <v>63248</v>
      </c>
      <c r="R1322" s="95">
        <f t="shared" si="41"/>
        <v>53760.800000000003</v>
      </c>
    </row>
    <row r="1323" spans="1:18" ht="34.049999999999997" customHeight="1" x14ac:dyDescent="0.3">
      <c r="A1323" s="90">
        <v>1312</v>
      </c>
      <c r="B1323" s="91" t="s">
        <v>4428</v>
      </c>
      <c r="C1323" s="91" t="s">
        <v>4469</v>
      </c>
      <c r="D1323" s="91" t="s">
        <v>4470</v>
      </c>
      <c r="E1323" s="91">
        <v>1975</v>
      </c>
      <c r="F1323" s="91" t="s">
        <v>19</v>
      </c>
      <c r="G1323" s="91" t="s">
        <v>4551</v>
      </c>
      <c r="H1323" s="91" t="s">
        <v>4593</v>
      </c>
      <c r="I1323" s="91" t="s">
        <v>1684</v>
      </c>
      <c r="J1323" s="91">
        <v>6199</v>
      </c>
      <c r="K1323" s="91">
        <f>6278+4484+1346+2332+2332+2332+2332+2332+6995+4484+6995+6995+6995+2332+6995+2332</f>
        <v>67891</v>
      </c>
      <c r="L1323" s="91">
        <v>0</v>
      </c>
      <c r="M1323" s="91">
        <v>0</v>
      </c>
      <c r="N1323" s="91">
        <v>1793</v>
      </c>
      <c r="O1323" s="91">
        <v>0</v>
      </c>
      <c r="P1323" s="91">
        <v>0</v>
      </c>
      <c r="Q1323" s="97">
        <f t="shared" si="40"/>
        <v>75883</v>
      </c>
      <c r="R1323" s="95">
        <f t="shared" si="41"/>
        <v>64500.55</v>
      </c>
    </row>
    <row r="1324" spans="1:18" ht="34.049999999999997" customHeight="1" x14ac:dyDescent="0.3">
      <c r="A1324" s="96">
        <v>1313</v>
      </c>
      <c r="B1324" s="91" t="s">
        <v>4428</v>
      </c>
      <c r="C1324" s="91" t="s">
        <v>4471</v>
      </c>
      <c r="D1324" s="91" t="s">
        <v>4472</v>
      </c>
      <c r="E1324" s="91">
        <v>2017</v>
      </c>
      <c r="F1324" s="91" t="s">
        <v>19</v>
      </c>
      <c r="G1324" s="91" t="s">
        <v>4552</v>
      </c>
      <c r="H1324" s="91" t="s">
        <v>4594</v>
      </c>
      <c r="I1324" s="91" t="s">
        <v>289</v>
      </c>
      <c r="J1324" s="91">
        <v>6199</v>
      </c>
      <c r="K1324" s="91">
        <f>1346+6278+4484</f>
        <v>12108</v>
      </c>
      <c r="L1324" s="91">
        <v>0</v>
      </c>
      <c r="M1324" s="91">
        <v>0</v>
      </c>
      <c r="N1324" s="91">
        <v>3148</v>
      </c>
      <c r="O1324" s="91">
        <v>0</v>
      </c>
      <c r="P1324" s="91">
        <v>0</v>
      </c>
      <c r="Q1324" s="97">
        <f t="shared" si="40"/>
        <v>21455</v>
      </c>
      <c r="R1324" s="95">
        <f t="shared" si="41"/>
        <v>18236.75</v>
      </c>
    </row>
    <row r="1325" spans="1:18" ht="34.049999999999997" customHeight="1" x14ac:dyDescent="0.3">
      <c r="A1325" s="90">
        <v>1314</v>
      </c>
      <c r="B1325" s="91" t="s">
        <v>4428</v>
      </c>
      <c r="C1325" s="91" t="s">
        <v>4473</v>
      </c>
      <c r="D1325" s="91" t="s">
        <v>4474</v>
      </c>
      <c r="E1325" s="91">
        <v>2022</v>
      </c>
      <c r="F1325" s="91" t="s">
        <v>18</v>
      </c>
      <c r="G1325" s="91" t="s">
        <v>4553</v>
      </c>
      <c r="H1325" s="91" t="s">
        <v>4595</v>
      </c>
      <c r="I1325" s="91" t="s">
        <v>1069</v>
      </c>
      <c r="J1325" s="91">
        <v>6199</v>
      </c>
      <c r="K1325" s="91">
        <f>1346+6278+4484+4484</f>
        <v>16592</v>
      </c>
      <c r="L1325" s="91">
        <v>0</v>
      </c>
      <c r="M1325" s="91">
        <v>0</v>
      </c>
      <c r="N1325" s="91">
        <v>3148</v>
      </c>
      <c r="O1325" s="91">
        <v>0</v>
      </c>
      <c r="P1325" s="91">
        <v>0</v>
      </c>
      <c r="Q1325" s="97">
        <f t="shared" si="40"/>
        <v>25939</v>
      </c>
      <c r="R1325" s="95">
        <f t="shared" si="41"/>
        <v>22048.15</v>
      </c>
    </row>
    <row r="1326" spans="1:18" ht="34.049999999999997" customHeight="1" x14ac:dyDescent="0.3">
      <c r="A1326" s="90">
        <v>1315</v>
      </c>
      <c r="B1326" s="91" t="s">
        <v>4428</v>
      </c>
      <c r="C1326" s="91" t="s">
        <v>4475</v>
      </c>
      <c r="D1326" s="91" t="s">
        <v>4476</v>
      </c>
      <c r="E1326" s="91">
        <v>2016</v>
      </c>
      <c r="F1326" s="91" t="s">
        <v>18</v>
      </c>
      <c r="G1326" s="91" t="s">
        <v>4554</v>
      </c>
      <c r="H1326" s="91" t="s">
        <v>473</v>
      </c>
      <c r="I1326" s="91" t="s">
        <v>4622</v>
      </c>
      <c r="J1326" s="91">
        <v>6199</v>
      </c>
      <c r="K1326" s="91">
        <f>6278+4484+1346+2332+2332+2332+2332+2332+6995+6995+2332+6995+4484+2332+1166+2801</f>
        <v>57868</v>
      </c>
      <c r="L1326" s="91">
        <v>0</v>
      </c>
      <c r="M1326" s="91">
        <v>0</v>
      </c>
      <c r="N1326" s="91">
        <v>3148</v>
      </c>
      <c r="O1326" s="91">
        <v>0</v>
      </c>
      <c r="P1326" s="91">
        <v>0</v>
      </c>
      <c r="Q1326" s="97">
        <f t="shared" si="40"/>
        <v>67215</v>
      </c>
      <c r="R1326" s="95">
        <f t="shared" si="41"/>
        <v>57132.75</v>
      </c>
    </row>
    <row r="1327" spans="1:18" ht="34.049999999999997" customHeight="1" x14ac:dyDescent="0.3">
      <c r="A1327" s="96">
        <v>1316</v>
      </c>
      <c r="B1327" s="91" t="s">
        <v>4428</v>
      </c>
      <c r="C1327" s="91" t="s">
        <v>4477</v>
      </c>
      <c r="D1327" s="91" t="s">
        <v>4478</v>
      </c>
      <c r="E1327" s="91">
        <v>2024</v>
      </c>
      <c r="F1327" s="91" t="s">
        <v>19</v>
      </c>
      <c r="G1327" s="91" t="s">
        <v>4555</v>
      </c>
      <c r="H1327" s="91" t="s">
        <v>4596</v>
      </c>
      <c r="I1327" s="91" t="s">
        <v>4623</v>
      </c>
      <c r="J1327" s="91">
        <v>6199</v>
      </c>
      <c r="K1327" s="91">
        <v>0</v>
      </c>
      <c r="L1327" s="91">
        <v>0</v>
      </c>
      <c r="M1327" s="91">
        <v>0</v>
      </c>
      <c r="N1327" s="91">
        <v>0</v>
      </c>
      <c r="O1327" s="91">
        <v>0</v>
      </c>
      <c r="P1327" s="91">
        <v>0</v>
      </c>
      <c r="Q1327" s="97">
        <f t="shared" si="40"/>
        <v>6199</v>
      </c>
      <c r="R1327" s="95">
        <f t="shared" si="41"/>
        <v>5269.15</v>
      </c>
    </row>
    <row r="1328" spans="1:18" ht="34.049999999999997" customHeight="1" x14ac:dyDescent="0.3">
      <c r="A1328" s="90">
        <v>1317</v>
      </c>
      <c r="B1328" s="91" t="s">
        <v>4428</v>
      </c>
      <c r="C1328" s="91" t="s">
        <v>4479</v>
      </c>
      <c r="D1328" s="91" t="s">
        <v>4480</v>
      </c>
      <c r="E1328" s="91">
        <v>2022</v>
      </c>
      <c r="F1328" s="91" t="s">
        <v>19</v>
      </c>
      <c r="G1328" s="91" t="s">
        <v>4556</v>
      </c>
      <c r="H1328" s="91" t="s">
        <v>4597</v>
      </c>
      <c r="I1328" s="91" t="s">
        <v>3324</v>
      </c>
      <c r="J1328" s="91">
        <v>6199</v>
      </c>
      <c r="K1328" s="91">
        <f>6278+4484+1346+2332+2332+2332+2332+4484+2332+2332+6995+6995+6995</f>
        <v>51569</v>
      </c>
      <c r="L1328" s="91">
        <v>0</v>
      </c>
      <c r="M1328" s="91">
        <v>0</v>
      </c>
      <c r="N1328" s="91">
        <v>3148</v>
      </c>
      <c r="O1328" s="91">
        <v>0</v>
      </c>
      <c r="P1328" s="91">
        <v>0</v>
      </c>
      <c r="Q1328" s="97">
        <f t="shared" si="40"/>
        <v>60916</v>
      </c>
      <c r="R1328" s="95">
        <f t="shared" si="41"/>
        <v>51778.6</v>
      </c>
    </row>
    <row r="1329" spans="1:18" ht="34.049999999999997" customHeight="1" x14ac:dyDescent="0.3">
      <c r="A1329" s="90">
        <v>1318</v>
      </c>
      <c r="B1329" s="91" t="s">
        <v>4428</v>
      </c>
      <c r="C1329" s="91" t="s">
        <v>4481</v>
      </c>
      <c r="D1329" s="91" t="s">
        <v>1794</v>
      </c>
      <c r="E1329" s="91">
        <v>1990</v>
      </c>
      <c r="F1329" s="91" t="s">
        <v>18</v>
      </c>
      <c r="G1329" s="91" t="s">
        <v>1842</v>
      </c>
      <c r="H1329" s="91" t="s">
        <v>1842</v>
      </c>
      <c r="I1329" s="91" t="s">
        <v>1903</v>
      </c>
      <c r="J1329" s="91">
        <v>3793</v>
      </c>
      <c r="K1329" s="91">
        <v>0</v>
      </c>
      <c r="L1329" s="91">
        <f>13298+15868</f>
        <v>29166</v>
      </c>
      <c r="M1329" s="91">
        <v>0</v>
      </c>
      <c r="N1329" s="91">
        <v>0</v>
      </c>
      <c r="O1329" s="91">
        <v>0</v>
      </c>
      <c r="P1329" s="91">
        <v>0</v>
      </c>
      <c r="Q1329" s="97">
        <f t="shared" si="40"/>
        <v>32959</v>
      </c>
      <c r="R1329" s="95">
        <f t="shared" si="41"/>
        <v>28015.15</v>
      </c>
    </row>
    <row r="1330" spans="1:18" ht="34.049999999999997" customHeight="1" x14ac:dyDescent="0.3">
      <c r="A1330" s="96">
        <v>1319</v>
      </c>
      <c r="B1330" s="91" t="s">
        <v>4428</v>
      </c>
      <c r="C1330" s="91" t="s">
        <v>4482</v>
      </c>
      <c r="D1330" s="91" t="s">
        <v>4483</v>
      </c>
      <c r="E1330" s="91">
        <v>1995</v>
      </c>
      <c r="F1330" s="91" t="s">
        <v>19</v>
      </c>
      <c r="G1330" s="91" t="s">
        <v>4557</v>
      </c>
      <c r="H1330" s="91" t="s">
        <v>4598</v>
      </c>
      <c r="I1330" s="91" t="s">
        <v>1460</v>
      </c>
      <c r="J1330" s="91">
        <v>6199</v>
      </c>
      <c r="K1330" s="91">
        <v>0</v>
      </c>
      <c r="L1330" s="91">
        <v>0</v>
      </c>
      <c r="M1330" s="91">
        <v>0</v>
      </c>
      <c r="N1330" s="91">
        <v>0</v>
      </c>
      <c r="O1330" s="91">
        <v>0</v>
      </c>
      <c r="P1330" s="91">
        <v>0</v>
      </c>
      <c r="Q1330" s="97">
        <f t="shared" si="40"/>
        <v>6199</v>
      </c>
      <c r="R1330" s="95">
        <f t="shared" si="41"/>
        <v>5269.15</v>
      </c>
    </row>
    <row r="1331" spans="1:18" ht="34.049999999999997" customHeight="1" x14ac:dyDescent="0.3">
      <c r="A1331" s="90">
        <v>1320</v>
      </c>
      <c r="B1331" s="91" t="s">
        <v>4428</v>
      </c>
      <c r="C1331" s="91" t="s">
        <v>4484</v>
      </c>
      <c r="D1331" s="91" t="s">
        <v>4485</v>
      </c>
      <c r="E1331" s="91">
        <v>1994</v>
      </c>
      <c r="F1331" s="91" t="s">
        <v>19</v>
      </c>
      <c r="G1331" s="91" t="s">
        <v>4558</v>
      </c>
      <c r="H1331" s="91" t="s">
        <v>4558</v>
      </c>
      <c r="I1331" s="91" t="s">
        <v>1475</v>
      </c>
      <c r="J1331" s="91">
        <v>6199</v>
      </c>
      <c r="K1331" s="91">
        <v>0</v>
      </c>
      <c r="L1331" s="91">
        <v>18406</v>
      </c>
      <c r="M1331" s="91">
        <v>0</v>
      </c>
      <c r="N1331" s="91">
        <v>1681</v>
      </c>
      <c r="O1331" s="91">
        <v>0</v>
      </c>
      <c r="P1331" s="91">
        <v>2400</v>
      </c>
      <c r="Q1331" s="97">
        <f t="shared" si="40"/>
        <v>28686</v>
      </c>
      <c r="R1331" s="95">
        <f t="shared" si="41"/>
        <v>24383.1</v>
      </c>
    </row>
    <row r="1332" spans="1:18" ht="34.049999999999997" customHeight="1" x14ac:dyDescent="0.3">
      <c r="A1332" s="90">
        <v>1321</v>
      </c>
      <c r="B1332" s="91" t="s">
        <v>4428</v>
      </c>
      <c r="C1332" s="91" t="s">
        <v>4486</v>
      </c>
      <c r="D1332" s="91" t="s">
        <v>4487</v>
      </c>
      <c r="E1332" s="91">
        <v>1971</v>
      </c>
      <c r="F1332" s="91" t="s">
        <v>18</v>
      </c>
      <c r="G1332" s="91" t="s">
        <v>4559</v>
      </c>
      <c r="H1332" s="91" t="s">
        <v>4559</v>
      </c>
      <c r="I1332" s="91" t="s">
        <v>4624</v>
      </c>
      <c r="J1332" s="91">
        <v>0</v>
      </c>
      <c r="K1332" s="91">
        <v>0</v>
      </c>
      <c r="L1332" s="91">
        <v>0</v>
      </c>
      <c r="M1332" s="91">
        <v>0</v>
      </c>
      <c r="N1332" s="91">
        <v>0</v>
      </c>
      <c r="O1332" s="91">
        <v>0</v>
      </c>
      <c r="P1332" s="91">
        <v>0</v>
      </c>
      <c r="Q1332" s="97">
        <f t="shared" si="40"/>
        <v>0</v>
      </c>
      <c r="R1332" s="95">
        <f t="shared" si="41"/>
        <v>0</v>
      </c>
    </row>
    <row r="1333" spans="1:18" ht="34.049999999999997" customHeight="1" x14ac:dyDescent="0.3">
      <c r="A1333" s="96">
        <v>1322</v>
      </c>
      <c r="B1333" s="91" t="s">
        <v>4428</v>
      </c>
      <c r="C1333" s="91" t="s">
        <v>4488</v>
      </c>
      <c r="D1333" s="91" t="s">
        <v>4489</v>
      </c>
      <c r="E1333" s="91">
        <v>1993</v>
      </c>
      <c r="F1333" s="91" t="s">
        <v>18</v>
      </c>
      <c r="G1333" s="91" t="s">
        <v>4560</v>
      </c>
      <c r="H1333" s="91" t="s">
        <v>4560</v>
      </c>
      <c r="I1333" s="91" t="s">
        <v>1050</v>
      </c>
      <c r="J1333" s="91">
        <v>0</v>
      </c>
      <c r="K1333" s="91">
        <v>0</v>
      </c>
      <c r="L1333" s="91">
        <v>0</v>
      </c>
      <c r="M1333" s="91">
        <v>0</v>
      </c>
      <c r="N1333" s="91">
        <v>0</v>
      </c>
      <c r="O1333" s="91">
        <v>0</v>
      </c>
      <c r="P1333" s="91">
        <v>0</v>
      </c>
      <c r="Q1333" s="97">
        <f t="shared" si="40"/>
        <v>0</v>
      </c>
      <c r="R1333" s="95">
        <f t="shared" si="41"/>
        <v>0</v>
      </c>
    </row>
    <row r="1334" spans="1:18" ht="34.049999999999997" customHeight="1" x14ac:dyDescent="0.3">
      <c r="A1334" s="90">
        <v>1323</v>
      </c>
      <c r="B1334" s="91" t="s">
        <v>4428</v>
      </c>
      <c r="C1334" s="91" t="s">
        <v>4490</v>
      </c>
      <c r="D1334" s="91" t="s">
        <v>4491</v>
      </c>
      <c r="E1334" s="91">
        <v>1990</v>
      </c>
      <c r="F1334" s="91" t="s">
        <v>19</v>
      </c>
      <c r="G1334" s="91" t="s">
        <v>4561</v>
      </c>
      <c r="H1334" s="91" t="s">
        <v>4599</v>
      </c>
      <c r="I1334" s="91" t="s">
        <v>24</v>
      </c>
      <c r="J1334" s="91">
        <v>6199</v>
      </c>
      <c r="K1334" s="91">
        <v>0</v>
      </c>
      <c r="L1334" s="91">
        <v>0</v>
      </c>
      <c r="M1334" s="91">
        <v>0</v>
      </c>
      <c r="N1334" s="91">
        <v>0</v>
      </c>
      <c r="O1334" s="91">
        <v>0</v>
      </c>
      <c r="P1334" s="91">
        <v>0</v>
      </c>
      <c r="Q1334" s="97">
        <f t="shared" si="40"/>
        <v>6199</v>
      </c>
      <c r="R1334" s="95">
        <f t="shared" si="41"/>
        <v>5269.15</v>
      </c>
    </row>
    <row r="1335" spans="1:18" ht="34.049999999999997" customHeight="1" x14ac:dyDescent="0.3">
      <c r="A1335" s="90">
        <v>1324</v>
      </c>
      <c r="B1335" s="91" t="s">
        <v>4428</v>
      </c>
      <c r="C1335" s="91" t="s">
        <v>4492</v>
      </c>
      <c r="D1335" s="91" t="s">
        <v>4493</v>
      </c>
      <c r="E1335" s="91">
        <v>2018</v>
      </c>
      <c r="F1335" s="91" t="s">
        <v>19</v>
      </c>
      <c r="G1335" s="91" t="s">
        <v>4562</v>
      </c>
      <c r="H1335" s="91" t="s">
        <v>4600</v>
      </c>
      <c r="I1335" s="91" t="s">
        <v>857</v>
      </c>
      <c r="J1335" s="91">
        <v>6199</v>
      </c>
      <c r="K1335" s="91">
        <f>1346+6278+4484+4484+2332+2332+2332+6995+6995+2332+6995+1166+2332+2332+2332</f>
        <v>55067</v>
      </c>
      <c r="L1335" s="91">
        <v>17620</v>
      </c>
      <c r="M1335" s="91">
        <v>0</v>
      </c>
      <c r="N1335" s="91">
        <v>3148</v>
      </c>
      <c r="O1335" s="91">
        <v>0</v>
      </c>
      <c r="P1335" s="91">
        <v>0</v>
      </c>
      <c r="Q1335" s="97">
        <f t="shared" si="40"/>
        <v>82034</v>
      </c>
      <c r="R1335" s="95">
        <f t="shared" si="41"/>
        <v>69728.899999999994</v>
      </c>
    </row>
    <row r="1336" spans="1:18" ht="34.049999999999997" customHeight="1" x14ac:dyDescent="0.3">
      <c r="A1336" s="96">
        <v>1325</v>
      </c>
      <c r="B1336" s="91" t="s">
        <v>4428</v>
      </c>
      <c r="C1336" s="91" t="s">
        <v>4494</v>
      </c>
      <c r="D1336" s="91" t="s">
        <v>4495</v>
      </c>
      <c r="E1336" s="91">
        <v>2013</v>
      </c>
      <c r="F1336" s="91" t="s">
        <v>18</v>
      </c>
      <c r="G1336" s="91" t="s">
        <v>4563</v>
      </c>
      <c r="H1336" s="91" t="s">
        <v>4601</v>
      </c>
      <c r="I1336" s="91" t="s">
        <v>4618</v>
      </c>
      <c r="J1336" s="91">
        <v>6199</v>
      </c>
      <c r="K1336" s="91">
        <v>0</v>
      </c>
      <c r="L1336" s="91">
        <v>0</v>
      </c>
      <c r="M1336" s="91">
        <v>0</v>
      </c>
      <c r="N1336" s="91">
        <v>0</v>
      </c>
      <c r="O1336" s="91">
        <v>0</v>
      </c>
      <c r="P1336" s="91">
        <v>0</v>
      </c>
      <c r="Q1336" s="97">
        <f t="shared" si="40"/>
        <v>6199</v>
      </c>
      <c r="R1336" s="95">
        <f t="shared" si="41"/>
        <v>5269.15</v>
      </c>
    </row>
    <row r="1337" spans="1:18" ht="34.049999999999997" customHeight="1" x14ac:dyDescent="0.3">
      <c r="A1337" s="90">
        <v>1326</v>
      </c>
      <c r="B1337" s="91" t="s">
        <v>4428</v>
      </c>
      <c r="C1337" s="91" t="s">
        <v>4496</v>
      </c>
      <c r="D1337" s="91" t="s">
        <v>4497</v>
      </c>
      <c r="E1337" s="91">
        <v>2022</v>
      </c>
      <c r="F1337" s="91" t="s">
        <v>18</v>
      </c>
      <c r="G1337" s="91" t="s">
        <v>4564</v>
      </c>
      <c r="H1337" s="91" t="s">
        <v>4601</v>
      </c>
      <c r="I1337" s="91" t="s">
        <v>2141</v>
      </c>
      <c r="J1337" s="91">
        <v>6199</v>
      </c>
      <c r="K1337" s="91">
        <v>0</v>
      </c>
      <c r="L1337" s="91">
        <v>0</v>
      </c>
      <c r="M1337" s="91">
        <v>0</v>
      </c>
      <c r="N1337" s="91">
        <v>0</v>
      </c>
      <c r="O1337" s="91">
        <v>0</v>
      </c>
      <c r="P1337" s="91">
        <v>0</v>
      </c>
      <c r="Q1337" s="97">
        <f t="shared" si="40"/>
        <v>6199</v>
      </c>
      <c r="R1337" s="95">
        <f t="shared" si="41"/>
        <v>5269.15</v>
      </c>
    </row>
    <row r="1338" spans="1:18" ht="34.049999999999997" customHeight="1" x14ac:dyDescent="0.3">
      <c r="A1338" s="90">
        <v>1327</v>
      </c>
      <c r="B1338" s="91" t="s">
        <v>4428</v>
      </c>
      <c r="C1338" s="91" t="s">
        <v>4498</v>
      </c>
      <c r="D1338" s="91" t="s">
        <v>4499</v>
      </c>
      <c r="E1338" s="91">
        <v>2025</v>
      </c>
      <c r="F1338" s="91" t="s">
        <v>19</v>
      </c>
      <c r="G1338" s="91" t="s">
        <v>4565</v>
      </c>
      <c r="H1338" s="91" t="s">
        <v>4601</v>
      </c>
      <c r="I1338" s="91" t="s">
        <v>1709</v>
      </c>
      <c r="J1338" s="91">
        <v>6199</v>
      </c>
      <c r="K1338" s="91">
        <v>0</v>
      </c>
      <c r="L1338" s="91">
        <v>0</v>
      </c>
      <c r="M1338" s="91">
        <v>0</v>
      </c>
      <c r="N1338" s="91">
        <v>0</v>
      </c>
      <c r="O1338" s="91">
        <v>0</v>
      </c>
      <c r="P1338" s="91">
        <v>0</v>
      </c>
      <c r="Q1338" s="97">
        <f t="shared" si="40"/>
        <v>6199</v>
      </c>
      <c r="R1338" s="95">
        <f t="shared" si="41"/>
        <v>5269.15</v>
      </c>
    </row>
    <row r="1339" spans="1:18" ht="34.049999999999997" customHeight="1" x14ac:dyDescent="0.3">
      <c r="A1339" s="96">
        <v>1328</v>
      </c>
      <c r="B1339" s="91" t="s">
        <v>4428</v>
      </c>
      <c r="C1339" s="91" t="s">
        <v>4500</v>
      </c>
      <c r="D1339" s="91" t="s">
        <v>4501</v>
      </c>
      <c r="E1339" s="91">
        <v>2012</v>
      </c>
      <c r="F1339" s="91" t="s">
        <v>19</v>
      </c>
      <c r="G1339" s="91" t="s">
        <v>4566</v>
      </c>
      <c r="H1339" s="91" t="s">
        <v>4602</v>
      </c>
      <c r="I1339" s="91" t="s">
        <v>4625</v>
      </c>
      <c r="J1339" s="91">
        <v>6199</v>
      </c>
      <c r="K1339" s="91">
        <v>0</v>
      </c>
      <c r="L1339" s="91">
        <v>13298</v>
      </c>
      <c r="M1339" s="91">
        <v>0</v>
      </c>
      <c r="N1339" s="91">
        <v>0</v>
      </c>
      <c r="O1339" s="91">
        <v>0</v>
      </c>
      <c r="P1339" s="91">
        <v>0</v>
      </c>
      <c r="Q1339" s="97">
        <f t="shared" si="40"/>
        <v>19497</v>
      </c>
      <c r="R1339" s="95">
        <f t="shared" si="41"/>
        <v>16572.45</v>
      </c>
    </row>
    <row r="1340" spans="1:18" ht="34.049999999999997" customHeight="1" x14ac:dyDescent="0.3">
      <c r="A1340" s="90">
        <v>1329</v>
      </c>
      <c r="B1340" s="91" t="s">
        <v>4428</v>
      </c>
      <c r="C1340" s="91" t="s">
        <v>4502</v>
      </c>
      <c r="D1340" s="91" t="s">
        <v>4503</v>
      </c>
      <c r="E1340" s="91">
        <v>1981</v>
      </c>
      <c r="F1340" s="91" t="s">
        <v>18</v>
      </c>
      <c r="G1340" s="91" t="s">
        <v>4567</v>
      </c>
      <c r="H1340" s="91" t="s">
        <v>4603</v>
      </c>
      <c r="I1340" s="91" t="s">
        <v>4626</v>
      </c>
      <c r="J1340" s="91">
        <v>6199</v>
      </c>
      <c r="K1340" s="91">
        <f>6278+4484+2332+2332+2332+6995+2332+2332+2332+3000+3000+4484+4484+2332+4484+1346+1346+3228+2332+2332</f>
        <v>64117</v>
      </c>
      <c r="L1340" s="91">
        <v>0</v>
      </c>
      <c r="M1340" s="91">
        <v>0</v>
      </c>
      <c r="N1340" s="91">
        <v>1793</v>
      </c>
      <c r="O1340" s="91">
        <v>0</v>
      </c>
      <c r="P1340" s="91">
        <v>0</v>
      </c>
      <c r="Q1340" s="97">
        <f t="shared" si="40"/>
        <v>72109</v>
      </c>
      <c r="R1340" s="95">
        <f t="shared" si="41"/>
        <v>61292.65</v>
      </c>
    </row>
    <row r="1341" spans="1:18" ht="34.049999999999997" customHeight="1" x14ac:dyDescent="0.3">
      <c r="A1341" s="90">
        <v>1330</v>
      </c>
      <c r="B1341" s="91" t="s">
        <v>4428</v>
      </c>
      <c r="C1341" s="91" t="s">
        <v>4504</v>
      </c>
      <c r="D1341" s="91" t="s">
        <v>4505</v>
      </c>
      <c r="E1341" s="91">
        <v>2018</v>
      </c>
      <c r="F1341" s="91" t="s">
        <v>19</v>
      </c>
      <c r="G1341" s="91" t="s">
        <v>4568</v>
      </c>
      <c r="H1341" s="91" t="s">
        <v>4604</v>
      </c>
      <c r="I1341" s="91" t="s">
        <v>4627</v>
      </c>
      <c r="J1341" s="91">
        <v>6199</v>
      </c>
      <c r="K1341" s="91">
        <f>1346+6278+4484+1166</f>
        <v>13274</v>
      </c>
      <c r="L1341" s="91">
        <v>17620</v>
      </c>
      <c r="M1341" s="91">
        <v>0</v>
      </c>
      <c r="N1341" s="91">
        <v>3148</v>
      </c>
      <c r="O1341" s="91">
        <v>0</v>
      </c>
      <c r="P1341" s="91">
        <v>0</v>
      </c>
      <c r="Q1341" s="97">
        <f t="shared" si="40"/>
        <v>40241</v>
      </c>
      <c r="R1341" s="95">
        <f t="shared" si="41"/>
        <v>34204.85</v>
      </c>
    </row>
    <row r="1342" spans="1:18" ht="34.049999999999997" customHeight="1" x14ac:dyDescent="0.3">
      <c r="A1342" s="96">
        <v>1331</v>
      </c>
      <c r="B1342" s="91" t="s">
        <v>4428</v>
      </c>
      <c r="C1342" s="91" t="s">
        <v>4506</v>
      </c>
      <c r="D1342" s="91" t="s">
        <v>3414</v>
      </c>
      <c r="E1342" s="91">
        <v>2003</v>
      </c>
      <c r="F1342" s="91" t="s">
        <v>19</v>
      </c>
      <c r="G1342" s="91" t="s">
        <v>3460</v>
      </c>
      <c r="H1342" s="91" t="s">
        <v>3460</v>
      </c>
      <c r="I1342" s="91" t="s">
        <v>3507</v>
      </c>
      <c r="J1342" s="91">
        <v>3793</v>
      </c>
      <c r="K1342" s="91">
        <v>0</v>
      </c>
      <c r="L1342" s="91">
        <v>17279</v>
      </c>
      <c r="M1342" s="91">
        <v>0</v>
      </c>
      <c r="N1342" s="91">
        <v>0</v>
      </c>
      <c r="O1342" s="91">
        <v>0</v>
      </c>
      <c r="P1342" s="91">
        <v>0</v>
      </c>
      <c r="Q1342" s="97">
        <f t="shared" si="40"/>
        <v>21072</v>
      </c>
      <c r="R1342" s="95">
        <f t="shared" si="41"/>
        <v>17911.2</v>
      </c>
    </row>
    <row r="1343" spans="1:18" ht="34.049999999999997" customHeight="1" x14ac:dyDescent="0.3">
      <c r="A1343" s="90">
        <v>1332</v>
      </c>
      <c r="B1343" s="91" t="s">
        <v>4428</v>
      </c>
      <c r="C1343" s="91" t="s">
        <v>4507</v>
      </c>
      <c r="D1343" s="91" t="s">
        <v>4508</v>
      </c>
      <c r="E1343" s="91">
        <v>2023</v>
      </c>
      <c r="F1343" s="91" t="s">
        <v>19</v>
      </c>
      <c r="G1343" s="91" t="s">
        <v>4569</v>
      </c>
      <c r="H1343" s="91" t="s">
        <v>4605</v>
      </c>
      <c r="I1343" s="91" t="s">
        <v>4628</v>
      </c>
      <c r="J1343" s="91">
        <v>6199</v>
      </c>
      <c r="K1343" s="91">
        <v>0</v>
      </c>
      <c r="L1343" s="91">
        <v>13298</v>
      </c>
      <c r="M1343" s="91">
        <v>0</v>
      </c>
      <c r="N1343" s="91">
        <v>0</v>
      </c>
      <c r="O1343" s="91">
        <v>0</v>
      </c>
      <c r="P1343" s="91">
        <v>0</v>
      </c>
      <c r="Q1343" s="97">
        <f t="shared" si="40"/>
        <v>19497</v>
      </c>
      <c r="R1343" s="95">
        <f t="shared" si="41"/>
        <v>16572.45</v>
      </c>
    </row>
    <row r="1344" spans="1:18" ht="34.049999999999997" customHeight="1" x14ac:dyDescent="0.3">
      <c r="A1344" s="90">
        <v>1333</v>
      </c>
      <c r="B1344" s="91" t="s">
        <v>4428</v>
      </c>
      <c r="C1344" s="91" t="s">
        <v>4509</v>
      </c>
      <c r="D1344" s="91" t="s">
        <v>4510</v>
      </c>
      <c r="E1344" s="91">
        <v>2000</v>
      </c>
      <c r="F1344" s="91" t="s">
        <v>19</v>
      </c>
      <c r="G1344" s="91" t="s">
        <v>4570</v>
      </c>
      <c r="H1344" s="91" t="s">
        <v>4570</v>
      </c>
      <c r="I1344" s="91" t="s">
        <v>2131</v>
      </c>
      <c r="J1344" s="91">
        <v>6199</v>
      </c>
      <c r="K1344" s="91">
        <v>0</v>
      </c>
      <c r="L1344" s="91">
        <v>18406</v>
      </c>
      <c r="M1344" s="91">
        <v>0</v>
      </c>
      <c r="N1344" s="91">
        <v>0</v>
      </c>
      <c r="O1344" s="91">
        <v>0</v>
      </c>
      <c r="P1344" s="91">
        <v>0</v>
      </c>
      <c r="Q1344" s="97">
        <f t="shared" si="40"/>
        <v>24605</v>
      </c>
      <c r="R1344" s="95">
        <f t="shared" si="41"/>
        <v>20914.25</v>
      </c>
    </row>
    <row r="1345" spans="1:18" ht="34.049999999999997" customHeight="1" x14ac:dyDescent="0.3">
      <c r="A1345" s="96">
        <v>1334</v>
      </c>
      <c r="B1345" s="91" t="s">
        <v>4428</v>
      </c>
      <c r="C1345" s="91" t="s">
        <v>4511</v>
      </c>
      <c r="D1345" s="91" t="s">
        <v>4512</v>
      </c>
      <c r="E1345" s="91">
        <v>2004</v>
      </c>
      <c r="F1345" s="91" t="s">
        <v>19</v>
      </c>
      <c r="G1345" s="91" t="s">
        <v>4571</v>
      </c>
      <c r="H1345" s="91" t="s">
        <v>4571</v>
      </c>
      <c r="I1345" s="91" t="s">
        <v>4629</v>
      </c>
      <c r="J1345" s="91">
        <v>6199</v>
      </c>
      <c r="K1345" s="91">
        <f>6278+2332+2332+2332+2332+2332</f>
        <v>17938</v>
      </c>
      <c r="L1345" s="91">
        <v>0</v>
      </c>
      <c r="M1345" s="91">
        <v>0</v>
      </c>
      <c r="N1345" s="91">
        <f>3179+1178+1793</f>
        <v>6150</v>
      </c>
      <c r="O1345" s="91">
        <v>0</v>
      </c>
      <c r="P1345" s="91">
        <f>720+144+720+120+374</f>
        <v>2078</v>
      </c>
      <c r="Q1345" s="97">
        <f t="shared" si="40"/>
        <v>32365</v>
      </c>
      <c r="R1345" s="95">
        <f t="shared" si="41"/>
        <v>27510.25</v>
      </c>
    </row>
    <row r="1346" spans="1:18" ht="34.049999999999997" customHeight="1" x14ac:dyDescent="0.3">
      <c r="A1346" s="90">
        <v>1335</v>
      </c>
      <c r="B1346" s="91" t="s">
        <v>4428</v>
      </c>
      <c r="C1346" s="91" t="s">
        <v>4513</v>
      </c>
      <c r="D1346" s="91" t="s">
        <v>4514</v>
      </c>
      <c r="E1346" s="91">
        <v>2023</v>
      </c>
      <c r="F1346" s="91" t="s">
        <v>18</v>
      </c>
      <c r="G1346" s="91" t="s">
        <v>4572</v>
      </c>
      <c r="H1346" s="91" t="s">
        <v>496</v>
      </c>
      <c r="I1346" s="91" t="s">
        <v>580</v>
      </c>
      <c r="J1346" s="91">
        <v>6199</v>
      </c>
      <c r="K1346" s="91">
        <f>6278+4484+1346+2332+2332+2332+2332+2332+6995+6995+2332+6995+2332+4484</f>
        <v>53901</v>
      </c>
      <c r="L1346" s="91">
        <v>0</v>
      </c>
      <c r="M1346" s="91">
        <v>0</v>
      </c>
      <c r="N1346" s="91">
        <v>3148</v>
      </c>
      <c r="O1346" s="91">
        <v>0</v>
      </c>
      <c r="P1346" s="91">
        <v>0</v>
      </c>
      <c r="Q1346" s="94">
        <f t="shared" si="40"/>
        <v>63248</v>
      </c>
      <c r="R1346" s="95">
        <f t="shared" si="41"/>
        <v>53760.800000000003</v>
      </c>
    </row>
    <row r="1347" spans="1:18" ht="34.049999999999997" customHeight="1" x14ac:dyDescent="0.3">
      <c r="A1347" s="90">
        <v>1336</v>
      </c>
      <c r="B1347" s="91" t="s">
        <v>4428</v>
      </c>
      <c r="C1347" s="91" t="s">
        <v>4515</v>
      </c>
      <c r="D1347" s="91" t="s">
        <v>4516</v>
      </c>
      <c r="E1347" s="91">
        <v>2013</v>
      </c>
      <c r="F1347" s="91" t="s">
        <v>19</v>
      </c>
      <c r="G1347" s="91" t="s">
        <v>4573</v>
      </c>
      <c r="H1347" s="91" t="s">
        <v>4606</v>
      </c>
      <c r="I1347" s="91" t="s">
        <v>4630</v>
      </c>
      <c r="J1347" s="91">
        <v>6199</v>
      </c>
      <c r="K1347" s="91">
        <f>6278+2332+1346+4484+2332+2332+2332+2332+2332+6995+6995+2332+6995+6995</f>
        <v>56412</v>
      </c>
      <c r="L1347" s="91">
        <v>0</v>
      </c>
      <c r="M1347" s="91">
        <v>0</v>
      </c>
      <c r="N1347" s="91">
        <v>3148</v>
      </c>
      <c r="O1347" s="91">
        <v>0</v>
      </c>
      <c r="P1347" s="91">
        <v>0</v>
      </c>
      <c r="Q1347" s="97">
        <f t="shared" si="40"/>
        <v>65759</v>
      </c>
      <c r="R1347" s="95">
        <f t="shared" si="41"/>
        <v>55895.15</v>
      </c>
    </row>
    <row r="1348" spans="1:18" ht="34.049999999999997" customHeight="1" x14ac:dyDescent="0.3">
      <c r="A1348" s="96">
        <v>1337</v>
      </c>
      <c r="B1348" s="91" t="s">
        <v>4428</v>
      </c>
      <c r="C1348" s="91" t="s">
        <v>4517</v>
      </c>
      <c r="D1348" s="91" t="s">
        <v>4518</v>
      </c>
      <c r="E1348" s="91">
        <v>1987</v>
      </c>
      <c r="F1348" s="91" t="s">
        <v>18</v>
      </c>
      <c r="G1348" s="91" t="s">
        <v>4574</v>
      </c>
      <c r="H1348" s="91" t="s">
        <v>4574</v>
      </c>
      <c r="I1348" s="91" t="s">
        <v>4631</v>
      </c>
      <c r="J1348" s="91">
        <v>6199</v>
      </c>
      <c r="K1348" s="91">
        <f>6278+2332+1346+4484+2332+2332+2332+2332+6995+6995+6995+2332+6995+2332+6995+4484</f>
        <v>67891</v>
      </c>
      <c r="L1348" s="91">
        <v>0</v>
      </c>
      <c r="M1348" s="91">
        <v>0</v>
      </c>
      <c r="N1348" s="91">
        <v>1793</v>
      </c>
      <c r="O1348" s="91">
        <v>0</v>
      </c>
      <c r="P1348" s="91">
        <v>0</v>
      </c>
      <c r="Q1348" s="97">
        <f t="shared" si="40"/>
        <v>75883</v>
      </c>
      <c r="R1348" s="95">
        <f t="shared" si="41"/>
        <v>64500.55</v>
      </c>
    </row>
    <row r="1349" spans="1:18" ht="34.049999999999997" customHeight="1" x14ac:dyDescent="0.3">
      <c r="A1349" s="90">
        <v>1338</v>
      </c>
      <c r="B1349" s="91" t="s">
        <v>4428</v>
      </c>
      <c r="C1349" s="91" t="s">
        <v>4519</v>
      </c>
      <c r="D1349" s="91" t="s">
        <v>4520</v>
      </c>
      <c r="E1349" s="91">
        <v>1980</v>
      </c>
      <c r="F1349" s="91" t="s">
        <v>18</v>
      </c>
      <c r="G1349" s="91" t="s">
        <v>4575</v>
      </c>
      <c r="H1349" s="91" t="s">
        <v>4575</v>
      </c>
      <c r="I1349" s="91" t="s">
        <v>272</v>
      </c>
      <c r="J1349" s="91">
        <v>6199</v>
      </c>
      <c r="K1349" s="91">
        <v>0</v>
      </c>
      <c r="L1349" s="91">
        <v>0</v>
      </c>
      <c r="M1349" s="91">
        <v>0</v>
      </c>
      <c r="N1349" s="91">
        <v>0</v>
      </c>
      <c r="O1349" s="91">
        <v>0</v>
      </c>
      <c r="P1349" s="91">
        <v>0</v>
      </c>
      <c r="Q1349" s="97">
        <f t="shared" si="40"/>
        <v>6199</v>
      </c>
      <c r="R1349" s="95">
        <f t="shared" si="41"/>
        <v>5269.15</v>
      </c>
    </row>
    <row r="1350" spans="1:18" ht="34.049999999999997" customHeight="1" x14ac:dyDescent="0.3">
      <c r="A1350" s="90">
        <v>1339</v>
      </c>
      <c r="B1350" s="91" t="s">
        <v>4428</v>
      </c>
      <c r="C1350" s="91" t="s">
        <v>4521</v>
      </c>
      <c r="D1350" s="91" t="s">
        <v>1364</v>
      </c>
      <c r="E1350" s="91">
        <v>1977</v>
      </c>
      <c r="F1350" s="91" t="s">
        <v>18</v>
      </c>
      <c r="G1350" s="91" t="s">
        <v>1420</v>
      </c>
      <c r="H1350" s="91" t="s">
        <v>1453</v>
      </c>
      <c r="I1350" s="91" t="s">
        <v>1481</v>
      </c>
      <c r="J1350" s="91">
        <v>0</v>
      </c>
      <c r="K1350" s="91">
        <v>0</v>
      </c>
      <c r="L1350" s="91">
        <v>0</v>
      </c>
      <c r="M1350" s="91">
        <v>0</v>
      </c>
      <c r="N1350" s="91">
        <v>1681</v>
      </c>
      <c r="O1350" s="91">
        <v>0</v>
      </c>
      <c r="P1350" s="91">
        <f>240+56</f>
        <v>296</v>
      </c>
      <c r="Q1350" s="97">
        <f t="shared" si="40"/>
        <v>1977</v>
      </c>
      <c r="R1350" s="95">
        <f t="shared" si="41"/>
        <v>1680.45</v>
      </c>
    </row>
    <row r="1351" spans="1:18" ht="34.049999999999997" customHeight="1" x14ac:dyDescent="0.3">
      <c r="A1351" s="96">
        <v>1340</v>
      </c>
      <c r="B1351" s="91" t="s">
        <v>4428</v>
      </c>
      <c r="C1351" s="91" t="s">
        <v>4522</v>
      </c>
      <c r="D1351" s="91" t="s">
        <v>4523</v>
      </c>
      <c r="E1351" s="91">
        <v>2021</v>
      </c>
      <c r="F1351" s="91" t="s">
        <v>18</v>
      </c>
      <c r="G1351" s="91" t="s">
        <v>4576</v>
      </c>
      <c r="H1351" s="91" t="s">
        <v>4607</v>
      </c>
      <c r="I1351" s="91" t="s">
        <v>4632</v>
      </c>
      <c r="J1351" s="91">
        <v>6199</v>
      </c>
      <c r="K1351" s="91">
        <f>1346+6278+4484+4484+2332+2332+2332+2332+2332+2332+6995+6995+2332+6995</f>
        <v>53901</v>
      </c>
      <c r="L1351" s="91">
        <v>0</v>
      </c>
      <c r="M1351" s="91">
        <v>0</v>
      </c>
      <c r="N1351" s="91">
        <v>3148</v>
      </c>
      <c r="O1351" s="91">
        <v>0</v>
      </c>
      <c r="P1351" s="91">
        <v>0</v>
      </c>
      <c r="Q1351" s="97">
        <f t="shared" si="40"/>
        <v>63248</v>
      </c>
      <c r="R1351" s="95">
        <f t="shared" si="41"/>
        <v>53760.800000000003</v>
      </c>
    </row>
    <row r="1352" spans="1:18" ht="34.049999999999997" customHeight="1" x14ac:dyDescent="0.3">
      <c r="A1352" s="90">
        <v>1341</v>
      </c>
      <c r="B1352" s="91" t="s">
        <v>4428</v>
      </c>
      <c r="C1352" s="91" t="s">
        <v>4524</v>
      </c>
      <c r="D1352" s="91" t="s">
        <v>4525</v>
      </c>
      <c r="E1352" s="91">
        <v>2018</v>
      </c>
      <c r="F1352" s="91" t="s">
        <v>19</v>
      </c>
      <c r="G1352" s="91" t="s">
        <v>4577</v>
      </c>
      <c r="H1352" s="91" t="s">
        <v>4608</v>
      </c>
      <c r="I1352" s="91" t="s">
        <v>4632</v>
      </c>
      <c r="J1352" s="91">
        <v>6199</v>
      </c>
      <c r="K1352" s="91">
        <v>0</v>
      </c>
      <c r="L1352" s="91">
        <v>0</v>
      </c>
      <c r="M1352" s="91">
        <v>0</v>
      </c>
      <c r="N1352" s="91">
        <v>0</v>
      </c>
      <c r="O1352" s="91">
        <v>0</v>
      </c>
      <c r="P1352" s="91">
        <v>0</v>
      </c>
      <c r="Q1352" s="97">
        <f t="shared" si="40"/>
        <v>6199</v>
      </c>
      <c r="R1352" s="95">
        <f t="shared" si="41"/>
        <v>5269.15</v>
      </c>
    </row>
    <row r="1353" spans="1:18" ht="34.049999999999997" customHeight="1" x14ac:dyDescent="0.3">
      <c r="A1353" s="90">
        <v>1342</v>
      </c>
      <c r="B1353" s="91" t="s">
        <v>4428</v>
      </c>
      <c r="C1353" s="91" t="s">
        <v>4526</v>
      </c>
      <c r="D1353" s="91" t="s">
        <v>4527</v>
      </c>
      <c r="E1353" s="91">
        <v>2025</v>
      </c>
      <c r="F1353" s="91" t="s">
        <v>18</v>
      </c>
      <c r="G1353" s="91" t="s">
        <v>4578</v>
      </c>
      <c r="H1353" s="91" t="s">
        <v>4609</v>
      </c>
      <c r="I1353" s="91" t="s">
        <v>576</v>
      </c>
      <c r="J1353" s="91">
        <v>6199</v>
      </c>
      <c r="K1353" s="91">
        <v>0</v>
      </c>
      <c r="L1353" s="91">
        <v>0</v>
      </c>
      <c r="M1353" s="91">
        <v>0</v>
      </c>
      <c r="N1353" s="91">
        <v>0</v>
      </c>
      <c r="O1353" s="91">
        <v>0</v>
      </c>
      <c r="P1353" s="91">
        <v>0</v>
      </c>
      <c r="Q1353" s="97">
        <f t="shared" si="40"/>
        <v>6199</v>
      </c>
      <c r="R1353" s="95">
        <f t="shared" si="41"/>
        <v>5269.15</v>
      </c>
    </row>
    <row r="1354" spans="1:18" ht="34.049999999999997" customHeight="1" x14ac:dyDescent="0.3">
      <c r="A1354" s="96">
        <v>1343</v>
      </c>
      <c r="B1354" s="91" t="s">
        <v>4428</v>
      </c>
      <c r="C1354" s="91" t="s">
        <v>4528</v>
      </c>
      <c r="D1354" s="91" t="s">
        <v>4529</v>
      </c>
      <c r="E1354" s="91">
        <v>2022</v>
      </c>
      <c r="F1354" s="91" t="s">
        <v>19</v>
      </c>
      <c r="G1354" s="91" t="s">
        <v>4579</v>
      </c>
      <c r="H1354" s="91" t="s">
        <v>4610</v>
      </c>
      <c r="I1354" s="91" t="s">
        <v>4633</v>
      </c>
      <c r="J1354" s="91">
        <v>6199</v>
      </c>
      <c r="K1354" s="91">
        <f>1346+6278+4484</f>
        <v>12108</v>
      </c>
      <c r="L1354" s="91">
        <v>0</v>
      </c>
      <c r="M1354" s="91">
        <v>0</v>
      </c>
      <c r="N1354" s="91">
        <v>3148</v>
      </c>
      <c r="O1354" s="91">
        <v>0</v>
      </c>
      <c r="P1354" s="91">
        <v>0</v>
      </c>
      <c r="Q1354" s="97">
        <f t="shared" si="40"/>
        <v>21455</v>
      </c>
      <c r="R1354" s="95">
        <f t="shared" si="41"/>
        <v>18236.75</v>
      </c>
    </row>
    <row r="1355" spans="1:18" ht="34.049999999999997" customHeight="1" x14ac:dyDescent="0.3">
      <c r="A1355" s="90">
        <v>1344</v>
      </c>
      <c r="B1355" s="91" t="s">
        <v>4428</v>
      </c>
      <c r="C1355" s="91" t="s">
        <v>4530</v>
      </c>
      <c r="D1355" s="91" t="s">
        <v>2251</v>
      </c>
      <c r="E1355" s="91">
        <v>1993</v>
      </c>
      <c r="F1355" s="91" t="s">
        <v>19</v>
      </c>
      <c r="G1355" s="91" t="s">
        <v>2364</v>
      </c>
      <c r="H1355" s="91" t="s">
        <v>2364</v>
      </c>
      <c r="I1355" s="91" t="s">
        <v>2465</v>
      </c>
      <c r="J1355" s="91">
        <v>3793</v>
      </c>
      <c r="K1355" s="91">
        <f>4484+1166+2332+2332+2332+3228+6278</f>
        <v>22152</v>
      </c>
      <c r="L1355" s="91">
        <v>0</v>
      </c>
      <c r="M1355" s="91">
        <v>0</v>
      </c>
      <c r="N1355" s="91">
        <v>1793</v>
      </c>
      <c r="O1355" s="91">
        <v>0</v>
      </c>
      <c r="P1355" s="91">
        <v>0</v>
      </c>
      <c r="Q1355" s="97">
        <f t="shared" si="40"/>
        <v>27738</v>
      </c>
      <c r="R1355" s="95">
        <f t="shared" si="41"/>
        <v>23577.3</v>
      </c>
    </row>
    <row r="1356" spans="1:18" ht="34.049999999999997" customHeight="1" x14ac:dyDescent="0.3">
      <c r="A1356" s="90">
        <v>1345</v>
      </c>
      <c r="B1356" s="91" t="s">
        <v>4428</v>
      </c>
      <c r="C1356" s="91" t="s">
        <v>7274</v>
      </c>
      <c r="D1356" s="93" t="s">
        <v>6393</v>
      </c>
      <c r="E1356" s="91">
        <v>2021</v>
      </c>
      <c r="F1356" s="91" t="s">
        <v>18</v>
      </c>
      <c r="G1356" s="91" t="s">
        <v>6394</v>
      </c>
      <c r="H1356" s="91" t="s">
        <v>6395</v>
      </c>
      <c r="I1356" s="91" t="s">
        <v>539</v>
      </c>
      <c r="J1356" s="91">
        <v>2900</v>
      </c>
      <c r="K1356" s="91">
        <v>0</v>
      </c>
      <c r="L1356" s="91">
        <v>0</v>
      </c>
      <c r="M1356" s="91">
        <v>17688</v>
      </c>
      <c r="N1356" s="91">
        <v>2088</v>
      </c>
      <c r="O1356" s="91">
        <v>0</v>
      </c>
      <c r="P1356" s="91">
        <f>1080+168</f>
        <v>1248</v>
      </c>
      <c r="Q1356" s="97">
        <f t="shared" ref="Q1356:Q1419" si="42">SUM(J1356:P1356)</f>
        <v>23924</v>
      </c>
      <c r="R1356" s="95">
        <f t="shared" si="41"/>
        <v>20335.400000000001</v>
      </c>
    </row>
    <row r="1357" spans="1:18" ht="34.049999999999997" customHeight="1" x14ac:dyDescent="0.3">
      <c r="A1357" s="96">
        <v>1346</v>
      </c>
      <c r="B1357" s="91" t="s">
        <v>4428</v>
      </c>
      <c r="C1357" s="91" t="s">
        <v>7275</v>
      </c>
      <c r="D1357" s="93" t="s">
        <v>3346</v>
      </c>
      <c r="E1357" s="91">
        <v>2019</v>
      </c>
      <c r="F1357" s="91" t="s">
        <v>19</v>
      </c>
      <c r="G1357" s="91" t="s">
        <v>3428</v>
      </c>
      <c r="H1357" s="91" t="s">
        <v>3466</v>
      </c>
      <c r="I1357" s="91" t="s">
        <v>3495</v>
      </c>
      <c r="J1357" s="91">
        <v>2900</v>
      </c>
      <c r="K1357" s="91">
        <v>0</v>
      </c>
      <c r="L1357" s="91">
        <v>0</v>
      </c>
      <c r="M1357" s="91">
        <v>0</v>
      </c>
      <c r="N1357" s="91">
        <v>2088</v>
      </c>
      <c r="O1357" s="91">
        <v>0</v>
      </c>
      <c r="P1357" s="91">
        <f>360+56</f>
        <v>416</v>
      </c>
      <c r="Q1357" s="97">
        <f t="shared" si="42"/>
        <v>5404</v>
      </c>
      <c r="R1357" s="95">
        <f t="shared" ref="R1357:R1420" si="43">Q1357*85/100</f>
        <v>4593.3999999999996</v>
      </c>
    </row>
    <row r="1358" spans="1:18" ht="34.049999999999997" customHeight="1" x14ac:dyDescent="0.3">
      <c r="A1358" s="90">
        <v>1347</v>
      </c>
      <c r="B1358" s="91" t="s">
        <v>4428</v>
      </c>
      <c r="C1358" s="91" t="s">
        <v>7276</v>
      </c>
      <c r="D1358" s="93" t="s">
        <v>3556</v>
      </c>
      <c r="E1358" s="91">
        <v>2024</v>
      </c>
      <c r="F1358" s="91" t="s">
        <v>18</v>
      </c>
      <c r="G1358" s="91" t="s">
        <v>3640</v>
      </c>
      <c r="H1358" s="91" t="s">
        <v>3597</v>
      </c>
      <c r="I1358" s="91" t="s">
        <v>1704</v>
      </c>
      <c r="J1358" s="91">
        <v>2900</v>
      </c>
      <c r="K1358" s="91">
        <v>0</v>
      </c>
      <c r="L1358" s="91">
        <v>0</v>
      </c>
      <c r="M1358" s="91">
        <v>0</v>
      </c>
      <c r="N1358" s="91">
        <v>2088</v>
      </c>
      <c r="O1358" s="91">
        <v>0</v>
      </c>
      <c r="P1358" s="91">
        <f>360+56</f>
        <v>416</v>
      </c>
      <c r="Q1358" s="97">
        <f t="shared" si="42"/>
        <v>5404</v>
      </c>
      <c r="R1358" s="95">
        <f t="shared" si="43"/>
        <v>4593.3999999999996</v>
      </c>
    </row>
    <row r="1359" spans="1:18" ht="34.049999999999997" customHeight="1" x14ac:dyDescent="0.3">
      <c r="A1359" s="90">
        <v>1348</v>
      </c>
      <c r="B1359" s="91" t="s">
        <v>4428</v>
      </c>
      <c r="C1359" s="91" t="s">
        <v>7277</v>
      </c>
      <c r="D1359" s="93" t="s">
        <v>4246</v>
      </c>
      <c r="E1359" s="91">
        <v>2020</v>
      </c>
      <c r="F1359" s="91" t="s">
        <v>19</v>
      </c>
      <c r="G1359" s="91" t="s">
        <v>4340</v>
      </c>
      <c r="H1359" s="91" t="s">
        <v>4381</v>
      </c>
      <c r="I1359" s="91" t="s">
        <v>1702</v>
      </c>
      <c r="J1359" s="91">
        <v>0</v>
      </c>
      <c r="K1359" s="91">
        <v>0</v>
      </c>
      <c r="L1359" s="91">
        <v>0</v>
      </c>
      <c r="M1359" s="91">
        <v>0</v>
      </c>
      <c r="N1359" s="91">
        <v>0</v>
      </c>
      <c r="O1359" s="91">
        <v>0</v>
      </c>
      <c r="P1359" s="91">
        <v>0</v>
      </c>
      <c r="Q1359" s="97">
        <f t="shared" si="42"/>
        <v>0</v>
      </c>
      <c r="R1359" s="95">
        <f t="shared" si="43"/>
        <v>0</v>
      </c>
    </row>
    <row r="1360" spans="1:18" ht="34.049999999999997" customHeight="1" x14ac:dyDescent="0.3">
      <c r="A1360" s="96">
        <v>1349</v>
      </c>
      <c r="B1360" s="91" t="s">
        <v>4634</v>
      </c>
      <c r="C1360" s="91" t="s">
        <v>4635</v>
      </c>
      <c r="D1360" s="91" t="s">
        <v>4636</v>
      </c>
      <c r="E1360" s="91">
        <v>2008</v>
      </c>
      <c r="F1360" s="91" t="s">
        <v>19</v>
      </c>
      <c r="G1360" s="91" t="s">
        <v>4773</v>
      </c>
      <c r="H1360" s="91" t="s">
        <v>4832</v>
      </c>
      <c r="I1360" s="91" t="s">
        <v>253</v>
      </c>
      <c r="J1360" s="91">
        <v>6199</v>
      </c>
      <c r="K1360" s="91">
        <v>0</v>
      </c>
      <c r="L1360" s="91">
        <v>0</v>
      </c>
      <c r="M1360" s="91">
        <v>0</v>
      </c>
      <c r="N1360" s="91">
        <f>1178+3179</f>
        <v>4357</v>
      </c>
      <c r="O1360" s="91">
        <v>0</v>
      </c>
      <c r="P1360" s="91">
        <f>1440+288+1440</f>
        <v>3168</v>
      </c>
      <c r="Q1360" s="97">
        <f t="shared" si="42"/>
        <v>13724</v>
      </c>
      <c r="R1360" s="95">
        <f t="shared" si="43"/>
        <v>11665.4</v>
      </c>
    </row>
    <row r="1361" spans="1:18" ht="34.049999999999997" customHeight="1" x14ac:dyDescent="0.3">
      <c r="A1361" s="90">
        <v>1350</v>
      </c>
      <c r="B1361" s="91" t="s">
        <v>4634</v>
      </c>
      <c r="C1361" s="91" t="s">
        <v>4637</v>
      </c>
      <c r="D1361" s="91" t="s">
        <v>4638</v>
      </c>
      <c r="E1361" s="91">
        <v>2023</v>
      </c>
      <c r="F1361" s="91" t="s">
        <v>18</v>
      </c>
      <c r="G1361" s="91" t="s">
        <v>4774</v>
      </c>
      <c r="H1361" s="91" t="s">
        <v>1614</v>
      </c>
      <c r="I1361" s="91" t="s">
        <v>4861</v>
      </c>
      <c r="J1361" s="91">
        <v>6199</v>
      </c>
      <c r="K1361" s="91">
        <f>6278+4484+1346+2332+2332+2332+2332+2332+6995+6995+6995+2332+2332+4484</f>
        <v>53901</v>
      </c>
      <c r="L1361" s="91">
        <v>0</v>
      </c>
      <c r="M1361" s="91">
        <v>0</v>
      </c>
      <c r="N1361" s="91">
        <v>3148</v>
      </c>
      <c r="O1361" s="91">
        <v>0</v>
      </c>
      <c r="P1361" s="91">
        <v>0</v>
      </c>
      <c r="Q1361" s="94">
        <f t="shared" si="42"/>
        <v>63248</v>
      </c>
      <c r="R1361" s="95">
        <f t="shared" si="43"/>
        <v>53760.800000000003</v>
      </c>
    </row>
    <row r="1362" spans="1:18" ht="34.049999999999997" customHeight="1" x14ac:dyDescent="0.3">
      <c r="A1362" s="90">
        <v>1351</v>
      </c>
      <c r="B1362" s="91" t="s">
        <v>4634</v>
      </c>
      <c r="C1362" s="91" t="s">
        <v>4637</v>
      </c>
      <c r="D1362" s="91" t="s">
        <v>4638</v>
      </c>
      <c r="E1362" s="91">
        <v>2023</v>
      </c>
      <c r="F1362" s="91" t="s">
        <v>18</v>
      </c>
      <c r="G1362" s="91" t="s">
        <v>4774</v>
      </c>
      <c r="H1362" s="91" t="s">
        <v>1614</v>
      </c>
      <c r="I1362" s="91" t="s">
        <v>4861</v>
      </c>
      <c r="J1362" s="91">
        <v>0</v>
      </c>
      <c r="K1362" s="91">
        <v>0</v>
      </c>
      <c r="L1362" s="91">
        <v>0</v>
      </c>
      <c r="M1362" s="91">
        <v>0</v>
      </c>
      <c r="N1362" s="91">
        <f>1178+4053+2088</f>
        <v>7319</v>
      </c>
      <c r="O1362" s="91">
        <v>0</v>
      </c>
      <c r="P1362" s="91">
        <f>720+1080+360+56+1200</f>
        <v>3416</v>
      </c>
      <c r="Q1362" s="94">
        <f t="shared" si="42"/>
        <v>10735</v>
      </c>
      <c r="R1362" s="95">
        <f t="shared" si="43"/>
        <v>9124.75</v>
      </c>
    </row>
    <row r="1363" spans="1:18" ht="34.049999999999997" customHeight="1" x14ac:dyDescent="0.3">
      <c r="A1363" s="96">
        <v>1352</v>
      </c>
      <c r="B1363" s="91" t="s">
        <v>4634</v>
      </c>
      <c r="C1363" s="91" t="s">
        <v>4637</v>
      </c>
      <c r="D1363" s="91" t="s">
        <v>4638</v>
      </c>
      <c r="E1363" s="91">
        <v>2023</v>
      </c>
      <c r="F1363" s="91" t="s">
        <v>18</v>
      </c>
      <c r="G1363" s="91" t="s">
        <v>4774</v>
      </c>
      <c r="H1363" s="91" t="s">
        <v>1614</v>
      </c>
      <c r="I1363" s="91" t="s">
        <v>4861</v>
      </c>
      <c r="J1363" s="91">
        <v>0</v>
      </c>
      <c r="K1363" s="91">
        <v>0</v>
      </c>
      <c r="L1363" s="91">
        <v>0</v>
      </c>
      <c r="M1363" s="91">
        <v>17688</v>
      </c>
      <c r="N1363" s="91">
        <v>0</v>
      </c>
      <c r="O1363" s="91">
        <v>0</v>
      </c>
      <c r="P1363" s="91">
        <f>360+56</f>
        <v>416</v>
      </c>
      <c r="Q1363" s="94">
        <f t="shared" si="42"/>
        <v>18104</v>
      </c>
      <c r="R1363" s="95">
        <f t="shared" si="43"/>
        <v>15388.4</v>
      </c>
    </row>
    <row r="1364" spans="1:18" ht="34.049999999999997" customHeight="1" x14ac:dyDescent="0.3">
      <c r="A1364" s="90">
        <v>1353</v>
      </c>
      <c r="B1364" s="91" t="s">
        <v>4634</v>
      </c>
      <c r="C1364" s="91" t="s">
        <v>4639</v>
      </c>
      <c r="D1364" s="91" t="s">
        <v>4640</v>
      </c>
      <c r="E1364" s="91">
        <v>1989</v>
      </c>
      <c r="F1364" s="91" t="s">
        <v>19</v>
      </c>
      <c r="G1364" s="91" t="s">
        <v>4775</v>
      </c>
      <c r="H1364" s="91" t="s">
        <v>4775</v>
      </c>
      <c r="I1364" s="91" t="s">
        <v>560</v>
      </c>
      <c r="J1364" s="91">
        <v>6199</v>
      </c>
      <c r="K1364" s="91">
        <f>6278+4484+2332+1346+2332+2332+2332+2332+6995+2332+6995+6995+2332+6995+6995+3228+3000+3000</f>
        <v>72635</v>
      </c>
      <c r="L1364" s="91">
        <v>0</v>
      </c>
      <c r="M1364" s="91">
        <v>0</v>
      </c>
      <c r="N1364" s="91">
        <v>1793</v>
      </c>
      <c r="O1364" s="91">
        <v>0</v>
      </c>
      <c r="P1364" s="91">
        <v>0</v>
      </c>
      <c r="Q1364" s="94">
        <f t="shared" si="42"/>
        <v>80627</v>
      </c>
      <c r="R1364" s="95">
        <f t="shared" si="43"/>
        <v>68532.95</v>
      </c>
    </row>
    <row r="1365" spans="1:18" ht="34.049999999999997" customHeight="1" x14ac:dyDescent="0.3">
      <c r="A1365" s="90">
        <v>1354</v>
      </c>
      <c r="B1365" s="91" t="s">
        <v>4634</v>
      </c>
      <c r="C1365" s="91" t="s">
        <v>4641</v>
      </c>
      <c r="D1365" s="91" t="s">
        <v>74</v>
      </c>
      <c r="E1365" s="91">
        <v>1993</v>
      </c>
      <c r="F1365" s="91" t="s">
        <v>18</v>
      </c>
      <c r="G1365" s="91" t="s">
        <v>166</v>
      </c>
      <c r="H1365" s="91" t="s">
        <v>222</v>
      </c>
      <c r="I1365" s="91" t="s">
        <v>265</v>
      </c>
      <c r="J1365" s="91">
        <v>0</v>
      </c>
      <c r="K1365" s="91">
        <v>0</v>
      </c>
      <c r="L1365" s="91">
        <v>0</v>
      </c>
      <c r="M1365" s="91">
        <v>0</v>
      </c>
      <c r="N1365" s="91">
        <f>34016+27380</f>
        <v>61396</v>
      </c>
      <c r="O1365" s="91">
        <v>0</v>
      </c>
      <c r="P1365" s="91">
        <v>0</v>
      </c>
      <c r="Q1365" s="97">
        <f t="shared" si="42"/>
        <v>61396</v>
      </c>
      <c r="R1365" s="95">
        <f t="shared" si="43"/>
        <v>52186.6</v>
      </c>
    </row>
    <row r="1366" spans="1:18" ht="34.049999999999997" customHeight="1" x14ac:dyDescent="0.3">
      <c r="A1366" s="96">
        <v>1355</v>
      </c>
      <c r="B1366" s="91" t="s">
        <v>4634</v>
      </c>
      <c r="C1366" s="91" t="s">
        <v>4642</v>
      </c>
      <c r="D1366" s="91" t="s">
        <v>4643</v>
      </c>
      <c r="E1366" s="91">
        <v>1995</v>
      </c>
      <c r="F1366" s="91" t="s">
        <v>19</v>
      </c>
      <c r="G1366" s="91" t="s">
        <v>4776</v>
      </c>
      <c r="H1366" s="91" t="s">
        <v>4776</v>
      </c>
      <c r="I1366" s="91" t="s">
        <v>4862</v>
      </c>
      <c r="J1366" s="91">
        <v>6199</v>
      </c>
      <c r="K1366" s="91">
        <f>2332+2332+2243</f>
        <v>6907</v>
      </c>
      <c r="L1366" s="91">
        <v>17279</v>
      </c>
      <c r="M1366" s="91">
        <v>0</v>
      </c>
      <c r="N1366" s="91">
        <v>0</v>
      </c>
      <c r="O1366" s="91">
        <v>0</v>
      </c>
      <c r="P1366" s="91">
        <v>0</v>
      </c>
      <c r="Q1366" s="97">
        <f t="shared" si="42"/>
        <v>30385</v>
      </c>
      <c r="R1366" s="95">
        <f t="shared" si="43"/>
        <v>25827.25</v>
      </c>
    </row>
    <row r="1367" spans="1:18" ht="34.049999999999997" customHeight="1" x14ac:dyDescent="0.3">
      <c r="A1367" s="90">
        <v>1356</v>
      </c>
      <c r="B1367" s="91" t="s">
        <v>4634</v>
      </c>
      <c r="C1367" s="91" t="s">
        <v>4644</v>
      </c>
      <c r="D1367" s="91" t="s">
        <v>4645</v>
      </c>
      <c r="E1367" s="91">
        <v>2023</v>
      </c>
      <c r="F1367" s="91" t="s">
        <v>19</v>
      </c>
      <c r="G1367" s="91" t="s">
        <v>4777</v>
      </c>
      <c r="H1367" s="91" t="s">
        <v>4833</v>
      </c>
      <c r="I1367" s="91" t="s">
        <v>4863</v>
      </c>
      <c r="J1367" s="91">
        <v>6199</v>
      </c>
      <c r="K1367" s="91">
        <f>6278+4484+2332+1346+2332+2332+2332+2332+6995+6995+6995+2332+4484+2332</f>
        <v>53901</v>
      </c>
      <c r="L1367" s="91">
        <v>0</v>
      </c>
      <c r="M1367" s="91">
        <v>0</v>
      </c>
      <c r="N1367" s="91">
        <v>3148</v>
      </c>
      <c r="O1367" s="91">
        <v>0</v>
      </c>
      <c r="P1367" s="91">
        <v>0</v>
      </c>
      <c r="Q1367" s="97">
        <f t="shared" si="42"/>
        <v>63248</v>
      </c>
      <c r="R1367" s="95">
        <f t="shared" si="43"/>
        <v>53760.800000000003</v>
      </c>
    </row>
    <row r="1368" spans="1:18" ht="34.049999999999997" customHeight="1" x14ac:dyDescent="0.3">
      <c r="A1368" s="90">
        <v>1357</v>
      </c>
      <c r="B1368" s="91" t="s">
        <v>4634</v>
      </c>
      <c r="C1368" s="91" t="s">
        <v>4646</v>
      </c>
      <c r="D1368" s="91" t="s">
        <v>4647</v>
      </c>
      <c r="E1368" s="91">
        <v>2010</v>
      </c>
      <c r="F1368" s="91" t="s">
        <v>18</v>
      </c>
      <c r="G1368" s="91" t="s">
        <v>4778</v>
      </c>
      <c r="H1368" s="91" t="s">
        <v>1433</v>
      </c>
      <c r="I1368" s="91" t="s">
        <v>1460</v>
      </c>
      <c r="J1368" s="91">
        <v>6199</v>
      </c>
      <c r="K1368" s="91">
        <f>6278+4484+2332+2332+2332+2332+3000+3000+2332+2332+2332+1346+1166+4484</f>
        <v>40082</v>
      </c>
      <c r="L1368" s="91">
        <v>0</v>
      </c>
      <c r="M1368" s="91">
        <v>0</v>
      </c>
      <c r="N1368" s="91">
        <v>1793</v>
      </c>
      <c r="O1368" s="91">
        <v>0</v>
      </c>
      <c r="P1368" s="91">
        <v>0</v>
      </c>
      <c r="Q1368" s="97">
        <f t="shared" si="42"/>
        <v>48074</v>
      </c>
      <c r="R1368" s="95">
        <f t="shared" si="43"/>
        <v>40862.9</v>
      </c>
    </row>
    <row r="1369" spans="1:18" ht="34.049999999999997" customHeight="1" x14ac:dyDescent="0.3">
      <c r="A1369" s="96">
        <v>1358</v>
      </c>
      <c r="B1369" s="91" t="s">
        <v>4634</v>
      </c>
      <c r="C1369" s="91" t="s">
        <v>4648</v>
      </c>
      <c r="D1369" s="91" t="s">
        <v>4649</v>
      </c>
      <c r="E1369" s="91">
        <v>2021</v>
      </c>
      <c r="F1369" s="91" t="s">
        <v>19</v>
      </c>
      <c r="G1369" s="91" t="s">
        <v>4779</v>
      </c>
      <c r="H1369" s="91" t="s">
        <v>4834</v>
      </c>
      <c r="I1369" s="91" t="s">
        <v>4864</v>
      </c>
      <c r="J1369" s="91">
        <v>6199</v>
      </c>
      <c r="K1369" s="91">
        <f>6278+4484+1346+2332+4484+2332+2332+2332+2332+2332+1166+6995+6995+2332+6995</f>
        <v>55067</v>
      </c>
      <c r="L1369" s="91">
        <v>0</v>
      </c>
      <c r="M1369" s="91">
        <v>0</v>
      </c>
      <c r="N1369" s="91">
        <v>3148</v>
      </c>
      <c r="O1369" s="91">
        <v>0</v>
      </c>
      <c r="P1369" s="91">
        <v>0</v>
      </c>
      <c r="Q1369" s="97">
        <f t="shared" si="42"/>
        <v>64414</v>
      </c>
      <c r="R1369" s="95">
        <f t="shared" si="43"/>
        <v>54751.9</v>
      </c>
    </row>
    <row r="1370" spans="1:18" ht="34.049999999999997" customHeight="1" x14ac:dyDescent="0.3">
      <c r="A1370" s="90">
        <v>1359</v>
      </c>
      <c r="B1370" s="91" t="s">
        <v>4634</v>
      </c>
      <c r="C1370" s="91" t="s">
        <v>4650</v>
      </c>
      <c r="D1370" s="91" t="s">
        <v>4651</v>
      </c>
      <c r="E1370" s="91">
        <v>1960</v>
      </c>
      <c r="F1370" s="91" t="s">
        <v>19</v>
      </c>
      <c r="G1370" s="91" t="s">
        <v>4780</v>
      </c>
      <c r="H1370" s="91" t="s">
        <v>4835</v>
      </c>
      <c r="I1370" s="91" t="s">
        <v>276</v>
      </c>
      <c r="J1370" s="91">
        <v>6199</v>
      </c>
      <c r="K1370" s="91">
        <f>6278+4484+1346+2332+2332+2332+2332+2332</f>
        <v>23768</v>
      </c>
      <c r="L1370" s="91">
        <v>0</v>
      </c>
      <c r="M1370" s="91">
        <v>0</v>
      </c>
      <c r="N1370" s="91">
        <f>1793+3179+1178+1681+30758</f>
        <v>38589</v>
      </c>
      <c r="O1370" s="91">
        <v>0</v>
      </c>
      <c r="P1370" s="91">
        <f>720+360+1200</f>
        <v>2280</v>
      </c>
      <c r="Q1370" s="94">
        <f t="shared" si="42"/>
        <v>70836</v>
      </c>
      <c r="R1370" s="95">
        <f t="shared" si="43"/>
        <v>60210.6</v>
      </c>
    </row>
    <row r="1371" spans="1:18" ht="34.049999999999997" customHeight="1" x14ac:dyDescent="0.3">
      <c r="A1371" s="90">
        <v>1360</v>
      </c>
      <c r="B1371" s="91" t="s">
        <v>4634</v>
      </c>
      <c r="C1371" s="91" t="s">
        <v>4650</v>
      </c>
      <c r="D1371" s="91" t="s">
        <v>4651</v>
      </c>
      <c r="E1371" s="91">
        <v>1960</v>
      </c>
      <c r="F1371" s="91" t="s">
        <v>2635</v>
      </c>
      <c r="G1371" s="91" t="s">
        <v>4780</v>
      </c>
      <c r="H1371" s="91" t="s">
        <v>4835</v>
      </c>
      <c r="I1371" s="91" t="s">
        <v>276</v>
      </c>
      <c r="J1371" s="91">
        <v>0</v>
      </c>
      <c r="K1371" s="91">
        <v>0</v>
      </c>
      <c r="L1371" s="91">
        <v>0</v>
      </c>
      <c r="M1371" s="91">
        <v>17688</v>
      </c>
      <c r="N1371" s="91">
        <v>30758</v>
      </c>
      <c r="O1371" s="91">
        <v>0</v>
      </c>
      <c r="P1371" s="91">
        <f>624+112</f>
        <v>736</v>
      </c>
      <c r="Q1371" s="94">
        <f t="shared" si="42"/>
        <v>49182</v>
      </c>
      <c r="R1371" s="95">
        <f t="shared" si="43"/>
        <v>41804.699999999997</v>
      </c>
    </row>
    <row r="1372" spans="1:18" ht="34.049999999999997" customHeight="1" x14ac:dyDescent="0.3">
      <c r="A1372" s="96">
        <v>1361</v>
      </c>
      <c r="B1372" s="91" t="s">
        <v>4634</v>
      </c>
      <c r="C1372" s="91" t="s">
        <v>4652</v>
      </c>
      <c r="D1372" s="91" t="s">
        <v>3356</v>
      </c>
      <c r="E1372" s="91">
        <v>2015</v>
      </c>
      <c r="F1372" s="91" t="s">
        <v>19</v>
      </c>
      <c r="G1372" s="91" t="s">
        <v>3433</v>
      </c>
      <c r="H1372" s="91" t="s">
        <v>3471</v>
      </c>
      <c r="I1372" s="91" t="s">
        <v>3497</v>
      </c>
      <c r="J1372" s="91">
        <v>3582</v>
      </c>
      <c r="K1372" s="91">
        <v>0</v>
      </c>
      <c r="L1372" s="91">
        <v>0</v>
      </c>
      <c r="M1372" s="91">
        <v>0</v>
      </c>
      <c r="N1372" s="91">
        <f>34016+19239</f>
        <v>53255</v>
      </c>
      <c r="O1372" s="91">
        <v>0</v>
      </c>
      <c r="P1372" s="91">
        <v>0</v>
      </c>
      <c r="Q1372" s="97">
        <f t="shared" si="42"/>
        <v>56837</v>
      </c>
      <c r="R1372" s="95">
        <f t="shared" si="43"/>
        <v>48311.45</v>
      </c>
    </row>
    <row r="1373" spans="1:18" ht="34.049999999999997" customHeight="1" x14ac:dyDescent="0.3">
      <c r="A1373" s="90">
        <v>1362</v>
      </c>
      <c r="B1373" s="91" t="s">
        <v>4634</v>
      </c>
      <c r="C1373" s="91" t="s">
        <v>4653</v>
      </c>
      <c r="D1373" s="93">
        <v>10096752</v>
      </c>
      <c r="E1373" s="91">
        <v>1968</v>
      </c>
      <c r="F1373" s="91" t="s">
        <v>19</v>
      </c>
      <c r="G1373" s="91" t="s">
        <v>4781</v>
      </c>
      <c r="H1373" s="91" t="s">
        <v>4781</v>
      </c>
      <c r="I1373" s="91" t="s">
        <v>268</v>
      </c>
      <c r="J1373" s="91">
        <v>6199</v>
      </c>
      <c r="K1373" s="91">
        <v>0</v>
      </c>
      <c r="L1373" s="91">
        <v>0</v>
      </c>
      <c r="M1373" s="91">
        <v>0</v>
      </c>
      <c r="N1373" s="91">
        <v>0</v>
      </c>
      <c r="O1373" s="91">
        <v>0</v>
      </c>
      <c r="P1373" s="91">
        <v>0</v>
      </c>
      <c r="Q1373" s="97">
        <f t="shared" si="42"/>
        <v>6199</v>
      </c>
      <c r="R1373" s="95">
        <f t="shared" si="43"/>
        <v>5269.15</v>
      </c>
    </row>
    <row r="1374" spans="1:18" ht="34.049999999999997" customHeight="1" x14ac:dyDescent="0.3">
      <c r="A1374" s="90">
        <v>1363</v>
      </c>
      <c r="B1374" s="91" t="s">
        <v>4634</v>
      </c>
      <c r="C1374" s="91" t="s">
        <v>4654</v>
      </c>
      <c r="D1374" s="91" t="s">
        <v>4655</v>
      </c>
      <c r="E1374" s="91">
        <v>2010</v>
      </c>
      <c r="F1374" s="91" t="s">
        <v>18</v>
      </c>
      <c r="G1374" s="91" t="s">
        <v>4782</v>
      </c>
      <c r="H1374" s="91" t="s">
        <v>4836</v>
      </c>
      <c r="I1374" s="91" t="s">
        <v>27</v>
      </c>
      <c r="J1374" s="91">
        <v>6199</v>
      </c>
      <c r="K1374" s="91">
        <v>0</v>
      </c>
      <c r="L1374" s="91">
        <v>0</v>
      </c>
      <c r="M1374" s="91">
        <v>0</v>
      </c>
      <c r="N1374" s="91">
        <v>0</v>
      </c>
      <c r="O1374" s="91">
        <v>0</v>
      </c>
      <c r="P1374" s="91">
        <v>0</v>
      </c>
      <c r="Q1374" s="97">
        <f t="shared" si="42"/>
        <v>6199</v>
      </c>
      <c r="R1374" s="95">
        <f t="shared" si="43"/>
        <v>5269.15</v>
      </c>
    </row>
    <row r="1375" spans="1:18" ht="34.049999999999997" customHeight="1" x14ac:dyDescent="0.3">
      <c r="A1375" s="96">
        <v>1364</v>
      </c>
      <c r="B1375" s="91" t="s">
        <v>4634</v>
      </c>
      <c r="C1375" s="91" t="s">
        <v>4656</v>
      </c>
      <c r="D1375" s="91" t="s">
        <v>4657</v>
      </c>
      <c r="E1375" s="91">
        <v>2016</v>
      </c>
      <c r="F1375" s="91" t="s">
        <v>18</v>
      </c>
      <c r="G1375" s="91" t="s">
        <v>4783</v>
      </c>
      <c r="H1375" s="91" t="s">
        <v>4837</v>
      </c>
      <c r="I1375" s="91" t="s">
        <v>3505</v>
      </c>
      <c r="J1375" s="91">
        <v>6199</v>
      </c>
      <c r="K1375" s="91">
        <f>6278+4484+1346+4484+2332+2332+1166+2332+2332+2332+2332+6995+6995+2332+3000+3000</f>
        <v>54072</v>
      </c>
      <c r="L1375" s="91">
        <v>0</v>
      </c>
      <c r="M1375" s="91">
        <v>0</v>
      </c>
      <c r="N1375" s="91">
        <v>3148</v>
      </c>
      <c r="O1375" s="91">
        <v>0</v>
      </c>
      <c r="P1375" s="91">
        <v>0</v>
      </c>
      <c r="Q1375" s="97">
        <f t="shared" si="42"/>
        <v>63419</v>
      </c>
      <c r="R1375" s="95">
        <f t="shared" si="43"/>
        <v>53906.15</v>
      </c>
    </row>
    <row r="1376" spans="1:18" ht="34.049999999999997" customHeight="1" x14ac:dyDescent="0.3">
      <c r="A1376" s="90">
        <v>1365</v>
      </c>
      <c r="B1376" s="91" t="s">
        <v>4634</v>
      </c>
      <c r="C1376" s="91" t="s">
        <v>4658</v>
      </c>
      <c r="D1376" s="91" t="s">
        <v>3358</v>
      </c>
      <c r="E1376" s="91">
        <v>2020</v>
      </c>
      <c r="F1376" s="91" t="s">
        <v>18</v>
      </c>
      <c r="G1376" s="91" t="s">
        <v>3434</v>
      </c>
      <c r="H1376" s="91" t="s">
        <v>3472</v>
      </c>
      <c r="I1376" s="91" t="s">
        <v>1483</v>
      </c>
      <c r="J1376" s="91">
        <v>0</v>
      </c>
      <c r="K1376" s="91">
        <v>0</v>
      </c>
      <c r="L1376" s="91">
        <v>0</v>
      </c>
      <c r="M1376" s="91">
        <v>0</v>
      </c>
      <c r="N1376" s="91">
        <f>15443+33601</f>
        <v>49044</v>
      </c>
      <c r="O1376" s="91">
        <v>0</v>
      </c>
      <c r="P1376" s="91">
        <v>0</v>
      </c>
      <c r="Q1376" s="97">
        <f t="shared" si="42"/>
        <v>49044</v>
      </c>
      <c r="R1376" s="95">
        <f t="shared" si="43"/>
        <v>41687.4</v>
      </c>
    </row>
    <row r="1377" spans="1:18" ht="34.049999999999997" customHeight="1" x14ac:dyDescent="0.3">
      <c r="A1377" s="90">
        <v>1366</v>
      </c>
      <c r="B1377" s="91" t="s">
        <v>4634</v>
      </c>
      <c r="C1377" s="91" t="s">
        <v>4659</v>
      </c>
      <c r="D1377" s="91" t="s">
        <v>4660</v>
      </c>
      <c r="E1377" s="91">
        <v>1982</v>
      </c>
      <c r="F1377" s="91" t="s">
        <v>19</v>
      </c>
      <c r="G1377" s="91" t="s">
        <v>4784</v>
      </c>
      <c r="H1377" s="91" t="s">
        <v>4784</v>
      </c>
      <c r="I1377" s="91" t="s">
        <v>856</v>
      </c>
      <c r="J1377" s="91">
        <v>6199</v>
      </c>
      <c r="K1377" s="91">
        <v>0</v>
      </c>
      <c r="L1377" s="91">
        <v>0</v>
      </c>
      <c r="M1377" s="91">
        <v>0</v>
      </c>
      <c r="N1377" s="91">
        <v>0</v>
      </c>
      <c r="O1377" s="91">
        <v>0</v>
      </c>
      <c r="P1377" s="91">
        <v>0</v>
      </c>
      <c r="Q1377" s="97">
        <f t="shared" si="42"/>
        <v>6199</v>
      </c>
      <c r="R1377" s="95">
        <f t="shared" si="43"/>
        <v>5269.15</v>
      </c>
    </row>
    <row r="1378" spans="1:18" ht="34.049999999999997" customHeight="1" x14ac:dyDescent="0.3">
      <c r="A1378" s="96">
        <v>1367</v>
      </c>
      <c r="B1378" s="91" t="s">
        <v>4634</v>
      </c>
      <c r="C1378" s="91" t="s">
        <v>4661</v>
      </c>
      <c r="D1378" s="91" t="s">
        <v>4662</v>
      </c>
      <c r="E1378" s="91">
        <v>2013</v>
      </c>
      <c r="F1378" s="91" t="s">
        <v>19</v>
      </c>
      <c r="G1378" s="91" t="s">
        <v>4785</v>
      </c>
      <c r="H1378" s="91" t="s">
        <v>4838</v>
      </c>
      <c r="I1378" s="91" t="s">
        <v>856</v>
      </c>
      <c r="J1378" s="91">
        <v>3582</v>
      </c>
      <c r="K1378" s="91">
        <v>0</v>
      </c>
      <c r="L1378" s="91">
        <v>0</v>
      </c>
      <c r="M1378" s="91">
        <v>0</v>
      </c>
      <c r="N1378" s="91">
        <f>19239+34016</f>
        <v>53255</v>
      </c>
      <c r="O1378" s="91">
        <v>0</v>
      </c>
      <c r="P1378" s="91">
        <v>0</v>
      </c>
      <c r="Q1378" s="97">
        <f t="shared" si="42"/>
        <v>56837</v>
      </c>
      <c r="R1378" s="95">
        <f t="shared" si="43"/>
        <v>48311.45</v>
      </c>
    </row>
    <row r="1379" spans="1:18" ht="34.049999999999997" customHeight="1" x14ac:dyDescent="0.3">
      <c r="A1379" s="90">
        <v>1368</v>
      </c>
      <c r="B1379" s="91" t="s">
        <v>4634</v>
      </c>
      <c r="C1379" s="91" t="s">
        <v>4663</v>
      </c>
      <c r="D1379" s="91" t="s">
        <v>4664</v>
      </c>
      <c r="E1379" s="91">
        <v>2022</v>
      </c>
      <c r="F1379" s="91" t="s">
        <v>18</v>
      </c>
      <c r="G1379" s="91" t="s">
        <v>4786</v>
      </c>
      <c r="H1379" s="91" t="s">
        <v>504</v>
      </c>
      <c r="I1379" s="91" t="s">
        <v>544</v>
      </c>
      <c r="J1379" s="91">
        <v>6199</v>
      </c>
      <c r="K1379" s="91">
        <f>6278+4484+1346+4484+2332+2332+2332+2332+2332+2332+1166+6995+6995+2332+6995</f>
        <v>55067</v>
      </c>
      <c r="L1379" s="91">
        <v>0</v>
      </c>
      <c r="M1379" s="91">
        <v>0</v>
      </c>
      <c r="N1379" s="91">
        <v>3148</v>
      </c>
      <c r="O1379" s="91">
        <v>0</v>
      </c>
      <c r="P1379" s="91">
        <v>0</v>
      </c>
      <c r="Q1379" s="97">
        <f t="shared" si="42"/>
        <v>64414</v>
      </c>
      <c r="R1379" s="95">
        <f t="shared" si="43"/>
        <v>54751.9</v>
      </c>
    </row>
    <row r="1380" spans="1:18" ht="34.049999999999997" customHeight="1" x14ac:dyDescent="0.3">
      <c r="A1380" s="90">
        <v>1369</v>
      </c>
      <c r="B1380" s="91" t="s">
        <v>4634</v>
      </c>
      <c r="C1380" s="91" t="s">
        <v>4665</v>
      </c>
      <c r="D1380" s="91" t="s">
        <v>1139</v>
      </c>
      <c r="E1380" s="91">
        <v>1989</v>
      </c>
      <c r="F1380" s="91" t="s">
        <v>19</v>
      </c>
      <c r="G1380" s="91" t="s">
        <v>4787</v>
      </c>
      <c r="H1380" s="91" t="s">
        <v>817</v>
      </c>
      <c r="I1380" s="91" t="s">
        <v>1272</v>
      </c>
      <c r="J1380" s="91">
        <v>6199</v>
      </c>
      <c r="K1380" s="91">
        <v>0</v>
      </c>
      <c r="L1380" s="91">
        <v>0</v>
      </c>
      <c r="M1380" s="91">
        <v>0</v>
      </c>
      <c r="N1380" s="91">
        <v>0</v>
      </c>
      <c r="O1380" s="91">
        <v>0</v>
      </c>
      <c r="P1380" s="91">
        <v>0</v>
      </c>
      <c r="Q1380" s="97">
        <f t="shared" si="42"/>
        <v>6199</v>
      </c>
      <c r="R1380" s="95">
        <f t="shared" si="43"/>
        <v>5269.15</v>
      </c>
    </row>
    <row r="1381" spans="1:18" ht="34.049999999999997" customHeight="1" x14ac:dyDescent="0.3">
      <c r="A1381" s="96">
        <v>1370</v>
      </c>
      <c r="B1381" s="91" t="s">
        <v>4634</v>
      </c>
      <c r="C1381" s="91" t="s">
        <v>4666</v>
      </c>
      <c r="D1381" s="91" t="s">
        <v>1786</v>
      </c>
      <c r="E1381" s="91">
        <v>2019</v>
      </c>
      <c r="F1381" s="91" t="s">
        <v>19</v>
      </c>
      <c r="G1381" s="91" t="s">
        <v>1839</v>
      </c>
      <c r="H1381" s="91" t="s">
        <v>817</v>
      </c>
      <c r="I1381" s="91" t="s">
        <v>1272</v>
      </c>
      <c r="J1381" s="91">
        <v>6199</v>
      </c>
      <c r="K1381" s="91">
        <f>6278+4484+1346+4484+2332+1166+2332+2332+2332+2332+2332+2332+2332+6995+6995+2332+6995</f>
        <v>59731</v>
      </c>
      <c r="L1381" s="91">
        <v>0</v>
      </c>
      <c r="M1381" s="91">
        <v>0</v>
      </c>
      <c r="N1381" s="91">
        <v>3148</v>
      </c>
      <c r="O1381" s="91">
        <v>0</v>
      </c>
      <c r="P1381" s="91">
        <v>0</v>
      </c>
      <c r="Q1381" s="97">
        <f t="shared" si="42"/>
        <v>69078</v>
      </c>
      <c r="R1381" s="95">
        <f t="shared" si="43"/>
        <v>58716.3</v>
      </c>
    </row>
    <row r="1382" spans="1:18" ht="34.049999999999997" customHeight="1" x14ac:dyDescent="0.3">
      <c r="A1382" s="90">
        <v>1371</v>
      </c>
      <c r="B1382" s="91" t="s">
        <v>4634</v>
      </c>
      <c r="C1382" s="91" t="s">
        <v>4667</v>
      </c>
      <c r="D1382" s="91" t="s">
        <v>4668</v>
      </c>
      <c r="E1382" s="91">
        <v>2019</v>
      </c>
      <c r="F1382" s="91" t="s">
        <v>18</v>
      </c>
      <c r="G1382" s="91" t="s">
        <v>4788</v>
      </c>
      <c r="H1382" s="91" t="s">
        <v>4839</v>
      </c>
      <c r="I1382" s="91" t="s">
        <v>4865</v>
      </c>
      <c r="J1382" s="91">
        <v>6199</v>
      </c>
      <c r="K1382" s="91">
        <v>0</v>
      </c>
      <c r="L1382" s="91">
        <v>0</v>
      </c>
      <c r="M1382" s="91">
        <v>0</v>
      </c>
      <c r="N1382" s="91">
        <v>0</v>
      </c>
      <c r="O1382" s="91">
        <v>0</v>
      </c>
      <c r="P1382" s="91">
        <v>0</v>
      </c>
      <c r="Q1382" s="97">
        <f t="shared" si="42"/>
        <v>6199</v>
      </c>
      <c r="R1382" s="95">
        <f t="shared" si="43"/>
        <v>5269.15</v>
      </c>
    </row>
    <row r="1383" spans="1:18" ht="34.049999999999997" customHeight="1" x14ac:dyDescent="0.3">
      <c r="A1383" s="90">
        <v>1372</v>
      </c>
      <c r="B1383" s="91" t="s">
        <v>4634</v>
      </c>
      <c r="C1383" s="91" t="s">
        <v>4669</v>
      </c>
      <c r="D1383" s="91" t="s">
        <v>4670</v>
      </c>
      <c r="E1383" s="91">
        <v>1980</v>
      </c>
      <c r="F1383" s="91" t="s">
        <v>19</v>
      </c>
      <c r="G1383" s="91" t="s">
        <v>4789</v>
      </c>
      <c r="H1383" s="91" t="s">
        <v>4839</v>
      </c>
      <c r="I1383" s="91" t="s">
        <v>4866</v>
      </c>
      <c r="J1383" s="91">
        <v>3582</v>
      </c>
      <c r="K1383" s="91">
        <v>0</v>
      </c>
      <c r="L1383" s="91">
        <v>0</v>
      </c>
      <c r="M1383" s="91">
        <v>0</v>
      </c>
      <c r="N1383" s="91">
        <f>34016+27380</f>
        <v>61396</v>
      </c>
      <c r="O1383" s="91">
        <v>0</v>
      </c>
      <c r="P1383" s="91">
        <v>0</v>
      </c>
      <c r="Q1383" s="97">
        <f t="shared" si="42"/>
        <v>64978</v>
      </c>
      <c r="R1383" s="95">
        <f t="shared" si="43"/>
        <v>55231.3</v>
      </c>
    </row>
    <row r="1384" spans="1:18" ht="34.049999999999997" customHeight="1" x14ac:dyDescent="0.3">
      <c r="A1384" s="96">
        <v>1373</v>
      </c>
      <c r="B1384" s="91" t="s">
        <v>4634</v>
      </c>
      <c r="C1384" s="91" t="s">
        <v>4671</v>
      </c>
      <c r="D1384" s="91" t="s">
        <v>4672</v>
      </c>
      <c r="E1384" s="91">
        <v>1987</v>
      </c>
      <c r="F1384" s="91" t="s">
        <v>19</v>
      </c>
      <c r="G1384" s="91" t="s">
        <v>4790</v>
      </c>
      <c r="H1384" s="91" t="s">
        <v>4790</v>
      </c>
      <c r="I1384" s="91" t="s">
        <v>541</v>
      </c>
      <c r="J1384" s="91">
        <v>6199</v>
      </c>
      <c r="K1384" s="91">
        <f>2332+2332+2243+6278+2332</f>
        <v>15517</v>
      </c>
      <c r="L1384" s="91">
        <v>0</v>
      </c>
      <c r="M1384" s="91">
        <v>0</v>
      </c>
      <c r="N1384" s="91">
        <v>1793</v>
      </c>
      <c r="O1384" s="91">
        <v>0</v>
      </c>
      <c r="P1384" s="91">
        <v>0</v>
      </c>
      <c r="Q1384" s="97">
        <f t="shared" si="42"/>
        <v>23509</v>
      </c>
      <c r="R1384" s="95">
        <f t="shared" si="43"/>
        <v>19982.650000000001</v>
      </c>
    </row>
    <row r="1385" spans="1:18" ht="34.049999999999997" customHeight="1" x14ac:dyDescent="0.3">
      <c r="A1385" s="90">
        <v>1374</v>
      </c>
      <c r="B1385" s="91" t="s">
        <v>4634</v>
      </c>
      <c r="C1385" s="91" t="s">
        <v>4673</v>
      </c>
      <c r="D1385" s="91" t="s">
        <v>4674</v>
      </c>
      <c r="E1385" s="91">
        <v>2025</v>
      </c>
      <c r="F1385" s="91" t="s">
        <v>18</v>
      </c>
      <c r="G1385" s="91" t="s">
        <v>4791</v>
      </c>
      <c r="H1385" s="91" t="s">
        <v>4594</v>
      </c>
      <c r="I1385" s="91" t="s">
        <v>289</v>
      </c>
      <c r="J1385" s="91">
        <v>6199</v>
      </c>
      <c r="K1385" s="91">
        <f>6278+4484+2332+1346</f>
        <v>14440</v>
      </c>
      <c r="L1385" s="91">
        <v>0</v>
      </c>
      <c r="M1385" s="91">
        <v>0</v>
      </c>
      <c r="N1385" s="91">
        <v>3148</v>
      </c>
      <c r="O1385" s="91">
        <v>0</v>
      </c>
      <c r="P1385" s="91">
        <v>63</v>
      </c>
      <c r="Q1385" s="97">
        <f t="shared" si="42"/>
        <v>23850</v>
      </c>
      <c r="R1385" s="95">
        <f t="shared" si="43"/>
        <v>20272.5</v>
      </c>
    </row>
    <row r="1386" spans="1:18" ht="34.049999999999997" customHeight="1" x14ac:dyDescent="0.3">
      <c r="A1386" s="90">
        <v>1375</v>
      </c>
      <c r="B1386" s="91" t="s">
        <v>4634</v>
      </c>
      <c r="C1386" s="91" t="s">
        <v>4675</v>
      </c>
      <c r="D1386" s="91" t="s">
        <v>4676</v>
      </c>
      <c r="E1386" s="91">
        <v>1962</v>
      </c>
      <c r="F1386" s="91" t="s">
        <v>19</v>
      </c>
      <c r="G1386" s="91" t="s">
        <v>4792</v>
      </c>
      <c r="H1386" s="91" t="s">
        <v>4840</v>
      </c>
      <c r="I1386" s="91" t="s">
        <v>4867</v>
      </c>
      <c r="J1386" s="91">
        <v>6199</v>
      </c>
      <c r="K1386" s="91">
        <v>0</v>
      </c>
      <c r="L1386" s="91">
        <v>0</v>
      </c>
      <c r="M1386" s="91">
        <v>0</v>
      </c>
      <c r="N1386" s="91">
        <v>0</v>
      </c>
      <c r="O1386" s="91">
        <v>0</v>
      </c>
      <c r="P1386" s="91">
        <v>0</v>
      </c>
      <c r="Q1386" s="97">
        <f t="shared" si="42"/>
        <v>6199</v>
      </c>
      <c r="R1386" s="95">
        <f t="shared" si="43"/>
        <v>5269.15</v>
      </c>
    </row>
    <row r="1387" spans="1:18" ht="34.049999999999997" customHeight="1" x14ac:dyDescent="0.3">
      <c r="A1387" s="96">
        <v>1376</v>
      </c>
      <c r="B1387" s="91" t="s">
        <v>4634</v>
      </c>
      <c r="C1387" s="91" t="s">
        <v>4677</v>
      </c>
      <c r="D1387" s="91" t="s">
        <v>4678</v>
      </c>
      <c r="E1387" s="91">
        <v>2024</v>
      </c>
      <c r="F1387" s="91" t="s">
        <v>19</v>
      </c>
      <c r="G1387" s="91" t="s">
        <v>4793</v>
      </c>
      <c r="H1387" s="91" t="s">
        <v>4841</v>
      </c>
      <c r="I1387" s="91" t="s">
        <v>4868</v>
      </c>
      <c r="J1387" s="91">
        <v>6199</v>
      </c>
      <c r="K1387" s="91">
        <f>6278+4484+1346+2332+2332+2332+2332+2332+6995+6995+2332+6995+2332+4484</f>
        <v>53901</v>
      </c>
      <c r="L1387" s="91">
        <v>0</v>
      </c>
      <c r="M1387" s="91">
        <v>0</v>
      </c>
      <c r="N1387" s="91">
        <v>3148</v>
      </c>
      <c r="O1387" s="91">
        <v>0</v>
      </c>
      <c r="P1387" s="91">
        <v>0</v>
      </c>
      <c r="Q1387" s="97">
        <f t="shared" si="42"/>
        <v>63248</v>
      </c>
      <c r="R1387" s="95">
        <f t="shared" si="43"/>
        <v>53760.800000000003</v>
      </c>
    </row>
    <row r="1388" spans="1:18" ht="34.049999999999997" customHeight="1" x14ac:dyDescent="0.3">
      <c r="A1388" s="90">
        <v>1377</v>
      </c>
      <c r="B1388" s="91" t="s">
        <v>4634</v>
      </c>
      <c r="C1388" s="91" t="s">
        <v>4679</v>
      </c>
      <c r="D1388" s="91" t="s">
        <v>4680</v>
      </c>
      <c r="E1388" s="91">
        <v>2022</v>
      </c>
      <c r="F1388" s="91" t="s">
        <v>19</v>
      </c>
      <c r="G1388" s="91" t="s">
        <v>4794</v>
      </c>
      <c r="H1388" s="91" t="s">
        <v>4842</v>
      </c>
      <c r="I1388" s="91" t="s">
        <v>1262</v>
      </c>
      <c r="J1388" s="91">
        <v>6199</v>
      </c>
      <c r="K1388" s="91">
        <f>6278+4484+1346+2332+2332+2332+2332+2332+6995+6995+6995+2332+1166+2801+2332+4484</f>
        <v>57868</v>
      </c>
      <c r="L1388" s="91">
        <v>0</v>
      </c>
      <c r="M1388" s="91">
        <v>0</v>
      </c>
      <c r="N1388" s="91">
        <v>3148</v>
      </c>
      <c r="O1388" s="91">
        <v>0</v>
      </c>
      <c r="P1388" s="91">
        <v>0</v>
      </c>
      <c r="Q1388" s="97">
        <f t="shared" si="42"/>
        <v>67215</v>
      </c>
      <c r="R1388" s="95">
        <f t="shared" si="43"/>
        <v>57132.75</v>
      </c>
    </row>
    <row r="1389" spans="1:18" ht="34.049999999999997" customHeight="1" x14ac:dyDescent="0.3">
      <c r="A1389" s="90">
        <v>1378</v>
      </c>
      <c r="B1389" s="91" t="s">
        <v>4634</v>
      </c>
      <c r="C1389" s="91" t="s">
        <v>4681</v>
      </c>
      <c r="D1389" s="91" t="s">
        <v>4682</v>
      </c>
      <c r="E1389" s="91">
        <v>1987</v>
      </c>
      <c r="F1389" s="91" t="s">
        <v>19</v>
      </c>
      <c r="G1389" s="91" t="s">
        <v>4795</v>
      </c>
      <c r="H1389" s="91" t="s">
        <v>4841</v>
      </c>
      <c r="I1389" s="91" t="s">
        <v>4868</v>
      </c>
      <c r="J1389" s="91">
        <v>6199</v>
      </c>
      <c r="K1389" s="91">
        <f>6278+4484+2332+1346+2332+2332+2332+2332+2332+2332+2243+6995+2332+6995+6995+6995+2332+6995+4484+3587+1346+1346</f>
        <v>81077</v>
      </c>
      <c r="L1389" s="91">
        <v>0</v>
      </c>
      <c r="M1389" s="91">
        <v>0</v>
      </c>
      <c r="N1389" s="91">
        <v>1793</v>
      </c>
      <c r="O1389" s="91">
        <v>0</v>
      </c>
      <c r="P1389" s="91">
        <v>0</v>
      </c>
      <c r="Q1389" s="97">
        <f t="shared" si="42"/>
        <v>89069</v>
      </c>
      <c r="R1389" s="95">
        <f t="shared" si="43"/>
        <v>75708.649999999994</v>
      </c>
    </row>
    <row r="1390" spans="1:18" ht="34.049999999999997" customHeight="1" x14ac:dyDescent="0.3">
      <c r="A1390" s="96">
        <v>1379</v>
      </c>
      <c r="B1390" s="91" t="s">
        <v>4634</v>
      </c>
      <c r="C1390" s="91" t="s">
        <v>4683</v>
      </c>
      <c r="D1390" s="91" t="s">
        <v>4684</v>
      </c>
      <c r="E1390" s="91">
        <v>2020</v>
      </c>
      <c r="F1390" s="91" t="s">
        <v>19</v>
      </c>
      <c r="G1390" s="91" t="s">
        <v>4796</v>
      </c>
      <c r="H1390" s="91" t="s">
        <v>4843</v>
      </c>
      <c r="I1390" s="91" t="s">
        <v>4869</v>
      </c>
      <c r="J1390" s="91">
        <v>6199</v>
      </c>
      <c r="K1390" s="91">
        <f>6278+4484+1346+4484+2332+2332+2332+2332+2332</f>
        <v>28252</v>
      </c>
      <c r="L1390" s="91">
        <v>0</v>
      </c>
      <c r="M1390" s="91">
        <v>0</v>
      </c>
      <c r="N1390" s="91">
        <v>3148</v>
      </c>
      <c r="O1390" s="91">
        <v>0</v>
      </c>
      <c r="P1390" s="91">
        <v>0</v>
      </c>
      <c r="Q1390" s="97">
        <f t="shared" si="42"/>
        <v>37599</v>
      </c>
      <c r="R1390" s="95">
        <f t="shared" si="43"/>
        <v>31959.15</v>
      </c>
    </row>
    <row r="1391" spans="1:18" ht="34.049999999999997" customHeight="1" x14ac:dyDescent="0.3">
      <c r="A1391" s="90">
        <v>1380</v>
      </c>
      <c r="B1391" s="91" t="s">
        <v>4634</v>
      </c>
      <c r="C1391" s="91" t="s">
        <v>4685</v>
      </c>
      <c r="D1391" s="91" t="s">
        <v>4686</v>
      </c>
      <c r="E1391" s="91">
        <v>2023</v>
      </c>
      <c r="F1391" s="91" t="s">
        <v>18</v>
      </c>
      <c r="G1391" s="91" t="s">
        <v>4797</v>
      </c>
      <c r="H1391" s="91" t="s">
        <v>4844</v>
      </c>
      <c r="I1391" s="91" t="s">
        <v>4870</v>
      </c>
      <c r="J1391" s="91">
        <v>6199</v>
      </c>
      <c r="K1391" s="91">
        <f>6278+4484+1346</f>
        <v>12108</v>
      </c>
      <c r="L1391" s="91">
        <v>0</v>
      </c>
      <c r="M1391" s="91">
        <v>0</v>
      </c>
      <c r="N1391" s="91">
        <v>3148</v>
      </c>
      <c r="O1391" s="91">
        <v>0</v>
      </c>
      <c r="P1391" s="91">
        <v>0</v>
      </c>
      <c r="Q1391" s="97">
        <f t="shared" si="42"/>
        <v>21455</v>
      </c>
      <c r="R1391" s="95">
        <f t="shared" si="43"/>
        <v>18236.75</v>
      </c>
    </row>
    <row r="1392" spans="1:18" ht="34.049999999999997" customHeight="1" x14ac:dyDescent="0.3">
      <c r="A1392" s="90">
        <v>1381</v>
      </c>
      <c r="B1392" s="91" t="s">
        <v>4634</v>
      </c>
      <c r="C1392" s="91" t="s">
        <v>4687</v>
      </c>
      <c r="D1392" s="91" t="s">
        <v>4688</v>
      </c>
      <c r="E1392" s="91">
        <v>2012</v>
      </c>
      <c r="F1392" s="91" t="s">
        <v>19</v>
      </c>
      <c r="G1392" s="91" t="s">
        <v>4798</v>
      </c>
      <c r="H1392" s="91" t="s">
        <v>4845</v>
      </c>
      <c r="I1392" s="91" t="s">
        <v>2618</v>
      </c>
      <c r="J1392" s="91">
        <v>6199</v>
      </c>
      <c r="K1392" s="91">
        <f>6278+4484+1346+4484+2332+2332+2332+2332+2332</f>
        <v>28252</v>
      </c>
      <c r="L1392" s="91">
        <v>0</v>
      </c>
      <c r="M1392" s="91">
        <v>0</v>
      </c>
      <c r="N1392" s="91">
        <v>3148</v>
      </c>
      <c r="O1392" s="91">
        <v>0</v>
      </c>
      <c r="P1392" s="91">
        <v>0</v>
      </c>
      <c r="Q1392" s="97">
        <f t="shared" si="42"/>
        <v>37599</v>
      </c>
      <c r="R1392" s="95">
        <f t="shared" si="43"/>
        <v>31959.15</v>
      </c>
    </row>
    <row r="1393" spans="1:18" ht="34.049999999999997" customHeight="1" x14ac:dyDescent="0.3">
      <c r="A1393" s="96">
        <v>1382</v>
      </c>
      <c r="B1393" s="91" t="s">
        <v>4634</v>
      </c>
      <c r="C1393" s="91" t="s">
        <v>4689</v>
      </c>
      <c r="D1393" s="91" t="s">
        <v>4690</v>
      </c>
      <c r="E1393" s="91">
        <v>1991</v>
      </c>
      <c r="F1393" s="91" t="s">
        <v>19</v>
      </c>
      <c r="G1393" s="91" t="s">
        <v>4799</v>
      </c>
      <c r="H1393" s="91" t="s">
        <v>4799</v>
      </c>
      <c r="I1393" s="91" t="s">
        <v>272</v>
      </c>
      <c r="J1393" s="91">
        <v>6199</v>
      </c>
      <c r="K1393" s="91">
        <v>0</v>
      </c>
      <c r="L1393" s="91">
        <v>17279</v>
      </c>
      <c r="M1393" s="91">
        <v>0</v>
      </c>
      <c r="N1393" s="91">
        <v>19725</v>
      </c>
      <c r="O1393" s="91">
        <v>0</v>
      </c>
      <c r="P1393" s="91">
        <v>0</v>
      </c>
      <c r="Q1393" s="97">
        <f t="shared" si="42"/>
        <v>43203</v>
      </c>
      <c r="R1393" s="95">
        <f t="shared" si="43"/>
        <v>36722.550000000003</v>
      </c>
    </row>
    <row r="1394" spans="1:18" ht="34.049999999999997" customHeight="1" x14ac:dyDescent="0.3">
      <c r="A1394" s="90">
        <v>1383</v>
      </c>
      <c r="B1394" s="91" t="s">
        <v>4634</v>
      </c>
      <c r="C1394" s="91" t="s">
        <v>4691</v>
      </c>
      <c r="D1394" s="91" t="s">
        <v>4692</v>
      </c>
      <c r="E1394" s="91">
        <v>2015</v>
      </c>
      <c r="F1394" s="91" t="s">
        <v>18</v>
      </c>
      <c r="G1394" s="91" t="s">
        <v>4800</v>
      </c>
      <c r="H1394" s="91" t="s">
        <v>4846</v>
      </c>
      <c r="I1394" s="91" t="s">
        <v>4871</v>
      </c>
      <c r="J1394" s="91">
        <v>6199</v>
      </c>
      <c r="K1394" s="91">
        <f>6278+4484+2332+4484+4484+2332+2332+2332+2332+3000+3000</f>
        <v>37390</v>
      </c>
      <c r="L1394" s="91">
        <v>0</v>
      </c>
      <c r="M1394" s="91">
        <v>0</v>
      </c>
      <c r="N1394" s="91">
        <v>3148</v>
      </c>
      <c r="O1394" s="91">
        <v>0</v>
      </c>
      <c r="P1394" s="91">
        <v>0</v>
      </c>
      <c r="Q1394" s="97">
        <f t="shared" si="42"/>
        <v>46737</v>
      </c>
      <c r="R1394" s="95">
        <f t="shared" si="43"/>
        <v>39726.449999999997</v>
      </c>
    </row>
    <row r="1395" spans="1:18" ht="34.049999999999997" customHeight="1" x14ac:dyDescent="0.3">
      <c r="A1395" s="90">
        <v>1384</v>
      </c>
      <c r="B1395" s="91" t="s">
        <v>4634</v>
      </c>
      <c r="C1395" s="91" t="s">
        <v>4693</v>
      </c>
      <c r="D1395" s="91" t="s">
        <v>2151</v>
      </c>
      <c r="E1395" s="91">
        <v>1973</v>
      </c>
      <c r="F1395" s="91" t="s">
        <v>18</v>
      </c>
      <c r="G1395" s="91" t="s">
        <v>2316</v>
      </c>
      <c r="H1395" s="91" t="s">
        <v>2316</v>
      </c>
      <c r="I1395" s="91" t="s">
        <v>1277</v>
      </c>
      <c r="J1395" s="91">
        <v>3793</v>
      </c>
      <c r="K1395" s="91">
        <f>2332+2332+6278+2332+2332</f>
        <v>15606</v>
      </c>
      <c r="L1395" s="91">
        <v>0</v>
      </c>
      <c r="M1395" s="91">
        <v>0</v>
      </c>
      <c r="N1395" s="91">
        <f>1793+3179+1178</f>
        <v>6150</v>
      </c>
      <c r="O1395" s="91">
        <v>0</v>
      </c>
      <c r="P1395" s="91">
        <v>2640</v>
      </c>
      <c r="Q1395" s="94">
        <f t="shared" si="42"/>
        <v>28189</v>
      </c>
      <c r="R1395" s="95">
        <f t="shared" si="43"/>
        <v>23960.65</v>
      </c>
    </row>
    <row r="1396" spans="1:18" ht="34.049999999999997" customHeight="1" x14ac:dyDescent="0.3">
      <c r="A1396" s="96">
        <v>1385</v>
      </c>
      <c r="B1396" s="91" t="s">
        <v>4634</v>
      </c>
      <c r="C1396" s="91" t="s">
        <v>4694</v>
      </c>
      <c r="D1396" s="91" t="s">
        <v>4695</v>
      </c>
      <c r="E1396" s="91">
        <v>2020</v>
      </c>
      <c r="F1396" s="91" t="s">
        <v>19</v>
      </c>
      <c r="G1396" s="91" t="s">
        <v>4801</v>
      </c>
      <c r="H1396" s="91" t="s">
        <v>4847</v>
      </c>
      <c r="I1396" s="91" t="s">
        <v>547</v>
      </c>
      <c r="J1396" s="91">
        <v>6199</v>
      </c>
      <c r="K1396" s="91">
        <f>1166+2801</f>
        <v>3967</v>
      </c>
      <c r="L1396" s="91">
        <v>0</v>
      </c>
      <c r="M1396" s="91">
        <v>0</v>
      </c>
      <c r="N1396" s="91">
        <v>0</v>
      </c>
      <c r="O1396" s="91">
        <v>0</v>
      </c>
      <c r="P1396" s="91">
        <v>0</v>
      </c>
      <c r="Q1396" s="94">
        <f t="shared" si="42"/>
        <v>10166</v>
      </c>
      <c r="R1396" s="95">
        <f t="shared" si="43"/>
        <v>8641.1</v>
      </c>
    </row>
    <row r="1397" spans="1:18" ht="34.049999999999997" customHeight="1" x14ac:dyDescent="0.3">
      <c r="A1397" s="90">
        <v>1386</v>
      </c>
      <c r="B1397" s="91" t="s">
        <v>4634</v>
      </c>
      <c r="C1397" s="91" t="s">
        <v>4696</v>
      </c>
      <c r="D1397" s="91" t="s">
        <v>4697</v>
      </c>
      <c r="E1397" s="91">
        <v>1963</v>
      </c>
      <c r="F1397" s="91" t="s">
        <v>18</v>
      </c>
      <c r="G1397" s="91" t="s">
        <v>4802</v>
      </c>
      <c r="H1397" s="91" t="s">
        <v>4802</v>
      </c>
      <c r="I1397" s="91" t="s">
        <v>3317</v>
      </c>
      <c r="J1397" s="91">
        <v>0</v>
      </c>
      <c r="K1397" s="91">
        <v>0</v>
      </c>
      <c r="L1397" s="91">
        <v>0</v>
      </c>
      <c r="M1397" s="91">
        <v>0</v>
      </c>
      <c r="N1397" s="91">
        <v>0</v>
      </c>
      <c r="O1397" s="91">
        <v>0</v>
      </c>
      <c r="P1397" s="91">
        <v>0</v>
      </c>
      <c r="Q1397" s="97">
        <f t="shared" si="42"/>
        <v>0</v>
      </c>
      <c r="R1397" s="95">
        <f t="shared" si="43"/>
        <v>0</v>
      </c>
    </row>
    <row r="1398" spans="1:18" ht="34.049999999999997" customHeight="1" x14ac:dyDescent="0.3">
      <c r="A1398" s="90">
        <v>1387</v>
      </c>
      <c r="B1398" s="91" t="s">
        <v>4634</v>
      </c>
      <c r="C1398" s="91" t="s">
        <v>4698</v>
      </c>
      <c r="D1398" s="91" t="s">
        <v>4699</v>
      </c>
      <c r="E1398" s="91">
        <v>2024</v>
      </c>
      <c r="F1398" s="91" t="s">
        <v>18</v>
      </c>
      <c r="G1398" s="91" t="s">
        <v>4803</v>
      </c>
      <c r="H1398" s="91" t="s">
        <v>4848</v>
      </c>
      <c r="I1398" s="91" t="s">
        <v>4872</v>
      </c>
      <c r="J1398" s="91">
        <v>6199</v>
      </c>
      <c r="K1398" s="91">
        <f>6278+4484+1346+2332+2332+2332+2332+2332+6995+6995+6995+2332+4484+2332</f>
        <v>53901</v>
      </c>
      <c r="L1398" s="91">
        <v>0</v>
      </c>
      <c r="M1398" s="91">
        <v>0</v>
      </c>
      <c r="N1398" s="91">
        <v>3148</v>
      </c>
      <c r="O1398" s="91">
        <v>0</v>
      </c>
      <c r="P1398" s="91">
        <v>0</v>
      </c>
      <c r="Q1398" s="97">
        <f t="shared" si="42"/>
        <v>63248</v>
      </c>
      <c r="R1398" s="95">
        <f t="shared" si="43"/>
        <v>53760.800000000003</v>
      </c>
    </row>
    <row r="1399" spans="1:18" ht="34.049999999999997" customHeight="1" x14ac:dyDescent="0.3">
      <c r="A1399" s="96">
        <v>1388</v>
      </c>
      <c r="B1399" s="91" t="s">
        <v>4634</v>
      </c>
      <c r="C1399" s="91" t="s">
        <v>4700</v>
      </c>
      <c r="D1399" s="91" t="s">
        <v>636</v>
      </c>
      <c r="E1399" s="91">
        <v>1964</v>
      </c>
      <c r="F1399" s="91" t="s">
        <v>19</v>
      </c>
      <c r="G1399" s="91" t="s">
        <v>746</v>
      </c>
      <c r="H1399" s="91" t="s">
        <v>746</v>
      </c>
      <c r="I1399" s="91" t="s">
        <v>839</v>
      </c>
      <c r="J1399" s="91">
        <v>3793</v>
      </c>
      <c r="K1399" s="91">
        <f>6278+2332+1166+2801</f>
        <v>12577</v>
      </c>
      <c r="L1399" s="91">
        <v>0</v>
      </c>
      <c r="M1399" s="91">
        <v>0</v>
      </c>
      <c r="N1399" s="91">
        <v>1793</v>
      </c>
      <c r="O1399" s="91">
        <v>0</v>
      </c>
      <c r="P1399" s="91">
        <v>0</v>
      </c>
      <c r="Q1399" s="97">
        <f t="shared" si="42"/>
        <v>18163</v>
      </c>
      <c r="R1399" s="95">
        <f t="shared" si="43"/>
        <v>15438.55</v>
      </c>
    </row>
    <row r="1400" spans="1:18" ht="34.049999999999997" customHeight="1" x14ac:dyDescent="0.3">
      <c r="A1400" s="90">
        <v>1389</v>
      </c>
      <c r="B1400" s="91" t="s">
        <v>4634</v>
      </c>
      <c r="C1400" s="91" t="s">
        <v>4701</v>
      </c>
      <c r="D1400" s="91" t="s">
        <v>4702</v>
      </c>
      <c r="E1400" s="91">
        <v>2002</v>
      </c>
      <c r="F1400" s="91" t="s">
        <v>19</v>
      </c>
      <c r="G1400" s="91" t="s">
        <v>4804</v>
      </c>
      <c r="H1400" s="91" t="s">
        <v>4804</v>
      </c>
      <c r="I1400" s="91" t="s">
        <v>4633</v>
      </c>
      <c r="J1400" s="91">
        <v>6199</v>
      </c>
      <c r="K1400" s="91">
        <v>0</v>
      </c>
      <c r="L1400" s="91">
        <v>0</v>
      </c>
      <c r="M1400" s="91">
        <v>0</v>
      </c>
      <c r="N1400" s="91">
        <f>1681</f>
        <v>1681</v>
      </c>
      <c r="O1400" s="91">
        <v>0</v>
      </c>
      <c r="P1400" s="91">
        <f>312+56</f>
        <v>368</v>
      </c>
      <c r="Q1400" s="97">
        <f t="shared" si="42"/>
        <v>8248</v>
      </c>
      <c r="R1400" s="95">
        <f t="shared" si="43"/>
        <v>7010.8</v>
      </c>
    </row>
    <row r="1401" spans="1:18" ht="34.049999999999997" customHeight="1" x14ac:dyDescent="0.3">
      <c r="A1401" s="90">
        <v>1390</v>
      </c>
      <c r="B1401" s="91" t="s">
        <v>4634</v>
      </c>
      <c r="C1401" s="91" t="s">
        <v>4703</v>
      </c>
      <c r="D1401" s="91" t="s">
        <v>4704</v>
      </c>
      <c r="E1401" s="91">
        <v>1952</v>
      </c>
      <c r="F1401" s="91" t="s">
        <v>18</v>
      </c>
      <c r="G1401" s="91" t="s">
        <v>4805</v>
      </c>
      <c r="H1401" s="91" t="s">
        <v>4805</v>
      </c>
      <c r="I1401" s="91" t="s">
        <v>2454</v>
      </c>
      <c r="J1401" s="91">
        <v>6199</v>
      </c>
      <c r="K1401" s="91">
        <v>0</v>
      </c>
      <c r="L1401" s="91">
        <v>0</v>
      </c>
      <c r="M1401" s="91">
        <v>0</v>
      </c>
      <c r="N1401" s="91">
        <v>0</v>
      </c>
      <c r="O1401" s="91">
        <v>0</v>
      </c>
      <c r="P1401" s="91">
        <v>0</v>
      </c>
      <c r="Q1401" s="97">
        <f t="shared" si="42"/>
        <v>6199</v>
      </c>
      <c r="R1401" s="95">
        <f t="shared" si="43"/>
        <v>5269.15</v>
      </c>
    </row>
    <row r="1402" spans="1:18" ht="34.049999999999997" customHeight="1" x14ac:dyDescent="0.3">
      <c r="A1402" s="96">
        <v>1391</v>
      </c>
      <c r="B1402" s="91" t="s">
        <v>4634</v>
      </c>
      <c r="C1402" s="91" t="s">
        <v>4705</v>
      </c>
      <c r="D1402" s="91" t="s">
        <v>4706</v>
      </c>
      <c r="E1402" s="91">
        <v>1980</v>
      </c>
      <c r="F1402" s="91" t="s">
        <v>18</v>
      </c>
      <c r="G1402" s="91" t="s">
        <v>4806</v>
      </c>
      <c r="H1402" s="91" t="s">
        <v>4806</v>
      </c>
      <c r="I1402" s="91" t="s">
        <v>1050</v>
      </c>
      <c r="J1402" s="91">
        <v>6199</v>
      </c>
      <c r="K1402" s="91">
        <v>0</v>
      </c>
      <c r="L1402" s="91">
        <v>0</v>
      </c>
      <c r="M1402" s="91">
        <v>0</v>
      </c>
      <c r="N1402" s="91">
        <f>34016+27380+15443</f>
        <v>76839</v>
      </c>
      <c r="O1402" s="91">
        <v>0</v>
      </c>
      <c r="P1402" s="91">
        <v>0</v>
      </c>
      <c r="Q1402" s="97">
        <f t="shared" si="42"/>
        <v>83038</v>
      </c>
      <c r="R1402" s="95">
        <f t="shared" si="43"/>
        <v>70582.3</v>
      </c>
    </row>
    <row r="1403" spans="1:18" ht="34.049999999999997" customHeight="1" x14ac:dyDescent="0.3">
      <c r="A1403" s="90">
        <v>1392</v>
      </c>
      <c r="B1403" s="91" t="s">
        <v>4634</v>
      </c>
      <c r="C1403" s="91" t="s">
        <v>4707</v>
      </c>
      <c r="D1403" s="91" t="s">
        <v>4708</v>
      </c>
      <c r="E1403" s="91">
        <v>1989</v>
      </c>
      <c r="F1403" s="91" t="s">
        <v>19</v>
      </c>
      <c r="G1403" s="91" t="s">
        <v>4807</v>
      </c>
      <c r="H1403" s="91" t="s">
        <v>4807</v>
      </c>
      <c r="I1403" s="91" t="s">
        <v>539</v>
      </c>
      <c r="J1403" s="91">
        <v>6199</v>
      </c>
      <c r="K1403" s="91">
        <v>0</v>
      </c>
      <c r="L1403" s="91">
        <v>0</v>
      </c>
      <c r="M1403" s="91">
        <v>0</v>
      </c>
      <c r="N1403" s="91">
        <v>0</v>
      </c>
      <c r="O1403" s="91">
        <v>0</v>
      </c>
      <c r="P1403" s="91">
        <v>0</v>
      </c>
      <c r="Q1403" s="97">
        <f t="shared" si="42"/>
        <v>6199</v>
      </c>
      <c r="R1403" s="95">
        <f t="shared" si="43"/>
        <v>5269.15</v>
      </c>
    </row>
    <row r="1404" spans="1:18" ht="34.049999999999997" customHeight="1" x14ac:dyDescent="0.3">
      <c r="A1404" s="90">
        <v>1393</v>
      </c>
      <c r="B1404" s="91" t="s">
        <v>4634</v>
      </c>
      <c r="C1404" s="91" t="s">
        <v>4709</v>
      </c>
      <c r="D1404" s="91" t="s">
        <v>4710</v>
      </c>
      <c r="E1404" s="91">
        <v>2000</v>
      </c>
      <c r="F1404" s="91" t="s">
        <v>18</v>
      </c>
      <c r="G1404" s="91" t="s">
        <v>4808</v>
      </c>
      <c r="H1404" s="91" t="s">
        <v>4808</v>
      </c>
      <c r="I1404" s="91" t="s">
        <v>4873</v>
      </c>
      <c r="J1404" s="91">
        <v>6199</v>
      </c>
      <c r="K1404" s="91">
        <f>6278+2332+2332+2332+2332+2332</f>
        <v>17938</v>
      </c>
      <c r="L1404" s="91">
        <v>0</v>
      </c>
      <c r="M1404" s="91">
        <v>0</v>
      </c>
      <c r="N1404" s="91">
        <v>1793</v>
      </c>
      <c r="O1404" s="91">
        <v>0</v>
      </c>
      <c r="P1404" s="91">
        <v>0</v>
      </c>
      <c r="Q1404" s="97">
        <f t="shared" si="42"/>
        <v>25930</v>
      </c>
      <c r="R1404" s="95">
        <f t="shared" si="43"/>
        <v>22040.5</v>
      </c>
    </row>
    <row r="1405" spans="1:18" ht="34.049999999999997" customHeight="1" x14ac:dyDescent="0.3">
      <c r="A1405" s="96">
        <v>1394</v>
      </c>
      <c r="B1405" s="91" t="s">
        <v>4634</v>
      </c>
      <c r="C1405" s="91" t="s">
        <v>4711</v>
      </c>
      <c r="D1405" s="91" t="s">
        <v>4231</v>
      </c>
      <c r="E1405" s="91">
        <v>2023</v>
      </c>
      <c r="F1405" s="91" t="s">
        <v>18</v>
      </c>
      <c r="G1405" s="91" t="s">
        <v>4332</v>
      </c>
      <c r="H1405" s="91" t="s">
        <v>3870</v>
      </c>
      <c r="I1405" s="91" t="s">
        <v>1069</v>
      </c>
      <c r="J1405" s="91">
        <v>3793</v>
      </c>
      <c r="K1405" s="91">
        <v>0</v>
      </c>
      <c r="L1405" s="91">
        <v>0</v>
      </c>
      <c r="M1405" s="91">
        <v>0</v>
      </c>
      <c r="N1405" s="91">
        <v>0</v>
      </c>
      <c r="O1405" s="91">
        <v>0</v>
      </c>
      <c r="P1405" s="91">
        <v>0</v>
      </c>
      <c r="Q1405" s="97">
        <f t="shared" si="42"/>
        <v>3793</v>
      </c>
      <c r="R1405" s="95">
        <f t="shared" si="43"/>
        <v>3224.05</v>
      </c>
    </row>
    <row r="1406" spans="1:18" ht="34.049999999999997" customHeight="1" x14ac:dyDescent="0.3">
      <c r="A1406" s="90">
        <v>1395</v>
      </c>
      <c r="B1406" s="91" t="s">
        <v>4634</v>
      </c>
      <c r="C1406" s="91" t="s">
        <v>4712</v>
      </c>
      <c r="D1406" s="91" t="s">
        <v>4713</v>
      </c>
      <c r="E1406" s="91">
        <v>1996</v>
      </c>
      <c r="F1406" s="91" t="s">
        <v>19</v>
      </c>
      <c r="G1406" s="91" t="s">
        <v>4809</v>
      </c>
      <c r="H1406" s="91" t="s">
        <v>4849</v>
      </c>
      <c r="I1406" s="91" t="s">
        <v>4874</v>
      </c>
      <c r="J1406" s="91">
        <v>6199</v>
      </c>
      <c r="K1406" s="91">
        <f>2332+2332+2243</f>
        <v>6907</v>
      </c>
      <c r="L1406" s="91">
        <v>18406</v>
      </c>
      <c r="M1406" s="91">
        <v>0</v>
      </c>
      <c r="N1406" s="91">
        <v>0</v>
      </c>
      <c r="O1406" s="91">
        <v>0</v>
      </c>
      <c r="P1406" s="91">
        <v>0</v>
      </c>
      <c r="Q1406" s="97">
        <f t="shared" si="42"/>
        <v>31512</v>
      </c>
      <c r="R1406" s="95">
        <f t="shared" si="43"/>
        <v>26785.200000000001</v>
      </c>
    </row>
    <row r="1407" spans="1:18" ht="34.049999999999997" customHeight="1" x14ac:dyDescent="0.3">
      <c r="A1407" s="90">
        <v>1396</v>
      </c>
      <c r="B1407" s="91" t="s">
        <v>4634</v>
      </c>
      <c r="C1407" s="91" t="s">
        <v>4714</v>
      </c>
      <c r="D1407" s="91" t="s">
        <v>4715</v>
      </c>
      <c r="E1407" s="91">
        <v>1987</v>
      </c>
      <c r="F1407" s="91" t="s">
        <v>19</v>
      </c>
      <c r="G1407" s="91" t="s">
        <v>4810</v>
      </c>
      <c r="H1407" s="91" t="s">
        <v>4810</v>
      </c>
      <c r="I1407" s="91" t="s">
        <v>1069</v>
      </c>
      <c r="J1407" s="91">
        <v>6199</v>
      </c>
      <c r="K1407" s="91">
        <f>6278+4484+2332+1346+1166</f>
        <v>15606</v>
      </c>
      <c r="L1407" s="91">
        <v>0</v>
      </c>
      <c r="M1407" s="91">
        <v>0</v>
      </c>
      <c r="N1407" s="91">
        <v>1793</v>
      </c>
      <c r="O1407" s="91">
        <v>0</v>
      </c>
      <c r="P1407" s="91">
        <v>0</v>
      </c>
      <c r="Q1407" s="97">
        <f t="shared" si="42"/>
        <v>23598</v>
      </c>
      <c r="R1407" s="95">
        <f t="shared" si="43"/>
        <v>20058.3</v>
      </c>
    </row>
    <row r="1408" spans="1:18" ht="34.049999999999997" customHeight="1" x14ac:dyDescent="0.3">
      <c r="A1408" s="96">
        <v>1397</v>
      </c>
      <c r="B1408" s="91" t="s">
        <v>4634</v>
      </c>
      <c r="C1408" s="91" t="s">
        <v>4716</v>
      </c>
      <c r="D1408" s="91" t="s">
        <v>4717</v>
      </c>
      <c r="E1408" s="91">
        <v>1981</v>
      </c>
      <c r="F1408" s="91" t="s">
        <v>19</v>
      </c>
      <c r="G1408" s="91" t="s">
        <v>4811</v>
      </c>
      <c r="H1408" s="91" t="s">
        <v>4811</v>
      </c>
      <c r="I1408" s="91" t="s">
        <v>547</v>
      </c>
      <c r="J1408" s="91">
        <v>6199</v>
      </c>
      <c r="K1408" s="91">
        <f>6278+2332+3228+3000+3000+2332+2332+2243+3500+3500+6995</f>
        <v>38740</v>
      </c>
      <c r="L1408" s="91">
        <v>18406</v>
      </c>
      <c r="M1408" s="91">
        <v>0</v>
      </c>
      <c r="N1408" s="91">
        <v>1793</v>
      </c>
      <c r="O1408" s="91">
        <v>0</v>
      </c>
      <c r="P1408" s="91">
        <v>0</v>
      </c>
      <c r="Q1408" s="97">
        <f t="shared" si="42"/>
        <v>65138</v>
      </c>
      <c r="R1408" s="95">
        <f t="shared" si="43"/>
        <v>55367.3</v>
      </c>
    </row>
    <row r="1409" spans="1:18" ht="34.049999999999997" customHeight="1" x14ac:dyDescent="0.3">
      <c r="A1409" s="90">
        <v>1398</v>
      </c>
      <c r="B1409" s="91" t="s">
        <v>4634</v>
      </c>
      <c r="C1409" s="91" t="s">
        <v>4718</v>
      </c>
      <c r="D1409" s="91" t="s">
        <v>4719</v>
      </c>
      <c r="E1409" s="91">
        <v>2006</v>
      </c>
      <c r="F1409" s="91" t="s">
        <v>19</v>
      </c>
      <c r="G1409" s="91" t="s">
        <v>4812</v>
      </c>
      <c r="H1409" s="91" t="s">
        <v>4850</v>
      </c>
      <c r="I1409" s="91" t="s">
        <v>4875</v>
      </c>
      <c r="J1409" s="91">
        <v>6199</v>
      </c>
      <c r="K1409" s="91">
        <f>6278+1346+2332+2332+3587+2332+4484+2332+2332+2332+2332+6995+2332+4484+6995+6995+2332+6995</f>
        <v>69147</v>
      </c>
      <c r="L1409" s="91">
        <v>0</v>
      </c>
      <c r="M1409" s="91">
        <v>0</v>
      </c>
      <c r="N1409" s="91">
        <v>1793</v>
      </c>
      <c r="O1409" s="91">
        <v>0</v>
      </c>
      <c r="P1409" s="91">
        <v>0</v>
      </c>
      <c r="Q1409" s="97">
        <f t="shared" si="42"/>
        <v>77139</v>
      </c>
      <c r="R1409" s="95">
        <f t="shared" si="43"/>
        <v>65568.149999999994</v>
      </c>
    </row>
    <row r="1410" spans="1:18" ht="34.049999999999997" customHeight="1" x14ac:dyDescent="0.3">
      <c r="A1410" s="90">
        <v>1399</v>
      </c>
      <c r="B1410" s="91" t="s">
        <v>4634</v>
      </c>
      <c r="C1410" s="91" t="s">
        <v>4720</v>
      </c>
      <c r="D1410" s="91" t="s">
        <v>4721</v>
      </c>
      <c r="E1410" s="91">
        <v>2021</v>
      </c>
      <c r="F1410" s="91" t="s">
        <v>18</v>
      </c>
      <c r="G1410" s="91" t="s">
        <v>4813</v>
      </c>
      <c r="H1410" s="91" t="s">
        <v>4851</v>
      </c>
      <c r="I1410" s="91" t="s">
        <v>1464</v>
      </c>
      <c r="J1410" s="91">
        <v>3582</v>
      </c>
      <c r="K1410" s="91">
        <v>0</v>
      </c>
      <c r="L1410" s="91">
        <v>0</v>
      </c>
      <c r="M1410" s="91">
        <v>0</v>
      </c>
      <c r="N1410" s="91">
        <f>42388+27126</f>
        <v>69514</v>
      </c>
      <c r="O1410" s="91">
        <v>0</v>
      </c>
      <c r="P1410" s="91">
        <v>0</v>
      </c>
      <c r="Q1410" s="97">
        <f t="shared" si="42"/>
        <v>73096</v>
      </c>
      <c r="R1410" s="95">
        <f t="shared" si="43"/>
        <v>62131.6</v>
      </c>
    </row>
    <row r="1411" spans="1:18" ht="34.049999999999997" customHeight="1" x14ac:dyDescent="0.3">
      <c r="A1411" s="96">
        <v>1400</v>
      </c>
      <c r="B1411" s="91" t="s">
        <v>4634</v>
      </c>
      <c r="C1411" s="91" t="s">
        <v>4722</v>
      </c>
      <c r="D1411" s="91" t="s">
        <v>2890</v>
      </c>
      <c r="E1411" s="91">
        <v>1999</v>
      </c>
      <c r="F1411" s="91" t="s">
        <v>18</v>
      </c>
      <c r="G1411" s="91" t="s">
        <v>3000</v>
      </c>
      <c r="H1411" s="91" t="s">
        <v>3000</v>
      </c>
      <c r="I1411" s="91" t="s">
        <v>2134</v>
      </c>
      <c r="J1411" s="91">
        <v>3582</v>
      </c>
      <c r="K1411" s="91">
        <v>0</v>
      </c>
      <c r="L1411" s="91">
        <v>0</v>
      </c>
      <c r="M1411" s="91">
        <v>0</v>
      </c>
      <c r="N1411" s="91">
        <v>11573</v>
      </c>
      <c r="O1411" s="91">
        <v>0</v>
      </c>
      <c r="P1411" s="91">
        <v>0</v>
      </c>
      <c r="Q1411" s="97">
        <f t="shared" si="42"/>
        <v>15155</v>
      </c>
      <c r="R1411" s="95">
        <f t="shared" si="43"/>
        <v>12881.75</v>
      </c>
    </row>
    <row r="1412" spans="1:18" ht="34.049999999999997" customHeight="1" x14ac:dyDescent="0.3">
      <c r="A1412" s="90">
        <v>1401</v>
      </c>
      <c r="B1412" s="91" t="s">
        <v>4634</v>
      </c>
      <c r="C1412" s="91" t="s">
        <v>4723</v>
      </c>
      <c r="D1412" s="91" t="s">
        <v>4724</v>
      </c>
      <c r="E1412" s="91">
        <v>1994</v>
      </c>
      <c r="F1412" s="91" t="s">
        <v>19</v>
      </c>
      <c r="G1412" s="91" t="s">
        <v>4814</v>
      </c>
      <c r="H1412" s="91" t="s">
        <v>4852</v>
      </c>
      <c r="I1412" s="91" t="s">
        <v>299</v>
      </c>
      <c r="J1412" s="91">
        <v>6199</v>
      </c>
      <c r="K1412" s="91">
        <f>6278+2332+3228+2332+2332+2243+6995+3500+3500+3000+3000</f>
        <v>38740</v>
      </c>
      <c r="L1412" s="91">
        <v>18406</v>
      </c>
      <c r="M1412" s="91">
        <v>0</v>
      </c>
      <c r="N1412" s="91">
        <v>1793</v>
      </c>
      <c r="O1412" s="91">
        <v>0</v>
      </c>
      <c r="P1412" s="91">
        <v>0</v>
      </c>
      <c r="Q1412" s="97">
        <f t="shared" si="42"/>
        <v>65138</v>
      </c>
      <c r="R1412" s="95">
        <f t="shared" si="43"/>
        <v>55367.3</v>
      </c>
    </row>
    <row r="1413" spans="1:18" ht="34.049999999999997" customHeight="1" x14ac:dyDescent="0.3">
      <c r="A1413" s="90">
        <v>1402</v>
      </c>
      <c r="B1413" s="91" t="s">
        <v>4634</v>
      </c>
      <c r="C1413" s="91" t="s">
        <v>4725</v>
      </c>
      <c r="D1413" s="93">
        <v>10225682</v>
      </c>
      <c r="E1413" s="91">
        <v>1972</v>
      </c>
      <c r="F1413" s="91" t="s">
        <v>19</v>
      </c>
      <c r="G1413" s="91" t="s">
        <v>1632</v>
      </c>
      <c r="H1413" s="91" t="s">
        <v>1632</v>
      </c>
      <c r="I1413" s="91" t="s">
        <v>1047</v>
      </c>
      <c r="J1413" s="91">
        <v>6199</v>
      </c>
      <c r="K1413" s="91">
        <v>0</v>
      </c>
      <c r="L1413" s="91">
        <v>0</v>
      </c>
      <c r="M1413" s="91">
        <v>0</v>
      </c>
      <c r="N1413" s="91">
        <v>0</v>
      </c>
      <c r="O1413" s="91">
        <v>0</v>
      </c>
      <c r="P1413" s="91">
        <v>0</v>
      </c>
      <c r="Q1413" s="97">
        <f t="shared" si="42"/>
        <v>6199</v>
      </c>
      <c r="R1413" s="95">
        <f t="shared" si="43"/>
        <v>5269.15</v>
      </c>
    </row>
    <row r="1414" spans="1:18" ht="34.049999999999997" customHeight="1" x14ac:dyDescent="0.3">
      <c r="A1414" s="96">
        <v>1403</v>
      </c>
      <c r="B1414" s="91" t="s">
        <v>4634</v>
      </c>
      <c r="C1414" s="91" t="s">
        <v>4726</v>
      </c>
      <c r="D1414" s="91" t="s">
        <v>4727</v>
      </c>
      <c r="E1414" s="91">
        <v>1983</v>
      </c>
      <c r="F1414" s="91" t="s">
        <v>19</v>
      </c>
      <c r="G1414" s="91" t="s">
        <v>4815</v>
      </c>
      <c r="H1414" s="91" t="s">
        <v>4815</v>
      </c>
      <c r="I1414" s="91" t="s">
        <v>30</v>
      </c>
      <c r="J1414" s="91">
        <v>6199</v>
      </c>
      <c r="K1414" s="91">
        <v>0</v>
      </c>
      <c r="L1414" s="91">
        <v>18406</v>
      </c>
      <c r="M1414" s="91">
        <v>0</v>
      </c>
      <c r="N1414" s="91">
        <v>0</v>
      </c>
      <c r="O1414" s="91">
        <v>0</v>
      </c>
      <c r="P1414" s="91">
        <v>0</v>
      </c>
      <c r="Q1414" s="97">
        <f t="shared" si="42"/>
        <v>24605</v>
      </c>
      <c r="R1414" s="95">
        <f t="shared" si="43"/>
        <v>20914.25</v>
      </c>
    </row>
    <row r="1415" spans="1:18" ht="34.049999999999997" customHeight="1" x14ac:dyDescent="0.3">
      <c r="A1415" s="90">
        <v>1404</v>
      </c>
      <c r="B1415" s="91" t="s">
        <v>4634</v>
      </c>
      <c r="C1415" s="91" t="s">
        <v>4728</v>
      </c>
      <c r="D1415" s="91" t="s">
        <v>4729</v>
      </c>
      <c r="E1415" s="91">
        <v>1990</v>
      </c>
      <c r="F1415" s="91" t="s">
        <v>18</v>
      </c>
      <c r="G1415" s="91" t="s">
        <v>3494</v>
      </c>
      <c r="H1415" s="91" t="s">
        <v>3494</v>
      </c>
      <c r="I1415" s="91" t="s">
        <v>2466</v>
      </c>
      <c r="J1415" s="91">
        <v>6199</v>
      </c>
      <c r="K1415" s="91">
        <f>1166+2801</f>
        <v>3967</v>
      </c>
      <c r="L1415" s="91">
        <v>0</v>
      </c>
      <c r="M1415" s="91">
        <v>0</v>
      </c>
      <c r="N1415" s="91">
        <v>0</v>
      </c>
      <c r="O1415" s="91">
        <v>0</v>
      </c>
      <c r="P1415" s="91">
        <v>0</v>
      </c>
      <c r="Q1415" s="97">
        <f t="shared" si="42"/>
        <v>10166</v>
      </c>
      <c r="R1415" s="95">
        <f t="shared" si="43"/>
        <v>8641.1</v>
      </c>
    </row>
    <row r="1416" spans="1:18" ht="34.049999999999997" customHeight="1" x14ac:dyDescent="0.3">
      <c r="A1416" s="90">
        <v>1405</v>
      </c>
      <c r="B1416" s="91" t="s">
        <v>4634</v>
      </c>
      <c r="C1416" s="91" t="s">
        <v>4730</v>
      </c>
      <c r="D1416" s="91" t="s">
        <v>4731</v>
      </c>
      <c r="E1416" s="91">
        <v>1976</v>
      </c>
      <c r="F1416" s="91" t="s">
        <v>19</v>
      </c>
      <c r="G1416" s="91" t="s">
        <v>4816</v>
      </c>
      <c r="H1416" s="91" t="s">
        <v>4816</v>
      </c>
      <c r="I1416" s="91" t="s">
        <v>251</v>
      </c>
      <c r="J1416" s="91">
        <v>3582</v>
      </c>
      <c r="K1416" s="91">
        <v>0</v>
      </c>
      <c r="L1416" s="91">
        <v>0</v>
      </c>
      <c r="M1416" s="91">
        <v>0</v>
      </c>
      <c r="N1416" s="91">
        <v>0</v>
      </c>
      <c r="O1416" s="91">
        <v>0</v>
      </c>
      <c r="P1416" s="91">
        <v>0</v>
      </c>
      <c r="Q1416" s="97">
        <f t="shared" si="42"/>
        <v>3582</v>
      </c>
      <c r="R1416" s="95">
        <f t="shared" si="43"/>
        <v>3044.7</v>
      </c>
    </row>
    <row r="1417" spans="1:18" ht="34.049999999999997" customHeight="1" x14ac:dyDescent="0.3">
      <c r="A1417" s="96">
        <v>1406</v>
      </c>
      <c r="B1417" s="91" t="s">
        <v>4634</v>
      </c>
      <c r="C1417" s="91" t="s">
        <v>4732</v>
      </c>
      <c r="D1417" s="91" t="s">
        <v>4731</v>
      </c>
      <c r="E1417" s="91">
        <v>1976</v>
      </c>
      <c r="F1417" s="91" t="s">
        <v>19</v>
      </c>
      <c r="G1417" s="91" t="s">
        <v>4816</v>
      </c>
      <c r="H1417" s="91" t="s">
        <v>4816</v>
      </c>
      <c r="I1417" s="91" t="s">
        <v>251</v>
      </c>
      <c r="J1417" s="91">
        <v>6199</v>
      </c>
      <c r="K1417" s="91">
        <v>0</v>
      </c>
      <c r="L1417" s="91">
        <v>0</v>
      </c>
      <c r="M1417" s="91">
        <v>0</v>
      </c>
      <c r="N1417" s="91">
        <v>0</v>
      </c>
      <c r="O1417" s="91">
        <v>0</v>
      </c>
      <c r="P1417" s="91">
        <v>0</v>
      </c>
      <c r="Q1417" s="97">
        <f t="shared" si="42"/>
        <v>6199</v>
      </c>
      <c r="R1417" s="95">
        <f t="shared" si="43"/>
        <v>5269.15</v>
      </c>
    </row>
    <row r="1418" spans="1:18" ht="34.049999999999997" customHeight="1" x14ac:dyDescent="0.3">
      <c r="A1418" s="90">
        <v>1407</v>
      </c>
      <c r="B1418" s="91" t="s">
        <v>4634</v>
      </c>
      <c r="C1418" s="91" t="s">
        <v>4733</v>
      </c>
      <c r="D1418" s="91" t="s">
        <v>4734</v>
      </c>
      <c r="E1418" s="91">
        <v>2002</v>
      </c>
      <c r="F1418" s="91" t="s">
        <v>19</v>
      </c>
      <c r="G1418" s="91" t="s">
        <v>4817</v>
      </c>
      <c r="H1418" s="91" t="s">
        <v>4853</v>
      </c>
      <c r="I1418" s="91" t="s">
        <v>1465</v>
      </c>
      <c r="J1418" s="91">
        <v>6199</v>
      </c>
      <c r="K1418" s="91">
        <f>2332+2332+2243+1346</f>
        <v>8253</v>
      </c>
      <c r="L1418" s="91">
        <v>0</v>
      </c>
      <c r="M1418" s="91">
        <v>0</v>
      </c>
      <c r="N1418" s="91">
        <v>0</v>
      </c>
      <c r="O1418" s="91">
        <v>0</v>
      </c>
      <c r="P1418" s="91">
        <v>0</v>
      </c>
      <c r="Q1418" s="97">
        <f t="shared" si="42"/>
        <v>14452</v>
      </c>
      <c r="R1418" s="95">
        <f t="shared" si="43"/>
        <v>12284.2</v>
      </c>
    </row>
    <row r="1419" spans="1:18" ht="34.049999999999997" customHeight="1" x14ac:dyDescent="0.3">
      <c r="A1419" s="90">
        <v>1408</v>
      </c>
      <c r="B1419" s="91" t="s">
        <v>4634</v>
      </c>
      <c r="C1419" s="91" t="s">
        <v>4735</v>
      </c>
      <c r="D1419" s="91" t="s">
        <v>1135</v>
      </c>
      <c r="E1419" s="91">
        <v>2006</v>
      </c>
      <c r="F1419" s="91" t="s">
        <v>19</v>
      </c>
      <c r="G1419" s="91" t="s">
        <v>1194</v>
      </c>
      <c r="H1419" s="91" t="s">
        <v>1236</v>
      </c>
      <c r="I1419" s="91" t="s">
        <v>1270</v>
      </c>
      <c r="J1419" s="91">
        <v>3582</v>
      </c>
      <c r="K1419" s="91">
        <v>0</v>
      </c>
      <c r="L1419" s="91">
        <v>0</v>
      </c>
      <c r="M1419" s="91">
        <v>0</v>
      </c>
      <c r="N1419" s="91">
        <f>15443+20859</f>
        <v>36302</v>
      </c>
      <c r="O1419" s="91">
        <v>0</v>
      </c>
      <c r="P1419" s="91">
        <v>0</v>
      </c>
      <c r="Q1419" s="94">
        <f t="shared" si="42"/>
        <v>39884</v>
      </c>
      <c r="R1419" s="95">
        <f t="shared" si="43"/>
        <v>33901.4</v>
      </c>
    </row>
    <row r="1420" spans="1:18" ht="34.049999999999997" customHeight="1" x14ac:dyDescent="0.3">
      <c r="A1420" s="96">
        <v>1409</v>
      </c>
      <c r="B1420" s="91" t="s">
        <v>4634</v>
      </c>
      <c r="C1420" s="91" t="s">
        <v>4736</v>
      </c>
      <c r="D1420" s="91" t="s">
        <v>4737</v>
      </c>
      <c r="E1420" s="91">
        <v>1973</v>
      </c>
      <c r="F1420" s="91" t="s">
        <v>19</v>
      </c>
      <c r="G1420" s="91" t="s">
        <v>1236</v>
      </c>
      <c r="H1420" s="91" t="s">
        <v>1236</v>
      </c>
      <c r="I1420" s="91" t="s">
        <v>4876</v>
      </c>
      <c r="J1420" s="91">
        <v>6199</v>
      </c>
      <c r="K1420" s="91">
        <v>0</v>
      </c>
      <c r="L1420" s="91">
        <v>0</v>
      </c>
      <c r="M1420" s="91">
        <v>0</v>
      </c>
      <c r="N1420" s="91">
        <v>0</v>
      </c>
      <c r="O1420" s="91">
        <v>0</v>
      </c>
      <c r="P1420" s="91">
        <v>0</v>
      </c>
      <c r="Q1420" s="94">
        <f t="shared" ref="Q1420:Q1483" si="44">SUM(J1420:P1420)</f>
        <v>6199</v>
      </c>
      <c r="R1420" s="95">
        <f t="shared" si="43"/>
        <v>5269.15</v>
      </c>
    </row>
    <row r="1421" spans="1:18" ht="34.049999999999997" customHeight="1" x14ac:dyDescent="0.3">
      <c r="A1421" s="90">
        <v>1410</v>
      </c>
      <c r="B1421" s="91" t="s">
        <v>4634</v>
      </c>
      <c r="C1421" s="91" t="s">
        <v>4738</v>
      </c>
      <c r="D1421" s="91" t="s">
        <v>4739</v>
      </c>
      <c r="E1421" s="91">
        <v>2016</v>
      </c>
      <c r="F1421" s="91" t="s">
        <v>19</v>
      </c>
      <c r="G1421" s="91" t="s">
        <v>4818</v>
      </c>
      <c r="H1421" s="91" t="s">
        <v>4854</v>
      </c>
      <c r="I1421" s="91" t="s">
        <v>830</v>
      </c>
      <c r="J1421" s="91">
        <v>6199</v>
      </c>
      <c r="K1421" s="91">
        <f>1166+2801</f>
        <v>3967</v>
      </c>
      <c r="L1421" s="91">
        <v>0</v>
      </c>
      <c r="M1421" s="91">
        <v>0</v>
      </c>
      <c r="N1421" s="91">
        <v>0</v>
      </c>
      <c r="O1421" s="91">
        <v>0</v>
      </c>
      <c r="P1421" s="91">
        <v>0</v>
      </c>
      <c r="Q1421" s="97">
        <f t="shared" si="44"/>
        <v>10166</v>
      </c>
      <c r="R1421" s="95">
        <f t="shared" ref="R1421:R1484" si="45">Q1421*85/100</f>
        <v>8641.1</v>
      </c>
    </row>
    <row r="1422" spans="1:18" ht="34.049999999999997" customHeight="1" x14ac:dyDescent="0.3">
      <c r="A1422" s="90">
        <v>1411</v>
      </c>
      <c r="B1422" s="91" t="s">
        <v>4634</v>
      </c>
      <c r="C1422" s="91" t="s">
        <v>4740</v>
      </c>
      <c r="D1422" s="91" t="s">
        <v>4741</v>
      </c>
      <c r="E1422" s="91">
        <v>1996</v>
      </c>
      <c r="F1422" s="91" t="s">
        <v>18</v>
      </c>
      <c r="G1422" s="91" t="s">
        <v>4819</v>
      </c>
      <c r="H1422" s="91" t="s">
        <v>4819</v>
      </c>
      <c r="I1422" s="91" t="s">
        <v>1465</v>
      </c>
      <c r="J1422" s="91">
        <v>6199</v>
      </c>
      <c r="K1422" s="91">
        <f>2332+2332+1346</f>
        <v>6010</v>
      </c>
      <c r="L1422" s="91">
        <v>0</v>
      </c>
      <c r="M1422" s="91">
        <v>0</v>
      </c>
      <c r="N1422" s="91">
        <v>0</v>
      </c>
      <c r="O1422" s="91">
        <v>0</v>
      </c>
      <c r="P1422" s="91">
        <v>0</v>
      </c>
      <c r="Q1422" s="97">
        <f t="shared" si="44"/>
        <v>12209</v>
      </c>
      <c r="R1422" s="95">
        <f t="shared" si="45"/>
        <v>10377.65</v>
      </c>
    </row>
    <row r="1423" spans="1:18" ht="34.049999999999997" customHeight="1" x14ac:dyDescent="0.3">
      <c r="A1423" s="96">
        <v>1412</v>
      </c>
      <c r="B1423" s="91" t="s">
        <v>4634</v>
      </c>
      <c r="C1423" s="91" t="s">
        <v>4742</v>
      </c>
      <c r="D1423" s="91" t="s">
        <v>4743</v>
      </c>
      <c r="E1423" s="91">
        <v>2008</v>
      </c>
      <c r="F1423" s="91" t="s">
        <v>18</v>
      </c>
      <c r="G1423" s="91" t="s">
        <v>4820</v>
      </c>
      <c r="H1423" s="91" t="s">
        <v>4855</v>
      </c>
      <c r="I1423" s="91" t="s">
        <v>1267</v>
      </c>
      <c r="J1423" s="91">
        <v>6199</v>
      </c>
      <c r="K1423" s="91">
        <v>0</v>
      </c>
      <c r="L1423" s="91">
        <v>0</v>
      </c>
      <c r="M1423" s="91">
        <v>0</v>
      </c>
      <c r="N1423" s="91">
        <v>0</v>
      </c>
      <c r="O1423" s="91">
        <v>0</v>
      </c>
      <c r="P1423" s="91">
        <v>0</v>
      </c>
      <c r="Q1423" s="94">
        <f t="shared" si="44"/>
        <v>6199</v>
      </c>
      <c r="R1423" s="95">
        <f t="shared" si="45"/>
        <v>5269.15</v>
      </c>
    </row>
    <row r="1424" spans="1:18" ht="34.049999999999997" customHeight="1" x14ac:dyDescent="0.3">
      <c r="A1424" s="90">
        <v>1413</v>
      </c>
      <c r="B1424" s="91" t="s">
        <v>4634</v>
      </c>
      <c r="C1424" s="91" t="s">
        <v>4744</v>
      </c>
      <c r="D1424" s="91" t="s">
        <v>394</v>
      </c>
      <c r="E1424" s="91">
        <v>2012</v>
      </c>
      <c r="F1424" s="91" t="s">
        <v>18</v>
      </c>
      <c r="G1424" s="91" t="s">
        <v>476</v>
      </c>
      <c r="H1424" s="91" t="s">
        <v>519</v>
      </c>
      <c r="I1424" s="91" t="s">
        <v>567</v>
      </c>
      <c r="J1424" s="91">
        <v>6199</v>
      </c>
      <c r="K1424" s="91">
        <v>0</v>
      </c>
      <c r="L1424" s="91">
        <v>0</v>
      </c>
      <c r="M1424" s="91">
        <v>0</v>
      </c>
      <c r="N1424" s="91">
        <v>0</v>
      </c>
      <c r="O1424" s="91">
        <v>0</v>
      </c>
      <c r="P1424" s="91">
        <v>0</v>
      </c>
      <c r="Q1424" s="97">
        <f t="shared" si="44"/>
        <v>6199</v>
      </c>
      <c r="R1424" s="95">
        <f t="shared" si="45"/>
        <v>5269.15</v>
      </c>
    </row>
    <row r="1425" spans="1:23" ht="34.049999999999997" customHeight="1" x14ac:dyDescent="0.3">
      <c r="A1425" s="90">
        <v>1414</v>
      </c>
      <c r="B1425" s="91" t="s">
        <v>4634</v>
      </c>
      <c r="C1425" s="91" t="s">
        <v>4745</v>
      </c>
      <c r="D1425" s="91" t="s">
        <v>4746</v>
      </c>
      <c r="E1425" s="91">
        <v>1989</v>
      </c>
      <c r="F1425" s="91" t="s">
        <v>18</v>
      </c>
      <c r="G1425" s="91" t="s">
        <v>4821</v>
      </c>
      <c r="H1425" s="91" t="s">
        <v>4821</v>
      </c>
      <c r="I1425" s="91" t="s">
        <v>4877</v>
      </c>
      <c r="J1425" s="91">
        <v>6199</v>
      </c>
      <c r="K1425" s="91">
        <v>0</v>
      </c>
      <c r="L1425" s="91">
        <v>13298</v>
      </c>
      <c r="M1425" s="91">
        <v>0</v>
      </c>
      <c r="N1425" s="91">
        <v>0</v>
      </c>
      <c r="O1425" s="91">
        <v>0</v>
      </c>
      <c r="P1425" s="91">
        <v>0</v>
      </c>
      <c r="Q1425" s="97">
        <f t="shared" si="44"/>
        <v>19497</v>
      </c>
      <c r="R1425" s="95">
        <f t="shared" si="45"/>
        <v>16572.45</v>
      </c>
    </row>
    <row r="1426" spans="1:23" ht="34.049999999999997" customHeight="1" x14ac:dyDescent="0.3">
      <c r="A1426" s="96">
        <v>1415</v>
      </c>
      <c r="B1426" s="91" t="s">
        <v>4634</v>
      </c>
      <c r="C1426" s="91" t="s">
        <v>4747</v>
      </c>
      <c r="D1426" s="91" t="s">
        <v>1135</v>
      </c>
      <c r="E1426" s="91">
        <v>2006</v>
      </c>
      <c r="F1426" s="91" t="s">
        <v>19</v>
      </c>
      <c r="G1426" s="91" t="s">
        <v>1194</v>
      </c>
      <c r="H1426" s="91" t="s">
        <v>1236</v>
      </c>
      <c r="I1426" s="91" t="s">
        <v>1270</v>
      </c>
      <c r="J1426" s="91">
        <v>6199</v>
      </c>
      <c r="K1426" s="91">
        <v>0</v>
      </c>
      <c r="L1426" s="91">
        <v>0</v>
      </c>
      <c r="M1426" s="91">
        <v>0</v>
      </c>
      <c r="N1426" s="91">
        <v>0</v>
      </c>
      <c r="O1426" s="91">
        <v>0</v>
      </c>
      <c r="P1426" s="91">
        <v>0</v>
      </c>
      <c r="Q1426" s="97">
        <f t="shared" si="44"/>
        <v>6199</v>
      </c>
      <c r="R1426" s="95">
        <f t="shared" si="45"/>
        <v>5269.15</v>
      </c>
    </row>
    <row r="1427" spans="1:23" ht="34.049999999999997" customHeight="1" x14ac:dyDescent="0.3">
      <c r="A1427" s="90">
        <v>1416</v>
      </c>
      <c r="B1427" s="98" t="s">
        <v>4634</v>
      </c>
      <c r="C1427" s="98" t="s">
        <v>4748</v>
      </c>
      <c r="D1427" s="98" t="s">
        <v>4749</v>
      </c>
      <c r="E1427" s="98">
        <v>1995</v>
      </c>
      <c r="F1427" s="98" t="s">
        <v>19</v>
      </c>
      <c r="G1427" s="98" t="s">
        <v>4822</v>
      </c>
      <c r="H1427" s="98" t="s">
        <v>4822</v>
      </c>
      <c r="I1427" s="98" t="s">
        <v>1069</v>
      </c>
      <c r="J1427" s="98">
        <v>6199</v>
      </c>
      <c r="K1427" s="98">
        <f>6278+6995+3228+3500+3500+2332+2332+3587+4484+2332+3000+3000</f>
        <v>44568</v>
      </c>
      <c r="L1427" s="98">
        <v>9422</v>
      </c>
      <c r="M1427" s="98">
        <v>0</v>
      </c>
      <c r="N1427" s="98">
        <v>1793</v>
      </c>
      <c r="O1427" s="98">
        <v>0</v>
      </c>
      <c r="P1427" s="98">
        <v>0</v>
      </c>
      <c r="Q1427" s="97">
        <f t="shared" si="44"/>
        <v>61982</v>
      </c>
      <c r="R1427" s="95">
        <f t="shared" si="45"/>
        <v>52684.7</v>
      </c>
      <c r="S1427" s="41"/>
      <c r="T1427" s="41"/>
      <c r="U1427" s="41"/>
      <c r="V1427" s="41"/>
      <c r="W1427" s="41"/>
    </row>
    <row r="1428" spans="1:23" ht="34.049999999999997" customHeight="1" x14ac:dyDescent="0.3">
      <c r="A1428" s="90">
        <v>1417</v>
      </c>
      <c r="B1428" s="91" t="s">
        <v>4634</v>
      </c>
      <c r="C1428" s="91" t="s">
        <v>4750</v>
      </c>
      <c r="D1428" s="91" t="s">
        <v>4743</v>
      </c>
      <c r="E1428" s="91">
        <v>2008</v>
      </c>
      <c r="F1428" s="91" t="s">
        <v>18</v>
      </c>
      <c r="G1428" s="91" t="s">
        <v>4820</v>
      </c>
      <c r="H1428" s="91" t="s">
        <v>4855</v>
      </c>
      <c r="I1428" s="91" t="s">
        <v>1267</v>
      </c>
      <c r="J1428" s="91">
        <v>0</v>
      </c>
      <c r="K1428" s="91">
        <v>0</v>
      </c>
      <c r="L1428" s="91">
        <v>0</v>
      </c>
      <c r="M1428" s="91">
        <v>0</v>
      </c>
      <c r="N1428" s="91">
        <v>0</v>
      </c>
      <c r="O1428" s="91">
        <v>0</v>
      </c>
      <c r="P1428" s="91">
        <v>0</v>
      </c>
      <c r="Q1428" s="97">
        <f t="shared" si="44"/>
        <v>0</v>
      </c>
      <c r="R1428" s="95">
        <f t="shared" si="45"/>
        <v>0</v>
      </c>
    </row>
    <row r="1429" spans="1:23" ht="34.049999999999997" customHeight="1" x14ac:dyDescent="0.3">
      <c r="A1429" s="96">
        <v>1418</v>
      </c>
      <c r="B1429" s="91" t="s">
        <v>4634</v>
      </c>
      <c r="C1429" s="91" t="s">
        <v>4751</v>
      </c>
      <c r="D1429" s="91" t="s">
        <v>3583</v>
      </c>
      <c r="E1429" s="91">
        <v>2023</v>
      </c>
      <c r="F1429" s="91" t="s">
        <v>19</v>
      </c>
      <c r="G1429" s="91" t="s">
        <v>3664</v>
      </c>
      <c r="H1429" s="91" t="s">
        <v>1649</v>
      </c>
      <c r="I1429" s="91" t="s">
        <v>278</v>
      </c>
      <c r="J1429" s="91">
        <v>3793</v>
      </c>
      <c r="K1429" s="91">
        <f>6278+4484+1346</f>
        <v>12108</v>
      </c>
      <c r="L1429" s="91">
        <v>0</v>
      </c>
      <c r="M1429" s="91">
        <v>0</v>
      </c>
      <c r="N1429" s="91">
        <v>3148</v>
      </c>
      <c r="O1429" s="91">
        <v>0</v>
      </c>
      <c r="P1429" s="91">
        <v>0</v>
      </c>
      <c r="Q1429" s="97">
        <f t="shared" si="44"/>
        <v>19049</v>
      </c>
      <c r="R1429" s="95">
        <f t="shared" si="45"/>
        <v>16191.65</v>
      </c>
    </row>
    <row r="1430" spans="1:23" ht="34.049999999999997" customHeight="1" x14ac:dyDescent="0.3">
      <c r="A1430" s="90">
        <v>1419</v>
      </c>
      <c r="B1430" s="91" t="s">
        <v>4634</v>
      </c>
      <c r="C1430" s="91" t="s">
        <v>4752</v>
      </c>
      <c r="D1430" s="91" t="s">
        <v>4753</v>
      </c>
      <c r="E1430" s="91">
        <v>1982</v>
      </c>
      <c r="F1430" s="91" t="s">
        <v>18</v>
      </c>
      <c r="G1430" s="91" t="s">
        <v>4823</v>
      </c>
      <c r="H1430" s="91" t="s">
        <v>4823</v>
      </c>
      <c r="I1430" s="91" t="s">
        <v>300</v>
      </c>
      <c r="J1430" s="91">
        <v>6199</v>
      </c>
      <c r="K1430" s="91">
        <v>0</v>
      </c>
      <c r="L1430" s="91">
        <v>0</v>
      </c>
      <c r="M1430" s="91">
        <v>0</v>
      </c>
      <c r="N1430" s="91">
        <v>0</v>
      </c>
      <c r="O1430" s="91">
        <v>0</v>
      </c>
      <c r="P1430" s="91">
        <v>0</v>
      </c>
      <c r="Q1430" s="97">
        <f t="shared" si="44"/>
        <v>6199</v>
      </c>
      <c r="R1430" s="95">
        <f t="shared" si="45"/>
        <v>5269.15</v>
      </c>
    </row>
    <row r="1431" spans="1:23" ht="34.049999999999997" customHeight="1" x14ac:dyDescent="0.3">
      <c r="A1431" s="90">
        <v>1420</v>
      </c>
      <c r="B1431" s="91" t="s">
        <v>4634</v>
      </c>
      <c r="C1431" s="91" t="s">
        <v>4754</v>
      </c>
      <c r="D1431" s="91" t="s">
        <v>4755</v>
      </c>
      <c r="E1431" s="91">
        <v>2025</v>
      </c>
      <c r="F1431" s="91" t="s">
        <v>18</v>
      </c>
      <c r="G1431" s="91" t="s">
        <v>4824</v>
      </c>
      <c r="H1431" s="91" t="s">
        <v>4856</v>
      </c>
      <c r="I1431" s="91" t="s">
        <v>1483</v>
      </c>
      <c r="J1431" s="91">
        <v>0</v>
      </c>
      <c r="K1431" s="91">
        <v>0</v>
      </c>
      <c r="L1431" s="91">
        <v>0</v>
      </c>
      <c r="M1431" s="91">
        <v>0</v>
      </c>
      <c r="N1431" s="91">
        <v>0</v>
      </c>
      <c r="O1431" s="91">
        <v>0</v>
      </c>
      <c r="P1431" s="91">
        <v>0</v>
      </c>
      <c r="Q1431" s="97">
        <f t="shared" si="44"/>
        <v>0</v>
      </c>
      <c r="R1431" s="95">
        <f t="shared" si="45"/>
        <v>0</v>
      </c>
    </row>
    <row r="1432" spans="1:23" ht="34.049999999999997" customHeight="1" x14ac:dyDescent="0.3">
      <c r="A1432" s="96">
        <v>1421</v>
      </c>
      <c r="B1432" s="91" t="s">
        <v>4634</v>
      </c>
      <c r="C1432" s="91" t="s">
        <v>4756</v>
      </c>
      <c r="D1432" s="91" t="s">
        <v>4757</v>
      </c>
      <c r="E1432" s="91">
        <v>1993</v>
      </c>
      <c r="F1432" s="91" t="s">
        <v>18</v>
      </c>
      <c r="G1432" s="91" t="s">
        <v>4825</v>
      </c>
      <c r="H1432" s="91" t="s">
        <v>4825</v>
      </c>
      <c r="I1432" s="91" t="s">
        <v>299</v>
      </c>
      <c r="J1432" s="91">
        <v>6199</v>
      </c>
      <c r="K1432" s="91">
        <v>1166</v>
      </c>
      <c r="L1432" s="91">
        <v>0</v>
      </c>
      <c r="M1432" s="91">
        <v>0</v>
      </c>
      <c r="N1432" s="91">
        <v>0</v>
      </c>
      <c r="O1432" s="91">
        <v>0</v>
      </c>
      <c r="P1432" s="91">
        <v>0</v>
      </c>
      <c r="Q1432" s="97">
        <f t="shared" si="44"/>
        <v>7365</v>
      </c>
      <c r="R1432" s="95">
        <f t="shared" si="45"/>
        <v>6260.25</v>
      </c>
    </row>
    <row r="1433" spans="1:23" ht="34.049999999999997" customHeight="1" x14ac:dyDescent="0.3">
      <c r="A1433" s="90">
        <v>1422</v>
      </c>
      <c r="B1433" s="91" t="s">
        <v>4634</v>
      </c>
      <c r="C1433" s="91" t="s">
        <v>4758</v>
      </c>
      <c r="D1433" s="91" t="s">
        <v>3344</v>
      </c>
      <c r="E1433" s="91">
        <v>1981</v>
      </c>
      <c r="F1433" s="91" t="s">
        <v>19</v>
      </c>
      <c r="G1433" s="91" t="s">
        <v>3427</v>
      </c>
      <c r="H1433" s="91" t="s">
        <v>3427</v>
      </c>
      <c r="I1433" s="91" t="s">
        <v>300</v>
      </c>
      <c r="J1433" s="91">
        <v>3793</v>
      </c>
      <c r="K1433" s="91">
        <v>0</v>
      </c>
      <c r="L1433" s="91">
        <v>0</v>
      </c>
      <c r="M1433" s="91">
        <v>0</v>
      </c>
      <c r="N1433" s="91">
        <v>24937</v>
      </c>
      <c r="O1433" s="91">
        <v>0</v>
      </c>
      <c r="P1433" s="91">
        <v>0</v>
      </c>
      <c r="Q1433" s="97">
        <f t="shared" si="44"/>
        <v>28730</v>
      </c>
      <c r="R1433" s="95">
        <f t="shared" si="45"/>
        <v>24420.5</v>
      </c>
    </row>
    <row r="1434" spans="1:23" ht="34.049999999999997" customHeight="1" x14ac:dyDescent="0.3">
      <c r="A1434" s="90">
        <v>1423</v>
      </c>
      <c r="B1434" s="91" t="s">
        <v>4634</v>
      </c>
      <c r="C1434" s="91" t="s">
        <v>4759</v>
      </c>
      <c r="D1434" s="91" t="s">
        <v>4760</v>
      </c>
      <c r="E1434" s="91">
        <v>2017</v>
      </c>
      <c r="F1434" s="91" t="s">
        <v>18</v>
      </c>
      <c r="G1434" s="91" t="s">
        <v>4826</v>
      </c>
      <c r="H1434" s="91" t="s">
        <v>4857</v>
      </c>
      <c r="I1434" s="91" t="s">
        <v>4878</v>
      </c>
      <c r="J1434" s="91">
        <v>6199</v>
      </c>
      <c r="K1434" s="91">
        <f>6278+4484+1346+4484+2332+1166+2332+2332+2332+2332+2332+2332</f>
        <v>34082</v>
      </c>
      <c r="L1434" s="91">
        <v>0</v>
      </c>
      <c r="M1434" s="91">
        <v>0</v>
      </c>
      <c r="N1434" s="91">
        <v>3148</v>
      </c>
      <c r="O1434" s="91">
        <v>0</v>
      </c>
      <c r="P1434" s="91">
        <v>0</v>
      </c>
      <c r="Q1434" s="97">
        <f t="shared" si="44"/>
        <v>43429</v>
      </c>
      <c r="R1434" s="95">
        <f t="shared" si="45"/>
        <v>36914.65</v>
      </c>
    </row>
    <row r="1435" spans="1:23" ht="34.049999999999997" customHeight="1" x14ac:dyDescent="0.3">
      <c r="A1435" s="96">
        <v>1424</v>
      </c>
      <c r="B1435" s="91" t="s">
        <v>4634</v>
      </c>
      <c r="C1435" s="91" t="s">
        <v>4761</v>
      </c>
      <c r="D1435" s="91" t="s">
        <v>4762</v>
      </c>
      <c r="E1435" s="91">
        <v>2025</v>
      </c>
      <c r="F1435" s="91" t="s">
        <v>19</v>
      </c>
      <c r="G1435" s="91" t="s">
        <v>4827</v>
      </c>
      <c r="H1435" s="91" t="s">
        <v>4858</v>
      </c>
      <c r="I1435" s="91" t="s">
        <v>4878</v>
      </c>
      <c r="J1435" s="91">
        <v>6199</v>
      </c>
      <c r="K1435" s="91">
        <v>0</v>
      </c>
      <c r="L1435" s="91">
        <v>0</v>
      </c>
      <c r="M1435" s="91">
        <v>0</v>
      </c>
      <c r="N1435" s="91">
        <v>0</v>
      </c>
      <c r="O1435" s="91">
        <v>0</v>
      </c>
      <c r="P1435" s="91">
        <v>0</v>
      </c>
      <c r="Q1435" s="97">
        <f t="shared" si="44"/>
        <v>6199</v>
      </c>
      <c r="R1435" s="95">
        <f t="shared" si="45"/>
        <v>5269.15</v>
      </c>
    </row>
    <row r="1436" spans="1:23" ht="34.049999999999997" customHeight="1" x14ac:dyDescent="0.3">
      <c r="A1436" s="90">
        <v>1425</v>
      </c>
      <c r="B1436" s="91" t="s">
        <v>4634</v>
      </c>
      <c r="C1436" s="91" t="s">
        <v>4763</v>
      </c>
      <c r="D1436" s="91" t="s">
        <v>4764</v>
      </c>
      <c r="E1436" s="91">
        <v>1993</v>
      </c>
      <c r="F1436" s="91" t="s">
        <v>18</v>
      </c>
      <c r="G1436" s="91" t="s">
        <v>4828</v>
      </c>
      <c r="H1436" s="91" t="s">
        <v>4859</v>
      </c>
      <c r="I1436" s="91" t="s">
        <v>4879</v>
      </c>
      <c r="J1436" s="91">
        <v>6199</v>
      </c>
      <c r="K1436" s="91">
        <v>0</v>
      </c>
      <c r="L1436" s="91">
        <v>0</v>
      </c>
      <c r="M1436" s="91">
        <v>0</v>
      </c>
      <c r="N1436" s="91">
        <v>0</v>
      </c>
      <c r="O1436" s="91">
        <v>0</v>
      </c>
      <c r="P1436" s="91">
        <v>0</v>
      </c>
      <c r="Q1436" s="97">
        <f t="shared" si="44"/>
        <v>6199</v>
      </c>
      <c r="R1436" s="95">
        <f t="shared" si="45"/>
        <v>5269.15</v>
      </c>
    </row>
    <row r="1437" spans="1:23" ht="34.049999999999997" customHeight="1" x14ac:dyDescent="0.3">
      <c r="A1437" s="90">
        <v>1426</v>
      </c>
      <c r="B1437" s="91" t="s">
        <v>4634</v>
      </c>
      <c r="C1437" s="91" t="s">
        <v>4765</v>
      </c>
      <c r="D1437" s="91" t="s">
        <v>4766</v>
      </c>
      <c r="E1437" s="91">
        <v>1983</v>
      </c>
      <c r="F1437" s="91" t="s">
        <v>19</v>
      </c>
      <c r="G1437" s="91" t="s">
        <v>4606</v>
      </c>
      <c r="H1437" s="91" t="s">
        <v>4606</v>
      </c>
      <c r="I1437" s="91" t="s">
        <v>4880</v>
      </c>
      <c r="J1437" s="91">
        <v>6199</v>
      </c>
      <c r="K1437" s="91">
        <v>0</v>
      </c>
      <c r="L1437" s="91">
        <v>0</v>
      </c>
      <c r="M1437" s="91">
        <v>0</v>
      </c>
      <c r="N1437" s="91">
        <v>0</v>
      </c>
      <c r="O1437" s="91">
        <v>0</v>
      </c>
      <c r="P1437" s="91">
        <v>0</v>
      </c>
      <c r="Q1437" s="97">
        <f t="shared" si="44"/>
        <v>6199</v>
      </c>
      <c r="R1437" s="95">
        <f t="shared" si="45"/>
        <v>5269.15</v>
      </c>
    </row>
    <row r="1438" spans="1:23" ht="34.049999999999997" customHeight="1" x14ac:dyDescent="0.3">
      <c r="A1438" s="96">
        <v>1427</v>
      </c>
      <c r="B1438" s="91" t="s">
        <v>4634</v>
      </c>
      <c r="C1438" s="91" t="s">
        <v>4767</v>
      </c>
      <c r="D1438" s="91" t="s">
        <v>4768</v>
      </c>
      <c r="E1438" s="91">
        <v>2014</v>
      </c>
      <c r="F1438" s="91" t="s">
        <v>18</v>
      </c>
      <c r="G1438" s="91" t="s">
        <v>4829</v>
      </c>
      <c r="H1438" s="91" t="s">
        <v>2421</v>
      </c>
      <c r="I1438" s="91" t="s">
        <v>4881</v>
      </c>
      <c r="J1438" s="91">
        <v>6199</v>
      </c>
      <c r="K1438" s="91">
        <v>0</v>
      </c>
      <c r="L1438" s="91">
        <v>0</v>
      </c>
      <c r="M1438" s="91">
        <v>0</v>
      </c>
      <c r="N1438" s="91">
        <v>0</v>
      </c>
      <c r="O1438" s="91">
        <v>0</v>
      </c>
      <c r="P1438" s="91">
        <v>0</v>
      </c>
      <c r="Q1438" s="97">
        <f t="shared" si="44"/>
        <v>6199</v>
      </c>
      <c r="R1438" s="95">
        <f t="shared" si="45"/>
        <v>5269.15</v>
      </c>
    </row>
    <row r="1439" spans="1:23" ht="34.049999999999997" customHeight="1" x14ac:dyDescent="0.3">
      <c r="A1439" s="90">
        <v>1428</v>
      </c>
      <c r="B1439" s="98" t="s">
        <v>4634</v>
      </c>
      <c r="C1439" s="98" t="s">
        <v>4769</v>
      </c>
      <c r="D1439" s="98" t="s">
        <v>4770</v>
      </c>
      <c r="E1439" s="98">
        <v>1996</v>
      </c>
      <c r="F1439" s="98" t="s">
        <v>19</v>
      </c>
      <c r="G1439" s="98" t="s">
        <v>4830</v>
      </c>
      <c r="H1439" s="98" t="s">
        <v>4830</v>
      </c>
      <c r="I1439" s="98" t="s">
        <v>4882</v>
      </c>
      <c r="J1439" s="98">
        <v>6199</v>
      </c>
      <c r="K1439" s="98">
        <v>0</v>
      </c>
      <c r="L1439" s="98">
        <v>0</v>
      </c>
      <c r="M1439" s="98">
        <v>0</v>
      </c>
      <c r="N1439" s="98">
        <v>0</v>
      </c>
      <c r="O1439" s="98">
        <v>0</v>
      </c>
      <c r="P1439" s="98">
        <v>0</v>
      </c>
      <c r="Q1439" s="97">
        <f t="shared" si="44"/>
        <v>6199</v>
      </c>
      <c r="R1439" s="95">
        <f t="shared" si="45"/>
        <v>5269.15</v>
      </c>
      <c r="S1439" s="41"/>
      <c r="T1439" s="41"/>
      <c r="U1439" s="41"/>
      <c r="V1439" s="41"/>
      <c r="W1439" s="41"/>
    </row>
    <row r="1440" spans="1:23" ht="34.049999999999997" customHeight="1" x14ac:dyDescent="0.3">
      <c r="A1440" s="90">
        <v>1429</v>
      </c>
      <c r="B1440" s="91" t="s">
        <v>4634</v>
      </c>
      <c r="C1440" s="91" t="s">
        <v>4771</v>
      </c>
      <c r="D1440" s="91" t="s">
        <v>4772</v>
      </c>
      <c r="E1440" s="91">
        <v>2018</v>
      </c>
      <c r="F1440" s="91" t="s">
        <v>18</v>
      </c>
      <c r="G1440" s="91" t="s">
        <v>4831</v>
      </c>
      <c r="H1440" s="91" t="s">
        <v>4860</v>
      </c>
      <c r="I1440" s="91" t="s">
        <v>4883</v>
      </c>
      <c r="J1440" s="91">
        <v>6199</v>
      </c>
      <c r="K1440" s="91">
        <v>0</v>
      </c>
      <c r="L1440" s="91">
        <v>0</v>
      </c>
      <c r="M1440" s="91">
        <v>0</v>
      </c>
      <c r="N1440" s="91">
        <v>0</v>
      </c>
      <c r="O1440" s="91">
        <v>0</v>
      </c>
      <c r="P1440" s="91">
        <v>0</v>
      </c>
      <c r="Q1440" s="94">
        <f t="shared" si="44"/>
        <v>6199</v>
      </c>
      <c r="R1440" s="95">
        <f t="shared" si="45"/>
        <v>5269.15</v>
      </c>
    </row>
    <row r="1441" spans="1:18" ht="34.049999999999997" customHeight="1" x14ac:dyDescent="0.3">
      <c r="A1441" s="96">
        <v>1430</v>
      </c>
      <c r="B1441" s="91" t="s">
        <v>4634</v>
      </c>
      <c r="C1441" s="91" t="s">
        <v>7411</v>
      </c>
      <c r="D1441" s="93" t="s">
        <v>6393</v>
      </c>
      <c r="E1441" s="91">
        <v>2021</v>
      </c>
      <c r="F1441" s="91" t="s">
        <v>18</v>
      </c>
      <c r="G1441" s="91" t="s">
        <v>6394</v>
      </c>
      <c r="H1441" s="91" t="s">
        <v>6395</v>
      </c>
      <c r="I1441" s="91" t="s">
        <v>539</v>
      </c>
      <c r="J1441" s="91">
        <v>2900</v>
      </c>
      <c r="K1441" s="91">
        <v>0</v>
      </c>
      <c r="L1441" s="91">
        <v>0</v>
      </c>
      <c r="M1441" s="91">
        <v>0</v>
      </c>
      <c r="N1441" s="91">
        <v>2088</v>
      </c>
      <c r="O1441" s="91">
        <v>0</v>
      </c>
      <c r="P1441" s="91">
        <f>360+56</f>
        <v>416</v>
      </c>
      <c r="Q1441" s="94">
        <f t="shared" si="44"/>
        <v>5404</v>
      </c>
      <c r="R1441" s="95">
        <f t="shared" si="45"/>
        <v>4593.3999999999996</v>
      </c>
    </row>
    <row r="1442" spans="1:18" ht="34.049999999999997" customHeight="1" x14ac:dyDescent="0.3">
      <c r="A1442" s="90">
        <v>1431</v>
      </c>
      <c r="B1442" s="91" t="s">
        <v>4884</v>
      </c>
      <c r="C1442" s="91" t="s">
        <v>4885</v>
      </c>
      <c r="D1442" s="91" t="s">
        <v>1741</v>
      </c>
      <c r="E1442" s="91">
        <v>2012</v>
      </c>
      <c r="F1442" s="91" t="s">
        <v>19</v>
      </c>
      <c r="G1442" s="91" t="s">
        <v>1817</v>
      </c>
      <c r="H1442" s="91" t="s">
        <v>1861</v>
      </c>
      <c r="I1442" s="91" t="s">
        <v>1889</v>
      </c>
      <c r="J1442" s="91">
        <v>6199</v>
      </c>
      <c r="K1442" s="91">
        <v>0</v>
      </c>
      <c r="L1442" s="91">
        <v>0</v>
      </c>
      <c r="M1442" s="91">
        <v>0</v>
      </c>
      <c r="N1442" s="91">
        <f>15443+63167</f>
        <v>78610</v>
      </c>
      <c r="O1442" s="91">
        <v>0</v>
      </c>
      <c r="P1442" s="91">
        <v>0</v>
      </c>
      <c r="Q1442" s="94">
        <f t="shared" si="44"/>
        <v>84809</v>
      </c>
      <c r="R1442" s="95">
        <f t="shared" si="45"/>
        <v>72087.649999999994</v>
      </c>
    </row>
    <row r="1443" spans="1:18" ht="34.049999999999997" customHeight="1" x14ac:dyDescent="0.3">
      <c r="A1443" s="90">
        <v>1432</v>
      </c>
      <c r="B1443" s="91" t="s">
        <v>4884</v>
      </c>
      <c r="C1443" s="91" t="s">
        <v>4886</v>
      </c>
      <c r="D1443" s="91" t="s">
        <v>4887</v>
      </c>
      <c r="E1443" s="91">
        <v>2022</v>
      </c>
      <c r="F1443" s="91" t="s">
        <v>19</v>
      </c>
      <c r="G1443" s="91" t="s">
        <v>5018</v>
      </c>
      <c r="H1443" s="91" t="s">
        <v>5085</v>
      </c>
      <c r="I1443" s="91" t="s">
        <v>5122</v>
      </c>
      <c r="J1443" s="91">
        <v>6199</v>
      </c>
      <c r="K1443" s="91">
        <v>0</v>
      </c>
      <c r="L1443" s="91">
        <v>0</v>
      </c>
      <c r="M1443" s="91">
        <v>0</v>
      </c>
      <c r="N1443" s="91">
        <v>0</v>
      </c>
      <c r="O1443" s="91">
        <v>0</v>
      </c>
      <c r="P1443" s="91">
        <v>0</v>
      </c>
      <c r="Q1443" s="97">
        <f t="shared" si="44"/>
        <v>6199</v>
      </c>
      <c r="R1443" s="95">
        <f t="shared" si="45"/>
        <v>5269.15</v>
      </c>
    </row>
    <row r="1444" spans="1:18" ht="34.049999999999997" customHeight="1" x14ac:dyDescent="0.3">
      <c r="A1444" s="96">
        <v>1433</v>
      </c>
      <c r="B1444" s="91" t="s">
        <v>4884</v>
      </c>
      <c r="C1444" s="91" t="s">
        <v>4888</v>
      </c>
      <c r="D1444" s="91" t="s">
        <v>4889</v>
      </c>
      <c r="E1444" s="91">
        <v>2024</v>
      </c>
      <c r="F1444" s="91" t="s">
        <v>18</v>
      </c>
      <c r="G1444" s="91" t="s">
        <v>5019</v>
      </c>
      <c r="H1444" s="91" t="s">
        <v>5086</v>
      </c>
      <c r="I1444" s="91" t="s">
        <v>5122</v>
      </c>
      <c r="J1444" s="91">
        <v>6199</v>
      </c>
      <c r="K1444" s="91">
        <v>0</v>
      </c>
      <c r="L1444" s="91">
        <v>0</v>
      </c>
      <c r="M1444" s="91">
        <v>0</v>
      </c>
      <c r="N1444" s="91">
        <v>0</v>
      </c>
      <c r="O1444" s="91">
        <v>0</v>
      </c>
      <c r="P1444" s="91">
        <v>0</v>
      </c>
      <c r="Q1444" s="97">
        <f t="shared" si="44"/>
        <v>6199</v>
      </c>
      <c r="R1444" s="95">
        <f t="shared" si="45"/>
        <v>5269.15</v>
      </c>
    </row>
    <row r="1445" spans="1:18" ht="34.049999999999997" customHeight="1" x14ac:dyDescent="0.3">
      <c r="A1445" s="90">
        <v>1434</v>
      </c>
      <c r="B1445" s="91" t="s">
        <v>4884</v>
      </c>
      <c r="C1445" s="91" t="s">
        <v>4890</v>
      </c>
      <c r="D1445" s="91" t="s">
        <v>4891</v>
      </c>
      <c r="E1445" s="91">
        <v>1981</v>
      </c>
      <c r="F1445" s="91" t="s">
        <v>19</v>
      </c>
      <c r="G1445" s="91" t="s">
        <v>5020</v>
      </c>
      <c r="H1445" s="91" t="s">
        <v>5020</v>
      </c>
      <c r="I1445" s="91" t="s">
        <v>5123</v>
      </c>
      <c r="J1445" s="91">
        <v>6199</v>
      </c>
      <c r="K1445" s="91">
        <v>0</v>
      </c>
      <c r="L1445" s="91">
        <v>0</v>
      </c>
      <c r="M1445" s="91">
        <v>0</v>
      </c>
      <c r="N1445" s="91">
        <f>15443+34016+27380</f>
        <v>76839</v>
      </c>
      <c r="O1445" s="91">
        <v>0</v>
      </c>
      <c r="P1445" s="91">
        <v>0</v>
      </c>
      <c r="Q1445" s="94">
        <f t="shared" si="44"/>
        <v>83038</v>
      </c>
      <c r="R1445" s="95">
        <f t="shared" si="45"/>
        <v>70582.3</v>
      </c>
    </row>
    <row r="1446" spans="1:18" ht="34.049999999999997" customHeight="1" x14ac:dyDescent="0.3">
      <c r="A1446" s="90">
        <v>1435</v>
      </c>
      <c r="B1446" s="91" t="s">
        <v>4884</v>
      </c>
      <c r="C1446" s="91" t="s">
        <v>4892</v>
      </c>
      <c r="D1446" s="91" t="s">
        <v>1498</v>
      </c>
      <c r="E1446" s="91">
        <v>1981</v>
      </c>
      <c r="F1446" s="91" t="s">
        <v>19</v>
      </c>
      <c r="G1446" s="91" t="s">
        <v>1605</v>
      </c>
      <c r="H1446" s="91" t="s">
        <v>1605</v>
      </c>
      <c r="I1446" s="91" t="s">
        <v>1685</v>
      </c>
      <c r="J1446" s="91">
        <v>6199</v>
      </c>
      <c r="K1446" s="91">
        <v>0</v>
      </c>
      <c r="L1446" s="91">
        <v>0</v>
      </c>
      <c r="M1446" s="91">
        <v>0</v>
      </c>
      <c r="N1446" s="91">
        <v>0</v>
      </c>
      <c r="O1446" s="91">
        <v>0</v>
      </c>
      <c r="P1446" s="91">
        <v>0</v>
      </c>
      <c r="Q1446" s="97">
        <f t="shared" si="44"/>
        <v>6199</v>
      </c>
      <c r="R1446" s="95">
        <f t="shared" si="45"/>
        <v>5269.15</v>
      </c>
    </row>
    <row r="1447" spans="1:18" ht="34.049999999999997" customHeight="1" x14ac:dyDescent="0.3">
      <c r="A1447" s="96">
        <v>1436</v>
      </c>
      <c r="B1447" s="91" t="s">
        <v>4884</v>
      </c>
      <c r="C1447" s="91" t="s">
        <v>4893</v>
      </c>
      <c r="D1447" s="91" t="s">
        <v>4319</v>
      </c>
      <c r="E1447" s="91">
        <v>1988</v>
      </c>
      <c r="F1447" s="91" t="s">
        <v>19</v>
      </c>
      <c r="G1447" s="91" t="s">
        <v>808</v>
      </c>
      <c r="H1447" s="91" t="s">
        <v>808</v>
      </c>
      <c r="I1447" s="91" t="s">
        <v>4422</v>
      </c>
      <c r="J1447" s="91">
        <v>3793</v>
      </c>
      <c r="K1447" s="91">
        <v>0</v>
      </c>
      <c r="L1447" s="91">
        <v>0</v>
      </c>
      <c r="M1447" s="91">
        <v>0</v>
      </c>
      <c r="N1447" s="91">
        <f>3179+1178</f>
        <v>4357</v>
      </c>
      <c r="O1447" s="91">
        <v>0</v>
      </c>
      <c r="P1447" s="91">
        <f>720+1200+120</f>
        <v>2040</v>
      </c>
      <c r="Q1447" s="97">
        <f t="shared" si="44"/>
        <v>10190</v>
      </c>
      <c r="R1447" s="95">
        <f t="shared" si="45"/>
        <v>8661.5</v>
      </c>
    </row>
    <row r="1448" spans="1:18" ht="34.049999999999997" customHeight="1" x14ac:dyDescent="0.3">
      <c r="A1448" s="90">
        <v>1437</v>
      </c>
      <c r="B1448" s="91" t="s">
        <v>4884</v>
      </c>
      <c r="C1448" s="91" t="s">
        <v>4894</v>
      </c>
      <c r="D1448" s="91" t="s">
        <v>4895</v>
      </c>
      <c r="E1448" s="91">
        <v>2020</v>
      </c>
      <c r="F1448" s="91" t="s">
        <v>19</v>
      </c>
      <c r="G1448" s="91" t="s">
        <v>5021</v>
      </c>
      <c r="H1448" s="91" t="s">
        <v>5087</v>
      </c>
      <c r="I1448" s="91" t="s">
        <v>5124</v>
      </c>
      <c r="J1448" s="91">
        <v>3793</v>
      </c>
      <c r="K1448" s="91">
        <v>0</v>
      </c>
      <c r="L1448" s="91">
        <v>0</v>
      </c>
      <c r="M1448" s="91">
        <v>0</v>
      </c>
      <c r="N1448" s="91">
        <f>30886+60787</f>
        <v>91673</v>
      </c>
      <c r="O1448" s="91">
        <v>0</v>
      </c>
      <c r="P1448" s="91">
        <v>0</v>
      </c>
      <c r="Q1448" s="97">
        <f t="shared" si="44"/>
        <v>95466</v>
      </c>
      <c r="R1448" s="95">
        <f t="shared" si="45"/>
        <v>81146.100000000006</v>
      </c>
    </row>
    <row r="1449" spans="1:18" ht="34.049999999999997" customHeight="1" x14ac:dyDescent="0.3">
      <c r="A1449" s="90">
        <v>1438</v>
      </c>
      <c r="B1449" s="91" t="s">
        <v>4884</v>
      </c>
      <c r="C1449" s="91" t="s">
        <v>4896</v>
      </c>
      <c r="D1449" s="91" t="s">
        <v>4897</v>
      </c>
      <c r="E1449" s="91">
        <v>2018</v>
      </c>
      <c r="F1449" s="91" t="s">
        <v>18</v>
      </c>
      <c r="G1449" s="91" t="s">
        <v>5022</v>
      </c>
      <c r="H1449" s="91" t="s">
        <v>5087</v>
      </c>
      <c r="I1449" s="91" t="s">
        <v>5124</v>
      </c>
      <c r="J1449" s="91">
        <v>6199</v>
      </c>
      <c r="K1449" s="91">
        <v>0</v>
      </c>
      <c r="L1449" s="91">
        <v>0</v>
      </c>
      <c r="M1449" s="91">
        <v>0</v>
      </c>
      <c r="N1449" s="91">
        <v>0</v>
      </c>
      <c r="O1449" s="91">
        <v>0</v>
      </c>
      <c r="P1449" s="91">
        <v>0</v>
      </c>
      <c r="Q1449" s="97">
        <f t="shared" si="44"/>
        <v>6199</v>
      </c>
      <c r="R1449" s="95">
        <f t="shared" si="45"/>
        <v>5269.15</v>
      </c>
    </row>
    <row r="1450" spans="1:18" ht="34.049999999999997" customHeight="1" x14ac:dyDescent="0.3">
      <c r="A1450" s="96">
        <v>1439</v>
      </c>
      <c r="B1450" s="91" t="s">
        <v>4884</v>
      </c>
      <c r="C1450" s="91" t="s">
        <v>4898</v>
      </c>
      <c r="D1450" s="91" t="s">
        <v>4899</v>
      </c>
      <c r="E1450" s="91">
        <v>1983</v>
      </c>
      <c r="F1450" s="91" t="s">
        <v>18</v>
      </c>
      <c r="G1450" s="91" t="s">
        <v>5023</v>
      </c>
      <c r="H1450" s="91" t="s">
        <v>5020</v>
      </c>
      <c r="I1450" s="91" t="s">
        <v>5125</v>
      </c>
      <c r="J1450" s="91">
        <v>6199</v>
      </c>
      <c r="K1450" s="91">
        <f>1166+2801</f>
        <v>3967</v>
      </c>
      <c r="L1450" s="91">
        <v>19396</v>
      </c>
      <c r="M1450" s="91">
        <v>0</v>
      </c>
      <c r="N1450" s="91">
        <v>0</v>
      </c>
      <c r="O1450" s="91">
        <v>0</v>
      </c>
      <c r="P1450" s="91">
        <v>0</v>
      </c>
      <c r="Q1450" s="97">
        <f t="shared" si="44"/>
        <v>29562</v>
      </c>
      <c r="R1450" s="95">
        <f t="shared" si="45"/>
        <v>25127.7</v>
      </c>
    </row>
    <row r="1451" spans="1:18" ht="34.049999999999997" customHeight="1" x14ac:dyDescent="0.3">
      <c r="A1451" s="90">
        <v>1440</v>
      </c>
      <c r="B1451" s="91" t="s">
        <v>4884</v>
      </c>
      <c r="C1451" s="91" t="s">
        <v>4900</v>
      </c>
      <c r="D1451" s="91" t="s">
        <v>4901</v>
      </c>
      <c r="E1451" s="91">
        <v>2011</v>
      </c>
      <c r="F1451" s="91" t="s">
        <v>19</v>
      </c>
      <c r="G1451" s="91" t="s">
        <v>5024</v>
      </c>
      <c r="H1451" s="91" t="s">
        <v>5088</v>
      </c>
      <c r="I1451" s="91" t="s">
        <v>1460</v>
      </c>
      <c r="J1451" s="91">
        <v>6199</v>
      </c>
      <c r="K1451" s="91">
        <v>0</v>
      </c>
      <c r="L1451" s="91">
        <v>0</v>
      </c>
      <c r="M1451" s="91">
        <v>0</v>
      </c>
      <c r="N1451" s="91">
        <v>0</v>
      </c>
      <c r="O1451" s="91">
        <v>0</v>
      </c>
      <c r="P1451" s="91">
        <v>0</v>
      </c>
      <c r="Q1451" s="97">
        <f t="shared" si="44"/>
        <v>6199</v>
      </c>
      <c r="R1451" s="95">
        <f t="shared" si="45"/>
        <v>5269.15</v>
      </c>
    </row>
    <row r="1452" spans="1:18" ht="34.049999999999997" customHeight="1" x14ac:dyDescent="0.3">
      <c r="A1452" s="90">
        <v>1441</v>
      </c>
      <c r="B1452" s="91" t="s">
        <v>4884</v>
      </c>
      <c r="C1452" s="91" t="s">
        <v>4902</v>
      </c>
      <c r="D1452" s="91" t="s">
        <v>4903</v>
      </c>
      <c r="E1452" s="91">
        <v>2011</v>
      </c>
      <c r="F1452" s="91" t="s">
        <v>19</v>
      </c>
      <c r="G1452" s="91" t="s">
        <v>5025</v>
      </c>
      <c r="H1452" s="91" t="s">
        <v>5089</v>
      </c>
      <c r="I1452" s="91" t="s">
        <v>5126</v>
      </c>
      <c r="J1452" s="91">
        <v>6199</v>
      </c>
      <c r="K1452" s="91">
        <v>0</v>
      </c>
      <c r="L1452" s="91">
        <v>0</v>
      </c>
      <c r="M1452" s="91">
        <v>0</v>
      </c>
      <c r="N1452" s="91">
        <v>0</v>
      </c>
      <c r="O1452" s="91">
        <v>0</v>
      </c>
      <c r="P1452" s="91">
        <v>0</v>
      </c>
      <c r="Q1452" s="94">
        <f t="shared" si="44"/>
        <v>6199</v>
      </c>
      <c r="R1452" s="95">
        <f t="shared" si="45"/>
        <v>5269.15</v>
      </c>
    </row>
    <row r="1453" spans="1:18" ht="34.049999999999997" customHeight="1" x14ac:dyDescent="0.3">
      <c r="A1453" s="96">
        <v>1442</v>
      </c>
      <c r="B1453" s="91" t="s">
        <v>4884</v>
      </c>
      <c r="C1453" s="91" t="s">
        <v>4904</v>
      </c>
      <c r="D1453" s="91" t="s">
        <v>4905</v>
      </c>
      <c r="E1453" s="91">
        <v>1992</v>
      </c>
      <c r="F1453" s="91" t="s">
        <v>18</v>
      </c>
      <c r="G1453" s="91" t="s">
        <v>5026</v>
      </c>
      <c r="H1453" s="91" t="s">
        <v>5090</v>
      </c>
      <c r="I1453" s="91" t="s">
        <v>272</v>
      </c>
      <c r="J1453" s="91">
        <v>6199</v>
      </c>
      <c r="K1453" s="91">
        <f>6278+4484+1346+2332+2332+2332+2332+2332+6995+6995+2332+6995+2332+6995+6995+2332+2332+3000+3000+3228</f>
        <v>77299</v>
      </c>
      <c r="L1453" s="91">
        <v>0</v>
      </c>
      <c r="M1453" s="91">
        <v>0</v>
      </c>
      <c r="N1453" s="91">
        <v>1793</v>
      </c>
      <c r="O1453" s="91">
        <v>0</v>
      </c>
      <c r="P1453" s="91">
        <v>0</v>
      </c>
      <c r="Q1453" s="97">
        <f t="shared" si="44"/>
        <v>85291</v>
      </c>
      <c r="R1453" s="95">
        <f t="shared" si="45"/>
        <v>72497.350000000006</v>
      </c>
    </row>
    <row r="1454" spans="1:18" ht="34.049999999999997" customHeight="1" x14ac:dyDescent="0.3">
      <c r="A1454" s="90">
        <v>1443</v>
      </c>
      <c r="B1454" s="91" t="s">
        <v>4884</v>
      </c>
      <c r="C1454" s="91" t="s">
        <v>4906</v>
      </c>
      <c r="D1454" s="91" t="s">
        <v>4907</v>
      </c>
      <c r="E1454" s="91">
        <v>1993</v>
      </c>
      <c r="F1454" s="91" t="s">
        <v>18</v>
      </c>
      <c r="G1454" s="91" t="s">
        <v>5027</v>
      </c>
      <c r="H1454" s="91" t="s">
        <v>5027</v>
      </c>
      <c r="I1454" s="91" t="s">
        <v>300</v>
      </c>
      <c r="J1454" s="91">
        <v>6199</v>
      </c>
      <c r="K1454" s="91">
        <v>0</v>
      </c>
      <c r="L1454" s="91">
        <v>0</v>
      </c>
      <c r="M1454" s="91">
        <v>0</v>
      </c>
      <c r="N1454" s="91">
        <f>15443+181140</f>
        <v>196583</v>
      </c>
      <c r="O1454" s="91">
        <v>0</v>
      </c>
      <c r="P1454" s="91">
        <v>0</v>
      </c>
      <c r="Q1454" s="97">
        <f t="shared" si="44"/>
        <v>202782</v>
      </c>
      <c r="R1454" s="95">
        <f t="shared" si="45"/>
        <v>172364.7</v>
      </c>
    </row>
    <row r="1455" spans="1:18" ht="34.049999999999997" customHeight="1" x14ac:dyDescent="0.3">
      <c r="A1455" s="90">
        <v>1444</v>
      </c>
      <c r="B1455" s="91" t="s">
        <v>4884</v>
      </c>
      <c r="C1455" s="91" t="s">
        <v>4908</v>
      </c>
      <c r="D1455" s="91" t="s">
        <v>4909</v>
      </c>
      <c r="E1455" s="91">
        <v>2023</v>
      </c>
      <c r="F1455" s="91" t="s">
        <v>19</v>
      </c>
      <c r="G1455" s="91" t="s">
        <v>5028</v>
      </c>
      <c r="H1455" s="91" t="s">
        <v>5091</v>
      </c>
      <c r="I1455" s="91" t="s">
        <v>5127</v>
      </c>
      <c r="J1455" s="91">
        <v>6199</v>
      </c>
      <c r="K1455" s="91">
        <v>0</v>
      </c>
      <c r="L1455" s="91">
        <v>0</v>
      </c>
      <c r="M1455" s="91">
        <v>0</v>
      </c>
      <c r="N1455" s="91">
        <v>0</v>
      </c>
      <c r="O1455" s="91">
        <v>0</v>
      </c>
      <c r="P1455" s="91">
        <v>0</v>
      </c>
      <c r="Q1455" s="97">
        <f t="shared" si="44"/>
        <v>6199</v>
      </c>
      <c r="R1455" s="95">
        <f t="shared" si="45"/>
        <v>5269.15</v>
      </c>
    </row>
    <row r="1456" spans="1:18" ht="34.049999999999997" customHeight="1" x14ac:dyDescent="0.3">
      <c r="A1456" s="96">
        <v>1445</v>
      </c>
      <c r="B1456" s="91" t="s">
        <v>4884</v>
      </c>
      <c r="C1456" s="91" t="s">
        <v>4910</v>
      </c>
      <c r="D1456" s="91" t="s">
        <v>4911</v>
      </c>
      <c r="E1456" s="91">
        <v>2024</v>
      </c>
      <c r="F1456" s="91" t="s">
        <v>18</v>
      </c>
      <c r="G1456" s="91" t="s">
        <v>5029</v>
      </c>
      <c r="H1456" s="91" t="s">
        <v>1044</v>
      </c>
      <c r="I1456" s="91" t="s">
        <v>5128</v>
      </c>
      <c r="J1456" s="91">
        <v>6199</v>
      </c>
      <c r="K1456" s="91">
        <f>6278+4484+2332+1346+2332+2332+2332+2332+6995+6995+2332+6995+2332+4484</f>
        <v>53901</v>
      </c>
      <c r="L1456" s="91">
        <v>0</v>
      </c>
      <c r="M1456" s="91">
        <v>0</v>
      </c>
      <c r="N1456" s="91">
        <f>3148+4053+2088+1178</f>
        <v>10467</v>
      </c>
      <c r="O1456" s="91">
        <v>0</v>
      </c>
      <c r="P1456" s="91">
        <f>360+56+720+1080+120+1200</f>
        <v>3536</v>
      </c>
      <c r="Q1456" s="94">
        <f t="shared" si="44"/>
        <v>74103</v>
      </c>
      <c r="R1456" s="95">
        <f t="shared" si="45"/>
        <v>62987.55</v>
      </c>
    </row>
    <row r="1457" spans="1:18" ht="34.049999999999997" customHeight="1" x14ac:dyDescent="0.3">
      <c r="A1457" s="90">
        <v>1446</v>
      </c>
      <c r="B1457" s="91" t="s">
        <v>4884</v>
      </c>
      <c r="C1457" s="91" t="s">
        <v>4910</v>
      </c>
      <c r="D1457" s="91" t="s">
        <v>4911</v>
      </c>
      <c r="E1457" s="91">
        <v>2024</v>
      </c>
      <c r="F1457" s="91" t="s">
        <v>18</v>
      </c>
      <c r="G1457" s="91" t="s">
        <v>5029</v>
      </c>
      <c r="H1457" s="91" t="s">
        <v>1044</v>
      </c>
      <c r="I1457" s="91" t="s">
        <v>5128</v>
      </c>
      <c r="J1457" s="91">
        <v>0</v>
      </c>
      <c r="K1457" s="91">
        <v>0</v>
      </c>
      <c r="L1457" s="91">
        <v>0</v>
      </c>
      <c r="M1457" s="91">
        <v>17688</v>
      </c>
      <c r="N1457" s="91">
        <v>0</v>
      </c>
      <c r="O1457" s="91">
        <v>0</v>
      </c>
      <c r="P1457" s="91">
        <f>360+56</f>
        <v>416</v>
      </c>
      <c r="Q1457" s="94">
        <f t="shared" si="44"/>
        <v>18104</v>
      </c>
      <c r="R1457" s="95">
        <f t="shared" si="45"/>
        <v>15388.4</v>
      </c>
    </row>
    <row r="1458" spans="1:18" ht="34.049999999999997" customHeight="1" x14ac:dyDescent="0.3">
      <c r="A1458" s="90">
        <v>1447</v>
      </c>
      <c r="B1458" s="91" t="s">
        <v>4884</v>
      </c>
      <c r="C1458" s="91" t="s">
        <v>4912</v>
      </c>
      <c r="D1458" s="91" t="s">
        <v>927</v>
      </c>
      <c r="E1458" s="91">
        <v>1986</v>
      </c>
      <c r="F1458" s="91" t="s">
        <v>18</v>
      </c>
      <c r="G1458" s="91" t="s">
        <v>995</v>
      </c>
      <c r="H1458" s="91" t="s">
        <v>995</v>
      </c>
      <c r="I1458" s="91" t="s">
        <v>1068</v>
      </c>
      <c r="J1458" s="91">
        <v>6199</v>
      </c>
      <c r="K1458" s="91">
        <v>0</v>
      </c>
      <c r="L1458" s="91">
        <v>0</v>
      </c>
      <c r="M1458" s="91">
        <v>0</v>
      </c>
      <c r="N1458" s="91">
        <f>15443+181140</f>
        <v>196583</v>
      </c>
      <c r="O1458" s="91">
        <v>0</v>
      </c>
      <c r="P1458" s="91">
        <v>0</v>
      </c>
      <c r="Q1458" s="97">
        <f t="shared" si="44"/>
        <v>202782</v>
      </c>
      <c r="R1458" s="95">
        <f t="shared" si="45"/>
        <v>172364.7</v>
      </c>
    </row>
    <row r="1459" spans="1:18" ht="34.049999999999997" customHeight="1" x14ac:dyDescent="0.3">
      <c r="A1459" s="96">
        <v>1448</v>
      </c>
      <c r="B1459" s="91" t="s">
        <v>4884</v>
      </c>
      <c r="C1459" s="91" t="s">
        <v>4913</v>
      </c>
      <c r="D1459" s="91" t="s">
        <v>4914</v>
      </c>
      <c r="E1459" s="91">
        <v>2022</v>
      </c>
      <c r="F1459" s="91" t="s">
        <v>18</v>
      </c>
      <c r="G1459" s="91" t="s">
        <v>5030</v>
      </c>
      <c r="H1459" s="91" t="s">
        <v>2816</v>
      </c>
      <c r="I1459" s="91" t="s">
        <v>5129</v>
      </c>
      <c r="J1459" s="91">
        <v>6199</v>
      </c>
      <c r="K1459" s="91">
        <v>0</v>
      </c>
      <c r="L1459" s="91">
        <v>0</v>
      </c>
      <c r="M1459" s="91">
        <v>0</v>
      </c>
      <c r="N1459" s="91">
        <v>0</v>
      </c>
      <c r="O1459" s="91">
        <v>0</v>
      </c>
      <c r="P1459" s="91">
        <v>0</v>
      </c>
      <c r="Q1459" s="97">
        <f t="shared" si="44"/>
        <v>6199</v>
      </c>
      <c r="R1459" s="95">
        <f t="shared" si="45"/>
        <v>5269.15</v>
      </c>
    </row>
    <row r="1460" spans="1:18" ht="34.049999999999997" customHeight="1" x14ac:dyDescent="0.3">
      <c r="A1460" s="90">
        <v>1449</v>
      </c>
      <c r="B1460" s="91" t="s">
        <v>4884</v>
      </c>
      <c r="C1460" s="91" t="s">
        <v>4915</v>
      </c>
      <c r="D1460" s="91" t="s">
        <v>4916</v>
      </c>
      <c r="E1460" s="91">
        <v>2023</v>
      </c>
      <c r="F1460" s="91" t="s">
        <v>18</v>
      </c>
      <c r="G1460" s="91" t="s">
        <v>5031</v>
      </c>
      <c r="H1460" s="91" t="s">
        <v>5092</v>
      </c>
      <c r="I1460" s="91" t="s">
        <v>5130</v>
      </c>
      <c r="J1460" s="91">
        <v>6199</v>
      </c>
      <c r="K1460" s="91">
        <f>6278+4484+1346+2332+2332+2332+2332+2332+6995+6995+2332+6995+2332+4484+1166+2801</f>
        <v>57868</v>
      </c>
      <c r="L1460" s="91">
        <v>0</v>
      </c>
      <c r="M1460" s="91">
        <v>0</v>
      </c>
      <c r="N1460" s="91">
        <v>3148</v>
      </c>
      <c r="O1460" s="91">
        <v>0</v>
      </c>
      <c r="P1460" s="91">
        <v>0</v>
      </c>
      <c r="Q1460" s="97">
        <f t="shared" si="44"/>
        <v>67215</v>
      </c>
      <c r="R1460" s="95">
        <f t="shared" si="45"/>
        <v>57132.75</v>
      </c>
    </row>
    <row r="1461" spans="1:18" ht="34.049999999999997" customHeight="1" x14ac:dyDescent="0.3">
      <c r="A1461" s="90">
        <v>1450</v>
      </c>
      <c r="B1461" s="91" t="s">
        <v>4884</v>
      </c>
      <c r="C1461" s="91" t="s">
        <v>4917</v>
      </c>
      <c r="D1461" s="91" t="s">
        <v>2682</v>
      </c>
      <c r="E1461" s="91">
        <v>2017</v>
      </c>
      <c r="F1461" s="91" t="s">
        <v>18</v>
      </c>
      <c r="G1461" s="91" t="s">
        <v>5032</v>
      </c>
      <c r="H1461" s="91" t="s">
        <v>2816</v>
      </c>
      <c r="I1461" s="91" t="s">
        <v>2851</v>
      </c>
      <c r="J1461" s="91">
        <v>3793</v>
      </c>
      <c r="K1461" s="91">
        <v>0</v>
      </c>
      <c r="L1461" s="91">
        <v>0</v>
      </c>
      <c r="M1461" s="91">
        <v>0</v>
      </c>
      <c r="N1461" s="91">
        <v>0</v>
      </c>
      <c r="O1461" s="91">
        <v>0</v>
      </c>
      <c r="P1461" s="91">
        <v>0</v>
      </c>
      <c r="Q1461" s="97">
        <f t="shared" si="44"/>
        <v>3793</v>
      </c>
      <c r="R1461" s="95">
        <f t="shared" si="45"/>
        <v>3224.05</v>
      </c>
    </row>
    <row r="1462" spans="1:18" ht="34.049999999999997" customHeight="1" x14ac:dyDescent="0.3">
      <c r="A1462" s="96">
        <v>1451</v>
      </c>
      <c r="B1462" s="91" t="s">
        <v>4884</v>
      </c>
      <c r="C1462" s="91" t="s">
        <v>4918</v>
      </c>
      <c r="D1462" s="91" t="s">
        <v>4919</v>
      </c>
      <c r="E1462" s="91">
        <v>2018</v>
      </c>
      <c r="F1462" s="91" t="s">
        <v>18</v>
      </c>
      <c r="G1462" s="91" t="s">
        <v>5033</v>
      </c>
      <c r="H1462" s="91" t="s">
        <v>5093</v>
      </c>
      <c r="I1462" s="91" t="s">
        <v>5131</v>
      </c>
      <c r="J1462" s="91">
        <v>6199</v>
      </c>
      <c r="K1462" s="91">
        <v>0</v>
      </c>
      <c r="L1462" s="91">
        <v>0</v>
      </c>
      <c r="M1462" s="91">
        <v>0</v>
      </c>
      <c r="N1462" s="91">
        <v>0</v>
      </c>
      <c r="O1462" s="91">
        <v>0</v>
      </c>
      <c r="P1462" s="91">
        <v>0</v>
      </c>
      <c r="Q1462" s="97">
        <f t="shared" si="44"/>
        <v>6199</v>
      </c>
      <c r="R1462" s="95">
        <f t="shared" si="45"/>
        <v>5269.15</v>
      </c>
    </row>
    <row r="1463" spans="1:18" ht="34.049999999999997" customHeight="1" x14ac:dyDescent="0.3">
      <c r="A1463" s="90">
        <v>1452</v>
      </c>
      <c r="B1463" s="91" t="s">
        <v>4884</v>
      </c>
      <c r="C1463" s="91" t="s">
        <v>4920</v>
      </c>
      <c r="D1463" s="91" t="s">
        <v>2486</v>
      </c>
      <c r="E1463" s="91">
        <v>2022</v>
      </c>
      <c r="F1463" s="91" t="s">
        <v>19</v>
      </c>
      <c r="G1463" s="91" t="s">
        <v>2553</v>
      </c>
      <c r="H1463" s="91" t="s">
        <v>2554</v>
      </c>
      <c r="I1463" s="91" t="s">
        <v>2617</v>
      </c>
      <c r="J1463" s="91">
        <v>3793</v>
      </c>
      <c r="K1463" s="91">
        <f>6278+4484+1346+2332+2332+2332+2332+4484+2332</f>
        <v>28252</v>
      </c>
      <c r="L1463" s="91">
        <v>0</v>
      </c>
      <c r="M1463" s="91">
        <v>0</v>
      </c>
      <c r="N1463" s="91">
        <v>3148</v>
      </c>
      <c r="O1463" s="91">
        <v>0</v>
      </c>
      <c r="P1463" s="91">
        <v>0</v>
      </c>
      <c r="Q1463" s="97">
        <f t="shared" si="44"/>
        <v>35193</v>
      </c>
      <c r="R1463" s="95">
        <f t="shared" si="45"/>
        <v>29914.05</v>
      </c>
    </row>
    <row r="1464" spans="1:18" ht="34.049999999999997" customHeight="1" x14ac:dyDescent="0.3">
      <c r="A1464" s="90">
        <v>1453</v>
      </c>
      <c r="B1464" s="91" t="s">
        <v>4884</v>
      </c>
      <c r="C1464" s="91" t="s">
        <v>4921</v>
      </c>
      <c r="D1464" s="91" t="s">
        <v>1555</v>
      </c>
      <c r="E1464" s="91">
        <v>1977</v>
      </c>
      <c r="F1464" s="91" t="s">
        <v>18</v>
      </c>
      <c r="G1464" s="91" t="s">
        <v>1631</v>
      </c>
      <c r="H1464" s="91" t="s">
        <v>1631</v>
      </c>
      <c r="I1464" s="91" t="s">
        <v>278</v>
      </c>
      <c r="J1464" s="91">
        <v>6199</v>
      </c>
      <c r="K1464" s="91">
        <v>0</v>
      </c>
      <c r="L1464" s="91">
        <v>13298</v>
      </c>
      <c r="M1464" s="91">
        <v>0</v>
      </c>
      <c r="N1464" s="91">
        <v>0</v>
      </c>
      <c r="O1464" s="91">
        <v>0</v>
      </c>
      <c r="P1464" s="91">
        <v>0</v>
      </c>
      <c r="Q1464" s="97">
        <f t="shared" si="44"/>
        <v>19497</v>
      </c>
      <c r="R1464" s="95">
        <f t="shared" si="45"/>
        <v>16572.45</v>
      </c>
    </row>
    <row r="1465" spans="1:18" ht="34.049999999999997" customHeight="1" x14ac:dyDescent="0.3">
      <c r="A1465" s="96">
        <v>1454</v>
      </c>
      <c r="B1465" s="91" t="s">
        <v>4884</v>
      </c>
      <c r="C1465" s="91" t="s">
        <v>4922</v>
      </c>
      <c r="D1465" s="91" t="s">
        <v>4923</v>
      </c>
      <c r="E1465" s="91">
        <v>1988</v>
      </c>
      <c r="F1465" s="91" t="s">
        <v>19</v>
      </c>
      <c r="G1465" s="91" t="s">
        <v>5034</v>
      </c>
      <c r="H1465" s="91" t="s">
        <v>5094</v>
      </c>
      <c r="I1465" s="91" t="s">
        <v>5132</v>
      </c>
      <c r="J1465" s="91">
        <v>6199</v>
      </c>
      <c r="K1465" s="91">
        <v>0</v>
      </c>
      <c r="L1465" s="91">
        <v>0</v>
      </c>
      <c r="M1465" s="91">
        <v>0</v>
      </c>
      <c r="N1465" s="91">
        <v>0</v>
      </c>
      <c r="O1465" s="91">
        <v>0</v>
      </c>
      <c r="P1465" s="91">
        <v>0</v>
      </c>
      <c r="Q1465" s="97">
        <f t="shared" si="44"/>
        <v>6199</v>
      </c>
      <c r="R1465" s="95">
        <f t="shared" si="45"/>
        <v>5269.15</v>
      </c>
    </row>
    <row r="1466" spans="1:18" ht="34.049999999999997" customHeight="1" x14ac:dyDescent="0.3">
      <c r="A1466" s="90">
        <v>1455</v>
      </c>
      <c r="B1466" s="91" t="s">
        <v>4884</v>
      </c>
      <c r="C1466" s="91" t="s">
        <v>4924</v>
      </c>
      <c r="D1466" s="91" t="s">
        <v>4925</v>
      </c>
      <c r="E1466" s="91">
        <v>2008</v>
      </c>
      <c r="F1466" s="91" t="s">
        <v>19</v>
      </c>
      <c r="G1466" s="91" t="s">
        <v>5035</v>
      </c>
      <c r="H1466" s="91" t="s">
        <v>5095</v>
      </c>
      <c r="I1466" s="91" t="s">
        <v>554</v>
      </c>
      <c r="J1466" s="91">
        <v>0</v>
      </c>
      <c r="K1466" s="91">
        <v>0</v>
      </c>
      <c r="L1466" s="91">
        <v>0</v>
      </c>
      <c r="M1466" s="91">
        <v>0</v>
      </c>
      <c r="N1466" s="91">
        <v>0</v>
      </c>
      <c r="O1466" s="91">
        <v>0</v>
      </c>
      <c r="P1466" s="91">
        <v>0</v>
      </c>
      <c r="Q1466" s="97">
        <f t="shared" si="44"/>
        <v>0</v>
      </c>
      <c r="R1466" s="95">
        <f t="shared" si="45"/>
        <v>0</v>
      </c>
    </row>
    <row r="1467" spans="1:18" ht="34.049999999999997" customHeight="1" x14ac:dyDescent="0.3">
      <c r="A1467" s="90">
        <v>1456</v>
      </c>
      <c r="B1467" s="91" t="s">
        <v>4884</v>
      </c>
      <c r="C1467" s="91" t="s">
        <v>4926</v>
      </c>
      <c r="D1467" s="91" t="s">
        <v>4927</v>
      </c>
      <c r="E1467" s="91">
        <v>1999</v>
      </c>
      <c r="F1467" s="91" t="s">
        <v>19</v>
      </c>
      <c r="G1467" s="91" t="s">
        <v>5036</v>
      </c>
      <c r="H1467" s="91" t="s">
        <v>5036</v>
      </c>
      <c r="I1467" s="91" t="s">
        <v>1257</v>
      </c>
      <c r="J1467" s="91">
        <v>6199</v>
      </c>
      <c r="K1467" s="91">
        <f>6278+4484+2332+2243</f>
        <v>15337</v>
      </c>
      <c r="L1467" s="91">
        <v>17279</v>
      </c>
      <c r="M1467" s="91">
        <v>0</v>
      </c>
      <c r="N1467" s="91">
        <v>1793</v>
      </c>
      <c r="O1467" s="91">
        <v>0</v>
      </c>
      <c r="P1467" s="91">
        <v>0</v>
      </c>
      <c r="Q1467" s="94">
        <f t="shared" si="44"/>
        <v>40608</v>
      </c>
      <c r="R1467" s="95">
        <f t="shared" si="45"/>
        <v>34516.800000000003</v>
      </c>
    </row>
    <row r="1468" spans="1:18" ht="34.049999999999997" customHeight="1" x14ac:dyDescent="0.3">
      <c r="A1468" s="96">
        <v>1457</v>
      </c>
      <c r="B1468" s="91" t="s">
        <v>4884</v>
      </c>
      <c r="C1468" s="91" t="s">
        <v>4928</v>
      </c>
      <c r="D1468" s="91" t="s">
        <v>4929</v>
      </c>
      <c r="E1468" s="91">
        <v>2000</v>
      </c>
      <c r="F1468" s="91" t="s">
        <v>19</v>
      </c>
      <c r="G1468" s="91" t="s">
        <v>5037</v>
      </c>
      <c r="H1468" s="91" t="s">
        <v>5037</v>
      </c>
      <c r="I1468" s="91" t="s">
        <v>5133</v>
      </c>
      <c r="J1468" s="91">
        <v>6199</v>
      </c>
      <c r="K1468" s="91">
        <f>6278+3252+2332</f>
        <v>11862</v>
      </c>
      <c r="L1468" s="91">
        <v>17279</v>
      </c>
      <c r="M1468" s="91">
        <v>0</v>
      </c>
      <c r="N1468" s="91">
        <v>1793</v>
      </c>
      <c r="O1468" s="91">
        <v>0</v>
      </c>
      <c r="P1468" s="91">
        <v>0</v>
      </c>
      <c r="Q1468" s="97">
        <f t="shared" si="44"/>
        <v>37133</v>
      </c>
      <c r="R1468" s="95">
        <f t="shared" si="45"/>
        <v>31563.05</v>
      </c>
    </row>
    <row r="1469" spans="1:18" ht="34.049999999999997" customHeight="1" x14ac:dyDescent="0.3">
      <c r="A1469" s="90">
        <v>1458</v>
      </c>
      <c r="B1469" s="91" t="s">
        <v>4884</v>
      </c>
      <c r="C1469" s="91" t="s">
        <v>4930</v>
      </c>
      <c r="D1469" s="91" t="s">
        <v>4931</v>
      </c>
      <c r="E1469" s="91">
        <v>1990</v>
      </c>
      <c r="F1469" s="91" t="s">
        <v>19</v>
      </c>
      <c r="G1469" s="91" t="s">
        <v>5038</v>
      </c>
      <c r="H1469" s="91" t="s">
        <v>5038</v>
      </c>
      <c r="I1469" s="91" t="s">
        <v>5134</v>
      </c>
      <c r="J1469" s="91">
        <v>6199</v>
      </c>
      <c r="K1469" s="91">
        <v>0</v>
      </c>
      <c r="L1469" s="91">
        <v>17279</v>
      </c>
      <c r="M1469" s="91">
        <v>0</v>
      </c>
      <c r="N1469" s="91">
        <v>9871</v>
      </c>
      <c r="O1469" s="91">
        <v>0</v>
      </c>
      <c r="P1469" s="91">
        <v>0</v>
      </c>
      <c r="Q1469" s="97">
        <f t="shared" si="44"/>
        <v>33349</v>
      </c>
      <c r="R1469" s="95">
        <f t="shared" si="45"/>
        <v>28346.65</v>
      </c>
    </row>
    <row r="1470" spans="1:18" ht="34.049999999999997" customHeight="1" x14ac:dyDescent="0.3">
      <c r="A1470" s="90">
        <v>1459</v>
      </c>
      <c r="B1470" s="91" t="s">
        <v>4884</v>
      </c>
      <c r="C1470" s="91" t="s">
        <v>4932</v>
      </c>
      <c r="D1470" s="91" t="s">
        <v>4933</v>
      </c>
      <c r="E1470" s="91">
        <v>2023</v>
      </c>
      <c r="F1470" s="91" t="s">
        <v>18</v>
      </c>
      <c r="G1470" s="91" t="s">
        <v>5039</v>
      </c>
      <c r="H1470" s="91" t="s">
        <v>5096</v>
      </c>
      <c r="I1470" s="91" t="s">
        <v>5135</v>
      </c>
      <c r="J1470" s="91">
        <v>6199</v>
      </c>
      <c r="K1470" s="91">
        <f>6278+4484+2332+1346+2332+2332+2332+2332+6995+6995+2332+6995+2332+4484+1166+2801</f>
        <v>57868</v>
      </c>
      <c r="L1470" s="91">
        <v>0</v>
      </c>
      <c r="M1470" s="91">
        <v>0</v>
      </c>
      <c r="N1470" s="91">
        <v>0</v>
      </c>
      <c r="O1470" s="91">
        <v>0</v>
      </c>
      <c r="P1470" s="91">
        <v>0</v>
      </c>
      <c r="Q1470" s="97">
        <f t="shared" si="44"/>
        <v>64067</v>
      </c>
      <c r="R1470" s="95">
        <f t="shared" si="45"/>
        <v>54456.95</v>
      </c>
    </row>
    <row r="1471" spans="1:18" ht="34.049999999999997" customHeight="1" x14ac:dyDescent="0.3">
      <c r="A1471" s="96">
        <v>1460</v>
      </c>
      <c r="B1471" s="91" t="s">
        <v>4884</v>
      </c>
      <c r="C1471" s="91" t="s">
        <v>4934</v>
      </c>
      <c r="D1471" s="91" t="s">
        <v>4935</v>
      </c>
      <c r="E1471" s="91">
        <v>2021</v>
      </c>
      <c r="F1471" s="91" t="s">
        <v>19</v>
      </c>
      <c r="G1471" s="91" t="s">
        <v>5040</v>
      </c>
      <c r="H1471" s="91" t="s">
        <v>5097</v>
      </c>
      <c r="I1471" s="91" t="s">
        <v>1684</v>
      </c>
      <c r="J1471" s="91">
        <v>6199</v>
      </c>
      <c r="K1471" s="91">
        <v>0</v>
      </c>
      <c r="L1471" s="91">
        <v>0</v>
      </c>
      <c r="M1471" s="91">
        <v>0</v>
      </c>
      <c r="N1471" s="91">
        <v>54760</v>
      </c>
      <c r="O1471" s="91">
        <v>0</v>
      </c>
      <c r="P1471" s="91">
        <v>0</v>
      </c>
      <c r="Q1471" s="97">
        <f t="shared" si="44"/>
        <v>60959</v>
      </c>
      <c r="R1471" s="95">
        <f t="shared" si="45"/>
        <v>51815.15</v>
      </c>
    </row>
    <row r="1472" spans="1:18" ht="34.049999999999997" customHeight="1" x14ac:dyDescent="0.3">
      <c r="A1472" s="90">
        <v>1461</v>
      </c>
      <c r="B1472" s="91" t="s">
        <v>4884</v>
      </c>
      <c r="C1472" s="91" t="s">
        <v>4936</v>
      </c>
      <c r="D1472" s="91" t="s">
        <v>4937</v>
      </c>
      <c r="E1472" s="91">
        <v>1982</v>
      </c>
      <c r="F1472" s="91" t="s">
        <v>18</v>
      </c>
      <c r="G1472" s="91" t="s">
        <v>5041</v>
      </c>
      <c r="H1472" s="91" t="s">
        <v>5041</v>
      </c>
      <c r="I1472" s="91" t="s">
        <v>853</v>
      </c>
      <c r="J1472" s="91">
        <v>6199</v>
      </c>
      <c r="K1472" s="91">
        <f>1166+2801</f>
        <v>3967</v>
      </c>
      <c r="L1472" s="91">
        <v>0</v>
      </c>
      <c r="M1472" s="91">
        <v>0</v>
      </c>
      <c r="N1472" s="91">
        <v>0</v>
      </c>
      <c r="O1472" s="91">
        <v>0</v>
      </c>
      <c r="P1472" s="91">
        <v>0</v>
      </c>
      <c r="Q1472" s="97">
        <f t="shared" si="44"/>
        <v>10166</v>
      </c>
      <c r="R1472" s="95">
        <f t="shared" si="45"/>
        <v>8641.1</v>
      </c>
    </row>
    <row r="1473" spans="1:18" ht="34.049999999999997" customHeight="1" x14ac:dyDescent="0.3">
      <c r="A1473" s="90">
        <v>1462</v>
      </c>
      <c r="B1473" s="91" t="s">
        <v>4884</v>
      </c>
      <c r="C1473" s="91" t="s">
        <v>4938</v>
      </c>
      <c r="D1473" s="91" t="s">
        <v>4939</v>
      </c>
      <c r="E1473" s="91">
        <v>2022</v>
      </c>
      <c r="F1473" s="91" t="s">
        <v>18</v>
      </c>
      <c r="G1473" s="91" t="s">
        <v>5042</v>
      </c>
      <c r="H1473" s="91" t="s">
        <v>5098</v>
      </c>
      <c r="I1473" s="91" t="s">
        <v>5136</v>
      </c>
      <c r="J1473" s="91">
        <v>6199</v>
      </c>
      <c r="K1473" s="91">
        <f>6278+4484+1346+2332+4484+2332+1166+2332+2332+2332+2332+6995+6995+2332+6995+3000+3000+3228</f>
        <v>64295</v>
      </c>
      <c r="L1473" s="91">
        <v>0</v>
      </c>
      <c r="M1473" s="91">
        <v>0</v>
      </c>
      <c r="N1473" s="91">
        <v>3148</v>
      </c>
      <c r="O1473" s="91">
        <v>0</v>
      </c>
      <c r="P1473" s="91">
        <v>0</v>
      </c>
      <c r="Q1473" s="97">
        <f t="shared" si="44"/>
        <v>73642</v>
      </c>
      <c r="R1473" s="95">
        <f t="shared" si="45"/>
        <v>62595.7</v>
      </c>
    </row>
    <row r="1474" spans="1:18" ht="34.049999999999997" customHeight="1" x14ac:dyDescent="0.3">
      <c r="A1474" s="96">
        <v>1463</v>
      </c>
      <c r="B1474" s="91" t="s">
        <v>4884</v>
      </c>
      <c r="C1474" s="91" t="s">
        <v>4940</v>
      </c>
      <c r="D1474" s="91" t="s">
        <v>4941</v>
      </c>
      <c r="E1474" s="91">
        <v>2001</v>
      </c>
      <c r="F1474" s="91" t="s">
        <v>19</v>
      </c>
      <c r="G1474" s="91" t="s">
        <v>5043</v>
      </c>
      <c r="H1474" s="91" t="s">
        <v>5043</v>
      </c>
      <c r="I1474" s="91" t="s">
        <v>5137</v>
      </c>
      <c r="J1474" s="91">
        <v>6199</v>
      </c>
      <c r="K1474" s="91">
        <v>0</v>
      </c>
      <c r="L1474" s="91">
        <v>0</v>
      </c>
      <c r="M1474" s="91">
        <v>0</v>
      </c>
      <c r="N1474" s="91">
        <f>15443+34016+27380</f>
        <v>76839</v>
      </c>
      <c r="O1474" s="91">
        <v>0</v>
      </c>
      <c r="P1474" s="91">
        <v>0</v>
      </c>
      <c r="Q1474" s="94">
        <f t="shared" si="44"/>
        <v>83038</v>
      </c>
      <c r="R1474" s="95">
        <f t="shared" si="45"/>
        <v>70582.3</v>
      </c>
    </row>
    <row r="1475" spans="1:18" ht="34.049999999999997" customHeight="1" x14ac:dyDescent="0.3">
      <c r="A1475" s="90">
        <v>1464</v>
      </c>
      <c r="B1475" s="91" t="s">
        <v>4884</v>
      </c>
      <c r="C1475" s="91" t="s">
        <v>4942</v>
      </c>
      <c r="D1475" s="91" t="s">
        <v>4943</v>
      </c>
      <c r="E1475" s="91">
        <v>1992</v>
      </c>
      <c r="F1475" s="91" t="s">
        <v>19</v>
      </c>
      <c r="G1475" s="91" t="s">
        <v>5044</v>
      </c>
      <c r="H1475" s="91" t="s">
        <v>5044</v>
      </c>
      <c r="I1475" s="91" t="s">
        <v>288</v>
      </c>
      <c r="J1475" s="91">
        <v>6199</v>
      </c>
      <c r="K1475" s="91">
        <v>0</v>
      </c>
      <c r="L1475" s="91">
        <v>0</v>
      </c>
      <c r="M1475" s="91">
        <v>0</v>
      </c>
      <c r="N1475" s="91">
        <v>0</v>
      </c>
      <c r="O1475" s="91">
        <v>0</v>
      </c>
      <c r="P1475" s="91">
        <v>0</v>
      </c>
      <c r="Q1475" s="97">
        <f t="shared" si="44"/>
        <v>6199</v>
      </c>
      <c r="R1475" s="95">
        <f t="shared" si="45"/>
        <v>5269.15</v>
      </c>
    </row>
    <row r="1476" spans="1:18" ht="34.049999999999997" customHeight="1" x14ac:dyDescent="0.3">
      <c r="A1476" s="90">
        <v>1465</v>
      </c>
      <c r="B1476" s="91" t="s">
        <v>4884</v>
      </c>
      <c r="C1476" s="91" t="s">
        <v>4944</v>
      </c>
      <c r="D1476" s="91" t="s">
        <v>4945</v>
      </c>
      <c r="E1476" s="91">
        <v>2011</v>
      </c>
      <c r="F1476" s="91" t="s">
        <v>19</v>
      </c>
      <c r="G1476" s="91" t="s">
        <v>5045</v>
      </c>
      <c r="H1476" s="91" t="s">
        <v>5099</v>
      </c>
      <c r="I1476" s="91" t="s">
        <v>263</v>
      </c>
      <c r="J1476" s="91">
        <v>6199</v>
      </c>
      <c r="K1476" s="91">
        <v>0</v>
      </c>
      <c r="L1476" s="91">
        <v>0</v>
      </c>
      <c r="M1476" s="91">
        <v>0</v>
      </c>
      <c r="N1476" s="91">
        <f>47999+21194</f>
        <v>69193</v>
      </c>
      <c r="O1476" s="91">
        <v>0</v>
      </c>
      <c r="P1476" s="91">
        <v>0</v>
      </c>
      <c r="Q1476" s="94">
        <f t="shared" si="44"/>
        <v>75392</v>
      </c>
      <c r="R1476" s="95">
        <f t="shared" si="45"/>
        <v>64083.199999999997</v>
      </c>
    </row>
    <row r="1477" spans="1:18" ht="34.049999999999997" customHeight="1" x14ac:dyDescent="0.3">
      <c r="A1477" s="96">
        <v>1466</v>
      </c>
      <c r="B1477" s="91" t="s">
        <v>4884</v>
      </c>
      <c r="C1477" s="91" t="s">
        <v>4946</v>
      </c>
      <c r="D1477" s="91" t="s">
        <v>4947</v>
      </c>
      <c r="E1477" s="91">
        <v>2015</v>
      </c>
      <c r="F1477" s="91" t="s">
        <v>19</v>
      </c>
      <c r="G1477" s="91" t="s">
        <v>5046</v>
      </c>
      <c r="H1477" s="91" t="s">
        <v>5100</v>
      </c>
      <c r="I1477" s="91" t="s">
        <v>5138</v>
      </c>
      <c r="J1477" s="91">
        <v>6199</v>
      </c>
      <c r="K1477" s="91">
        <f>6278+4484+1346+2332+2332+2332+2332+2332+6995+6995+2332+6995+2332+4484</f>
        <v>53901</v>
      </c>
      <c r="L1477" s="91">
        <v>0</v>
      </c>
      <c r="M1477" s="91">
        <v>0</v>
      </c>
      <c r="N1477" s="91">
        <v>3148</v>
      </c>
      <c r="O1477" s="91">
        <v>0</v>
      </c>
      <c r="P1477" s="91">
        <v>0</v>
      </c>
      <c r="Q1477" s="97">
        <f t="shared" si="44"/>
        <v>63248</v>
      </c>
      <c r="R1477" s="95">
        <f t="shared" si="45"/>
        <v>53760.800000000003</v>
      </c>
    </row>
    <row r="1478" spans="1:18" ht="34.049999999999997" customHeight="1" x14ac:dyDescent="0.3">
      <c r="A1478" s="90">
        <v>1467</v>
      </c>
      <c r="B1478" s="91" t="s">
        <v>4884</v>
      </c>
      <c r="C1478" s="91" t="s">
        <v>4946</v>
      </c>
      <c r="D1478" s="91" t="s">
        <v>4947</v>
      </c>
      <c r="E1478" s="91">
        <v>2015</v>
      </c>
      <c r="F1478" s="91" t="s">
        <v>2635</v>
      </c>
      <c r="G1478" s="91" t="s">
        <v>5046</v>
      </c>
      <c r="H1478" s="91" t="s">
        <v>5100</v>
      </c>
      <c r="I1478" s="91" t="s">
        <v>5138</v>
      </c>
      <c r="J1478" s="91">
        <v>0</v>
      </c>
      <c r="K1478" s="91">
        <v>0</v>
      </c>
      <c r="L1478" s="91">
        <v>0</v>
      </c>
      <c r="M1478" s="91">
        <v>17688</v>
      </c>
      <c r="N1478" s="91">
        <f>4053+2088</f>
        <v>6141</v>
      </c>
      <c r="O1478" s="91">
        <v>0</v>
      </c>
      <c r="P1478" s="91">
        <f>360+56+1200+1080+720</f>
        <v>3416</v>
      </c>
      <c r="Q1478" s="97">
        <f t="shared" si="44"/>
        <v>27245</v>
      </c>
      <c r="R1478" s="95">
        <f t="shared" si="45"/>
        <v>23158.25</v>
      </c>
    </row>
    <row r="1479" spans="1:18" ht="34.049999999999997" customHeight="1" x14ac:dyDescent="0.3">
      <c r="A1479" s="90">
        <v>1468</v>
      </c>
      <c r="B1479" s="91" t="s">
        <v>4884</v>
      </c>
      <c r="C1479" s="91" t="s">
        <v>4948</v>
      </c>
      <c r="D1479" s="91" t="s">
        <v>2276</v>
      </c>
      <c r="E1479" s="91">
        <v>2019</v>
      </c>
      <c r="F1479" s="91" t="s">
        <v>18</v>
      </c>
      <c r="G1479" s="91" t="s">
        <v>5047</v>
      </c>
      <c r="H1479" s="91" t="s">
        <v>2426</v>
      </c>
      <c r="I1479" s="91" t="s">
        <v>2469</v>
      </c>
      <c r="J1479" s="91">
        <v>3793</v>
      </c>
      <c r="K1479" s="91">
        <v>0</v>
      </c>
      <c r="L1479" s="91">
        <v>0</v>
      </c>
      <c r="M1479" s="91">
        <v>0</v>
      </c>
      <c r="N1479" s="91">
        <f>53754+30886</f>
        <v>84640</v>
      </c>
      <c r="O1479" s="91">
        <v>0</v>
      </c>
      <c r="P1479" s="91">
        <v>0</v>
      </c>
      <c r="Q1479" s="97">
        <f t="shared" si="44"/>
        <v>88433</v>
      </c>
      <c r="R1479" s="95">
        <f t="shared" si="45"/>
        <v>75168.05</v>
      </c>
    </row>
    <row r="1480" spans="1:18" ht="34.049999999999997" customHeight="1" x14ac:dyDescent="0.3">
      <c r="A1480" s="96">
        <v>1469</v>
      </c>
      <c r="B1480" s="91" t="s">
        <v>4884</v>
      </c>
      <c r="C1480" s="91" t="s">
        <v>4949</v>
      </c>
      <c r="D1480" s="91" t="s">
        <v>4937</v>
      </c>
      <c r="E1480" s="91">
        <v>1982</v>
      </c>
      <c r="F1480" s="91" t="s">
        <v>18</v>
      </c>
      <c r="G1480" s="91" t="s">
        <v>5041</v>
      </c>
      <c r="H1480" s="91" t="s">
        <v>5041</v>
      </c>
      <c r="I1480" s="91" t="s">
        <v>853</v>
      </c>
      <c r="J1480" s="91">
        <v>6199</v>
      </c>
      <c r="K1480" s="91">
        <v>0</v>
      </c>
      <c r="L1480" s="91">
        <v>0</v>
      </c>
      <c r="M1480" s="91">
        <v>0</v>
      </c>
      <c r="N1480" s="91">
        <f>15443+303362</f>
        <v>318805</v>
      </c>
      <c r="O1480" s="91">
        <v>0</v>
      </c>
      <c r="P1480" s="91">
        <v>0</v>
      </c>
      <c r="Q1480" s="94">
        <f t="shared" si="44"/>
        <v>325004</v>
      </c>
      <c r="R1480" s="95">
        <f t="shared" si="45"/>
        <v>276253.40000000002</v>
      </c>
    </row>
    <row r="1481" spans="1:18" ht="34.049999999999997" customHeight="1" x14ac:dyDescent="0.3">
      <c r="A1481" s="90">
        <v>1470</v>
      </c>
      <c r="B1481" s="91" t="s">
        <v>4884</v>
      </c>
      <c r="C1481" s="91" t="s">
        <v>4950</v>
      </c>
      <c r="D1481" s="91" t="s">
        <v>4951</v>
      </c>
      <c r="E1481" s="91">
        <v>1999</v>
      </c>
      <c r="F1481" s="91" t="s">
        <v>19</v>
      </c>
      <c r="G1481" s="91" t="s">
        <v>5048</v>
      </c>
      <c r="H1481" s="91" t="s">
        <v>5101</v>
      </c>
      <c r="I1481" s="91" t="s">
        <v>5139</v>
      </c>
      <c r="J1481" s="91">
        <v>6199</v>
      </c>
      <c r="K1481" s="91">
        <f>6278+6995+6995+2332+2332+2332+2332+2332</f>
        <v>31928</v>
      </c>
      <c r="L1481" s="91">
        <v>18406</v>
      </c>
      <c r="M1481" s="91">
        <v>0</v>
      </c>
      <c r="N1481" s="91">
        <v>1793</v>
      </c>
      <c r="O1481" s="91">
        <v>0</v>
      </c>
      <c r="P1481" s="91">
        <v>0</v>
      </c>
      <c r="Q1481" s="97">
        <f t="shared" si="44"/>
        <v>58326</v>
      </c>
      <c r="R1481" s="95">
        <f t="shared" si="45"/>
        <v>49577.1</v>
      </c>
    </row>
    <row r="1482" spans="1:18" ht="34.049999999999997" customHeight="1" x14ac:dyDescent="0.3">
      <c r="A1482" s="90">
        <v>1471</v>
      </c>
      <c r="B1482" s="91" t="s">
        <v>4884</v>
      </c>
      <c r="C1482" s="91" t="s">
        <v>4952</v>
      </c>
      <c r="D1482" s="91" t="s">
        <v>4953</v>
      </c>
      <c r="E1482" s="91">
        <v>2024</v>
      </c>
      <c r="F1482" s="91" t="s">
        <v>18</v>
      </c>
      <c r="G1482" s="91" t="s">
        <v>5049</v>
      </c>
      <c r="H1482" s="91" t="s">
        <v>5102</v>
      </c>
      <c r="I1482" s="91" t="s">
        <v>5140</v>
      </c>
      <c r="J1482" s="91">
        <v>6199</v>
      </c>
      <c r="K1482" s="91">
        <f>6278+4484+2332+2332+1346+2332+2332+2332+6995+6995+2332+6995+2332+4484</f>
        <v>53901</v>
      </c>
      <c r="L1482" s="91">
        <v>0</v>
      </c>
      <c r="M1482" s="91">
        <v>0</v>
      </c>
      <c r="N1482" s="91">
        <v>0</v>
      </c>
      <c r="O1482" s="91">
        <v>0</v>
      </c>
      <c r="P1482" s="91">
        <v>0</v>
      </c>
      <c r="Q1482" s="97">
        <f t="shared" si="44"/>
        <v>60100</v>
      </c>
      <c r="R1482" s="95">
        <f t="shared" si="45"/>
        <v>51085</v>
      </c>
    </row>
    <row r="1483" spans="1:18" ht="34.049999999999997" customHeight="1" x14ac:dyDescent="0.3">
      <c r="A1483" s="96">
        <v>1472</v>
      </c>
      <c r="B1483" s="91" t="s">
        <v>4884</v>
      </c>
      <c r="C1483" s="91" t="s">
        <v>4954</v>
      </c>
      <c r="D1483" s="91" t="s">
        <v>4955</v>
      </c>
      <c r="E1483" s="91">
        <v>2024</v>
      </c>
      <c r="F1483" s="91" t="s">
        <v>19</v>
      </c>
      <c r="G1483" s="91" t="s">
        <v>5050</v>
      </c>
      <c r="H1483" s="91" t="s">
        <v>2391</v>
      </c>
      <c r="I1483" s="91" t="s">
        <v>5141</v>
      </c>
      <c r="J1483" s="91">
        <v>6199</v>
      </c>
      <c r="K1483" s="91">
        <f>6278+4484+1346+4484+2332+2332+2332+2332+2332</f>
        <v>28252</v>
      </c>
      <c r="L1483" s="91">
        <v>13298</v>
      </c>
      <c r="M1483" s="91">
        <v>0</v>
      </c>
      <c r="N1483" s="91">
        <v>3148</v>
      </c>
      <c r="O1483" s="91">
        <v>0</v>
      </c>
      <c r="P1483" s="91">
        <v>0</v>
      </c>
      <c r="Q1483" s="97">
        <f t="shared" si="44"/>
        <v>50897</v>
      </c>
      <c r="R1483" s="95">
        <f t="shared" si="45"/>
        <v>43262.45</v>
      </c>
    </row>
    <row r="1484" spans="1:18" ht="34.049999999999997" customHeight="1" x14ac:dyDescent="0.3">
      <c r="A1484" s="90">
        <v>1473</v>
      </c>
      <c r="B1484" s="91" t="s">
        <v>4884</v>
      </c>
      <c r="C1484" s="91" t="s">
        <v>4956</v>
      </c>
      <c r="D1484" s="91" t="s">
        <v>4957</v>
      </c>
      <c r="E1484" s="91">
        <v>1988</v>
      </c>
      <c r="F1484" s="91" t="s">
        <v>19</v>
      </c>
      <c r="G1484" s="91" t="s">
        <v>5051</v>
      </c>
      <c r="H1484" s="91" t="s">
        <v>5051</v>
      </c>
      <c r="I1484" s="91" t="s">
        <v>2846</v>
      </c>
      <c r="J1484" s="91">
        <v>6199</v>
      </c>
      <c r="K1484" s="91">
        <f>2243+2332</f>
        <v>4575</v>
      </c>
      <c r="L1484" s="91">
        <v>17279</v>
      </c>
      <c r="M1484" s="91">
        <v>0</v>
      </c>
      <c r="N1484" s="91">
        <v>0</v>
      </c>
      <c r="O1484" s="91">
        <v>0</v>
      </c>
      <c r="P1484" s="91">
        <v>0</v>
      </c>
      <c r="Q1484" s="97">
        <f t="shared" ref="Q1484:Q1547" si="46">SUM(J1484:P1484)</f>
        <v>28053</v>
      </c>
      <c r="R1484" s="95">
        <f t="shared" si="45"/>
        <v>23845.05</v>
      </c>
    </row>
    <row r="1485" spans="1:18" ht="34.049999999999997" customHeight="1" x14ac:dyDescent="0.3">
      <c r="A1485" s="90">
        <v>1474</v>
      </c>
      <c r="B1485" s="91" t="s">
        <v>4884</v>
      </c>
      <c r="C1485" s="91" t="s">
        <v>4958</v>
      </c>
      <c r="D1485" s="91" t="s">
        <v>4959</v>
      </c>
      <c r="E1485" s="91">
        <v>1993</v>
      </c>
      <c r="F1485" s="91" t="s">
        <v>19</v>
      </c>
      <c r="G1485" s="91" t="s">
        <v>5052</v>
      </c>
      <c r="H1485" s="91" t="s">
        <v>5052</v>
      </c>
      <c r="I1485" s="91" t="s">
        <v>1046</v>
      </c>
      <c r="J1485" s="91">
        <v>6199</v>
      </c>
      <c r="K1485" s="91">
        <v>0</v>
      </c>
      <c r="L1485" s="91">
        <v>20807</v>
      </c>
      <c r="M1485" s="91">
        <v>0</v>
      </c>
      <c r="N1485" s="91">
        <v>0</v>
      </c>
      <c r="O1485" s="91">
        <v>0</v>
      </c>
      <c r="P1485" s="91">
        <v>0</v>
      </c>
      <c r="Q1485" s="97">
        <f t="shared" si="46"/>
        <v>27006</v>
      </c>
      <c r="R1485" s="95">
        <f t="shared" ref="R1485:R1548" si="47">Q1485*85/100</f>
        <v>22955.1</v>
      </c>
    </row>
    <row r="1486" spans="1:18" ht="34.049999999999997" customHeight="1" x14ac:dyDescent="0.3">
      <c r="A1486" s="96">
        <v>1475</v>
      </c>
      <c r="B1486" s="91" t="s">
        <v>4884</v>
      </c>
      <c r="C1486" s="91" t="s">
        <v>4960</v>
      </c>
      <c r="D1486" s="91" t="s">
        <v>4891</v>
      </c>
      <c r="E1486" s="91">
        <v>1981</v>
      </c>
      <c r="F1486" s="91" t="s">
        <v>19</v>
      </c>
      <c r="G1486" s="91" t="s">
        <v>5053</v>
      </c>
      <c r="H1486" s="91" t="s">
        <v>5053</v>
      </c>
      <c r="I1486" s="91" t="s">
        <v>2850</v>
      </c>
      <c r="J1486" s="91">
        <v>6199</v>
      </c>
      <c r="K1486" s="91">
        <v>0</v>
      </c>
      <c r="L1486" s="91">
        <v>17279</v>
      </c>
      <c r="M1486" s="91">
        <v>0</v>
      </c>
      <c r="N1486" s="91">
        <v>0</v>
      </c>
      <c r="O1486" s="91">
        <v>0</v>
      </c>
      <c r="P1486" s="91">
        <v>0</v>
      </c>
      <c r="Q1486" s="97">
        <f t="shared" si="46"/>
        <v>23478</v>
      </c>
      <c r="R1486" s="95">
        <f t="shared" si="47"/>
        <v>19956.3</v>
      </c>
    </row>
    <row r="1487" spans="1:18" ht="34.049999999999997" customHeight="1" x14ac:dyDescent="0.3">
      <c r="A1487" s="90">
        <v>1476</v>
      </c>
      <c r="B1487" s="91" t="s">
        <v>4884</v>
      </c>
      <c r="C1487" s="91" t="s">
        <v>4961</v>
      </c>
      <c r="D1487" s="91" t="s">
        <v>4962</v>
      </c>
      <c r="E1487" s="91">
        <v>2014</v>
      </c>
      <c r="F1487" s="91" t="s">
        <v>19</v>
      </c>
      <c r="G1487" s="91" t="s">
        <v>5054</v>
      </c>
      <c r="H1487" s="91" t="s">
        <v>5103</v>
      </c>
      <c r="I1487" s="91" t="s">
        <v>5142</v>
      </c>
      <c r="J1487" s="91">
        <v>6199</v>
      </c>
      <c r="K1487" s="91">
        <v>1166</v>
      </c>
      <c r="L1487" s="91">
        <v>0</v>
      </c>
      <c r="M1487" s="91">
        <v>0</v>
      </c>
      <c r="N1487" s="91">
        <v>0</v>
      </c>
      <c r="O1487" s="91">
        <v>0</v>
      </c>
      <c r="P1487" s="91">
        <v>0</v>
      </c>
      <c r="Q1487" s="97">
        <f t="shared" si="46"/>
        <v>7365</v>
      </c>
      <c r="R1487" s="95">
        <f t="shared" si="47"/>
        <v>6260.25</v>
      </c>
    </row>
    <row r="1488" spans="1:18" ht="34.049999999999997" customHeight="1" x14ac:dyDescent="0.3">
      <c r="A1488" s="90">
        <v>1477</v>
      </c>
      <c r="B1488" s="91" t="s">
        <v>4884</v>
      </c>
      <c r="C1488" s="91" t="s">
        <v>4963</v>
      </c>
      <c r="D1488" s="91" t="s">
        <v>4964</v>
      </c>
      <c r="E1488" s="91">
        <v>1991</v>
      </c>
      <c r="F1488" s="91" t="s">
        <v>19</v>
      </c>
      <c r="G1488" s="91" t="s">
        <v>5055</v>
      </c>
      <c r="H1488" s="91" t="s">
        <v>5055</v>
      </c>
      <c r="I1488" s="91" t="s">
        <v>1056</v>
      </c>
      <c r="J1488" s="91">
        <v>6199</v>
      </c>
      <c r="K1488" s="91">
        <v>3587</v>
      </c>
      <c r="L1488" s="91">
        <v>17279</v>
      </c>
      <c r="M1488" s="91">
        <v>0</v>
      </c>
      <c r="N1488" s="91">
        <v>0</v>
      </c>
      <c r="O1488" s="91">
        <v>0</v>
      </c>
      <c r="P1488" s="91">
        <v>0</v>
      </c>
      <c r="Q1488" s="97">
        <f t="shared" si="46"/>
        <v>27065</v>
      </c>
      <c r="R1488" s="95">
        <f t="shared" si="47"/>
        <v>23005.25</v>
      </c>
    </row>
    <row r="1489" spans="1:18" ht="34.049999999999997" customHeight="1" x14ac:dyDescent="0.3">
      <c r="A1489" s="96">
        <v>1478</v>
      </c>
      <c r="B1489" s="91" t="s">
        <v>4884</v>
      </c>
      <c r="C1489" s="91" t="s">
        <v>4965</v>
      </c>
      <c r="D1489" s="91" t="s">
        <v>4966</v>
      </c>
      <c r="E1489" s="91">
        <v>2005</v>
      </c>
      <c r="F1489" s="91" t="s">
        <v>19</v>
      </c>
      <c r="G1489" s="91" t="s">
        <v>5056</v>
      </c>
      <c r="H1489" s="91" t="s">
        <v>5104</v>
      </c>
      <c r="I1489" s="91" t="s">
        <v>2622</v>
      </c>
      <c r="J1489" s="91">
        <v>6199</v>
      </c>
      <c r="K1489" s="91">
        <v>0</v>
      </c>
      <c r="L1489" s="91">
        <v>18406</v>
      </c>
      <c r="M1489" s="91">
        <v>0</v>
      </c>
      <c r="N1489" s="91">
        <v>0</v>
      </c>
      <c r="O1489" s="91">
        <v>0</v>
      </c>
      <c r="P1489" s="91">
        <v>0</v>
      </c>
      <c r="Q1489" s="97">
        <f t="shared" si="46"/>
        <v>24605</v>
      </c>
      <c r="R1489" s="95">
        <f t="shared" si="47"/>
        <v>20914.25</v>
      </c>
    </row>
    <row r="1490" spans="1:18" ht="34.049999999999997" customHeight="1" x14ac:dyDescent="0.3">
      <c r="A1490" s="90">
        <v>1479</v>
      </c>
      <c r="B1490" s="91" t="s">
        <v>4884</v>
      </c>
      <c r="C1490" s="91" t="s">
        <v>4967</v>
      </c>
      <c r="D1490" s="91" t="s">
        <v>4968</v>
      </c>
      <c r="E1490" s="91">
        <v>1989</v>
      </c>
      <c r="F1490" s="91" t="s">
        <v>19</v>
      </c>
      <c r="G1490" s="91" t="s">
        <v>5057</v>
      </c>
      <c r="H1490" s="91" t="s">
        <v>5057</v>
      </c>
      <c r="I1490" s="91" t="s">
        <v>34</v>
      </c>
      <c r="J1490" s="91">
        <v>6199</v>
      </c>
      <c r="K1490" s="91">
        <v>0</v>
      </c>
      <c r="L1490" s="91">
        <v>0</v>
      </c>
      <c r="M1490" s="91">
        <v>0</v>
      </c>
      <c r="N1490" s="91">
        <v>0</v>
      </c>
      <c r="O1490" s="91">
        <v>0</v>
      </c>
      <c r="P1490" s="91">
        <v>0</v>
      </c>
      <c r="Q1490" s="97">
        <f t="shared" si="46"/>
        <v>6199</v>
      </c>
      <c r="R1490" s="95">
        <f t="shared" si="47"/>
        <v>5269.15</v>
      </c>
    </row>
    <row r="1491" spans="1:18" ht="34.049999999999997" customHeight="1" x14ac:dyDescent="0.3">
      <c r="A1491" s="90">
        <v>1480</v>
      </c>
      <c r="B1491" s="91" t="s">
        <v>4884</v>
      </c>
      <c r="C1491" s="91" t="s">
        <v>4969</v>
      </c>
      <c r="D1491" s="91" t="s">
        <v>4970</v>
      </c>
      <c r="E1491" s="91">
        <v>2024</v>
      </c>
      <c r="F1491" s="91" t="s">
        <v>19</v>
      </c>
      <c r="G1491" s="91" t="s">
        <v>5058</v>
      </c>
      <c r="H1491" s="91" t="s">
        <v>5105</v>
      </c>
      <c r="I1491" s="91" t="s">
        <v>5143</v>
      </c>
      <c r="J1491" s="91">
        <v>6199</v>
      </c>
      <c r="K1491" s="91">
        <f>1166+2801</f>
        <v>3967</v>
      </c>
      <c r="L1491" s="91">
        <v>0</v>
      </c>
      <c r="M1491" s="91">
        <v>0</v>
      </c>
      <c r="N1491" s="91">
        <v>0</v>
      </c>
      <c r="O1491" s="91">
        <v>0</v>
      </c>
      <c r="P1491" s="91">
        <v>0</v>
      </c>
      <c r="Q1491" s="97">
        <f t="shared" si="46"/>
        <v>10166</v>
      </c>
      <c r="R1491" s="95">
        <f t="shared" si="47"/>
        <v>8641.1</v>
      </c>
    </row>
    <row r="1492" spans="1:18" ht="34.049999999999997" customHeight="1" x14ac:dyDescent="0.3">
      <c r="A1492" s="96">
        <v>1481</v>
      </c>
      <c r="B1492" s="91" t="s">
        <v>4884</v>
      </c>
      <c r="C1492" s="91" t="s">
        <v>4971</v>
      </c>
      <c r="D1492" s="91" t="s">
        <v>4972</v>
      </c>
      <c r="E1492" s="91">
        <v>1997</v>
      </c>
      <c r="F1492" s="91" t="s">
        <v>19</v>
      </c>
      <c r="G1492" s="91" t="s">
        <v>5059</v>
      </c>
      <c r="H1492" s="91" t="s">
        <v>5059</v>
      </c>
      <c r="I1492" s="91" t="s">
        <v>1905</v>
      </c>
      <c r="J1492" s="91">
        <v>6199</v>
      </c>
      <c r="K1492" s="91">
        <v>0</v>
      </c>
      <c r="L1492" s="91">
        <v>0</v>
      </c>
      <c r="M1492" s="91">
        <v>0</v>
      </c>
      <c r="N1492" s="91">
        <v>0</v>
      </c>
      <c r="O1492" s="91">
        <v>0</v>
      </c>
      <c r="P1492" s="91">
        <v>0</v>
      </c>
      <c r="Q1492" s="94">
        <f t="shared" si="46"/>
        <v>6199</v>
      </c>
      <c r="R1492" s="95">
        <f t="shared" si="47"/>
        <v>5269.15</v>
      </c>
    </row>
    <row r="1493" spans="1:18" ht="34.049999999999997" customHeight="1" x14ac:dyDescent="0.3">
      <c r="A1493" s="90">
        <v>1482</v>
      </c>
      <c r="B1493" s="91" t="s">
        <v>4884</v>
      </c>
      <c r="C1493" s="91" t="s">
        <v>4973</v>
      </c>
      <c r="D1493" s="91" t="s">
        <v>4974</v>
      </c>
      <c r="E1493" s="91">
        <v>1996</v>
      </c>
      <c r="F1493" s="91" t="s">
        <v>19</v>
      </c>
      <c r="G1493" s="91" t="s">
        <v>5060</v>
      </c>
      <c r="H1493" s="91" t="s">
        <v>5106</v>
      </c>
      <c r="I1493" s="91" t="s">
        <v>5144</v>
      </c>
      <c r="J1493" s="91">
        <v>6199</v>
      </c>
      <c r="K1493" s="91">
        <v>0</v>
      </c>
      <c r="L1493" s="91">
        <v>0</v>
      </c>
      <c r="M1493" s="91">
        <v>0</v>
      </c>
      <c r="N1493" s="91">
        <v>9871</v>
      </c>
      <c r="O1493" s="91">
        <v>0</v>
      </c>
      <c r="P1493" s="91">
        <v>0</v>
      </c>
      <c r="Q1493" s="97">
        <f t="shared" si="46"/>
        <v>16070</v>
      </c>
      <c r="R1493" s="95">
        <f t="shared" si="47"/>
        <v>13659.5</v>
      </c>
    </row>
    <row r="1494" spans="1:18" ht="34.049999999999997" customHeight="1" x14ac:dyDescent="0.3">
      <c r="A1494" s="90">
        <v>1483</v>
      </c>
      <c r="B1494" s="91" t="s">
        <v>4884</v>
      </c>
      <c r="C1494" s="91" t="s">
        <v>4975</v>
      </c>
      <c r="D1494" s="91" t="s">
        <v>4976</v>
      </c>
      <c r="E1494" s="91">
        <v>1986</v>
      </c>
      <c r="F1494" s="91" t="s">
        <v>19</v>
      </c>
      <c r="G1494" s="91" t="s">
        <v>5061</v>
      </c>
      <c r="H1494" s="91" t="s">
        <v>5061</v>
      </c>
      <c r="I1494" s="91" t="s">
        <v>1278</v>
      </c>
      <c r="J1494" s="91">
        <v>6199</v>
      </c>
      <c r="K1494" s="91">
        <f>6278+4484+1346+4484+2332+2332+2332+2332+2332+3000+3000+1166</f>
        <v>35418</v>
      </c>
      <c r="L1494" s="91">
        <v>0</v>
      </c>
      <c r="M1494" s="91">
        <v>0</v>
      </c>
      <c r="N1494" s="91">
        <v>1793</v>
      </c>
      <c r="O1494" s="91">
        <v>0</v>
      </c>
      <c r="P1494" s="91">
        <v>0</v>
      </c>
      <c r="Q1494" s="94">
        <f t="shared" si="46"/>
        <v>43410</v>
      </c>
      <c r="R1494" s="95">
        <f t="shared" si="47"/>
        <v>36898.5</v>
      </c>
    </row>
    <row r="1495" spans="1:18" ht="34.049999999999997" customHeight="1" x14ac:dyDescent="0.3">
      <c r="A1495" s="96">
        <v>1484</v>
      </c>
      <c r="B1495" s="91" t="s">
        <v>4884</v>
      </c>
      <c r="C1495" s="91" t="s">
        <v>4977</v>
      </c>
      <c r="D1495" s="91" t="s">
        <v>4978</v>
      </c>
      <c r="E1495" s="91">
        <v>2021</v>
      </c>
      <c r="F1495" s="91" t="s">
        <v>18</v>
      </c>
      <c r="G1495" s="91" t="s">
        <v>5062</v>
      </c>
      <c r="H1495" s="91" t="s">
        <v>5061</v>
      </c>
      <c r="I1495" s="91" t="s">
        <v>5145</v>
      </c>
      <c r="J1495" s="91">
        <v>6199</v>
      </c>
      <c r="K1495" s="91">
        <f>6278+4484+1346+4484+2332+2332+2332+2332+2332</f>
        <v>28252</v>
      </c>
      <c r="L1495" s="91">
        <v>0</v>
      </c>
      <c r="M1495" s="91">
        <v>0</v>
      </c>
      <c r="N1495" s="91">
        <v>3148</v>
      </c>
      <c r="O1495" s="91">
        <v>0</v>
      </c>
      <c r="P1495" s="91">
        <v>0</v>
      </c>
      <c r="Q1495" s="97">
        <f t="shared" si="46"/>
        <v>37599</v>
      </c>
      <c r="R1495" s="95">
        <f t="shared" si="47"/>
        <v>31959.15</v>
      </c>
    </row>
    <row r="1496" spans="1:18" ht="34.049999999999997" customHeight="1" x14ac:dyDescent="0.3">
      <c r="A1496" s="90">
        <v>1485</v>
      </c>
      <c r="B1496" s="91" t="s">
        <v>4884</v>
      </c>
      <c r="C1496" s="91" t="s">
        <v>4979</v>
      </c>
      <c r="D1496" s="91" t="s">
        <v>4980</v>
      </c>
      <c r="E1496" s="91">
        <v>2017</v>
      </c>
      <c r="F1496" s="91" t="s">
        <v>18</v>
      </c>
      <c r="G1496" s="91" t="s">
        <v>5063</v>
      </c>
      <c r="H1496" s="91" t="s">
        <v>5107</v>
      </c>
      <c r="I1496" s="91" t="s">
        <v>1278</v>
      </c>
      <c r="J1496" s="91">
        <v>6199</v>
      </c>
      <c r="K1496" s="91">
        <f>6278+4484+1346+4484+2332+2332+2332+2332+2332</f>
        <v>28252</v>
      </c>
      <c r="L1496" s="91">
        <v>0</v>
      </c>
      <c r="M1496" s="91">
        <v>0</v>
      </c>
      <c r="N1496" s="91">
        <v>3148</v>
      </c>
      <c r="O1496" s="91">
        <v>0</v>
      </c>
      <c r="P1496" s="91">
        <v>0</v>
      </c>
      <c r="Q1496" s="97">
        <f t="shared" si="46"/>
        <v>37599</v>
      </c>
      <c r="R1496" s="95">
        <f t="shared" si="47"/>
        <v>31959.15</v>
      </c>
    </row>
    <row r="1497" spans="1:18" ht="34.049999999999997" customHeight="1" x14ac:dyDescent="0.3">
      <c r="A1497" s="90">
        <v>1486</v>
      </c>
      <c r="B1497" s="91" t="s">
        <v>4884</v>
      </c>
      <c r="C1497" s="91" t="s">
        <v>4981</v>
      </c>
      <c r="D1497" s="91" t="s">
        <v>4982</v>
      </c>
      <c r="E1497" s="91">
        <v>2018</v>
      </c>
      <c r="F1497" s="91" t="s">
        <v>18</v>
      </c>
      <c r="G1497" s="91" t="s">
        <v>5064</v>
      </c>
      <c r="H1497" s="91" t="s">
        <v>5108</v>
      </c>
      <c r="I1497" s="91" t="s">
        <v>3313</v>
      </c>
      <c r="J1497" s="91">
        <v>6199</v>
      </c>
      <c r="K1497" s="91">
        <f>6278+4484+4484+2332+2332+1346+2332+2332+2332+2332+6995+6995+2332+6995</f>
        <v>53901</v>
      </c>
      <c r="L1497" s="91">
        <v>0</v>
      </c>
      <c r="M1497" s="91">
        <v>0</v>
      </c>
      <c r="N1497" s="91">
        <v>3148</v>
      </c>
      <c r="O1497" s="91">
        <v>0</v>
      </c>
      <c r="P1497" s="91">
        <v>0</v>
      </c>
      <c r="Q1497" s="97">
        <f t="shared" si="46"/>
        <v>63248</v>
      </c>
      <c r="R1497" s="95">
        <f t="shared" si="47"/>
        <v>53760.800000000003</v>
      </c>
    </row>
    <row r="1498" spans="1:18" ht="34.049999999999997" customHeight="1" x14ac:dyDescent="0.3">
      <c r="A1498" s="96">
        <v>1487</v>
      </c>
      <c r="B1498" s="91" t="s">
        <v>4884</v>
      </c>
      <c r="C1498" s="91" t="s">
        <v>4983</v>
      </c>
      <c r="D1498" s="91" t="s">
        <v>4984</v>
      </c>
      <c r="E1498" s="91">
        <v>1993</v>
      </c>
      <c r="F1498" s="91" t="s">
        <v>18</v>
      </c>
      <c r="G1498" s="91" t="s">
        <v>5065</v>
      </c>
      <c r="H1498" s="91" t="s">
        <v>5065</v>
      </c>
      <c r="I1498" s="91" t="s">
        <v>853</v>
      </c>
      <c r="J1498" s="91">
        <v>6199</v>
      </c>
      <c r="K1498" s="91">
        <v>0</v>
      </c>
      <c r="L1498" s="91">
        <v>0</v>
      </c>
      <c r="M1498" s="91">
        <v>0</v>
      </c>
      <c r="N1498" s="91">
        <f>15443+20859</f>
        <v>36302</v>
      </c>
      <c r="O1498" s="91">
        <v>0</v>
      </c>
      <c r="P1498" s="91">
        <v>0</v>
      </c>
      <c r="Q1498" s="94">
        <f t="shared" si="46"/>
        <v>42501</v>
      </c>
      <c r="R1498" s="95">
        <f t="shared" si="47"/>
        <v>36125.85</v>
      </c>
    </row>
    <row r="1499" spans="1:18" ht="34.049999999999997" customHeight="1" x14ac:dyDescent="0.3">
      <c r="A1499" s="90">
        <v>1488</v>
      </c>
      <c r="B1499" s="91" t="s">
        <v>4884</v>
      </c>
      <c r="C1499" s="91" t="s">
        <v>4985</v>
      </c>
      <c r="D1499" s="91" t="s">
        <v>4986</v>
      </c>
      <c r="E1499" s="91">
        <v>2025</v>
      </c>
      <c r="F1499" s="91" t="s">
        <v>19</v>
      </c>
      <c r="G1499" s="91" t="s">
        <v>5066</v>
      </c>
      <c r="H1499" s="91" t="s">
        <v>5109</v>
      </c>
      <c r="I1499" s="91" t="s">
        <v>570</v>
      </c>
      <c r="J1499" s="91">
        <v>6199</v>
      </c>
      <c r="K1499" s="91">
        <v>0</v>
      </c>
      <c r="L1499" s="91">
        <v>0</v>
      </c>
      <c r="M1499" s="91">
        <v>0</v>
      </c>
      <c r="N1499" s="91">
        <v>0</v>
      </c>
      <c r="O1499" s="91">
        <v>0</v>
      </c>
      <c r="P1499" s="91">
        <v>0</v>
      </c>
      <c r="Q1499" s="97">
        <f t="shared" si="46"/>
        <v>6199</v>
      </c>
      <c r="R1499" s="95">
        <f t="shared" si="47"/>
        <v>5269.15</v>
      </c>
    </row>
    <row r="1500" spans="1:18" ht="34.049999999999997" customHeight="1" x14ac:dyDescent="0.3">
      <c r="A1500" s="90">
        <v>1489</v>
      </c>
      <c r="B1500" s="91" t="s">
        <v>4884</v>
      </c>
      <c r="C1500" s="91" t="s">
        <v>4987</v>
      </c>
      <c r="D1500" s="91" t="s">
        <v>1147</v>
      </c>
      <c r="E1500" s="91">
        <v>2000</v>
      </c>
      <c r="F1500" s="91" t="s">
        <v>19</v>
      </c>
      <c r="G1500" s="91" t="s">
        <v>1201</v>
      </c>
      <c r="H1500" s="91" t="s">
        <v>1242</v>
      </c>
      <c r="I1500" s="91" t="s">
        <v>32</v>
      </c>
      <c r="J1500" s="91">
        <v>6199</v>
      </c>
      <c r="K1500" s="91">
        <v>0</v>
      </c>
      <c r="L1500" s="91">
        <v>0</v>
      </c>
      <c r="M1500" s="91">
        <v>0</v>
      </c>
      <c r="N1500" s="91">
        <v>55832</v>
      </c>
      <c r="O1500" s="91">
        <v>0</v>
      </c>
      <c r="P1500" s="91">
        <v>0</v>
      </c>
      <c r="Q1500" s="97">
        <f t="shared" si="46"/>
        <v>62031</v>
      </c>
      <c r="R1500" s="95">
        <f t="shared" si="47"/>
        <v>52726.35</v>
      </c>
    </row>
    <row r="1501" spans="1:18" ht="34.049999999999997" customHeight="1" x14ac:dyDescent="0.3">
      <c r="A1501" s="96">
        <v>1490</v>
      </c>
      <c r="B1501" s="91" t="s">
        <v>4884</v>
      </c>
      <c r="C1501" s="91" t="s">
        <v>4988</v>
      </c>
      <c r="D1501" s="91" t="s">
        <v>4989</v>
      </c>
      <c r="E1501" s="91">
        <v>1997</v>
      </c>
      <c r="F1501" s="91" t="s">
        <v>19</v>
      </c>
      <c r="G1501" s="91" t="s">
        <v>5067</v>
      </c>
      <c r="H1501" s="91" t="s">
        <v>5067</v>
      </c>
      <c r="I1501" s="91" t="s">
        <v>4872</v>
      </c>
      <c r="J1501" s="91">
        <v>6199</v>
      </c>
      <c r="K1501" s="91">
        <f>2332+2332+2243+1346+3587</f>
        <v>11840</v>
      </c>
      <c r="L1501" s="91">
        <v>0</v>
      </c>
      <c r="M1501" s="91">
        <v>0</v>
      </c>
      <c r="N1501" s="91">
        <f>3179+1681</f>
        <v>4860</v>
      </c>
      <c r="O1501" s="91">
        <v>0</v>
      </c>
      <c r="P1501" s="91">
        <f>624+112</f>
        <v>736</v>
      </c>
      <c r="Q1501" s="97">
        <f t="shared" si="46"/>
        <v>23635</v>
      </c>
      <c r="R1501" s="95">
        <f t="shared" si="47"/>
        <v>20089.75</v>
      </c>
    </row>
    <row r="1502" spans="1:18" ht="34.049999999999997" customHeight="1" x14ac:dyDescent="0.3">
      <c r="A1502" s="90">
        <v>1491</v>
      </c>
      <c r="B1502" s="91" t="s">
        <v>4884</v>
      </c>
      <c r="C1502" s="91" t="s">
        <v>4990</v>
      </c>
      <c r="D1502" s="91" t="s">
        <v>4991</v>
      </c>
      <c r="E1502" s="91">
        <v>1992</v>
      </c>
      <c r="F1502" s="91" t="s">
        <v>18</v>
      </c>
      <c r="G1502" s="91" t="s">
        <v>5068</v>
      </c>
      <c r="H1502" s="91" t="s">
        <v>5068</v>
      </c>
      <c r="I1502" s="91" t="s">
        <v>32</v>
      </c>
      <c r="J1502" s="91">
        <v>6199</v>
      </c>
      <c r="K1502" s="91">
        <v>0</v>
      </c>
      <c r="L1502" s="91">
        <v>0</v>
      </c>
      <c r="M1502" s="91">
        <v>0</v>
      </c>
      <c r="N1502" s="91">
        <f>34016+27380</f>
        <v>61396</v>
      </c>
      <c r="O1502" s="91">
        <v>0</v>
      </c>
      <c r="P1502" s="91">
        <v>0</v>
      </c>
      <c r="Q1502" s="94">
        <f t="shared" si="46"/>
        <v>67595</v>
      </c>
      <c r="R1502" s="95">
        <f t="shared" si="47"/>
        <v>57455.75</v>
      </c>
    </row>
    <row r="1503" spans="1:18" ht="34.049999999999997" customHeight="1" x14ac:dyDescent="0.3">
      <c r="A1503" s="90">
        <v>1492</v>
      </c>
      <c r="B1503" s="91" t="s">
        <v>4884</v>
      </c>
      <c r="C1503" s="91" t="s">
        <v>4992</v>
      </c>
      <c r="D1503" s="91" t="s">
        <v>4993</v>
      </c>
      <c r="E1503" s="91">
        <v>2021</v>
      </c>
      <c r="F1503" s="91" t="s">
        <v>18</v>
      </c>
      <c r="G1503" s="91" t="s">
        <v>5069</v>
      </c>
      <c r="H1503" s="91" t="s">
        <v>5110</v>
      </c>
      <c r="I1503" s="91" t="s">
        <v>1081</v>
      </c>
      <c r="J1503" s="91">
        <v>6199</v>
      </c>
      <c r="K1503" s="91">
        <f>6278+4484</f>
        <v>10762</v>
      </c>
      <c r="L1503" s="91">
        <v>0</v>
      </c>
      <c r="M1503" s="91">
        <v>0</v>
      </c>
      <c r="N1503" s="91">
        <v>3148</v>
      </c>
      <c r="O1503" s="91">
        <v>0</v>
      </c>
      <c r="P1503" s="91">
        <v>0</v>
      </c>
      <c r="Q1503" s="97">
        <f t="shared" si="46"/>
        <v>20109</v>
      </c>
      <c r="R1503" s="95">
        <f t="shared" si="47"/>
        <v>17092.650000000001</v>
      </c>
    </row>
    <row r="1504" spans="1:18" ht="34.049999999999997" customHeight="1" x14ac:dyDescent="0.3">
      <c r="A1504" s="96">
        <v>1493</v>
      </c>
      <c r="B1504" s="91" t="s">
        <v>4884</v>
      </c>
      <c r="C1504" s="91" t="s">
        <v>4994</v>
      </c>
      <c r="D1504" s="91" t="s">
        <v>4995</v>
      </c>
      <c r="E1504" s="91">
        <v>2023</v>
      </c>
      <c r="F1504" s="91" t="s">
        <v>19</v>
      </c>
      <c r="G1504" s="91" t="s">
        <v>5070</v>
      </c>
      <c r="H1504" s="91" t="s">
        <v>5111</v>
      </c>
      <c r="I1504" s="91" t="s">
        <v>5146</v>
      </c>
      <c r="J1504" s="91">
        <v>6199</v>
      </c>
      <c r="K1504" s="91">
        <v>0</v>
      </c>
      <c r="L1504" s="91">
        <v>0</v>
      </c>
      <c r="M1504" s="91">
        <v>0</v>
      </c>
      <c r="N1504" s="91">
        <v>0</v>
      </c>
      <c r="O1504" s="91">
        <v>0</v>
      </c>
      <c r="P1504" s="91">
        <v>0</v>
      </c>
      <c r="Q1504" s="97">
        <f t="shared" si="46"/>
        <v>6199</v>
      </c>
      <c r="R1504" s="95">
        <f t="shared" si="47"/>
        <v>5269.15</v>
      </c>
    </row>
    <row r="1505" spans="1:18" ht="34.049999999999997" customHeight="1" x14ac:dyDescent="0.3">
      <c r="A1505" s="90">
        <v>1494</v>
      </c>
      <c r="B1505" s="91" t="s">
        <v>4884</v>
      </c>
      <c r="C1505" s="91" t="s">
        <v>4996</v>
      </c>
      <c r="D1505" s="91" t="s">
        <v>4997</v>
      </c>
      <c r="E1505" s="91">
        <v>2021</v>
      </c>
      <c r="F1505" s="91" t="s">
        <v>18</v>
      </c>
      <c r="G1505" s="91" t="s">
        <v>5071</v>
      </c>
      <c r="H1505" s="91" t="s">
        <v>5112</v>
      </c>
      <c r="I1505" s="91" t="s">
        <v>5147</v>
      </c>
      <c r="J1505" s="91">
        <v>6199</v>
      </c>
      <c r="K1505" s="91">
        <v>0</v>
      </c>
      <c r="L1505" s="91">
        <v>0</v>
      </c>
      <c r="M1505" s="91">
        <v>0</v>
      </c>
      <c r="N1505" s="91">
        <v>0</v>
      </c>
      <c r="O1505" s="91">
        <v>0</v>
      </c>
      <c r="P1505" s="91">
        <v>0</v>
      </c>
      <c r="Q1505" s="97">
        <f t="shared" si="46"/>
        <v>6199</v>
      </c>
      <c r="R1505" s="95">
        <f t="shared" si="47"/>
        <v>5269.15</v>
      </c>
    </row>
    <row r="1506" spans="1:18" ht="34.049999999999997" customHeight="1" x14ac:dyDescent="0.3">
      <c r="A1506" s="90">
        <v>1495</v>
      </c>
      <c r="B1506" s="91" t="s">
        <v>4884</v>
      </c>
      <c r="C1506" s="91" t="s">
        <v>4998</v>
      </c>
      <c r="D1506" s="91" t="s">
        <v>4999</v>
      </c>
      <c r="E1506" s="91">
        <v>1988</v>
      </c>
      <c r="F1506" s="91" t="s">
        <v>19</v>
      </c>
      <c r="G1506" s="91" t="s">
        <v>5072</v>
      </c>
      <c r="H1506" s="91" t="s">
        <v>5112</v>
      </c>
      <c r="I1506" s="91" t="s">
        <v>5148</v>
      </c>
      <c r="J1506" s="91">
        <v>6199</v>
      </c>
      <c r="K1506" s="91">
        <v>0</v>
      </c>
      <c r="L1506" s="91">
        <v>0</v>
      </c>
      <c r="M1506" s="91">
        <v>0</v>
      </c>
      <c r="N1506" s="91">
        <v>0</v>
      </c>
      <c r="O1506" s="91">
        <v>0</v>
      </c>
      <c r="P1506" s="91">
        <v>0</v>
      </c>
      <c r="Q1506" s="97">
        <f t="shared" si="46"/>
        <v>6199</v>
      </c>
      <c r="R1506" s="95">
        <f t="shared" si="47"/>
        <v>5269.15</v>
      </c>
    </row>
    <row r="1507" spans="1:18" ht="34.049999999999997" customHeight="1" x14ac:dyDescent="0.3">
      <c r="A1507" s="96">
        <v>1496</v>
      </c>
      <c r="B1507" s="91" t="s">
        <v>4884</v>
      </c>
      <c r="C1507" s="91" t="s">
        <v>5000</v>
      </c>
      <c r="D1507" s="91" t="s">
        <v>5001</v>
      </c>
      <c r="E1507" s="91">
        <v>2024</v>
      </c>
      <c r="F1507" s="91" t="s">
        <v>18</v>
      </c>
      <c r="G1507" s="91" t="s">
        <v>5073</v>
      </c>
      <c r="H1507" s="91" t="s">
        <v>5113</v>
      </c>
      <c r="I1507" s="91" t="s">
        <v>5149</v>
      </c>
      <c r="J1507" s="91">
        <v>6199</v>
      </c>
      <c r="K1507" s="91">
        <f>6278+4484+2332+1346+2332+2332+2332+2332+6995+6995+2332+6995+2332+4484</f>
        <v>53901</v>
      </c>
      <c r="L1507" s="91">
        <v>0</v>
      </c>
      <c r="M1507" s="91">
        <v>0</v>
      </c>
      <c r="N1507" s="91">
        <v>3148</v>
      </c>
      <c r="O1507" s="91">
        <v>0</v>
      </c>
      <c r="P1507" s="91">
        <v>63</v>
      </c>
      <c r="Q1507" s="97">
        <f t="shared" si="46"/>
        <v>63311</v>
      </c>
      <c r="R1507" s="95">
        <f t="shared" si="47"/>
        <v>53814.35</v>
      </c>
    </row>
    <row r="1508" spans="1:18" ht="34.049999999999997" customHeight="1" x14ac:dyDescent="0.3">
      <c r="A1508" s="90">
        <v>1497</v>
      </c>
      <c r="B1508" s="91" t="s">
        <v>4884</v>
      </c>
      <c r="C1508" s="91" t="s">
        <v>5002</v>
      </c>
      <c r="D1508" s="91" t="s">
        <v>687</v>
      </c>
      <c r="E1508" s="91">
        <v>2008</v>
      </c>
      <c r="F1508" s="91" t="s">
        <v>19</v>
      </c>
      <c r="G1508" s="91" t="s">
        <v>770</v>
      </c>
      <c r="H1508" s="91" t="s">
        <v>815</v>
      </c>
      <c r="I1508" s="91" t="s">
        <v>26</v>
      </c>
      <c r="J1508" s="91">
        <v>6199</v>
      </c>
      <c r="K1508" s="91">
        <v>0</v>
      </c>
      <c r="L1508" s="91">
        <v>0</v>
      </c>
      <c r="M1508" s="91">
        <v>0</v>
      </c>
      <c r="N1508" s="91">
        <v>0</v>
      </c>
      <c r="O1508" s="91">
        <v>0</v>
      </c>
      <c r="P1508" s="91">
        <v>0</v>
      </c>
      <c r="Q1508" s="97">
        <f t="shared" si="46"/>
        <v>6199</v>
      </c>
      <c r="R1508" s="95">
        <f t="shared" si="47"/>
        <v>5269.15</v>
      </c>
    </row>
    <row r="1509" spans="1:18" ht="34.049999999999997" customHeight="1" x14ac:dyDescent="0.3">
      <c r="A1509" s="90">
        <v>1498</v>
      </c>
      <c r="B1509" s="91" t="s">
        <v>4884</v>
      </c>
      <c r="C1509" s="91" t="s">
        <v>5003</v>
      </c>
      <c r="D1509" s="91" t="s">
        <v>5004</v>
      </c>
      <c r="E1509" s="91">
        <v>2025</v>
      </c>
      <c r="F1509" s="91" t="s">
        <v>18</v>
      </c>
      <c r="G1509" s="91" t="s">
        <v>5074</v>
      </c>
      <c r="H1509" s="91" t="s">
        <v>5114</v>
      </c>
      <c r="I1509" s="91" t="s">
        <v>5150</v>
      </c>
      <c r="J1509" s="91">
        <v>6199</v>
      </c>
      <c r="K1509" s="91">
        <v>0</v>
      </c>
      <c r="L1509" s="91">
        <v>0</v>
      </c>
      <c r="M1509" s="91">
        <v>0</v>
      </c>
      <c r="N1509" s="91">
        <v>0</v>
      </c>
      <c r="O1509" s="91">
        <v>0</v>
      </c>
      <c r="P1509" s="91">
        <v>0</v>
      </c>
      <c r="Q1509" s="97">
        <f t="shared" si="46"/>
        <v>6199</v>
      </c>
      <c r="R1509" s="95">
        <f t="shared" si="47"/>
        <v>5269.15</v>
      </c>
    </row>
    <row r="1510" spans="1:18" ht="34.049999999999997" customHeight="1" x14ac:dyDescent="0.3">
      <c r="A1510" s="96">
        <v>1499</v>
      </c>
      <c r="B1510" s="91" t="s">
        <v>4884</v>
      </c>
      <c r="C1510" s="91" t="s">
        <v>5005</v>
      </c>
      <c r="D1510" s="91" t="s">
        <v>1147</v>
      </c>
      <c r="E1510" s="91">
        <v>2000</v>
      </c>
      <c r="F1510" s="91" t="s">
        <v>19</v>
      </c>
      <c r="G1510" s="91" t="s">
        <v>1201</v>
      </c>
      <c r="H1510" s="91" t="s">
        <v>1242</v>
      </c>
      <c r="I1510" s="91" t="s">
        <v>32</v>
      </c>
      <c r="J1510" s="91">
        <v>6199</v>
      </c>
      <c r="K1510" s="91">
        <v>0</v>
      </c>
      <c r="L1510" s="91">
        <v>0</v>
      </c>
      <c r="M1510" s="91">
        <v>0</v>
      </c>
      <c r="N1510" s="91">
        <v>0</v>
      </c>
      <c r="O1510" s="91">
        <v>0</v>
      </c>
      <c r="P1510" s="91">
        <v>0</v>
      </c>
      <c r="Q1510" s="94">
        <f t="shared" si="46"/>
        <v>6199</v>
      </c>
      <c r="R1510" s="95">
        <f t="shared" si="47"/>
        <v>5269.15</v>
      </c>
    </row>
    <row r="1511" spans="1:18" ht="34.049999999999997" customHeight="1" x14ac:dyDescent="0.3">
      <c r="A1511" s="90">
        <v>1500</v>
      </c>
      <c r="B1511" s="91" t="s">
        <v>4884</v>
      </c>
      <c r="C1511" s="91" t="s">
        <v>5006</v>
      </c>
      <c r="D1511" s="91" t="s">
        <v>959</v>
      </c>
      <c r="E1511" s="91">
        <v>1990</v>
      </c>
      <c r="F1511" s="91" t="s">
        <v>19</v>
      </c>
      <c r="G1511" s="91" t="s">
        <v>1011</v>
      </c>
      <c r="H1511" s="91" t="s">
        <v>1044</v>
      </c>
      <c r="I1511" s="91" t="s">
        <v>1082</v>
      </c>
      <c r="J1511" s="91">
        <v>6199</v>
      </c>
      <c r="K1511" s="91">
        <v>0</v>
      </c>
      <c r="L1511" s="91">
        <v>18406</v>
      </c>
      <c r="M1511" s="91">
        <v>0</v>
      </c>
      <c r="N1511" s="91">
        <v>0</v>
      </c>
      <c r="O1511" s="91">
        <v>0</v>
      </c>
      <c r="P1511" s="91">
        <v>0</v>
      </c>
      <c r="Q1511" s="94">
        <f t="shared" si="46"/>
        <v>24605</v>
      </c>
      <c r="R1511" s="95">
        <f t="shared" si="47"/>
        <v>20914.25</v>
      </c>
    </row>
    <row r="1512" spans="1:18" ht="34.049999999999997" customHeight="1" x14ac:dyDescent="0.3">
      <c r="A1512" s="90">
        <v>1501</v>
      </c>
      <c r="B1512" s="91" t="s">
        <v>4884</v>
      </c>
      <c r="C1512" s="91" t="s">
        <v>5007</v>
      </c>
      <c r="D1512" s="93" t="s">
        <v>7172</v>
      </c>
      <c r="E1512" s="91">
        <v>2025</v>
      </c>
      <c r="F1512" s="91" t="s">
        <v>19</v>
      </c>
      <c r="G1512" s="91" t="s">
        <v>5075</v>
      </c>
      <c r="H1512" s="91" t="s">
        <v>5113</v>
      </c>
      <c r="I1512" s="91" t="s">
        <v>5149</v>
      </c>
      <c r="J1512" s="91">
        <v>0</v>
      </c>
      <c r="K1512" s="91">
        <v>0</v>
      </c>
      <c r="L1512" s="91">
        <v>0</v>
      </c>
      <c r="M1512" s="91">
        <v>0</v>
      </c>
      <c r="N1512" s="91">
        <v>0</v>
      </c>
      <c r="O1512" s="91">
        <v>0</v>
      </c>
      <c r="P1512" s="91">
        <v>0</v>
      </c>
      <c r="Q1512" s="94">
        <f t="shared" si="46"/>
        <v>0</v>
      </c>
      <c r="R1512" s="95">
        <f t="shared" si="47"/>
        <v>0</v>
      </c>
    </row>
    <row r="1513" spans="1:18" ht="34.049999999999997" customHeight="1" x14ac:dyDescent="0.3">
      <c r="A1513" s="96">
        <v>1502</v>
      </c>
      <c r="B1513" s="91" t="s">
        <v>4884</v>
      </c>
      <c r="C1513" s="91" t="s">
        <v>5008</v>
      </c>
      <c r="D1513" s="91" t="s">
        <v>5009</v>
      </c>
      <c r="E1513" s="91">
        <v>2022</v>
      </c>
      <c r="F1513" s="91" t="s">
        <v>18</v>
      </c>
      <c r="G1513" s="91" t="s">
        <v>5076</v>
      </c>
      <c r="H1513" s="91" t="s">
        <v>5115</v>
      </c>
      <c r="I1513" s="91" t="s">
        <v>1282</v>
      </c>
      <c r="J1513" s="91">
        <v>6199</v>
      </c>
      <c r="K1513" s="91">
        <v>0</v>
      </c>
      <c r="L1513" s="91">
        <v>0</v>
      </c>
      <c r="M1513" s="91">
        <v>0</v>
      </c>
      <c r="N1513" s="91">
        <v>0</v>
      </c>
      <c r="O1513" s="91">
        <v>0</v>
      </c>
      <c r="P1513" s="91">
        <v>0</v>
      </c>
      <c r="Q1513" s="97">
        <f t="shared" si="46"/>
        <v>6199</v>
      </c>
      <c r="R1513" s="95">
        <f t="shared" si="47"/>
        <v>5269.15</v>
      </c>
    </row>
    <row r="1514" spans="1:18" ht="34.049999999999997" customHeight="1" x14ac:dyDescent="0.3">
      <c r="A1514" s="90">
        <v>1503</v>
      </c>
      <c r="B1514" s="91" t="s">
        <v>4884</v>
      </c>
      <c r="C1514" s="91" t="s">
        <v>7412</v>
      </c>
      <c r="D1514" s="91" t="s">
        <v>634</v>
      </c>
      <c r="E1514" s="91">
        <v>2022</v>
      </c>
      <c r="F1514" s="91" t="s">
        <v>18</v>
      </c>
      <c r="G1514" s="91" t="s">
        <v>745</v>
      </c>
      <c r="H1514" s="91" t="s">
        <v>802</v>
      </c>
      <c r="I1514" s="91" t="s">
        <v>838</v>
      </c>
      <c r="J1514" s="91">
        <v>6199</v>
      </c>
      <c r="K1514" s="91">
        <v>0</v>
      </c>
      <c r="L1514" s="91">
        <v>0</v>
      </c>
      <c r="M1514" s="91">
        <v>0</v>
      </c>
      <c r="N1514" s="91">
        <v>0</v>
      </c>
      <c r="O1514" s="91">
        <v>0</v>
      </c>
      <c r="P1514" s="91">
        <v>0</v>
      </c>
      <c r="Q1514" s="97">
        <f t="shared" si="46"/>
        <v>6199</v>
      </c>
      <c r="R1514" s="95">
        <f t="shared" si="47"/>
        <v>5269.15</v>
      </c>
    </row>
    <row r="1515" spans="1:18" ht="34.049999999999997" customHeight="1" x14ac:dyDescent="0.3">
      <c r="A1515" s="90">
        <v>1504</v>
      </c>
      <c r="B1515" s="91" t="s">
        <v>4884</v>
      </c>
      <c r="C1515" s="91" t="s">
        <v>7413</v>
      </c>
      <c r="D1515" s="91" t="s">
        <v>5010</v>
      </c>
      <c r="E1515" s="91">
        <v>1997</v>
      </c>
      <c r="F1515" s="91" t="s">
        <v>19</v>
      </c>
      <c r="G1515" s="91" t="s">
        <v>5077</v>
      </c>
      <c r="H1515" s="91" t="s">
        <v>5116</v>
      </c>
      <c r="I1515" s="91" t="s">
        <v>300</v>
      </c>
      <c r="J1515" s="91">
        <v>6199</v>
      </c>
      <c r="K1515" s="91">
        <v>0</v>
      </c>
      <c r="L1515" s="91">
        <v>0</v>
      </c>
      <c r="M1515" s="91">
        <v>0</v>
      </c>
      <c r="N1515" s="91">
        <v>0</v>
      </c>
      <c r="O1515" s="91">
        <v>0</v>
      </c>
      <c r="P1515" s="91">
        <v>0</v>
      </c>
      <c r="Q1515" s="94">
        <f t="shared" si="46"/>
        <v>6199</v>
      </c>
      <c r="R1515" s="95">
        <f t="shared" si="47"/>
        <v>5269.15</v>
      </c>
    </row>
    <row r="1516" spans="1:18" ht="34.049999999999997" customHeight="1" x14ac:dyDescent="0.3">
      <c r="A1516" s="96">
        <v>1505</v>
      </c>
      <c r="B1516" s="91" t="s">
        <v>4884</v>
      </c>
      <c r="C1516" s="91" t="s">
        <v>7414</v>
      </c>
      <c r="D1516" s="91" t="s">
        <v>1985</v>
      </c>
      <c r="E1516" s="91">
        <v>1997</v>
      </c>
      <c r="F1516" s="91" t="s">
        <v>19</v>
      </c>
      <c r="G1516" s="91" t="s">
        <v>2063</v>
      </c>
      <c r="H1516" s="91" t="s">
        <v>2063</v>
      </c>
      <c r="I1516" s="91" t="s">
        <v>2133</v>
      </c>
      <c r="J1516" s="91">
        <v>3793</v>
      </c>
      <c r="K1516" s="91">
        <v>0</v>
      </c>
      <c r="L1516" s="91">
        <v>0</v>
      </c>
      <c r="M1516" s="91">
        <v>0</v>
      </c>
      <c r="N1516" s="91">
        <v>0</v>
      </c>
      <c r="O1516" s="91">
        <v>0</v>
      </c>
      <c r="P1516" s="91">
        <v>0</v>
      </c>
      <c r="Q1516" s="97">
        <f t="shared" si="46"/>
        <v>3793</v>
      </c>
      <c r="R1516" s="95">
        <f t="shared" si="47"/>
        <v>3224.05</v>
      </c>
    </row>
    <row r="1517" spans="1:18" ht="34.049999999999997" customHeight="1" x14ac:dyDescent="0.3">
      <c r="A1517" s="90">
        <v>1506</v>
      </c>
      <c r="B1517" s="91" t="s">
        <v>4884</v>
      </c>
      <c r="C1517" s="91" t="s">
        <v>7415</v>
      </c>
      <c r="D1517" s="91" t="s">
        <v>5011</v>
      </c>
      <c r="E1517" s="91">
        <v>2011</v>
      </c>
      <c r="F1517" s="91" t="s">
        <v>18</v>
      </c>
      <c r="G1517" s="91" t="s">
        <v>5078</v>
      </c>
      <c r="H1517" s="91" t="s">
        <v>5117</v>
      </c>
      <c r="I1517" s="91" t="s">
        <v>5151</v>
      </c>
      <c r="J1517" s="91">
        <v>6199</v>
      </c>
      <c r="K1517" s="91">
        <f>6278+1346+4484+2332</f>
        <v>14440</v>
      </c>
      <c r="L1517" s="91">
        <v>0</v>
      </c>
      <c r="M1517" s="91">
        <v>0</v>
      </c>
      <c r="N1517" s="91">
        <v>1793</v>
      </c>
      <c r="O1517" s="91">
        <v>0</v>
      </c>
      <c r="P1517" s="91">
        <v>0</v>
      </c>
      <c r="Q1517" s="97">
        <f t="shared" si="46"/>
        <v>22432</v>
      </c>
      <c r="R1517" s="95">
        <f t="shared" si="47"/>
        <v>19067.2</v>
      </c>
    </row>
    <row r="1518" spans="1:18" ht="34.049999999999997" customHeight="1" x14ac:dyDescent="0.3">
      <c r="A1518" s="90">
        <v>1507</v>
      </c>
      <c r="B1518" s="91" t="s">
        <v>4884</v>
      </c>
      <c r="C1518" s="91" t="s">
        <v>7416</v>
      </c>
      <c r="D1518" s="91" t="s">
        <v>5012</v>
      </c>
      <c r="E1518" s="91">
        <v>2025</v>
      </c>
      <c r="F1518" s="91" t="s">
        <v>19</v>
      </c>
      <c r="G1518" s="91" t="s">
        <v>5079</v>
      </c>
      <c r="H1518" s="91" t="s">
        <v>5118</v>
      </c>
      <c r="I1518" s="91" t="s">
        <v>1483</v>
      </c>
      <c r="J1518" s="91">
        <v>6199</v>
      </c>
      <c r="K1518" s="91">
        <v>0</v>
      </c>
      <c r="L1518" s="91">
        <v>0</v>
      </c>
      <c r="M1518" s="91">
        <v>0</v>
      </c>
      <c r="N1518" s="91">
        <v>0</v>
      </c>
      <c r="O1518" s="91">
        <v>0</v>
      </c>
      <c r="P1518" s="91">
        <v>0</v>
      </c>
      <c r="Q1518" s="97">
        <f t="shared" si="46"/>
        <v>6199</v>
      </c>
      <c r="R1518" s="95">
        <f t="shared" si="47"/>
        <v>5269.15</v>
      </c>
    </row>
    <row r="1519" spans="1:18" ht="34.049999999999997" customHeight="1" x14ac:dyDescent="0.3">
      <c r="A1519" s="96">
        <v>1508</v>
      </c>
      <c r="B1519" s="91" t="s">
        <v>4884</v>
      </c>
      <c r="C1519" s="91" t="s">
        <v>7417</v>
      </c>
      <c r="D1519" s="91" t="s">
        <v>5013</v>
      </c>
      <c r="E1519" s="91">
        <v>2015</v>
      </c>
      <c r="F1519" s="91" t="s">
        <v>19</v>
      </c>
      <c r="G1519" s="91" t="s">
        <v>5080</v>
      </c>
      <c r="H1519" s="91" t="s">
        <v>5119</v>
      </c>
      <c r="I1519" s="91" t="s">
        <v>5152</v>
      </c>
      <c r="J1519" s="91">
        <v>6199</v>
      </c>
      <c r="K1519" s="91">
        <v>0</v>
      </c>
      <c r="L1519" s="91">
        <v>0</v>
      </c>
      <c r="M1519" s="91">
        <v>0</v>
      </c>
      <c r="N1519" s="91">
        <v>0</v>
      </c>
      <c r="O1519" s="91">
        <v>0</v>
      </c>
      <c r="P1519" s="91">
        <v>0</v>
      </c>
      <c r="Q1519" s="97">
        <f t="shared" si="46"/>
        <v>6199</v>
      </c>
      <c r="R1519" s="95">
        <f t="shared" si="47"/>
        <v>5269.15</v>
      </c>
    </row>
    <row r="1520" spans="1:18" ht="34.049999999999997" customHeight="1" x14ac:dyDescent="0.3">
      <c r="A1520" s="90">
        <v>1509</v>
      </c>
      <c r="B1520" s="91" t="s">
        <v>4884</v>
      </c>
      <c r="C1520" s="91" t="s">
        <v>7418</v>
      </c>
      <c r="D1520" s="91" t="s">
        <v>5014</v>
      </c>
      <c r="E1520" s="91">
        <v>2015</v>
      </c>
      <c r="F1520" s="91" t="s">
        <v>19</v>
      </c>
      <c r="G1520" s="91" t="s">
        <v>5081</v>
      </c>
      <c r="H1520" s="91" t="s">
        <v>5119</v>
      </c>
      <c r="I1520" s="91" t="s">
        <v>5153</v>
      </c>
      <c r="J1520" s="91">
        <v>6199</v>
      </c>
      <c r="K1520" s="91">
        <v>0</v>
      </c>
      <c r="L1520" s="91">
        <v>0</v>
      </c>
      <c r="M1520" s="91">
        <v>0</v>
      </c>
      <c r="N1520" s="91">
        <v>0</v>
      </c>
      <c r="O1520" s="91">
        <v>0</v>
      </c>
      <c r="P1520" s="91">
        <v>0</v>
      </c>
      <c r="Q1520" s="97">
        <f t="shared" si="46"/>
        <v>6199</v>
      </c>
      <c r="R1520" s="95">
        <f t="shared" si="47"/>
        <v>5269.15</v>
      </c>
    </row>
    <row r="1521" spans="1:18" ht="34.049999999999997" customHeight="1" x14ac:dyDescent="0.3">
      <c r="A1521" s="90">
        <v>1510</v>
      </c>
      <c r="B1521" s="91" t="s">
        <v>4884</v>
      </c>
      <c r="C1521" s="91" t="s">
        <v>7419</v>
      </c>
      <c r="D1521" s="91" t="s">
        <v>5015</v>
      </c>
      <c r="E1521" s="91">
        <v>1986</v>
      </c>
      <c r="F1521" s="91" t="s">
        <v>18</v>
      </c>
      <c r="G1521" s="91" t="s">
        <v>5082</v>
      </c>
      <c r="H1521" s="91" t="s">
        <v>5082</v>
      </c>
      <c r="I1521" s="91" t="s">
        <v>3684</v>
      </c>
      <c r="J1521" s="91">
        <v>6199</v>
      </c>
      <c r="K1521" s="91">
        <v>0</v>
      </c>
      <c r="L1521" s="91">
        <v>0</v>
      </c>
      <c r="M1521" s="91">
        <v>0</v>
      </c>
      <c r="N1521" s="91">
        <v>0</v>
      </c>
      <c r="O1521" s="91">
        <v>0</v>
      </c>
      <c r="P1521" s="91">
        <v>0</v>
      </c>
      <c r="Q1521" s="97">
        <f t="shared" si="46"/>
        <v>6199</v>
      </c>
      <c r="R1521" s="95">
        <f t="shared" si="47"/>
        <v>5269.15</v>
      </c>
    </row>
    <row r="1522" spans="1:18" ht="34.049999999999997" customHeight="1" x14ac:dyDescent="0.3">
      <c r="A1522" s="96">
        <v>1511</v>
      </c>
      <c r="B1522" s="91" t="s">
        <v>4884</v>
      </c>
      <c r="C1522" s="91" t="s">
        <v>7420</v>
      </c>
      <c r="D1522" s="91" t="s">
        <v>5016</v>
      </c>
      <c r="E1522" s="91">
        <v>2025</v>
      </c>
      <c r="F1522" s="91" t="s">
        <v>18</v>
      </c>
      <c r="G1522" s="91" t="s">
        <v>5083</v>
      </c>
      <c r="H1522" s="91" t="s">
        <v>5120</v>
      </c>
      <c r="I1522" s="91" t="s">
        <v>5154</v>
      </c>
      <c r="J1522" s="91">
        <v>6199</v>
      </c>
      <c r="K1522" s="91">
        <v>0</v>
      </c>
      <c r="L1522" s="91">
        <v>0</v>
      </c>
      <c r="M1522" s="91">
        <v>0</v>
      </c>
      <c r="N1522" s="91">
        <v>0</v>
      </c>
      <c r="O1522" s="91">
        <v>0</v>
      </c>
      <c r="P1522" s="91">
        <v>0</v>
      </c>
      <c r="Q1522" s="97">
        <f t="shared" si="46"/>
        <v>6199</v>
      </c>
      <c r="R1522" s="95">
        <f t="shared" si="47"/>
        <v>5269.15</v>
      </c>
    </row>
    <row r="1523" spans="1:18" ht="34.049999999999997" customHeight="1" x14ac:dyDescent="0.3">
      <c r="A1523" s="90">
        <v>1512</v>
      </c>
      <c r="B1523" s="91" t="s">
        <v>4884</v>
      </c>
      <c r="C1523" s="91" t="s">
        <v>7421</v>
      </c>
      <c r="D1523" s="91" t="s">
        <v>5017</v>
      </c>
      <c r="E1523" s="91">
        <v>2015</v>
      </c>
      <c r="F1523" s="91" t="s">
        <v>18</v>
      </c>
      <c r="G1523" s="91" t="s">
        <v>5084</v>
      </c>
      <c r="H1523" s="91" t="s">
        <v>5121</v>
      </c>
      <c r="I1523" s="91" t="s">
        <v>300</v>
      </c>
      <c r="J1523" s="91">
        <v>6199</v>
      </c>
      <c r="K1523" s="91">
        <v>0</v>
      </c>
      <c r="L1523" s="91">
        <v>0</v>
      </c>
      <c r="M1523" s="91">
        <v>0</v>
      </c>
      <c r="N1523" s="91">
        <v>0</v>
      </c>
      <c r="O1523" s="91">
        <v>0</v>
      </c>
      <c r="P1523" s="91">
        <v>0</v>
      </c>
      <c r="Q1523" s="97">
        <f t="shared" si="46"/>
        <v>6199</v>
      </c>
      <c r="R1523" s="95">
        <f t="shared" si="47"/>
        <v>5269.15</v>
      </c>
    </row>
    <row r="1524" spans="1:18" ht="34.049999999999997" customHeight="1" x14ac:dyDescent="0.3">
      <c r="A1524" s="90">
        <v>1513</v>
      </c>
      <c r="B1524" s="91" t="s">
        <v>4884</v>
      </c>
      <c r="C1524" s="91" t="s">
        <v>6396</v>
      </c>
      <c r="D1524" s="93" t="s">
        <v>4638</v>
      </c>
      <c r="E1524" s="91">
        <v>2023</v>
      </c>
      <c r="F1524" s="91" t="s">
        <v>18</v>
      </c>
      <c r="G1524" s="91" t="s">
        <v>4774</v>
      </c>
      <c r="H1524" s="91" t="s">
        <v>1614</v>
      </c>
      <c r="I1524" s="91" t="s">
        <v>4861</v>
      </c>
      <c r="J1524" s="91">
        <v>2900</v>
      </c>
      <c r="K1524" s="91">
        <v>0</v>
      </c>
      <c r="L1524" s="91">
        <v>0</v>
      </c>
      <c r="M1524" s="91">
        <v>17688</v>
      </c>
      <c r="N1524" s="91">
        <v>2088</v>
      </c>
      <c r="O1524" s="91">
        <v>0</v>
      </c>
      <c r="P1524" s="91">
        <f>1080+168</f>
        <v>1248</v>
      </c>
      <c r="Q1524" s="97">
        <f t="shared" si="46"/>
        <v>23924</v>
      </c>
      <c r="R1524" s="95">
        <f t="shared" si="47"/>
        <v>20335.400000000001</v>
      </c>
    </row>
    <row r="1525" spans="1:18" ht="34.049999999999997" customHeight="1" x14ac:dyDescent="0.3">
      <c r="A1525" s="96">
        <v>1514</v>
      </c>
      <c r="B1525" s="91" t="s">
        <v>4884</v>
      </c>
      <c r="C1525" s="91" t="s">
        <v>7422</v>
      </c>
      <c r="D1525" s="93" t="s">
        <v>4651</v>
      </c>
      <c r="E1525" s="91">
        <v>1960</v>
      </c>
      <c r="F1525" s="91" t="s">
        <v>19</v>
      </c>
      <c r="G1525" s="91" t="s">
        <v>4780</v>
      </c>
      <c r="H1525" s="91" t="s">
        <v>4835</v>
      </c>
      <c r="I1525" s="91" t="s">
        <v>276</v>
      </c>
      <c r="J1525" s="91">
        <v>2900</v>
      </c>
      <c r="K1525" s="91">
        <v>0</v>
      </c>
      <c r="L1525" s="91">
        <v>0</v>
      </c>
      <c r="M1525" s="91">
        <v>0</v>
      </c>
      <c r="N1525" s="91">
        <v>1681</v>
      </c>
      <c r="O1525" s="91">
        <v>0</v>
      </c>
      <c r="P1525" s="91">
        <f>312+56</f>
        <v>368</v>
      </c>
      <c r="Q1525" s="97">
        <f t="shared" si="46"/>
        <v>4949</v>
      </c>
      <c r="R1525" s="95">
        <f t="shared" si="47"/>
        <v>4206.6499999999996</v>
      </c>
    </row>
    <row r="1526" spans="1:18" ht="34.049999999999997" customHeight="1" x14ac:dyDescent="0.3">
      <c r="A1526" s="90">
        <v>1515</v>
      </c>
      <c r="B1526" s="91" t="s">
        <v>5155</v>
      </c>
      <c r="C1526" s="91" t="s">
        <v>5156</v>
      </c>
      <c r="D1526" s="91" t="s">
        <v>5157</v>
      </c>
      <c r="E1526" s="91">
        <v>2003</v>
      </c>
      <c r="F1526" s="91" t="s">
        <v>19</v>
      </c>
      <c r="G1526" s="91" t="s">
        <v>5292</v>
      </c>
      <c r="H1526" s="91" t="s">
        <v>5292</v>
      </c>
      <c r="I1526" s="91" t="s">
        <v>5391</v>
      </c>
      <c r="J1526" s="91">
        <v>6199</v>
      </c>
      <c r="K1526" s="91">
        <f>1166+2801+2332+2332+3587+2243+6278+4484+2332+1346+2332+2332+2332+2332+6995+4484+6995+6995+6995+2332+6995</f>
        <v>80020</v>
      </c>
      <c r="L1526" s="91">
        <v>0</v>
      </c>
      <c r="M1526" s="91">
        <v>0</v>
      </c>
      <c r="N1526" s="91">
        <v>1793</v>
      </c>
      <c r="O1526" s="91">
        <v>0</v>
      </c>
      <c r="P1526" s="91">
        <v>0</v>
      </c>
      <c r="Q1526" s="97">
        <f t="shared" si="46"/>
        <v>88012</v>
      </c>
      <c r="R1526" s="95">
        <f t="shared" si="47"/>
        <v>74810.2</v>
      </c>
    </row>
    <row r="1527" spans="1:18" ht="34.049999999999997" customHeight="1" x14ac:dyDescent="0.3">
      <c r="A1527" s="90">
        <v>1516</v>
      </c>
      <c r="B1527" s="91" t="s">
        <v>5155</v>
      </c>
      <c r="C1527" s="91" t="s">
        <v>5158</v>
      </c>
      <c r="D1527" s="91" t="s">
        <v>5159</v>
      </c>
      <c r="E1527" s="91">
        <v>2023</v>
      </c>
      <c r="F1527" s="91" t="s">
        <v>19</v>
      </c>
      <c r="G1527" s="91" t="s">
        <v>5293</v>
      </c>
      <c r="H1527" s="91" t="s">
        <v>2589</v>
      </c>
      <c r="I1527" s="91" t="s">
        <v>862</v>
      </c>
      <c r="J1527" s="91">
        <v>6199</v>
      </c>
      <c r="K1527" s="91">
        <v>0</v>
      </c>
      <c r="L1527" s="91">
        <v>0</v>
      </c>
      <c r="M1527" s="91">
        <v>0</v>
      </c>
      <c r="N1527" s="91">
        <v>0</v>
      </c>
      <c r="O1527" s="91">
        <v>0</v>
      </c>
      <c r="P1527" s="91">
        <v>0</v>
      </c>
      <c r="Q1527" s="97">
        <f t="shared" si="46"/>
        <v>6199</v>
      </c>
      <c r="R1527" s="95">
        <f t="shared" si="47"/>
        <v>5269.15</v>
      </c>
    </row>
    <row r="1528" spans="1:18" ht="34.049999999999997" customHeight="1" x14ac:dyDescent="0.3">
      <c r="A1528" s="96">
        <v>1517</v>
      </c>
      <c r="B1528" s="91" t="s">
        <v>5155</v>
      </c>
      <c r="C1528" s="91" t="s">
        <v>5160</v>
      </c>
      <c r="D1528" s="91" t="s">
        <v>5161</v>
      </c>
      <c r="E1528" s="91">
        <v>2022</v>
      </c>
      <c r="F1528" s="91" t="s">
        <v>19</v>
      </c>
      <c r="G1528" s="91" t="s">
        <v>5294</v>
      </c>
      <c r="H1528" s="91" t="s">
        <v>3071</v>
      </c>
      <c r="I1528" s="91" t="s">
        <v>3101</v>
      </c>
      <c r="J1528" s="91">
        <v>3582</v>
      </c>
      <c r="K1528" s="91">
        <v>0</v>
      </c>
      <c r="L1528" s="91">
        <v>0</v>
      </c>
      <c r="M1528" s="91">
        <v>0</v>
      </c>
      <c r="N1528" s="91">
        <f>21194+13563</f>
        <v>34757</v>
      </c>
      <c r="O1528" s="91">
        <v>0</v>
      </c>
      <c r="P1528" s="91">
        <v>0</v>
      </c>
      <c r="Q1528" s="97">
        <f t="shared" si="46"/>
        <v>38339</v>
      </c>
      <c r="R1528" s="95">
        <f t="shared" si="47"/>
        <v>32588.15</v>
      </c>
    </row>
    <row r="1529" spans="1:18" ht="34.049999999999997" customHeight="1" x14ac:dyDescent="0.3">
      <c r="A1529" s="90">
        <v>1518</v>
      </c>
      <c r="B1529" s="91" t="s">
        <v>5155</v>
      </c>
      <c r="C1529" s="91" t="s">
        <v>5162</v>
      </c>
      <c r="D1529" s="91" t="s">
        <v>378</v>
      </c>
      <c r="E1529" s="91">
        <v>1992</v>
      </c>
      <c r="F1529" s="91" t="s">
        <v>19</v>
      </c>
      <c r="G1529" s="91" t="s">
        <v>468</v>
      </c>
      <c r="H1529" s="91" t="s">
        <v>468</v>
      </c>
      <c r="I1529" s="91" t="s">
        <v>560</v>
      </c>
      <c r="J1529" s="91">
        <v>6199</v>
      </c>
      <c r="K1529" s="91">
        <f>2332+2332+2243</f>
        <v>6907</v>
      </c>
      <c r="L1529" s="91">
        <v>17279</v>
      </c>
      <c r="M1529" s="91">
        <v>0</v>
      </c>
      <c r="N1529" s="91">
        <v>0</v>
      </c>
      <c r="O1529" s="91">
        <v>0</v>
      </c>
      <c r="P1529" s="91">
        <v>0</v>
      </c>
      <c r="Q1529" s="97">
        <f t="shared" si="46"/>
        <v>30385</v>
      </c>
      <c r="R1529" s="95">
        <f t="shared" si="47"/>
        <v>25827.25</v>
      </c>
    </row>
    <row r="1530" spans="1:18" ht="34.049999999999997" customHeight="1" x14ac:dyDescent="0.3">
      <c r="A1530" s="90">
        <v>1519</v>
      </c>
      <c r="B1530" s="91" t="s">
        <v>5155</v>
      </c>
      <c r="C1530" s="91" t="s">
        <v>5163</v>
      </c>
      <c r="D1530" s="91" t="s">
        <v>5164</v>
      </c>
      <c r="E1530" s="91">
        <v>1990</v>
      </c>
      <c r="F1530" s="91" t="s">
        <v>18</v>
      </c>
      <c r="G1530" s="91" t="s">
        <v>5295</v>
      </c>
      <c r="H1530" s="91" t="s">
        <v>5295</v>
      </c>
      <c r="I1530" s="91" t="s">
        <v>1704</v>
      </c>
      <c r="J1530" s="91">
        <v>6199</v>
      </c>
      <c r="K1530" s="91">
        <f>6278+4484+2332+6995+2332+2332+2332+2332+2332+2332+3228+3000+3000+6995</f>
        <v>50304</v>
      </c>
      <c r="L1530" s="91">
        <v>0</v>
      </c>
      <c r="M1530" s="91">
        <v>0</v>
      </c>
      <c r="N1530" s="91">
        <v>1793</v>
      </c>
      <c r="O1530" s="91">
        <v>0</v>
      </c>
      <c r="P1530" s="91">
        <v>0</v>
      </c>
      <c r="Q1530" s="97">
        <f t="shared" si="46"/>
        <v>58296</v>
      </c>
      <c r="R1530" s="95">
        <f t="shared" si="47"/>
        <v>49551.6</v>
      </c>
    </row>
    <row r="1531" spans="1:18" ht="34.049999999999997" customHeight="1" x14ac:dyDescent="0.3">
      <c r="A1531" s="96">
        <v>1520</v>
      </c>
      <c r="B1531" s="91" t="s">
        <v>5155</v>
      </c>
      <c r="C1531" s="91" t="s">
        <v>5165</v>
      </c>
      <c r="D1531" s="91" t="s">
        <v>5166</v>
      </c>
      <c r="E1531" s="91">
        <v>2016</v>
      </c>
      <c r="F1531" s="91" t="s">
        <v>18</v>
      </c>
      <c r="G1531" s="91" t="s">
        <v>5296</v>
      </c>
      <c r="H1531" s="91" t="s">
        <v>5356</v>
      </c>
      <c r="I1531" s="91" t="s">
        <v>5392</v>
      </c>
      <c r="J1531" s="91">
        <v>6199</v>
      </c>
      <c r="K1531" s="91">
        <v>0</v>
      </c>
      <c r="L1531" s="91">
        <v>0</v>
      </c>
      <c r="M1531" s="91">
        <v>0</v>
      </c>
      <c r="N1531" s="91">
        <v>0</v>
      </c>
      <c r="O1531" s="91">
        <v>0</v>
      </c>
      <c r="P1531" s="91">
        <v>0</v>
      </c>
      <c r="Q1531" s="97">
        <f t="shared" si="46"/>
        <v>6199</v>
      </c>
      <c r="R1531" s="95">
        <f t="shared" si="47"/>
        <v>5269.15</v>
      </c>
    </row>
    <row r="1532" spans="1:18" ht="34.049999999999997" customHeight="1" x14ac:dyDescent="0.3">
      <c r="A1532" s="90">
        <v>1521</v>
      </c>
      <c r="B1532" s="91" t="s">
        <v>5155</v>
      </c>
      <c r="C1532" s="91" t="s">
        <v>5167</v>
      </c>
      <c r="D1532" s="91" t="s">
        <v>5168</v>
      </c>
      <c r="E1532" s="91">
        <v>2017</v>
      </c>
      <c r="F1532" s="91" t="s">
        <v>18</v>
      </c>
      <c r="G1532" s="91" t="s">
        <v>5297</v>
      </c>
      <c r="H1532" s="91" t="s">
        <v>5357</v>
      </c>
      <c r="I1532" s="91" t="s">
        <v>5393</v>
      </c>
      <c r="J1532" s="91">
        <v>6199</v>
      </c>
      <c r="K1532" s="91">
        <v>0</v>
      </c>
      <c r="L1532" s="91">
        <v>0</v>
      </c>
      <c r="M1532" s="91">
        <v>0</v>
      </c>
      <c r="N1532" s="91">
        <v>0</v>
      </c>
      <c r="O1532" s="91">
        <v>0</v>
      </c>
      <c r="P1532" s="91">
        <v>0</v>
      </c>
      <c r="Q1532" s="97">
        <f t="shared" si="46"/>
        <v>6199</v>
      </c>
      <c r="R1532" s="95">
        <f t="shared" si="47"/>
        <v>5269.15</v>
      </c>
    </row>
    <row r="1533" spans="1:18" ht="34.049999999999997" customHeight="1" x14ac:dyDescent="0.3">
      <c r="A1533" s="90">
        <v>1522</v>
      </c>
      <c r="B1533" s="91" t="s">
        <v>5155</v>
      </c>
      <c r="C1533" s="91" t="s">
        <v>5169</v>
      </c>
      <c r="D1533" s="91" t="s">
        <v>5170</v>
      </c>
      <c r="E1533" s="91">
        <v>2012</v>
      </c>
      <c r="F1533" s="91" t="s">
        <v>19</v>
      </c>
      <c r="G1533" s="91" t="s">
        <v>5298</v>
      </c>
      <c r="H1533" s="91" t="s">
        <v>5358</v>
      </c>
      <c r="I1533" s="91" t="s">
        <v>269</v>
      </c>
      <c r="J1533" s="91">
        <v>6199</v>
      </c>
      <c r="K1533" s="91">
        <f>6278+4484+2332+1346+2332+2332+2332+2332+6995+6995+2332+6995+2332+4484</f>
        <v>53901</v>
      </c>
      <c r="L1533" s="91">
        <v>0</v>
      </c>
      <c r="M1533" s="91">
        <v>0</v>
      </c>
      <c r="N1533" s="91">
        <v>3148</v>
      </c>
      <c r="O1533" s="91">
        <v>0</v>
      </c>
      <c r="P1533" s="91">
        <v>0</v>
      </c>
      <c r="Q1533" s="94">
        <f t="shared" si="46"/>
        <v>63248</v>
      </c>
      <c r="R1533" s="95">
        <f t="shared" si="47"/>
        <v>53760.800000000003</v>
      </c>
    </row>
    <row r="1534" spans="1:18" ht="34.049999999999997" customHeight="1" x14ac:dyDescent="0.3">
      <c r="A1534" s="96">
        <v>1523</v>
      </c>
      <c r="B1534" s="91" t="s">
        <v>5155</v>
      </c>
      <c r="C1534" s="91" t="s">
        <v>5171</v>
      </c>
      <c r="D1534" s="91" t="s">
        <v>5172</v>
      </c>
      <c r="E1534" s="91">
        <v>1986</v>
      </c>
      <c r="F1534" s="91" t="s">
        <v>19</v>
      </c>
      <c r="G1534" s="91" t="s">
        <v>5299</v>
      </c>
      <c r="H1534" s="91" t="s">
        <v>5299</v>
      </c>
      <c r="I1534" s="91" t="s">
        <v>826</v>
      </c>
      <c r="J1534" s="91">
        <v>6199</v>
      </c>
      <c r="K1534" s="91">
        <f>2332+2332+2243+3587+1166</f>
        <v>11660</v>
      </c>
      <c r="L1534" s="91">
        <v>17279</v>
      </c>
      <c r="M1534" s="91">
        <v>0</v>
      </c>
      <c r="N1534" s="91">
        <v>0</v>
      </c>
      <c r="O1534" s="91">
        <v>0</v>
      </c>
      <c r="P1534" s="91">
        <v>0</v>
      </c>
      <c r="Q1534" s="97">
        <f t="shared" si="46"/>
        <v>35138</v>
      </c>
      <c r="R1534" s="95">
        <f t="shared" si="47"/>
        <v>29867.3</v>
      </c>
    </row>
    <row r="1535" spans="1:18" ht="34.049999999999997" customHeight="1" x14ac:dyDescent="0.3">
      <c r="A1535" s="90">
        <v>1524</v>
      </c>
      <c r="B1535" s="91" t="s">
        <v>5155</v>
      </c>
      <c r="C1535" s="91" t="s">
        <v>5173</v>
      </c>
      <c r="D1535" s="91" t="s">
        <v>1315</v>
      </c>
      <c r="E1535" s="91">
        <v>2012</v>
      </c>
      <c r="F1535" s="91" t="s">
        <v>18</v>
      </c>
      <c r="G1535" s="91" t="s">
        <v>1396</v>
      </c>
      <c r="H1535" s="91" t="s">
        <v>1440</v>
      </c>
      <c r="I1535" s="91" t="s">
        <v>1468</v>
      </c>
      <c r="J1535" s="91">
        <v>0</v>
      </c>
      <c r="K1535" s="91">
        <v>0</v>
      </c>
      <c r="L1535" s="91">
        <v>0</v>
      </c>
      <c r="M1535" s="91">
        <v>0</v>
      </c>
      <c r="N1535" s="91">
        <f>34016+27380</f>
        <v>61396</v>
      </c>
      <c r="O1535" s="91">
        <v>0</v>
      </c>
      <c r="P1535" s="91">
        <v>0</v>
      </c>
      <c r="Q1535" s="97">
        <f t="shared" si="46"/>
        <v>61396</v>
      </c>
      <c r="R1535" s="95">
        <f t="shared" si="47"/>
        <v>52186.6</v>
      </c>
    </row>
    <row r="1536" spans="1:18" ht="34.049999999999997" customHeight="1" x14ac:dyDescent="0.3">
      <c r="A1536" s="90">
        <v>1525</v>
      </c>
      <c r="B1536" s="91" t="s">
        <v>5155</v>
      </c>
      <c r="C1536" s="91" t="s">
        <v>5174</v>
      </c>
      <c r="D1536" s="91" t="s">
        <v>5175</v>
      </c>
      <c r="E1536" s="91">
        <v>1992</v>
      </c>
      <c r="F1536" s="91" t="s">
        <v>19</v>
      </c>
      <c r="G1536" s="91" t="s">
        <v>5300</v>
      </c>
      <c r="H1536" s="91" t="s">
        <v>5300</v>
      </c>
      <c r="I1536" s="91" t="s">
        <v>1069</v>
      </c>
      <c r="J1536" s="91">
        <v>6199</v>
      </c>
      <c r="K1536" s="91">
        <f>6278+4484+2332+3228+3000+3000+2332+2332+2243+3500+3500+6995</f>
        <v>43224</v>
      </c>
      <c r="L1536" s="91">
        <v>18406</v>
      </c>
      <c r="M1536" s="91">
        <v>0</v>
      </c>
      <c r="N1536" s="91">
        <v>1793</v>
      </c>
      <c r="O1536" s="91">
        <v>0</v>
      </c>
      <c r="P1536" s="91">
        <v>0</v>
      </c>
      <c r="Q1536" s="97">
        <f t="shared" si="46"/>
        <v>69622</v>
      </c>
      <c r="R1536" s="95">
        <f t="shared" si="47"/>
        <v>59178.7</v>
      </c>
    </row>
    <row r="1537" spans="1:18" ht="34.049999999999997" customHeight="1" x14ac:dyDescent="0.3">
      <c r="A1537" s="96">
        <v>1526</v>
      </c>
      <c r="B1537" s="91" t="s">
        <v>5155</v>
      </c>
      <c r="C1537" s="91" t="s">
        <v>5176</v>
      </c>
      <c r="D1537" s="91" t="s">
        <v>5177</v>
      </c>
      <c r="E1537" s="91">
        <v>2022</v>
      </c>
      <c r="F1537" s="91" t="s">
        <v>19</v>
      </c>
      <c r="G1537" s="91" t="s">
        <v>5301</v>
      </c>
      <c r="H1537" s="91" t="s">
        <v>4401</v>
      </c>
      <c r="I1537" s="91" t="s">
        <v>2137</v>
      </c>
      <c r="J1537" s="91">
        <v>6199</v>
      </c>
      <c r="K1537" s="91">
        <v>0</v>
      </c>
      <c r="L1537" s="91">
        <v>0</v>
      </c>
      <c r="M1537" s="91">
        <v>0</v>
      </c>
      <c r="N1537" s="91">
        <v>0</v>
      </c>
      <c r="O1537" s="91">
        <v>0</v>
      </c>
      <c r="P1537" s="91">
        <v>0</v>
      </c>
      <c r="Q1537" s="97">
        <f t="shared" si="46"/>
        <v>6199</v>
      </c>
      <c r="R1537" s="95">
        <f t="shared" si="47"/>
        <v>5269.15</v>
      </c>
    </row>
    <row r="1538" spans="1:18" ht="34.049999999999997" customHeight="1" x14ac:dyDescent="0.3">
      <c r="A1538" s="90">
        <v>1527</v>
      </c>
      <c r="B1538" s="91" t="s">
        <v>5155</v>
      </c>
      <c r="C1538" s="91" t="s">
        <v>5178</v>
      </c>
      <c r="D1538" s="91" t="s">
        <v>683</v>
      </c>
      <c r="E1538" s="91">
        <v>2013</v>
      </c>
      <c r="F1538" s="91" t="s">
        <v>19</v>
      </c>
      <c r="G1538" s="91" t="s">
        <v>768</v>
      </c>
      <c r="H1538" s="91" t="s">
        <v>814</v>
      </c>
      <c r="I1538" s="91" t="s">
        <v>852</v>
      </c>
      <c r="J1538" s="91">
        <v>0</v>
      </c>
      <c r="K1538" s="91">
        <v>0</v>
      </c>
      <c r="L1538" s="91">
        <v>0</v>
      </c>
      <c r="M1538" s="91">
        <v>0</v>
      </c>
      <c r="N1538" s="91">
        <f>34016+19239</f>
        <v>53255</v>
      </c>
      <c r="O1538" s="91">
        <v>0</v>
      </c>
      <c r="P1538" s="91">
        <v>0</v>
      </c>
      <c r="Q1538" s="97">
        <f t="shared" si="46"/>
        <v>53255</v>
      </c>
      <c r="R1538" s="95">
        <f t="shared" si="47"/>
        <v>45266.75</v>
      </c>
    </row>
    <row r="1539" spans="1:18" ht="34.049999999999997" customHeight="1" x14ac:dyDescent="0.3">
      <c r="A1539" s="90">
        <v>1528</v>
      </c>
      <c r="B1539" s="91" t="s">
        <v>5155</v>
      </c>
      <c r="C1539" s="91" t="s">
        <v>5179</v>
      </c>
      <c r="D1539" s="91" t="s">
        <v>5180</v>
      </c>
      <c r="E1539" s="91">
        <v>1990</v>
      </c>
      <c r="F1539" s="91" t="s">
        <v>19</v>
      </c>
      <c r="G1539" s="91" t="s">
        <v>5302</v>
      </c>
      <c r="H1539" s="91" t="s">
        <v>5302</v>
      </c>
      <c r="I1539" s="91" t="s">
        <v>2137</v>
      </c>
      <c r="J1539" s="91">
        <v>6199</v>
      </c>
      <c r="K1539" s="91">
        <v>0</v>
      </c>
      <c r="L1539" s="91">
        <v>0</v>
      </c>
      <c r="M1539" s="91">
        <v>0</v>
      </c>
      <c r="N1539" s="91">
        <v>0</v>
      </c>
      <c r="O1539" s="91">
        <v>0</v>
      </c>
      <c r="P1539" s="91">
        <v>0</v>
      </c>
      <c r="Q1539" s="97">
        <f t="shared" si="46"/>
        <v>6199</v>
      </c>
      <c r="R1539" s="95">
        <f t="shared" si="47"/>
        <v>5269.15</v>
      </c>
    </row>
    <row r="1540" spans="1:18" ht="34.049999999999997" customHeight="1" x14ac:dyDescent="0.3">
      <c r="A1540" s="96">
        <v>1529</v>
      </c>
      <c r="B1540" s="91" t="s">
        <v>5155</v>
      </c>
      <c r="C1540" s="91" t="s">
        <v>5181</v>
      </c>
      <c r="D1540" s="91" t="s">
        <v>5182</v>
      </c>
      <c r="E1540" s="91">
        <v>1983</v>
      </c>
      <c r="F1540" s="91" t="s">
        <v>18</v>
      </c>
      <c r="G1540" s="91" t="s">
        <v>5303</v>
      </c>
      <c r="H1540" s="91" t="s">
        <v>5303</v>
      </c>
      <c r="I1540" s="91" t="s">
        <v>3089</v>
      </c>
      <c r="J1540" s="91">
        <v>6199</v>
      </c>
      <c r="K1540" s="91">
        <f>6278+2332+2332+2332</f>
        <v>13274</v>
      </c>
      <c r="L1540" s="91">
        <v>0</v>
      </c>
      <c r="M1540" s="91">
        <v>0</v>
      </c>
      <c r="N1540" s="91">
        <v>1793</v>
      </c>
      <c r="O1540" s="91">
        <v>0</v>
      </c>
      <c r="P1540" s="91">
        <v>0</v>
      </c>
      <c r="Q1540" s="97">
        <f t="shared" si="46"/>
        <v>21266</v>
      </c>
      <c r="R1540" s="95">
        <f t="shared" si="47"/>
        <v>18076.099999999999</v>
      </c>
    </row>
    <row r="1541" spans="1:18" ht="34.049999999999997" customHeight="1" x14ac:dyDescent="0.3">
      <c r="A1541" s="90">
        <v>1530</v>
      </c>
      <c r="B1541" s="91" t="s">
        <v>5155</v>
      </c>
      <c r="C1541" s="91" t="s">
        <v>5183</v>
      </c>
      <c r="D1541" s="91" t="s">
        <v>5184</v>
      </c>
      <c r="E1541" s="91">
        <v>2010</v>
      </c>
      <c r="F1541" s="91" t="s">
        <v>19</v>
      </c>
      <c r="G1541" s="91" t="s">
        <v>5304</v>
      </c>
      <c r="H1541" s="91" t="s">
        <v>5359</v>
      </c>
      <c r="I1541" s="91" t="s">
        <v>2476</v>
      </c>
      <c r="J1541" s="91">
        <v>6199</v>
      </c>
      <c r="K1541" s="91">
        <f>2332+2332+1166+2801+3587</f>
        <v>12218</v>
      </c>
      <c r="L1541" s="91">
        <v>0</v>
      </c>
      <c r="M1541" s="91">
        <v>0</v>
      </c>
      <c r="N1541" s="91">
        <v>0</v>
      </c>
      <c r="O1541" s="91">
        <v>0</v>
      </c>
      <c r="P1541" s="91">
        <v>0</v>
      </c>
      <c r="Q1541" s="97">
        <f t="shared" si="46"/>
        <v>18417</v>
      </c>
      <c r="R1541" s="95">
        <f t="shared" si="47"/>
        <v>15654.45</v>
      </c>
    </row>
    <row r="1542" spans="1:18" ht="34.049999999999997" customHeight="1" x14ac:dyDescent="0.3">
      <c r="A1542" s="90">
        <v>1531</v>
      </c>
      <c r="B1542" s="91" t="s">
        <v>5155</v>
      </c>
      <c r="C1542" s="91" t="s">
        <v>5185</v>
      </c>
      <c r="D1542" s="91" t="s">
        <v>5186</v>
      </c>
      <c r="E1542" s="91">
        <v>2023</v>
      </c>
      <c r="F1542" s="91" t="s">
        <v>19</v>
      </c>
      <c r="G1542" s="91" t="s">
        <v>5305</v>
      </c>
      <c r="H1542" s="91" t="s">
        <v>5360</v>
      </c>
      <c r="I1542" s="91" t="s">
        <v>5394</v>
      </c>
      <c r="J1542" s="91">
        <v>6199</v>
      </c>
      <c r="K1542" s="91">
        <v>0</v>
      </c>
      <c r="L1542" s="91">
        <v>0</v>
      </c>
      <c r="M1542" s="91">
        <v>0</v>
      </c>
      <c r="N1542" s="91">
        <v>0</v>
      </c>
      <c r="O1542" s="91">
        <v>0</v>
      </c>
      <c r="P1542" s="91">
        <v>0</v>
      </c>
      <c r="Q1542" s="97">
        <f t="shared" si="46"/>
        <v>6199</v>
      </c>
      <c r="R1542" s="95">
        <f t="shared" si="47"/>
        <v>5269.15</v>
      </c>
    </row>
    <row r="1543" spans="1:18" ht="34.049999999999997" customHeight="1" x14ac:dyDescent="0.3">
      <c r="A1543" s="96">
        <v>1532</v>
      </c>
      <c r="B1543" s="91" t="s">
        <v>5155</v>
      </c>
      <c r="C1543" s="91" t="s">
        <v>5187</v>
      </c>
      <c r="D1543" s="91" t="s">
        <v>5188</v>
      </c>
      <c r="E1543" s="91">
        <v>2016</v>
      </c>
      <c r="F1543" s="91" t="s">
        <v>18</v>
      </c>
      <c r="G1543" s="91" t="s">
        <v>5306</v>
      </c>
      <c r="H1543" s="91" t="s">
        <v>5361</v>
      </c>
      <c r="I1543" s="91" t="s">
        <v>5395</v>
      </c>
      <c r="J1543" s="91">
        <v>6199</v>
      </c>
      <c r="K1543" s="91">
        <f>1166+2801+2332+2332</f>
        <v>8631</v>
      </c>
      <c r="L1543" s="91">
        <v>0</v>
      </c>
      <c r="M1543" s="91">
        <v>0</v>
      </c>
      <c r="N1543" s="91">
        <v>0</v>
      </c>
      <c r="O1543" s="91">
        <v>0</v>
      </c>
      <c r="P1543" s="91">
        <v>0</v>
      </c>
      <c r="Q1543" s="97">
        <f t="shared" si="46"/>
        <v>14830</v>
      </c>
      <c r="R1543" s="95">
        <f t="shared" si="47"/>
        <v>12605.5</v>
      </c>
    </row>
    <row r="1544" spans="1:18" ht="34.049999999999997" customHeight="1" x14ac:dyDescent="0.3">
      <c r="A1544" s="90">
        <v>1533</v>
      </c>
      <c r="B1544" s="91" t="s">
        <v>5155</v>
      </c>
      <c r="C1544" s="91" t="s">
        <v>5189</v>
      </c>
      <c r="D1544" s="91" t="s">
        <v>5190</v>
      </c>
      <c r="E1544" s="91">
        <v>1975</v>
      </c>
      <c r="F1544" s="91" t="s">
        <v>19</v>
      </c>
      <c r="G1544" s="91" t="s">
        <v>5307</v>
      </c>
      <c r="H1544" s="91" t="s">
        <v>5307</v>
      </c>
      <c r="I1544" s="91" t="s">
        <v>5395</v>
      </c>
      <c r="J1544" s="91">
        <v>6199</v>
      </c>
      <c r="K1544" s="91">
        <f>2332+1166+2801+6278</f>
        <v>12577</v>
      </c>
      <c r="L1544" s="91">
        <v>0</v>
      </c>
      <c r="M1544" s="91">
        <v>0</v>
      </c>
      <c r="N1544" s="91">
        <v>1793</v>
      </c>
      <c r="O1544" s="91">
        <v>0</v>
      </c>
      <c r="P1544" s="91">
        <v>0</v>
      </c>
      <c r="Q1544" s="97">
        <f t="shared" si="46"/>
        <v>20569</v>
      </c>
      <c r="R1544" s="95">
        <f t="shared" si="47"/>
        <v>17483.650000000001</v>
      </c>
    </row>
    <row r="1545" spans="1:18" ht="34.049999999999997" customHeight="1" x14ac:dyDescent="0.3">
      <c r="A1545" s="90">
        <v>1534</v>
      </c>
      <c r="B1545" s="91" t="s">
        <v>5155</v>
      </c>
      <c r="C1545" s="91" t="s">
        <v>5191</v>
      </c>
      <c r="D1545" s="91" t="s">
        <v>5192</v>
      </c>
      <c r="E1545" s="91">
        <v>2024</v>
      </c>
      <c r="F1545" s="91" t="s">
        <v>19</v>
      </c>
      <c r="G1545" s="91" t="s">
        <v>5308</v>
      </c>
      <c r="H1545" s="91" t="s">
        <v>3848</v>
      </c>
      <c r="I1545" s="91" t="s">
        <v>1704</v>
      </c>
      <c r="J1545" s="91">
        <v>6199</v>
      </c>
      <c r="K1545" s="91">
        <f>6278+4484+1166</f>
        <v>11928</v>
      </c>
      <c r="L1545" s="91">
        <v>0</v>
      </c>
      <c r="M1545" s="91">
        <v>0</v>
      </c>
      <c r="N1545" s="91">
        <v>3148</v>
      </c>
      <c r="O1545" s="91">
        <v>0</v>
      </c>
      <c r="P1545" s="91">
        <v>0</v>
      </c>
      <c r="Q1545" s="97">
        <f t="shared" si="46"/>
        <v>21275</v>
      </c>
      <c r="R1545" s="95">
        <f t="shared" si="47"/>
        <v>18083.75</v>
      </c>
    </row>
    <row r="1546" spans="1:18" ht="34.049999999999997" customHeight="1" x14ac:dyDescent="0.3">
      <c r="A1546" s="96">
        <v>1535</v>
      </c>
      <c r="B1546" s="91" t="s">
        <v>5155</v>
      </c>
      <c r="C1546" s="91" t="s">
        <v>5193</v>
      </c>
      <c r="D1546" s="91" t="s">
        <v>5194</v>
      </c>
      <c r="E1546" s="91">
        <v>1999</v>
      </c>
      <c r="F1546" s="91" t="s">
        <v>19</v>
      </c>
      <c r="G1546" s="91" t="s">
        <v>5309</v>
      </c>
      <c r="H1546" s="91" t="s">
        <v>5309</v>
      </c>
      <c r="I1546" s="91" t="s">
        <v>576</v>
      </c>
      <c r="J1546" s="91">
        <v>6199</v>
      </c>
      <c r="K1546" s="91">
        <f>6278+4484+2332+3228+3000+3000+2332+2332+2243+3500+3500+6995</f>
        <v>43224</v>
      </c>
      <c r="L1546" s="91">
        <v>18406</v>
      </c>
      <c r="M1546" s="91">
        <v>0</v>
      </c>
      <c r="N1546" s="91">
        <f>1793+1681</f>
        <v>3474</v>
      </c>
      <c r="O1546" s="91">
        <v>0</v>
      </c>
      <c r="P1546" s="91">
        <v>0</v>
      </c>
      <c r="Q1546" s="97">
        <f t="shared" si="46"/>
        <v>71303</v>
      </c>
      <c r="R1546" s="95">
        <f t="shared" si="47"/>
        <v>60607.55</v>
      </c>
    </row>
    <row r="1547" spans="1:18" ht="34.049999999999997" customHeight="1" x14ac:dyDescent="0.3">
      <c r="A1547" s="90">
        <v>1536</v>
      </c>
      <c r="B1547" s="91" t="s">
        <v>5155</v>
      </c>
      <c r="C1547" s="91" t="s">
        <v>5195</v>
      </c>
      <c r="D1547" s="91" t="s">
        <v>5196</v>
      </c>
      <c r="E1547" s="91">
        <v>1992</v>
      </c>
      <c r="F1547" s="91" t="s">
        <v>19</v>
      </c>
      <c r="G1547" s="91" t="s">
        <v>5310</v>
      </c>
      <c r="H1547" s="91" t="s">
        <v>5310</v>
      </c>
      <c r="I1547" s="91" t="s">
        <v>289</v>
      </c>
      <c r="J1547" s="91">
        <v>6199</v>
      </c>
      <c r="K1547" s="91">
        <v>0</v>
      </c>
      <c r="L1547" s="91">
        <v>18406</v>
      </c>
      <c r="M1547" s="91">
        <v>0</v>
      </c>
      <c r="N1547" s="91">
        <v>0</v>
      </c>
      <c r="O1547" s="91">
        <v>0</v>
      </c>
      <c r="P1547" s="91">
        <v>0</v>
      </c>
      <c r="Q1547" s="97">
        <f t="shared" si="46"/>
        <v>24605</v>
      </c>
      <c r="R1547" s="95">
        <f t="shared" si="47"/>
        <v>20914.25</v>
      </c>
    </row>
    <row r="1548" spans="1:18" ht="34.049999999999997" customHeight="1" x14ac:dyDescent="0.3">
      <c r="A1548" s="90">
        <v>1537</v>
      </c>
      <c r="B1548" s="91" t="s">
        <v>5155</v>
      </c>
      <c r="C1548" s="91" t="s">
        <v>5197</v>
      </c>
      <c r="D1548" s="91" t="s">
        <v>5198</v>
      </c>
      <c r="E1548" s="91">
        <v>1987</v>
      </c>
      <c r="F1548" s="91" t="s">
        <v>19</v>
      </c>
      <c r="G1548" s="91" t="s">
        <v>5311</v>
      </c>
      <c r="H1548" s="91" t="s">
        <v>5362</v>
      </c>
      <c r="I1548" s="91" t="s">
        <v>5396</v>
      </c>
      <c r="J1548" s="91">
        <v>6199</v>
      </c>
      <c r="K1548" s="91">
        <v>0</v>
      </c>
      <c r="L1548" s="91">
        <v>0</v>
      </c>
      <c r="M1548" s="91">
        <v>0</v>
      </c>
      <c r="N1548" s="32">
        <v>9871</v>
      </c>
      <c r="O1548" s="91">
        <v>0</v>
      </c>
      <c r="P1548" s="91">
        <v>0</v>
      </c>
      <c r="Q1548" s="94">
        <f t="shared" ref="Q1548:Q1611" si="48">SUM(J1548:P1548)</f>
        <v>16070</v>
      </c>
      <c r="R1548" s="95">
        <f t="shared" si="47"/>
        <v>13659.5</v>
      </c>
    </row>
    <row r="1549" spans="1:18" ht="34.049999999999997" customHeight="1" x14ac:dyDescent="0.3">
      <c r="A1549" s="96">
        <v>1538</v>
      </c>
      <c r="B1549" s="91" t="s">
        <v>5155</v>
      </c>
      <c r="C1549" s="91" t="s">
        <v>5199</v>
      </c>
      <c r="D1549" s="91" t="s">
        <v>5200</v>
      </c>
      <c r="E1549" s="91">
        <v>2025</v>
      </c>
      <c r="F1549" s="91" t="s">
        <v>18</v>
      </c>
      <c r="G1549" s="91" t="s">
        <v>5312</v>
      </c>
      <c r="H1549" s="91" t="s">
        <v>5363</v>
      </c>
      <c r="I1549" s="91" t="s">
        <v>5397</v>
      </c>
      <c r="J1549" s="91">
        <v>6199</v>
      </c>
      <c r="K1549" s="91">
        <v>0</v>
      </c>
      <c r="L1549" s="91">
        <v>0</v>
      </c>
      <c r="M1549" s="91">
        <v>0</v>
      </c>
      <c r="N1549" s="91">
        <v>61829</v>
      </c>
      <c r="O1549" s="91">
        <v>0</v>
      </c>
      <c r="P1549" s="91">
        <v>0</v>
      </c>
      <c r="Q1549" s="97">
        <f t="shared" si="48"/>
        <v>68028</v>
      </c>
      <c r="R1549" s="95">
        <f t="shared" ref="R1549:R1612" si="49">Q1549*85/100</f>
        <v>57823.8</v>
      </c>
    </row>
    <row r="1550" spans="1:18" ht="34.049999999999997" customHeight="1" x14ac:dyDescent="0.3">
      <c r="A1550" s="90">
        <v>1539</v>
      </c>
      <c r="B1550" s="91" t="s">
        <v>5155</v>
      </c>
      <c r="C1550" s="91" t="s">
        <v>5201</v>
      </c>
      <c r="D1550" s="91" t="s">
        <v>5202</v>
      </c>
      <c r="E1550" s="91">
        <v>2020</v>
      </c>
      <c r="F1550" s="91" t="s">
        <v>19</v>
      </c>
      <c r="G1550" s="91" t="s">
        <v>5313</v>
      </c>
      <c r="H1550" s="91" t="s">
        <v>5364</v>
      </c>
      <c r="I1550" s="91" t="s">
        <v>300</v>
      </c>
      <c r="J1550" s="91">
        <v>3582</v>
      </c>
      <c r="K1550" s="91">
        <v>0</v>
      </c>
      <c r="L1550" s="91">
        <v>0</v>
      </c>
      <c r="M1550" s="91">
        <v>0</v>
      </c>
      <c r="N1550" s="91">
        <f>15443+35836</f>
        <v>51279</v>
      </c>
      <c r="O1550" s="91">
        <v>0</v>
      </c>
      <c r="P1550" s="91">
        <v>0</v>
      </c>
      <c r="Q1550" s="97">
        <f t="shared" si="48"/>
        <v>54861</v>
      </c>
      <c r="R1550" s="95">
        <f t="shared" si="49"/>
        <v>46631.85</v>
      </c>
    </row>
    <row r="1551" spans="1:18" ht="34.049999999999997" customHeight="1" x14ac:dyDescent="0.3">
      <c r="A1551" s="90">
        <v>1540</v>
      </c>
      <c r="B1551" s="91" t="s">
        <v>5155</v>
      </c>
      <c r="C1551" s="91" t="s">
        <v>5203</v>
      </c>
      <c r="D1551" s="91" t="s">
        <v>5204</v>
      </c>
      <c r="E1551" s="91">
        <v>1988</v>
      </c>
      <c r="F1551" s="91" t="s">
        <v>18</v>
      </c>
      <c r="G1551" s="91" t="s">
        <v>5314</v>
      </c>
      <c r="H1551" s="91" t="s">
        <v>5365</v>
      </c>
      <c r="I1551" s="91" t="s">
        <v>300</v>
      </c>
      <c r="J1551" s="91">
        <v>6199</v>
      </c>
      <c r="K1551" s="91">
        <v>0</v>
      </c>
      <c r="L1551" s="91">
        <v>0</v>
      </c>
      <c r="M1551" s="91">
        <v>0</v>
      </c>
      <c r="N1551" s="91">
        <v>0</v>
      </c>
      <c r="O1551" s="91">
        <v>0</v>
      </c>
      <c r="P1551" s="91">
        <v>0</v>
      </c>
      <c r="Q1551" s="97">
        <f t="shared" si="48"/>
        <v>6199</v>
      </c>
      <c r="R1551" s="95">
        <f t="shared" si="49"/>
        <v>5269.15</v>
      </c>
    </row>
    <row r="1552" spans="1:18" ht="34.049999999999997" customHeight="1" x14ac:dyDescent="0.3">
      <c r="A1552" s="96">
        <v>1541</v>
      </c>
      <c r="B1552" s="91" t="s">
        <v>5155</v>
      </c>
      <c r="C1552" s="91" t="s">
        <v>5205</v>
      </c>
      <c r="D1552" s="91" t="s">
        <v>5206</v>
      </c>
      <c r="E1552" s="91">
        <v>1993</v>
      </c>
      <c r="F1552" s="91" t="s">
        <v>19</v>
      </c>
      <c r="G1552" s="91" t="s">
        <v>5315</v>
      </c>
      <c r="H1552" s="91" t="s">
        <v>5366</v>
      </c>
      <c r="I1552" s="91" t="s">
        <v>1063</v>
      </c>
      <c r="J1552" s="91">
        <v>6199</v>
      </c>
      <c r="K1552" s="91">
        <f>2332+3587+2243+2332</f>
        <v>10494</v>
      </c>
      <c r="L1552" s="91">
        <v>17279</v>
      </c>
      <c r="M1552" s="91">
        <v>0</v>
      </c>
      <c r="N1552" s="91">
        <v>0</v>
      </c>
      <c r="O1552" s="91">
        <v>0</v>
      </c>
      <c r="P1552" s="91">
        <v>0</v>
      </c>
      <c r="Q1552" s="97">
        <f t="shared" si="48"/>
        <v>33972</v>
      </c>
      <c r="R1552" s="95">
        <f t="shared" si="49"/>
        <v>28876.2</v>
      </c>
    </row>
    <row r="1553" spans="1:18" ht="34.049999999999997" customHeight="1" x14ac:dyDescent="0.3">
      <c r="A1553" s="90">
        <v>1542</v>
      </c>
      <c r="B1553" s="91" t="s">
        <v>5155</v>
      </c>
      <c r="C1553" s="91" t="s">
        <v>5207</v>
      </c>
      <c r="D1553" s="91" t="s">
        <v>5208</v>
      </c>
      <c r="E1553" s="91">
        <v>2017</v>
      </c>
      <c r="F1553" s="91" t="s">
        <v>19</v>
      </c>
      <c r="G1553" s="91" t="s">
        <v>5316</v>
      </c>
      <c r="H1553" s="91" t="s">
        <v>5367</v>
      </c>
      <c r="I1553" s="91" t="s">
        <v>24</v>
      </c>
      <c r="J1553" s="91">
        <v>3582</v>
      </c>
      <c r="K1553" s="91">
        <v>0</v>
      </c>
      <c r="L1553" s="91">
        <v>0</v>
      </c>
      <c r="M1553" s="91">
        <v>0</v>
      </c>
      <c r="N1553" s="91">
        <f>15443+21194+13563</f>
        <v>50200</v>
      </c>
      <c r="O1553" s="91">
        <v>0</v>
      </c>
      <c r="P1553" s="91">
        <v>0</v>
      </c>
      <c r="Q1553" s="97">
        <f t="shared" si="48"/>
        <v>53782</v>
      </c>
      <c r="R1553" s="95">
        <f t="shared" si="49"/>
        <v>45714.7</v>
      </c>
    </row>
    <row r="1554" spans="1:18" ht="34.049999999999997" customHeight="1" x14ac:dyDescent="0.3">
      <c r="A1554" s="90">
        <v>1543</v>
      </c>
      <c r="B1554" s="91" t="s">
        <v>5155</v>
      </c>
      <c r="C1554" s="91" t="s">
        <v>5209</v>
      </c>
      <c r="D1554" s="91" t="s">
        <v>5210</v>
      </c>
      <c r="E1554" s="91">
        <v>2018</v>
      </c>
      <c r="F1554" s="91" t="s">
        <v>18</v>
      </c>
      <c r="G1554" s="91" t="s">
        <v>5317</v>
      </c>
      <c r="H1554" s="91" t="s">
        <v>5368</v>
      </c>
      <c r="I1554" s="91" t="s">
        <v>5398</v>
      </c>
      <c r="J1554" s="91">
        <v>6199</v>
      </c>
      <c r="K1554" s="91">
        <v>0</v>
      </c>
      <c r="L1554" s="91">
        <v>0</v>
      </c>
      <c r="M1554" s="91">
        <v>0</v>
      </c>
      <c r="N1554" s="91">
        <f>35836+30886</f>
        <v>66722</v>
      </c>
      <c r="O1554" s="91">
        <v>0</v>
      </c>
      <c r="P1554" s="91">
        <v>0</v>
      </c>
      <c r="Q1554" s="97">
        <f t="shared" si="48"/>
        <v>72921</v>
      </c>
      <c r="R1554" s="95">
        <f t="shared" si="49"/>
        <v>61982.85</v>
      </c>
    </row>
    <row r="1555" spans="1:18" ht="34.049999999999997" customHeight="1" x14ac:dyDescent="0.3">
      <c r="A1555" s="96">
        <v>1544</v>
      </c>
      <c r="B1555" s="91" t="s">
        <v>5155</v>
      </c>
      <c r="C1555" s="91" t="s">
        <v>5211</v>
      </c>
      <c r="D1555" s="91" t="s">
        <v>5212</v>
      </c>
      <c r="E1555" s="91">
        <v>2025</v>
      </c>
      <c r="F1555" s="91" t="s">
        <v>19</v>
      </c>
      <c r="G1555" s="91" t="s">
        <v>5318</v>
      </c>
      <c r="H1555" s="91" t="s">
        <v>5369</v>
      </c>
      <c r="I1555" s="91" t="s">
        <v>1704</v>
      </c>
      <c r="J1555" s="91">
        <v>6199</v>
      </c>
      <c r="K1555" s="91">
        <v>0</v>
      </c>
      <c r="L1555" s="91">
        <v>0</v>
      </c>
      <c r="M1555" s="91">
        <v>0</v>
      </c>
      <c r="N1555" s="91">
        <v>0</v>
      </c>
      <c r="O1555" s="91">
        <v>0</v>
      </c>
      <c r="P1555" s="91">
        <v>0</v>
      </c>
      <c r="Q1555" s="97">
        <f t="shared" si="48"/>
        <v>6199</v>
      </c>
      <c r="R1555" s="95">
        <f t="shared" si="49"/>
        <v>5269.15</v>
      </c>
    </row>
    <row r="1556" spans="1:18" ht="34.049999999999997" customHeight="1" x14ac:dyDescent="0.3">
      <c r="A1556" s="90">
        <v>1545</v>
      </c>
      <c r="B1556" s="91" t="s">
        <v>5155</v>
      </c>
      <c r="C1556" s="91" t="s">
        <v>5213</v>
      </c>
      <c r="D1556" s="91" t="s">
        <v>2215</v>
      </c>
      <c r="E1556" s="91">
        <v>1979</v>
      </c>
      <c r="F1556" s="91" t="s">
        <v>18</v>
      </c>
      <c r="G1556" s="91" t="s">
        <v>2347</v>
      </c>
      <c r="H1556" s="91" t="s">
        <v>2347</v>
      </c>
      <c r="I1556" s="91" t="s">
        <v>2457</v>
      </c>
      <c r="J1556" s="91">
        <v>3793</v>
      </c>
      <c r="K1556" s="91">
        <f>6278+4484+4484+1166+2801</f>
        <v>19213</v>
      </c>
      <c r="L1556" s="91">
        <v>0</v>
      </c>
      <c r="M1556" s="91">
        <v>0</v>
      </c>
      <c r="N1556" s="91">
        <v>1793</v>
      </c>
      <c r="O1556" s="91">
        <v>0</v>
      </c>
      <c r="P1556" s="91">
        <v>0</v>
      </c>
      <c r="Q1556" s="97">
        <f t="shared" si="48"/>
        <v>24799</v>
      </c>
      <c r="R1556" s="95">
        <f t="shared" si="49"/>
        <v>21079.15</v>
      </c>
    </row>
    <row r="1557" spans="1:18" ht="34.049999999999997" customHeight="1" x14ac:dyDescent="0.3">
      <c r="A1557" s="90">
        <v>1546</v>
      </c>
      <c r="B1557" s="91" t="s">
        <v>5155</v>
      </c>
      <c r="C1557" s="91" t="s">
        <v>5214</v>
      </c>
      <c r="D1557" s="91" t="s">
        <v>5215</v>
      </c>
      <c r="E1557" s="91">
        <v>1989</v>
      </c>
      <c r="F1557" s="91" t="s">
        <v>18</v>
      </c>
      <c r="G1557" s="91" t="s">
        <v>5319</v>
      </c>
      <c r="H1557" s="91" t="s">
        <v>5319</v>
      </c>
      <c r="I1557" s="91" t="s">
        <v>2457</v>
      </c>
      <c r="J1557" s="91">
        <v>6199</v>
      </c>
      <c r="K1557" s="91">
        <v>6278</v>
      </c>
      <c r="L1557" s="91">
        <v>0</v>
      </c>
      <c r="M1557" s="91">
        <v>0</v>
      </c>
      <c r="N1557" s="91">
        <v>1793</v>
      </c>
      <c r="O1557" s="91">
        <v>0</v>
      </c>
      <c r="P1557" s="91">
        <v>0</v>
      </c>
      <c r="Q1557" s="97">
        <f t="shared" si="48"/>
        <v>14270</v>
      </c>
      <c r="R1557" s="95">
        <f t="shared" si="49"/>
        <v>12129.5</v>
      </c>
    </row>
    <row r="1558" spans="1:18" ht="34.049999999999997" customHeight="1" x14ac:dyDescent="0.3">
      <c r="A1558" s="96">
        <v>1547</v>
      </c>
      <c r="B1558" s="91" t="s">
        <v>5155</v>
      </c>
      <c r="C1558" s="91" t="s">
        <v>5216</v>
      </c>
      <c r="D1558" s="91" t="s">
        <v>5217</v>
      </c>
      <c r="E1558" s="91">
        <v>2025</v>
      </c>
      <c r="F1558" s="91" t="s">
        <v>18</v>
      </c>
      <c r="G1558" s="91" t="s">
        <v>5320</v>
      </c>
      <c r="H1558" s="91" t="s">
        <v>5370</v>
      </c>
      <c r="I1558" s="91" t="s">
        <v>5399</v>
      </c>
      <c r="J1558" s="91">
        <v>6199</v>
      </c>
      <c r="K1558" s="91">
        <v>0</v>
      </c>
      <c r="L1558" s="91">
        <v>0</v>
      </c>
      <c r="M1558" s="91">
        <v>0</v>
      </c>
      <c r="N1558" s="91">
        <v>0</v>
      </c>
      <c r="O1558" s="91">
        <v>0</v>
      </c>
      <c r="P1558" s="91">
        <v>0</v>
      </c>
      <c r="Q1558" s="97">
        <f t="shared" si="48"/>
        <v>6199</v>
      </c>
      <c r="R1558" s="95">
        <f t="shared" si="49"/>
        <v>5269.15</v>
      </c>
    </row>
    <row r="1559" spans="1:18" ht="34.049999999999997" customHeight="1" x14ac:dyDescent="0.3">
      <c r="A1559" s="90">
        <v>1548</v>
      </c>
      <c r="B1559" s="91" t="s">
        <v>5155</v>
      </c>
      <c r="C1559" s="91" t="s">
        <v>5218</v>
      </c>
      <c r="D1559" s="91" t="s">
        <v>5219</v>
      </c>
      <c r="E1559" s="91">
        <v>2024</v>
      </c>
      <c r="F1559" s="91" t="s">
        <v>19</v>
      </c>
      <c r="G1559" s="91" t="s">
        <v>5321</v>
      </c>
      <c r="H1559" s="91" t="s">
        <v>5371</v>
      </c>
      <c r="I1559" s="91" t="s">
        <v>5400</v>
      </c>
      <c r="J1559" s="91">
        <v>6199</v>
      </c>
      <c r="K1559" s="91">
        <v>0</v>
      </c>
      <c r="L1559" s="91">
        <v>0</v>
      </c>
      <c r="M1559" s="91">
        <v>0</v>
      </c>
      <c r="N1559" s="91">
        <v>0</v>
      </c>
      <c r="O1559" s="91">
        <v>0</v>
      </c>
      <c r="P1559" s="91">
        <v>0</v>
      </c>
      <c r="Q1559" s="97">
        <f t="shared" si="48"/>
        <v>6199</v>
      </c>
      <c r="R1559" s="95">
        <f t="shared" si="49"/>
        <v>5269.15</v>
      </c>
    </row>
    <row r="1560" spans="1:18" ht="34.049999999999997" customHeight="1" x14ac:dyDescent="0.3">
      <c r="A1560" s="90">
        <v>1549</v>
      </c>
      <c r="B1560" s="91" t="s">
        <v>5155</v>
      </c>
      <c r="C1560" s="91" t="s">
        <v>5220</v>
      </c>
      <c r="D1560" s="91" t="s">
        <v>5221</v>
      </c>
      <c r="E1560" s="91">
        <v>1998</v>
      </c>
      <c r="F1560" s="91" t="s">
        <v>19</v>
      </c>
      <c r="G1560" s="91" t="s">
        <v>5322</v>
      </c>
      <c r="H1560" s="91" t="s">
        <v>5322</v>
      </c>
      <c r="I1560" s="91" t="s">
        <v>1263</v>
      </c>
      <c r="J1560" s="91">
        <v>6199</v>
      </c>
      <c r="K1560" s="91">
        <v>0</v>
      </c>
      <c r="L1560" s="91">
        <v>0</v>
      </c>
      <c r="M1560" s="91">
        <v>0</v>
      </c>
      <c r="N1560" s="91">
        <v>0</v>
      </c>
      <c r="O1560" s="91">
        <v>0</v>
      </c>
      <c r="P1560" s="91">
        <v>0</v>
      </c>
      <c r="Q1560" s="97">
        <f t="shared" si="48"/>
        <v>6199</v>
      </c>
      <c r="R1560" s="95">
        <f t="shared" si="49"/>
        <v>5269.15</v>
      </c>
    </row>
    <row r="1561" spans="1:18" ht="34.049999999999997" customHeight="1" x14ac:dyDescent="0.3">
      <c r="A1561" s="96">
        <v>1550</v>
      </c>
      <c r="B1561" s="91" t="s">
        <v>5155</v>
      </c>
      <c r="C1561" s="91" t="s">
        <v>5222</v>
      </c>
      <c r="D1561" s="91" t="s">
        <v>5223</v>
      </c>
      <c r="E1561" s="91">
        <v>2022</v>
      </c>
      <c r="F1561" s="91" t="s">
        <v>19</v>
      </c>
      <c r="G1561" s="91" t="s">
        <v>5323</v>
      </c>
      <c r="H1561" s="91" t="s">
        <v>5372</v>
      </c>
      <c r="I1561" s="91" t="s">
        <v>569</v>
      </c>
      <c r="J1561" s="91">
        <v>6199</v>
      </c>
      <c r="K1561" s="91">
        <f>6278+1346+4484+2332+2332+2332+2332+2332+6995+6995+2332+6995+2332+4484</f>
        <v>53901</v>
      </c>
      <c r="L1561" s="91">
        <v>0</v>
      </c>
      <c r="M1561" s="91">
        <v>0</v>
      </c>
      <c r="N1561" s="91">
        <v>3148</v>
      </c>
      <c r="O1561" s="91">
        <v>0</v>
      </c>
      <c r="P1561" s="91">
        <v>0</v>
      </c>
      <c r="Q1561" s="97">
        <f t="shared" si="48"/>
        <v>63248</v>
      </c>
      <c r="R1561" s="95">
        <f t="shared" si="49"/>
        <v>53760.800000000003</v>
      </c>
    </row>
    <row r="1562" spans="1:18" ht="34.049999999999997" customHeight="1" x14ac:dyDescent="0.3">
      <c r="A1562" s="90">
        <v>1551</v>
      </c>
      <c r="B1562" s="91" t="s">
        <v>5155</v>
      </c>
      <c r="C1562" s="91" t="s">
        <v>5222</v>
      </c>
      <c r="D1562" s="91" t="s">
        <v>5223</v>
      </c>
      <c r="E1562" s="91">
        <v>2022</v>
      </c>
      <c r="F1562" s="91" t="s">
        <v>2635</v>
      </c>
      <c r="G1562" s="91" t="s">
        <v>5323</v>
      </c>
      <c r="H1562" s="91" t="s">
        <v>5372</v>
      </c>
      <c r="I1562" s="91" t="s">
        <v>569</v>
      </c>
      <c r="J1562" s="91">
        <v>0</v>
      </c>
      <c r="K1562" s="91">
        <v>0</v>
      </c>
      <c r="L1562" s="91">
        <v>0</v>
      </c>
      <c r="M1562" s="91">
        <v>17688</v>
      </c>
      <c r="N1562" s="91">
        <v>0</v>
      </c>
      <c r="O1562" s="91">
        <v>0</v>
      </c>
      <c r="P1562" s="91">
        <f>360+56</f>
        <v>416</v>
      </c>
      <c r="Q1562" s="94">
        <f t="shared" si="48"/>
        <v>18104</v>
      </c>
      <c r="R1562" s="95">
        <f t="shared" si="49"/>
        <v>15388.4</v>
      </c>
    </row>
    <row r="1563" spans="1:18" ht="34.049999999999997" customHeight="1" x14ac:dyDescent="0.3">
      <c r="A1563" s="90">
        <v>1552</v>
      </c>
      <c r="B1563" s="91" t="s">
        <v>5155</v>
      </c>
      <c r="C1563" s="91" t="s">
        <v>5224</v>
      </c>
      <c r="D1563" s="91" t="s">
        <v>5225</v>
      </c>
      <c r="E1563" s="91">
        <v>1989</v>
      </c>
      <c r="F1563" s="91" t="s">
        <v>19</v>
      </c>
      <c r="G1563" s="91" t="s">
        <v>5324</v>
      </c>
      <c r="H1563" s="91" t="s">
        <v>5324</v>
      </c>
      <c r="I1563" s="91" t="s">
        <v>3089</v>
      </c>
      <c r="J1563" s="91">
        <v>6199</v>
      </c>
      <c r="K1563" s="91">
        <f>6278+2332+3252</f>
        <v>11862</v>
      </c>
      <c r="L1563" s="91">
        <v>0</v>
      </c>
      <c r="M1563" s="91">
        <v>0</v>
      </c>
      <c r="N1563" s="91">
        <v>1793</v>
      </c>
      <c r="O1563" s="91">
        <v>0</v>
      </c>
      <c r="P1563" s="91">
        <v>0</v>
      </c>
      <c r="Q1563" s="97">
        <f t="shared" si="48"/>
        <v>19854</v>
      </c>
      <c r="R1563" s="95">
        <f t="shared" si="49"/>
        <v>16875.900000000001</v>
      </c>
    </row>
    <row r="1564" spans="1:18" ht="34.049999999999997" customHeight="1" x14ac:dyDescent="0.3">
      <c r="A1564" s="96">
        <v>1553</v>
      </c>
      <c r="B1564" s="91" t="s">
        <v>5155</v>
      </c>
      <c r="C1564" s="91" t="s">
        <v>5226</v>
      </c>
      <c r="D1564" s="91" t="s">
        <v>5227</v>
      </c>
      <c r="E1564" s="91">
        <v>2022</v>
      </c>
      <c r="F1564" s="91" t="s">
        <v>19</v>
      </c>
      <c r="G1564" s="91" t="s">
        <v>5325</v>
      </c>
      <c r="H1564" s="91" t="s">
        <v>5324</v>
      </c>
      <c r="I1564" s="91" t="s">
        <v>5401</v>
      </c>
      <c r="J1564" s="91">
        <v>6199</v>
      </c>
      <c r="K1564" s="91">
        <v>0</v>
      </c>
      <c r="L1564" s="91">
        <v>0</v>
      </c>
      <c r="M1564" s="91">
        <v>0</v>
      </c>
      <c r="N1564" s="91">
        <v>0</v>
      </c>
      <c r="O1564" s="91">
        <v>0</v>
      </c>
      <c r="P1564" s="91">
        <v>0</v>
      </c>
      <c r="Q1564" s="97">
        <f t="shared" si="48"/>
        <v>6199</v>
      </c>
      <c r="R1564" s="95">
        <f t="shared" si="49"/>
        <v>5269.15</v>
      </c>
    </row>
    <row r="1565" spans="1:18" ht="34.049999999999997" customHeight="1" x14ac:dyDescent="0.3">
      <c r="A1565" s="90">
        <v>1554</v>
      </c>
      <c r="B1565" s="91" t="s">
        <v>5155</v>
      </c>
      <c r="C1565" s="91" t="s">
        <v>5228</v>
      </c>
      <c r="D1565" s="91" t="s">
        <v>5229</v>
      </c>
      <c r="E1565" s="91">
        <v>2024</v>
      </c>
      <c r="F1565" s="91" t="s">
        <v>18</v>
      </c>
      <c r="G1565" s="91" t="s">
        <v>5326</v>
      </c>
      <c r="H1565" s="91" t="s">
        <v>5373</v>
      </c>
      <c r="I1565" s="91" t="s">
        <v>289</v>
      </c>
      <c r="J1565" s="91">
        <v>6199</v>
      </c>
      <c r="K1565" s="91">
        <v>0</v>
      </c>
      <c r="L1565" s="91">
        <v>0</v>
      </c>
      <c r="M1565" s="91">
        <v>0</v>
      </c>
      <c r="N1565" s="91">
        <v>0</v>
      </c>
      <c r="O1565" s="91">
        <v>0</v>
      </c>
      <c r="P1565" s="91">
        <v>0</v>
      </c>
      <c r="Q1565" s="94">
        <f t="shared" si="48"/>
        <v>6199</v>
      </c>
      <c r="R1565" s="95">
        <f t="shared" si="49"/>
        <v>5269.15</v>
      </c>
    </row>
    <row r="1566" spans="1:18" ht="34.049999999999997" customHeight="1" x14ac:dyDescent="0.3">
      <c r="A1566" s="90">
        <v>1555</v>
      </c>
      <c r="B1566" s="91" t="s">
        <v>5155</v>
      </c>
      <c r="C1566" s="91" t="s">
        <v>5230</v>
      </c>
      <c r="D1566" s="91" t="s">
        <v>5231</v>
      </c>
      <c r="E1566" s="91">
        <v>1996</v>
      </c>
      <c r="F1566" s="91" t="s">
        <v>19</v>
      </c>
      <c r="G1566" s="91" t="s">
        <v>5327</v>
      </c>
      <c r="H1566" s="91" t="s">
        <v>5327</v>
      </c>
      <c r="I1566" s="91" t="s">
        <v>549</v>
      </c>
      <c r="J1566" s="91">
        <v>6199</v>
      </c>
      <c r="K1566" s="91">
        <f>2332+2332+2243+3587</f>
        <v>10494</v>
      </c>
      <c r="L1566" s="91">
        <v>0</v>
      </c>
      <c r="M1566" s="91">
        <v>0</v>
      </c>
      <c r="N1566" s="91">
        <v>0</v>
      </c>
      <c r="O1566" s="91">
        <v>0</v>
      </c>
      <c r="P1566" s="91">
        <v>0</v>
      </c>
      <c r="Q1566" s="97">
        <f t="shared" si="48"/>
        <v>16693</v>
      </c>
      <c r="R1566" s="95">
        <f t="shared" si="49"/>
        <v>14189.05</v>
      </c>
    </row>
    <row r="1567" spans="1:18" ht="34.049999999999997" customHeight="1" x14ac:dyDescent="0.3">
      <c r="A1567" s="96">
        <v>1556</v>
      </c>
      <c r="B1567" s="91" t="s">
        <v>5155</v>
      </c>
      <c r="C1567" s="91" t="s">
        <v>5232</v>
      </c>
      <c r="D1567" s="91" t="s">
        <v>5233</v>
      </c>
      <c r="E1567" s="91">
        <v>2019</v>
      </c>
      <c r="F1567" s="91" t="s">
        <v>19</v>
      </c>
      <c r="G1567" s="91" t="s">
        <v>5328</v>
      </c>
      <c r="H1567" s="91" t="s">
        <v>5374</v>
      </c>
      <c r="I1567" s="91" t="s">
        <v>1050</v>
      </c>
      <c r="J1567" s="91">
        <v>6199</v>
      </c>
      <c r="K1567" s="91">
        <v>0</v>
      </c>
      <c r="L1567" s="91">
        <v>0</v>
      </c>
      <c r="M1567" s="91">
        <v>0</v>
      </c>
      <c r="N1567" s="91">
        <v>0</v>
      </c>
      <c r="O1567" s="91">
        <v>0</v>
      </c>
      <c r="P1567" s="91">
        <v>0</v>
      </c>
      <c r="Q1567" s="97">
        <f t="shared" si="48"/>
        <v>6199</v>
      </c>
      <c r="R1567" s="95">
        <f t="shared" si="49"/>
        <v>5269.15</v>
      </c>
    </row>
    <row r="1568" spans="1:18" ht="34.049999999999997" customHeight="1" x14ac:dyDescent="0.3">
      <c r="A1568" s="90">
        <v>1557</v>
      </c>
      <c r="B1568" s="91" t="s">
        <v>5155</v>
      </c>
      <c r="C1568" s="91" t="s">
        <v>5234</v>
      </c>
      <c r="D1568" s="91" t="s">
        <v>5235</v>
      </c>
      <c r="E1568" s="91">
        <v>2022</v>
      </c>
      <c r="F1568" s="91" t="s">
        <v>19</v>
      </c>
      <c r="G1568" s="91" t="s">
        <v>5329</v>
      </c>
      <c r="H1568" s="91" t="s">
        <v>5375</v>
      </c>
      <c r="I1568" s="91" t="s">
        <v>4211</v>
      </c>
      <c r="J1568" s="91">
        <v>6199</v>
      </c>
      <c r="K1568" s="91">
        <f>6278+4484+2332+1346+2332+2332+2332+2332+2332+4484+6995+2332+6995+6995</f>
        <v>53901</v>
      </c>
      <c r="L1568" s="91">
        <v>0</v>
      </c>
      <c r="M1568" s="91">
        <v>0</v>
      </c>
      <c r="N1568" s="91">
        <v>3148</v>
      </c>
      <c r="O1568" s="91">
        <v>0</v>
      </c>
      <c r="P1568" s="91">
        <v>0</v>
      </c>
      <c r="Q1568" s="97">
        <f t="shared" si="48"/>
        <v>63248</v>
      </c>
      <c r="R1568" s="95">
        <f t="shared" si="49"/>
        <v>53760.800000000003</v>
      </c>
    </row>
    <row r="1569" spans="1:18" ht="34.049999999999997" customHeight="1" x14ac:dyDescent="0.3">
      <c r="A1569" s="90">
        <v>1558</v>
      </c>
      <c r="B1569" s="91" t="s">
        <v>5155</v>
      </c>
      <c r="C1569" s="91" t="s">
        <v>5236</v>
      </c>
      <c r="D1569" s="91" t="s">
        <v>5237</v>
      </c>
      <c r="E1569" s="91">
        <v>1980</v>
      </c>
      <c r="F1569" s="91" t="s">
        <v>19</v>
      </c>
      <c r="G1569" s="91" t="s">
        <v>5330</v>
      </c>
      <c r="H1569" s="91" t="s">
        <v>5330</v>
      </c>
      <c r="I1569" s="91" t="s">
        <v>290</v>
      </c>
      <c r="J1569" s="91">
        <v>6199</v>
      </c>
      <c r="K1569" s="91">
        <v>0</v>
      </c>
      <c r="L1569" s="91">
        <v>0</v>
      </c>
      <c r="M1569" s="91">
        <v>0</v>
      </c>
      <c r="N1569" s="91">
        <v>0</v>
      </c>
      <c r="O1569" s="91">
        <v>0</v>
      </c>
      <c r="P1569" s="91">
        <v>0</v>
      </c>
      <c r="Q1569" s="97">
        <f t="shared" si="48"/>
        <v>6199</v>
      </c>
      <c r="R1569" s="95">
        <f t="shared" si="49"/>
        <v>5269.15</v>
      </c>
    </row>
    <row r="1570" spans="1:18" ht="34.049999999999997" customHeight="1" x14ac:dyDescent="0.3">
      <c r="A1570" s="96">
        <v>1559</v>
      </c>
      <c r="B1570" s="91" t="s">
        <v>5155</v>
      </c>
      <c r="C1570" s="91" t="s">
        <v>5238</v>
      </c>
      <c r="D1570" s="91" t="s">
        <v>5239</v>
      </c>
      <c r="E1570" s="91">
        <v>1997</v>
      </c>
      <c r="F1570" s="91" t="s">
        <v>19</v>
      </c>
      <c r="G1570" s="91" t="s">
        <v>5331</v>
      </c>
      <c r="H1570" s="91" t="s">
        <v>5331</v>
      </c>
      <c r="I1570" s="91" t="s">
        <v>5402</v>
      </c>
      <c r="J1570" s="91">
        <v>6199</v>
      </c>
      <c r="K1570" s="91">
        <f>2332+2332+2243</f>
        <v>6907</v>
      </c>
      <c r="L1570" s="91">
        <v>17279</v>
      </c>
      <c r="M1570" s="91">
        <v>0</v>
      </c>
      <c r="N1570" s="91">
        <v>0</v>
      </c>
      <c r="O1570" s="91">
        <v>0</v>
      </c>
      <c r="P1570" s="91">
        <v>0</v>
      </c>
      <c r="Q1570" s="97">
        <f t="shared" si="48"/>
        <v>30385</v>
      </c>
      <c r="R1570" s="95">
        <f t="shared" si="49"/>
        <v>25827.25</v>
      </c>
    </row>
    <row r="1571" spans="1:18" ht="34.049999999999997" customHeight="1" x14ac:dyDescent="0.3">
      <c r="A1571" s="90">
        <v>1560</v>
      </c>
      <c r="B1571" s="91" t="s">
        <v>5155</v>
      </c>
      <c r="C1571" s="91" t="s">
        <v>5240</v>
      </c>
      <c r="D1571" s="91" t="s">
        <v>5241</v>
      </c>
      <c r="E1571" s="91">
        <v>2021</v>
      </c>
      <c r="F1571" s="91" t="s">
        <v>18</v>
      </c>
      <c r="G1571" s="91" t="s">
        <v>5332</v>
      </c>
      <c r="H1571" s="91" t="s">
        <v>5376</v>
      </c>
      <c r="I1571" s="91" t="s">
        <v>1281</v>
      </c>
      <c r="J1571" s="91">
        <v>6199</v>
      </c>
      <c r="K1571" s="91">
        <f>1346+6278+4484</f>
        <v>12108</v>
      </c>
      <c r="L1571" s="91">
        <v>0</v>
      </c>
      <c r="M1571" s="91">
        <v>0</v>
      </c>
      <c r="N1571" s="91">
        <v>3148</v>
      </c>
      <c r="O1571" s="91">
        <v>0</v>
      </c>
      <c r="P1571" s="91">
        <v>0</v>
      </c>
      <c r="Q1571" s="97">
        <f t="shared" si="48"/>
        <v>21455</v>
      </c>
      <c r="R1571" s="95">
        <f t="shared" si="49"/>
        <v>18236.75</v>
      </c>
    </row>
    <row r="1572" spans="1:18" ht="34.049999999999997" customHeight="1" x14ac:dyDescent="0.3">
      <c r="A1572" s="90">
        <v>1561</v>
      </c>
      <c r="B1572" s="91" t="s">
        <v>5155</v>
      </c>
      <c r="C1572" s="91" t="s">
        <v>5242</v>
      </c>
      <c r="D1572" s="91" t="s">
        <v>5243</v>
      </c>
      <c r="E1572" s="91">
        <v>2024</v>
      </c>
      <c r="F1572" s="91" t="s">
        <v>19</v>
      </c>
      <c r="G1572" s="91" t="s">
        <v>5333</v>
      </c>
      <c r="H1572" s="91" t="s">
        <v>5377</v>
      </c>
      <c r="I1572" s="91" t="s">
        <v>35</v>
      </c>
      <c r="J1572" s="91">
        <v>6199</v>
      </c>
      <c r="K1572" s="91">
        <f>1166+2801</f>
        <v>3967</v>
      </c>
      <c r="L1572" s="91">
        <v>0</v>
      </c>
      <c r="M1572" s="91">
        <v>0</v>
      </c>
      <c r="N1572" s="91">
        <v>0</v>
      </c>
      <c r="O1572" s="91">
        <v>0</v>
      </c>
      <c r="P1572" s="91">
        <v>0</v>
      </c>
      <c r="Q1572" s="97">
        <f t="shared" si="48"/>
        <v>10166</v>
      </c>
      <c r="R1572" s="95">
        <f t="shared" si="49"/>
        <v>8641.1</v>
      </c>
    </row>
    <row r="1573" spans="1:18" ht="34.049999999999997" customHeight="1" x14ac:dyDescent="0.3">
      <c r="A1573" s="96">
        <v>1562</v>
      </c>
      <c r="B1573" s="91" t="s">
        <v>5155</v>
      </c>
      <c r="C1573" s="91" t="s">
        <v>5244</v>
      </c>
      <c r="D1573" s="91" t="s">
        <v>5245</v>
      </c>
      <c r="E1573" s="91">
        <v>2003</v>
      </c>
      <c r="F1573" s="91" t="s">
        <v>19</v>
      </c>
      <c r="G1573" s="91" t="s">
        <v>5334</v>
      </c>
      <c r="H1573" s="91" t="s">
        <v>5378</v>
      </c>
      <c r="I1573" s="91" t="s">
        <v>1050</v>
      </c>
      <c r="J1573" s="91">
        <v>6199</v>
      </c>
      <c r="K1573" s="91">
        <f>6278+4484+1346</f>
        <v>12108</v>
      </c>
      <c r="L1573" s="91">
        <v>0</v>
      </c>
      <c r="M1573" s="91">
        <v>0</v>
      </c>
      <c r="N1573" s="91">
        <v>1793</v>
      </c>
      <c r="O1573" s="91">
        <v>0</v>
      </c>
      <c r="P1573" s="91">
        <v>0</v>
      </c>
      <c r="Q1573" s="94">
        <f t="shared" si="48"/>
        <v>20100</v>
      </c>
      <c r="R1573" s="95">
        <f t="shared" si="49"/>
        <v>17085</v>
      </c>
    </row>
    <row r="1574" spans="1:18" ht="34.049999999999997" customHeight="1" x14ac:dyDescent="0.3">
      <c r="A1574" s="90">
        <v>1563</v>
      </c>
      <c r="B1574" s="91" t="s">
        <v>5155</v>
      </c>
      <c r="C1574" s="91" t="s">
        <v>5246</v>
      </c>
      <c r="D1574" s="91" t="s">
        <v>5247</v>
      </c>
      <c r="E1574" s="91">
        <v>2021</v>
      </c>
      <c r="F1574" s="91" t="s">
        <v>19</v>
      </c>
      <c r="G1574" s="91" t="s">
        <v>5335</v>
      </c>
      <c r="H1574" s="91" t="s">
        <v>5379</v>
      </c>
      <c r="I1574" s="91" t="s">
        <v>5403</v>
      </c>
      <c r="J1574" s="91">
        <v>6199</v>
      </c>
      <c r="K1574" s="91">
        <v>0</v>
      </c>
      <c r="L1574" s="91">
        <v>0</v>
      </c>
      <c r="M1574" s="91">
        <v>0</v>
      </c>
      <c r="N1574" s="91">
        <v>0</v>
      </c>
      <c r="O1574" s="91">
        <v>0</v>
      </c>
      <c r="P1574" s="91">
        <v>0</v>
      </c>
      <c r="Q1574" s="94">
        <f t="shared" si="48"/>
        <v>6199</v>
      </c>
      <c r="R1574" s="95">
        <f t="shared" si="49"/>
        <v>5269.15</v>
      </c>
    </row>
    <row r="1575" spans="1:18" ht="34.049999999999997" customHeight="1" x14ac:dyDescent="0.3">
      <c r="A1575" s="90">
        <v>1564</v>
      </c>
      <c r="B1575" s="91" t="s">
        <v>5155</v>
      </c>
      <c r="C1575" s="91" t="s">
        <v>5248</v>
      </c>
      <c r="D1575" s="91" t="s">
        <v>5249</v>
      </c>
      <c r="E1575" s="91">
        <v>2018</v>
      </c>
      <c r="F1575" s="91" t="s">
        <v>18</v>
      </c>
      <c r="G1575" s="91" t="s">
        <v>5336</v>
      </c>
      <c r="H1575" s="91" t="s">
        <v>5379</v>
      </c>
      <c r="I1575" s="91" t="s">
        <v>1480</v>
      </c>
      <c r="J1575" s="91">
        <v>6199</v>
      </c>
      <c r="K1575" s="91">
        <v>0</v>
      </c>
      <c r="L1575" s="91">
        <v>0</v>
      </c>
      <c r="M1575" s="91">
        <v>0</v>
      </c>
      <c r="N1575" s="91">
        <v>0</v>
      </c>
      <c r="O1575" s="91">
        <v>0</v>
      </c>
      <c r="P1575" s="91">
        <v>0</v>
      </c>
      <c r="Q1575" s="94">
        <f t="shared" si="48"/>
        <v>6199</v>
      </c>
      <c r="R1575" s="95">
        <f t="shared" si="49"/>
        <v>5269.15</v>
      </c>
    </row>
    <row r="1576" spans="1:18" ht="34.049999999999997" customHeight="1" x14ac:dyDescent="0.3">
      <c r="A1576" s="96">
        <v>1565</v>
      </c>
      <c r="B1576" s="91" t="s">
        <v>5155</v>
      </c>
      <c r="C1576" s="91" t="s">
        <v>5250</v>
      </c>
      <c r="D1576" s="91" t="s">
        <v>5251</v>
      </c>
      <c r="E1576" s="91">
        <v>2023</v>
      </c>
      <c r="F1576" s="91" t="s">
        <v>19</v>
      </c>
      <c r="G1576" s="91" t="s">
        <v>5337</v>
      </c>
      <c r="H1576" s="91" t="s">
        <v>5380</v>
      </c>
      <c r="I1576" s="91" t="s">
        <v>1260</v>
      </c>
      <c r="J1576" s="91">
        <v>6199</v>
      </c>
      <c r="K1576" s="91">
        <f>6278+4484+1346+2332</f>
        <v>14440</v>
      </c>
      <c r="L1576" s="91">
        <v>0</v>
      </c>
      <c r="M1576" s="91">
        <v>0</v>
      </c>
      <c r="N1576" s="91">
        <v>3148</v>
      </c>
      <c r="O1576" s="91">
        <v>0</v>
      </c>
      <c r="P1576" s="91">
        <v>0</v>
      </c>
      <c r="Q1576" s="97">
        <f t="shared" si="48"/>
        <v>23787</v>
      </c>
      <c r="R1576" s="95">
        <f t="shared" si="49"/>
        <v>20218.95</v>
      </c>
    </row>
    <row r="1577" spans="1:18" ht="34.049999999999997" customHeight="1" x14ac:dyDescent="0.3">
      <c r="A1577" s="90">
        <v>1566</v>
      </c>
      <c r="B1577" s="91" t="s">
        <v>5155</v>
      </c>
      <c r="C1577" s="91" t="s">
        <v>5250</v>
      </c>
      <c r="D1577" s="91" t="s">
        <v>5251</v>
      </c>
      <c r="E1577" s="91">
        <v>2023</v>
      </c>
      <c r="F1577" s="91" t="s">
        <v>19</v>
      </c>
      <c r="G1577" s="91" t="s">
        <v>5337</v>
      </c>
      <c r="H1577" s="91" t="s">
        <v>5380</v>
      </c>
      <c r="I1577" s="91" t="s">
        <v>1260</v>
      </c>
      <c r="J1577" s="91">
        <v>0</v>
      </c>
      <c r="K1577" s="91">
        <v>0</v>
      </c>
      <c r="L1577" s="91">
        <v>0</v>
      </c>
      <c r="M1577" s="91">
        <v>0</v>
      </c>
      <c r="N1577" s="91">
        <f>1681+1178+3179</f>
        <v>6038</v>
      </c>
      <c r="O1577" s="91">
        <v>0</v>
      </c>
      <c r="P1577" s="91">
        <f>720+1080+360+56+1200</f>
        <v>3416</v>
      </c>
      <c r="Q1577" s="97">
        <f t="shared" si="48"/>
        <v>9454</v>
      </c>
      <c r="R1577" s="95">
        <f t="shared" si="49"/>
        <v>8035.9</v>
      </c>
    </row>
    <row r="1578" spans="1:18" ht="34.049999999999997" customHeight="1" x14ac:dyDescent="0.3">
      <c r="A1578" s="90">
        <v>1567</v>
      </c>
      <c r="B1578" s="91" t="s">
        <v>5155</v>
      </c>
      <c r="C1578" s="91" t="s">
        <v>5250</v>
      </c>
      <c r="D1578" s="91" t="s">
        <v>5251</v>
      </c>
      <c r="E1578" s="91">
        <v>2023</v>
      </c>
      <c r="F1578" s="91" t="s">
        <v>19</v>
      </c>
      <c r="G1578" s="91" t="s">
        <v>5337</v>
      </c>
      <c r="H1578" s="91" t="s">
        <v>5380</v>
      </c>
      <c r="I1578" s="91" t="s">
        <v>1260</v>
      </c>
      <c r="J1578" s="91">
        <v>0</v>
      </c>
      <c r="K1578" s="91">
        <v>0</v>
      </c>
      <c r="L1578" s="91">
        <v>0</v>
      </c>
      <c r="M1578" s="91">
        <v>17688</v>
      </c>
      <c r="N1578" s="91">
        <v>0</v>
      </c>
      <c r="O1578" s="91">
        <v>0</v>
      </c>
      <c r="P1578" s="91">
        <f>360+56</f>
        <v>416</v>
      </c>
      <c r="Q1578" s="97">
        <f t="shared" si="48"/>
        <v>18104</v>
      </c>
      <c r="R1578" s="95">
        <f t="shared" si="49"/>
        <v>15388.4</v>
      </c>
    </row>
    <row r="1579" spans="1:18" ht="34.049999999999997" customHeight="1" x14ac:dyDescent="0.3">
      <c r="A1579" s="96">
        <v>1568</v>
      </c>
      <c r="B1579" s="91" t="s">
        <v>5155</v>
      </c>
      <c r="C1579" s="91" t="s">
        <v>5252</v>
      </c>
      <c r="D1579" s="91" t="s">
        <v>5253</v>
      </c>
      <c r="E1579" s="91">
        <v>1989</v>
      </c>
      <c r="F1579" s="91" t="s">
        <v>18</v>
      </c>
      <c r="G1579" s="91" t="s">
        <v>5338</v>
      </c>
      <c r="H1579" s="91" t="s">
        <v>5379</v>
      </c>
      <c r="I1579" s="91" t="s">
        <v>5404</v>
      </c>
      <c r="J1579" s="91">
        <v>6199</v>
      </c>
      <c r="K1579" s="91">
        <v>0</v>
      </c>
      <c r="L1579" s="91">
        <v>0</v>
      </c>
      <c r="M1579" s="91">
        <v>0</v>
      </c>
      <c r="N1579" s="91">
        <v>0</v>
      </c>
      <c r="O1579" s="91">
        <v>0</v>
      </c>
      <c r="P1579" s="91">
        <v>0</v>
      </c>
      <c r="Q1579" s="94">
        <f t="shared" si="48"/>
        <v>6199</v>
      </c>
      <c r="R1579" s="95">
        <f t="shared" si="49"/>
        <v>5269.15</v>
      </c>
    </row>
    <row r="1580" spans="1:18" ht="34.049999999999997" customHeight="1" x14ac:dyDescent="0.3">
      <c r="A1580" s="90">
        <v>1569</v>
      </c>
      <c r="B1580" s="91" t="s">
        <v>5155</v>
      </c>
      <c r="C1580" s="91" t="s">
        <v>5254</v>
      </c>
      <c r="D1580" s="91" t="s">
        <v>5255</v>
      </c>
      <c r="E1580" s="91">
        <v>2022</v>
      </c>
      <c r="F1580" s="91" t="s">
        <v>19</v>
      </c>
      <c r="G1580" s="91" t="s">
        <v>5339</v>
      </c>
      <c r="H1580" s="91" t="s">
        <v>5381</v>
      </c>
      <c r="I1580" s="91" t="s">
        <v>1077</v>
      </c>
      <c r="J1580" s="91">
        <v>6199</v>
      </c>
      <c r="K1580" s="91">
        <v>0</v>
      </c>
      <c r="L1580" s="91">
        <v>0</v>
      </c>
      <c r="M1580" s="91">
        <v>0</v>
      </c>
      <c r="N1580" s="91">
        <v>0</v>
      </c>
      <c r="O1580" s="91">
        <v>0</v>
      </c>
      <c r="P1580" s="91">
        <v>0</v>
      </c>
      <c r="Q1580" s="94">
        <f t="shared" si="48"/>
        <v>6199</v>
      </c>
      <c r="R1580" s="95">
        <f t="shared" si="49"/>
        <v>5269.15</v>
      </c>
    </row>
    <row r="1581" spans="1:18" ht="34.049999999999997" customHeight="1" x14ac:dyDescent="0.3">
      <c r="A1581" s="90">
        <v>1570</v>
      </c>
      <c r="B1581" s="91" t="s">
        <v>5155</v>
      </c>
      <c r="C1581" s="91" t="s">
        <v>5256</v>
      </c>
      <c r="D1581" s="91" t="s">
        <v>5257</v>
      </c>
      <c r="E1581" s="91">
        <v>1983</v>
      </c>
      <c r="F1581" s="91" t="s">
        <v>18</v>
      </c>
      <c r="G1581" s="91" t="s">
        <v>5340</v>
      </c>
      <c r="H1581" s="91" t="s">
        <v>5340</v>
      </c>
      <c r="I1581" s="91" t="s">
        <v>5405</v>
      </c>
      <c r="J1581" s="91">
        <v>6199</v>
      </c>
      <c r="K1581" s="91">
        <v>0</v>
      </c>
      <c r="L1581" s="91">
        <v>0</v>
      </c>
      <c r="M1581" s="91">
        <v>0</v>
      </c>
      <c r="N1581" s="91">
        <v>0</v>
      </c>
      <c r="O1581" s="91">
        <v>0</v>
      </c>
      <c r="P1581" s="91">
        <v>0</v>
      </c>
      <c r="Q1581" s="94">
        <f t="shared" si="48"/>
        <v>6199</v>
      </c>
      <c r="R1581" s="95">
        <f t="shared" si="49"/>
        <v>5269.15</v>
      </c>
    </row>
    <row r="1582" spans="1:18" ht="34.049999999999997" customHeight="1" x14ac:dyDescent="0.3">
      <c r="A1582" s="96">
        <v>1571</v>
      </c>
      <c r="B1582" s="91" t="s">
        <v>5155</v>
      </c>
      <c r="C1582" s="91" t="s">
        <v>5258</v>
      </c>
      <c r="D1582" s="91" t="s">
        <v>5259</v>
      </c>
      <c r="E1582" s="91">
        <v>1997</v>
      </c>
      <c r="F1582" s="91" t="s">
        <v>19</v>
      </c>
      <c r="G1582" s="91" t="s">
        <v>5341</v>
      </c>
      <c r="H1582" s="91" t="s">
        <v>5341</v>
      </c>
      <c r="I1582" s="91" t="s">
        <v>300</v>
      </c>
      <c r="J1582" s="91">
        <v>6199</v>
      </c>
      <c r="K1582" s="91">
        <f>1166+2332+2332+2243</f>
        <v>8073</v>
      </c>
      <c r="L1582" s="91">
        <v>0</v>
      </c>
      <c r="M1582" s="91">
        <v>0</v>
      </c>
      <c r="N1582" s="91">
        <v>0</v>
      </c>
      <c r="O1582" s="91">
        <v>0</v>
      </c>
      <c r="P1582" s="91">
        <v>0</v>
      </c>
      <c r="Q1582" s="97">
        <f t="shared" si="48"/>
        <v>14272</v>
      </c>
      <c r="R1582" s="95">
        <f t="shared" si="49"/>
        <v>12131.2</v>
      </c>
    </row>
    <row r="1583" spans="1:18" ht="34.049999999999997" customHeight="1" x14ac:dyDescent="0.3">
      <c r="A1583" s="90">
        <v>1572</v>
      </c>
      <c r="B1583" s="91" t="s">
        <v>5155</v>
      </c>
      <c r="C1583" s="91" t="s">
        <v>5260</v>
      </c>
      <c r="D1583" s="91" t="s">
        <v>5261</v>
      </c>
      <c r="E1583" s="91">
        <v>2019</v>
      </c>
      <c r="F1583" s="91" t="s">
        <v>18</v>
      </c>
      <c r="G1583" s="91" t="s">
        <v>5342</v>
      </c>
      <c r="H1583" s="91" t="s">
        <v>5382</v>
      </c>
      <c r="I1583" s="91" t="s">
        <v>2852</v>
      </c>
      <c r="J1583" s="91">
        <v>6199</v>
      </c>
      <c r="K1583" s="91">
        <v>0</v>
      </c>
      <c r="L1583" s="91">
        <v>0</v>
      </c>
      <c r="M1583" s="91">
        <v>0</v>
      </c>
      <c r="N1583" s="91">
        <v>0</v>
      </c>
      <c r="O1583" s="91">
        <v>0</v>
      </c>
      <c r="P1583" s="91">
        <v>0</v>
      </c>
      <c r="Q1583" s="94">
        <f t="shared" si="48"/>
        <v>6199</v>
      </c>
      <c r="R1583" s="95">
        <f t="shared" si="49"/>
        <v>5269.15</v>
      </c>
    </row>
    <row r="1584" spans="1:18" ht="34.049999999999997" customHeight="1" x14ac:dyDescent="0.3">
      <c r="A1584" s="90">
        <v>1573</v>
      </c>
      <c r="B1584" s="91" t="s">
        <v>5155</v>
      </c>
      <c r="C1584" s="91" t="s">
        <v>5262</v>
      </c>
      <c r="D1584" s="91" t="s">
        <v>5263</v>
      </c>
      <c r="E1584" s="91">
        <v>2019</v>
      </c>
      <c r="F1584" s="91" t="s">
        <v>18</v>
      </c>
      <c r="G1584" s="91" t="s">
        <v>5343</v>
      </c>
      <c r="H1584" s="91" t="s">
        <v>5383</v>
      </c>
      <c r="I1584" s="91" t="s">
        <v>5406</v>
      </c>
      <c r="J1584" s="91">
        <v>6199</v>
      </c>
      <c r="K1584" s="91">
        <v>0</v>
      </c>
      <c r="L1584" s="91">
        <v>0</v>
      </c>
      <c r="M1584" s="91">
        <v>0</v>
      </c>
      <c r="N1584" s="91">
        <v>0</v>
      </c>
      <c r="O1584" s="91">
        <v>0</v>
      </c>
      <c r="P1584" s="91">
        <v>0</v>
      </c>
      <c r="Q1584" s="97">
        <f t="shared" si="48"/>
        <v>6199</v>
      </c>
      <c r="R1584" s="95">
        <f t="shared" si="49"/>
        <v>5269.15</v>
      </c>
    </row>
    <row r="1585" spans="1:18" ht="34.049999999999997" customHeight="1" x14ac:dyDescent="0.3">
      <c r="A1585" s="96">
        <v>1574</v>
      </c>
      <c r="B1585" s="91" t="s">
        <v>5155</v>
      </c>
      <c r="C1585" s="91" t="s">
        <v>5264</v>
      </c>
      <c r="D1585" s="91" t="s">
        <v>5265</v>
      </c>
      <c r="E1585" s="91">
        <v>1970</v>
      </c>
      <c r="F1585" s="91" t="s">
        <v>18</v>
      </c>
      <c r="G1585" s="91" t="s">
        <v>5344</v>
      </c>
      <c r="H1585" s="91" t="s">
        <v>5344</v>
      </c>
      <c r="I1585" s="91" t="s">
        <v>1284</v>
      </c>
      <c r="J1585" s="91">
        <v>6199</v>
      </c>
      <c r="K1585" s="91">
        <v>0</v>
      </c>
      <c r="L1585" s="91">
        <v>0</v>
      </c>
      <c r="M1585" s="91">
        <v>0</v>
      </c>
      <c r="N1585" s="91">
        <v>0</v>
      </c>
      <c r="O1585" s="91">
        <v>0</v>
      </c>
      <c r="P1585" s="91">
        <v>0</v>
      </c>
      <c r="Q1585" s="97">
        <f t="shared" si="48"/>
        <v>6199</v>
      </c>
      <c r="R1585" s="95">
        <f t="shared" si="49"/>
        <v>5269.15</v>
      </c>
    </row>
    <row r="1586" spans="1:18" ht="34.049999999999997" customHeight="1" x14ac:dyDescent="0.3">
      <c r="A1586" s="90">
        <v>1575</v>
      </c>
      <c r="B1586" s="91" t="s">
        <v>5155</v>
      </c>
      <c r="C1586" s="91" t="s">
        <v>5266</v>
      </c>
      <c r="D1586" s="91" t="s">
        <v>5267</v>
      </c>
      <c r="E1586" s="91">
        <v>2011</v>
      </c>
      <c r="F1586" s="91" t="s">
        <v>19</v>
      </c>
      <c r="G1586" s="91" t="s">
        <v>5345</v>
      </c>
      <c r="H1586" s="91" t="s">
        <v>5384</v>
      </c>
      <c r="I1586" s="91" t="s">
        <v>278</v>
      </c>
      <c r="J1586" s="91">
        <v>6199</v>
      </c>
      <c r="K1586" s="91">
        <v>0</v>
      </c>
      <c r="L1586" s="91">
        <v>0</v>
      </c>
      <c r="M1586" s="91">
        <v>0</v>
      </c>
      <c r="N1586" s="91">
        <v>0</v>
      </c>
      <c r="O1586" s="91">
        <v>0</v>
      </c>
      <c r="P1586" s="91">
        <v>0</v>
      </c>
      <c r="Q1586" s="97">
        <f t="shared" si="48"/>
        <v>6199</v>
      </c>
      <c r="R1586" s="95">
        <f t="shared" si="49"/>
        <v>5269.15</v>
      </c>
    </row>
    <row r="1587" spans="1:18" ht="34.049999999999997" customHeight="1" x14ac:dyDescent="0.3">
      <c r="A1587" s="90">
        <v>1576</v>
      </c>
      <c r="B1587" s="91" t="s">
        <v>5155</v>
      </c>
      <c r="C1587" s="91" t="s">
        <v>5268</v>
      </c>
      <c r="D1587" s="91" t="s">
        <v>5269</v>
      </c>
      <c r="E1587" s="91">
        <v>2024</v>
      </c>
      <c r="F1587" s="91" t="s">
        <v>19</v>
      </c>
      <c r="G1587" s="91" t="s">
        <v>5346</v>
      </c>
      <c r="H1587" s="91" t="s">
        <v>5385</v>
      </c>
      <c r="I1587" s="91" t="s">
        <v>4881</v>
      </c>
      <c r="J1587" s="91">
        <v>6199</v>
      </c>
      <c r="K1587" s="91">
        <v>0</v>
      </c>
      <c r="L1587" s="91">
        <v>0</v>
      </c>
      <c r="M1587" s="91">
        <v>0</v>
      </c>
      <c r="N1587" s="91">
        <v>0</v>
      </c>
      <c r="O1587" s="91">
        <v>0</v>
      </c>
      <c r="P1587" s="91">
        <v>0</v>
      </c>
      <c r="Q1587" s="97">
        <f t="shared" si="48"/>
        <v>6199</v>
      </c>
      <c r="R1587" s="95">
        <f t="shared" si="49"/>
        <v>5269.15</v>
      </c>
    </row>
    <row r="1588" spans="1:18" ht="34.049999999999997" customHeight="1" x14ac:dyDescent="0.3">
      <c r="A1588" s="96">
        <v>1577</v>
      </c>
      <c r="B1588" s="91" t="s">
        <v>5155</v>
      </c>
      <c r="C1588" s="91" t="s">
        <v>5270</v>
      </c>
      <c r="D1588" s="91" t="s">
        <v>5271</v>
      </c>
      <c r="E1588" s="91">
        <v>2023</v>
      </c>
      <c r="F1588" s="91" t="s">
        <v>18</v>
      </c>
      <c r="G1588" s="91" t="s">
        <v>5347</v>
      </c>
      <c r="H1588" s="91" t="s">
        <v>5386</v>
      </c>
      <c r="I1588" s="91" t="s">
        <v>5407</v>
      </c>
      <c r="J1588" s="91">
        <v>6199</v>
      </c>
      <c r="K1588" s="91">
        <v>0</v>
      </c>
      <c r="L1588" s="91">
        <v>0</v>
      </c>
      <c r="M1588" s="91">
        <v>0</v>
      </c>
      <c r="N1588" s="91">
        <v>0</v>
      </c>
      <c r="O1588" s="91">
        <v>0</v>
      </c>
      <c r="P1588" s="91">
        <v>0</v>
      </c>
      <c r="Q1588" s="97">
        <f t="shared" si="48"/>
        <v>6199</v>
      </c>
      <c r="R1588" s="95">
        <f t="shared" si="49"/>
        <v>5269.15</v>
      </c>
    </row>
    <row r="1589" spans="1:18" ht="34.049999999999997" customHeight="1" x14ac:dyDescent="0.3">
      <c r="A1589" s="90">
        <v>1578</v>
      </c>
      <c r="B1589" s="91" t="s">
        <v>5155</v>
      </c>
      <c r="C1589" s="91" t="s">
        <v>5272</v>
      </c>
      <c r="D1589" s="91" t="s">
        <v>5273</v>
      </c>
      <c r="E1589" s="91">
        <v>1977</v>
      </c>
      <c r="F1589" s="91" t="s">
        <v>19</v>
      </c>
      <c r="G1589" s="91" t="s">
        <v>5348</v>
      </c>
      <c r="H1589" s="91" t="s">
        <v>5348</v>
      </c>
      <c r="I1589" s="91" t="s">
        <v>3687</v>
      </c>
      <c r="J1589" s="91">
        <v>6199</v>
      </c>
      <c r="K1589" s="91">
        <v>0</v>
      </c>
      <c r="L1589" s="91">
        <v>0</v>
      </c>
      <c r="M1589" s="91">
        <v>0</v>
      </c>
      <c r="N1589" s="91">
        <v>0</v>
      </c>
      <c r="O1589" s="91">
        <v>0</v>
      </c>
      <c r="P1589" s="91">
        <v>0</v>
      </c>
      <c r="Q1589" s="97">
        <f t="shared" si="48"/>
        <v>6199</v>
      </c>
      <c r="R1589" s="95">
        <f t="shared" si="49"/>
        <v>5269.15</v>
      </c>
    </row>
    <row r="1590" spans="1:18" ht="34.049999999999997" customHeight="1" x14ac:dyDescent="0.3">
      <c r="A1590" s="90">
        <v>1579</v>
      </c>
      <c r="B1590" s="91" t="s">
        <v>5155</v>
      </c>
      <c r="C1590" s="91" t="s">
        <v>5274</v>
      </c>
      <c r="D1590" s="91" t="s">
        <v>5275</v>
      </c>
      <c r="E1590" s="91">
        <v>1985</v>
      </c>
      <c r="F1590" s="91" t="s">
        <v>18</v>
      </c>
      <c r="G1590" s="91" t="s">
        <v>5349</v>
      </c>
      <c r="H1590" s="91" t="s">
        <v>5349</v>
      </c>
      <c r="I1590" s="91" t="s">
        <v>293</v>
      </c>
      <c r="J1590" s="91">
        <v>6199</v>
      </c>
      <c r="K1590" s="91">
        <v>0</v>
      </c>
      <c r="L1590" s="91">
        <v>0</v>
      </c>
      <c r="M1590" s="91">
        <v>0</v>
      </c>
      <c r="N1590" s="91">
        <v>0</v>
      </c>
      <c r="O1590" s="91">
        <v>0</v>
      </c>
      <c r="P1590" s="91">
        <v>0</v>
      </c>
      <c r="Q1590" s="97">
        <f t="shared" si="48"/>
        <v>6199</v>
      </c>
      <c r="R1590" s="95">
        <f t="shared" si="49"/>
        <v>5269.15</v>
      </c>
    </row>
    <row r="1591" spans="1:18" ht="34.049999999999997" customHeight="1" x14ac:dyDescent="0.3">
      <c r="A1591" s="96">
        <v>1580</v>
      </c>
      <c r="B1591" s="91" t="s">
        <v>5155</v>
      </c>
      <c r="C1591" s="91" t="s">
        <v>5276</v>
      </c>
      <c r="D1591" s="91" t="s">
        <v>5277</v>
      </c>
      <c r="E1591" s="91">
        <v>1979</v>
      </c>
      <c r="F1591" s="91" t="s">
        <v>19</v>
      </c>
      <c r="G1591" s="91" t="s">
        <v>5350</v>
      </c>
      <c r="H1591" s="91" t="s">
        <v>5350</v>
      </c>
      <c r="I1591" s="91" t="s">
        <v>5408</v>
      </c>
      <c r="J1591" s="91">
        <v>6199</v>
      </c>
      <c r="K1591" s="91">
        <v>0</v>
      </c>
      <c r="L1591" s="91">
        <v>0</v>
      </c>
      <c r="M1591" s="91">
        <v>0</v>
      </c>
      <c r="N1591" s="91">
        <v>0</v>
      </c>
      <c r="O1591" s="91">
        <v>0</v>
      </c>
      <c r="P1591" s="91">
        <v>0</v>
      </c>
      <c r="Q1591" s="97">
        <f t="shared" si="48"/>
        <v>6199</v>
      </c>
      <c r="R1591" s="95">
        <f t="shared" si="49"/>
        <v>5269.15</v>
      </c>
    </row>
    <row r="1592" spans="1:18" ht="34.049999999999997" customHeight="1" x14ac:dyDescent="0.3">
      <c r="A1592" s="90">
        <v>1581</v>
      </c>
      <c r="B1592" s="91" t="s">
        <v>5155</v>
      </c>
      <c r="C1592" s="91" t="s">
        <v>5278</v>
      </c>
      <c r="D1592" s="91" t="s">
        <v>5279</v>
      </c>
      <c r="E1592" s="91">
        <v>1973</v>
      </c>
      <c r="F1592" s="91" t="s">
        <v>18</v>
      </c>
      <c r="G1592" s="91" t="s">
        <v>5351</v>
      </c>
      <c r="H1592" s="91" t="s">
        <v>5387</v>
      </c>
      <c r="I1592" s="91" t="s">
        <v>2622</v>
      </c>
      <c r="J1592" s="91">
        <v>6199</v>
      </c>
      <c r="K1592" s="91">
        <v>0</v>
      </c>
      <c r="L1592" s="91">
        <v>0</v>
      </c>
      <c r="M1592" s="91">
        <v>0</v>
      </c>
      <c r="N1592" s="91">
        <v>0</v>
      </c>
      <c r="O1592" s="91">
        <v>0</v>
      </c>
      <c r="P1592" s="91">
        <v>0</v>
      </c>
      <c r="Q1592" s="97">
        <f t="shared" si="48"/>
        <v>6199</v>
      </c>
      <c r="R1592" s="95">
        <f t="shared" si="49"/>
        <v>5269.15</v>
      </c>
    </row>
    <row r="1593" spans="1:18" ht="34.049999999999997" customHeight="1" x14ac:dyDescent="0.3">
      <c r="A1593" s="90">
        <v>1582</v>
      </c>
      <c r="B1593" s="91" t="s">
        <v>5155</v>
      </c>
      <c r="C1593" s="91" t="s">
        <v>5280</v>
      </c>
      <c r="D1593" s="91" t="s">
        <v>4684</v>
      </c>
      <c r="E1593" s="91">
        <v>2020</v>
      </c>
      <c r="F1593" s="91" t="s">
        <v>19</v>
      </c>
      <c r="G1593" s="91" t="s">
        <v>4796</v>
      </c>
      <c r="H1593" s="91" t="s">
        <v>4843</v>
      </c>
      <c r="I1593" s="91" t="s">
        <v>4869</v>
      </c>
      <c r="J1593" s="91">
        <v>3793</v>
      </c>
      <c r="K1593" s="91">
        <v>0</v>
      </c>
      <c r="L1593" s="91">
        <v>0</v>
      </c>
      <c r="M1593" s="91">
        <v>0</v>
      </c>
      <c r="N1593" s="91">
        <v>0</v>
      </c>
      <c r="O1593" s="91">
        <v>0</v>
      </c>
      <c r="P1593" s="91">
        <v>0</v>
      </c>
      <c r="Q1593" s="97">
        <f t="shared" si="48"/>
        <v>3793</v>
      </c>
      <c r="R1593" s="95">
        <f t="shared" si="49"/>
        <v>3224.05</v>
      </c>
    </row>
    <row r="1594" spans="1:18" ht="34.049999999999997" customHeight="1" x14ac:dyDescent="0.3">
      <c r="A1594" s="96">
        <v>1583</v>
      </c>
      <c r="B1594" s="91" t="s">
        <v>5155</v>
      </c>
      <c r="C1594" s="91" t="s">
        <v>5281</v>
      </c>
      <c r="D1594" s="91" t="s">
        <v>5282</v>
      </c>
      <c r="E1594" s="91">
        <v>2025</v>
      </c>
      <c r="F1594" s="91" t="s">
        <v>19</v>
      </c>
      <c r="G1594" s="91" t="s">
        <v>5352</v>
      </c>
      <c r="H1594" s="91" t="s">
        <v>5388</v>
      </c>
      <c r="I1594" s="91" t="s">
        <v>1279</v>
      </c>
      <c r="J1594" s="91">
        <v>6199</v>
      </c>
      <c r="K1594" s="91">
        <f>6278+4484+1346</f>
        <v>12108</v>
      </c>
      <c r="L1594" s="91">
        <v>0</v>
      </c>
      <c r="M1594" s="91">
        <v>0</v>
      </c>
      <c r="N1594" s="91">
        <v>3148</v>
      </c>
      <c r="O1594" s="91">
        <v>0</v>
      </c>
      <c r="P1594" s="91">
        <v>0</v>
      </c>
      <c r="Q1594" s="97">
        <f t="shared" si="48"/>
        <v>21455</v>
      </c>
      <c r="R1594" s="95">
        <f t="shared" si="49"/>
        <v>18236.75</v>
      </c>
    </row>
    <row r="1595" spans="1:18" ht="34.049999999999997" customHeight="1" x14ac:dyDescent="0.3">
      <c r="A1595" s="90">
        <v>1584</v>
      </c>
      <c r="B1595" s="91" t="s">
        <v>5155</v>
      </c>
      <c r="C1595" s="91" t="s">
        <v>5283</v>
      </c>
      <c r="D1595" s="91" t="s">
        <v>5284</v>
      </c>
      <c r="E1595" s="91">
        <v>2020</v>
      </c>
      <c r="F1595" s="91" t="s">
        <v>19</v>
      </c>
      <c r="G1595" s="91" t="s">
        <v>5353</v>
      </c>
      <c r="H1595" s="91" t="s">
        <v>5387</v>
      </c>
      <c r="I1595" s="91" t="s">
        <v>2622</v>
      </c>
      <c r="J1595" s="91">
        <v>6199</v>
      </c>
      <c r="K1595" s="91">
        <f>1166+2801+2332+2332</f>
        <v>8631</v>
      </c>
      <c r="L1595" s="91">
        <v>0</v>
      </c>
      <c r="M1595" s="91">
        <v>0</v>
      </c>
      <c r="N1595" s="91">
        <v>0</v>
      </c>
      <c r="O1595" s="91">
        <v>0</v>
      </c>
      <c r="P1595" s="91">
        <v>0</v>
      </c>
      <c r="Q1595" s="97">
        <f t="shared" si="48"/>
        <v>14830</v>
      </c>
      <c r="R1595" s="95">
        <f t="shared" si="49"/>
        <v>12605.5</v>
      </c>
    </row>
    <row r="1596" spans="1:18" ht="34.049999999999997" customHeight="1" x14ac:dyDescent="0.3">
      <c r="A1596" s="90">
        <v>1585</v>
      </c>
      <c r="B1596" s="91" t="s">
        <v>5155</v>
      </c>
      <c r="C1596" s="91" t="s">
        <v>5285</v>
      </c>
      <c r="D1596" s="91" t="s">
        <v>2490</v>
      </c>
      <c r="E1596" s="91">
        <v>2022</v>
      </c>
      <c r="F1596" s="91" t="s">
        <v>19</v>
      </c>
      <c r="G1596" s="91" t="s">
        <v>2555</v>
      </c>
      <c r="H1596" s="91" t="s">
        <v>2587</v>
      </c>
      <c r="I1596" s="91" t="s">
        <v>2618</v>
      </c>
      <c r="J1596" s="91">
        <v>3793</v>
      </c>
      <c r="K1596" s="91">
        <v>0</v>
      </c>
      <c r="L1596" s="91">
        <v>0</v>
      </c>
      <c r="M1596" s="91">
        <v>0</v>
      </c>
      <c r="N1596" s="91">
        <v>0</v>
      </c>
      <c r="O1596" s="91">
        <v>0</v>
      </c>
      <c r="P1596" s="91">
        <v>0</v>
      </c>
      <c r="Q1596" s="97">
        <f t="shared" si="48"/>
        <v>3793</v>
      </c>
      <c r="R1596" s="95">
        <f t="shared" si="49"/>
        <v>3224.05</v>
      </c>
    </row>
    <row r="1597" spans="1:18" ht="34.049999999999997" customHeight="1" x14ac:dyDescent="0.3">
      <c r="A1597" s="96">
        <v>1586</v>
      </c>
      <c r="B1597" s="91" t="s">
        <v>5155</v>
      </c>
      <c r="C1597" s="91" t="s">
        <v>5286</v>
      </c>
      <c r="D1597" s="91" t="s">
        <v>5287</v>
      </c>
      <c r="E1597" s="91">
        <v>1988</v>
      </c>
      <c r="F1597" s="91" t="s">
        <v>18</v>
      </c>
      <c r="G1597" s="91" t="s">
        <v>5354</v>
      </c>
      <c r="H1597" s="91" t="s">
        <v>5389</v>
      </c>
      <c r="I1597" s="91" t="s">
        <v>5409</v>
      </c>
      <c r="J1597" s="91">
        <v>6199</v>
      </c>
      <c r="K1597" s="91">
        <v>0</v>
      </c>
      <c r="L1597" s="91">
        <v>0</v>
      </c>
      <c r="M1597" s="91">
        <v>0</v>
      </c>
      <c r="N1597" s="91">
        <v>0</v>
      </c>
      <c r="O1597" s="91">
        <v>0</v>
      </c>
      <c r="P1597" s="91">
        <v>0</v>
      </c>
      <c r="Q1597" s="97">
        <f t="shared" si="48"/>
        <v>6199</v>
      </c>
      <c r="R1597" s="95">
        <f t="shared" si="49"/>
        <v>5269.15</v>
      </c>
    </row>
    <row r="1598" spans="1:18" ht="34.049999999999997" customHeight="1" x14ac:dyDescent="0.3">
      <c r="A1598" s="90">
        <v>1587</v>
      </c>
      <c r="B1598" s="91" t="s">
        <v>5155</v>
      </c>
      <c r="C1598" s="91" t="s">
        <v>5288</v>
      </c>
      <c r="D1598" s="91" t="s">
        <v>5289</v>
      </c>
      <c r="E1598" s="91">
        <v>2022</v>
      </c>
      <c r="F1598" s="91" t="s">
        <v>18</v>
      </c>
      <c r="G1598" s="91" t="s">
        <v>5355</v>
      </c>
      <c r="H1598" s="91" t="s">
        <v>5390</v>
      </c>
      <c r="I1598" s="91" t="s">
        <v>289</v>
      </c>
      <c r="J1598" s="91">
        <v>6199</v>
      </c>
      <c r="K1598" s="91">
        <v>0</v>
      </c>
      <c r="L1598" s="91">
        <v>0</v>
      </c>
      <c r="M1598" s="91">
        <v>0</v>
      </c>
      <c r="N1598" s="91">
        <v>0</v>
      </c>
      <c r="O1598" s="91">
        <v>0</v>
      </c>
      <c r="P1598" s="91">
        <v>0</v>
      </c>
      <c r="Q1598" s="97">
        <f t="shared" si="48"/>
        <v>6199</v>
      </c>
      <c r="R1598" s="95">
        <f t="shared" si="49"/>
        <v>5269.15</v>
      </c>
    </row>
    <row r="1599" spans="1:18" ht="34.049999999999997" customHeight="1" x14ac:dyDescent="0.3">
      <c r="A1599" s="90">
        <v>1588</v>
      </c>
      <c r="B1599" s="91" t="s">
        <v>5155</v>
      </c>
      <c r="C1599" s="91" t="s">
        <v>5290</v>
      </c>
      <c r="D1599" s="91" t="s">
        <v>2730</v>
      </c>
      <c r="E1599" s="91">
        <v>2015</v>
      </c>
      <c r="F1599" s="91" t="s">
        <v>18</v>
      </c>
      <c r="G1599" s="91" t="s">
        <v>2792</v>
      </c>
      <c r="H1599" s="91" t="s">
        <v>2832</v>
      </c>
      <c r="I1599" s="91" t="s">
        <v>300</v>
      </c>
      <c r="J1599" s="91">
        <v>3793</v>
      </c>
      <c r="K1599" s="91">
        <f>6278+1346</f>
        <v>7624</v>
      </c>
      <c r="L1599" s="91">
        <v>0</v>
      </c>
      <c r="M1599" s="91">
        <v>0</v>
      </c>
      <c r="N1599" s="91">
        <f>3148+1178+3179</f>
        <v>7505</v>
      </c>
      <c r="O1599" s="91">
        <v>0</v>
      </c>
      <c r="P1599" s="91">
        <f>360+56+720+1080</f>
        <v>2216</v>
      </c>
      <c r="Q1599" s="97">
        <f t="shared" si="48"/>
        <v>21138</v>
      </c>
      <c r="R1599" s="95">
        <f t="shared" si="49"/>
        <v>17967.3</v>
      </c>
    </row>
    <row r="1600" spans="1:18" ht="34.049999999999997" customHeight="1" x14ac:dyDescent="0.3">
      <c r="A1600" s="96">
        <v>1589</v>
      </c>
      <c r="B1600" s="91" t="s">
        <v>5155</v>
      </c>
      <c r="C1600" s="91" t="s">
        <v>5291</v>
      </c>
      <c r="D1600" s="91" t="s">
        <v>2641</v>
      </c>
      <c r="E1600" s="91">
        <v>2023</v>
      </c>
      <c r="F1600" s="91" t="s">
        <v>19</v>
      </c>
      <c r="G1600" s="91" t="s">
        <v>2642</v>
      </c>
      <c r="H1600" s="91" t="s">
        <v>2643</v>
      </c>
      <c r="I1600" s="91" t="s">
        <v>1066</v>
      </c>
      <c r="J1600" s="91">
        <v>6199</v>
      </c>
      <c r="K1600" s="91">
        <v>0</v>
      </c>
      <c r="L1600" s="91">
        <v>0</v>
      </c>
      <c r="M1600" s="91">
        <v>0</v>
      </c>
      <c r="N1600" s="91">
        <v>0</v>
      </c>
      <c r="O1600" s="91">
        <v>0</v>
      </c>
      <c r="P1600" s="91">
        <v>0</v>
      </c>
      <c r="Q1600" s="97">
        <f t="shared" si="48"/>
        <v>6199</v>
      </c>
      <c r="R1600" s="95">
        <f t="shared" si="49"/>
        <v>5269.15</v>
      </c>
    </row>
    <row r="1601" spans="1:18" ht="34.049999999999997" customHeight="1" x14ac:dyDescent="0.3">
      <c r="A1601" s="90">
        <v>1590</v>
      </c>
      <c r="B1601" s="91" t="s">
        <v>5155</v>
      </c>
      <c r="C1601" s="91" t="s">
        <v>7278</v>
      </c>
      <c r="D1601" s="93" t="s">
        <v>6942</v>
      </c>
      <c r="E1601" s="91">
        <v>2024</v>
      </c>
      <c r="F1601" s="91" t="s">
        <v>6943</v>
      </c>
      <c r="G1601" s="91" t="s">
        <v>6944</v>
      </c>
      <c r="H1601" s="91" t="s">
        <v>3466</v>
      </c>
      <c r="I1601" s="91" t="s">
        <v>4208</v>
      </c>
      <c r="J1601" s="91">
        <v>6199</v>
      </c>
      <c r="K1601" s="91">
        <f>6278+4484+1346+2332+2332+2332+2332+2332+2332+4484+6995+6995+2332+6995</f>
        <v>53901</v>
      </c>
      <c r="L1601" s="91">
        <v>0</v>
      </c>
      <c r="M1601" s="91">
        <v>0</v>
      </c>
      <c r="N1601" s="91">
        <f>3148+3179+1178</f>
        <v>7505</v>
      </c>
      <c r="O1601" s="91">
        <v>0</v>
      </c>
      <c r="P1601" s="91">
        <f>720+1080+360+56</f>
        <v>2216</v>
      </c>
      <c r="Q1601" s="97">
        <f t="shared" si="48"/>
        <v>69821</v>
      </c>
      <c r="R1601" s="95">
        <f t="shared" si="49"/>
        <v>59347.85</v>
      </c>
    </row>
    <row r="1602" spans="1:18" ht="34.049999999999997" customHeight="1" x14ac:dyDescent="0.3">
      <c r="A1602" s="90">
        <v>1591</v>
      </c>
      <c r="B1602" s="91" t="s">
        <v>5155</v>
      </c>
      <c r="C1602" s="91" t="s">
        <v>7278</v>
      </c>
      <c r="D1602" s="93" t="s">
        <v>6942</v>
      </c>
      <c r="E1602" s="91">
        <v>2024</v>
      </c>
      <c r="F1602" s="91" t="s">
        <v>18</v>
      </c>
      <c r="G1602" s="91" t="s">
        <v>6944</v>
      </c>
      <c r="H1602" s="91" t="s">
        <v>3466</v>
      </c>
      <c r="I1602" s="91" t="s">
        <v>4208</v>
      </c>
      <c r="J1602" s="91">
        <v>0</v>
      </c>
      <c r="K1602" s="91">
        <v>0</v>
      </c>
      <c r="L1602" s="91">
        <v>0</v>
      </c>
      <c r="M1602" s="91">
        <v>17688</v>
      </c>
      <c r="N1602" s="91">
        <v>0</v>
      </c>
      <c r="O1602" s="91">
        <v>0</v>
      </c>
      <c r="P1602" s="91">
        <f>360+56</f>
        <v>416</v>
      </c>
      <c r="Q1602" s="97">
        <f t="shared" si="48"/>
        <v>18104</v>
      </c>
      <c r="R1602" s="95">
        <f t="shared" si="49"/>
        <v>15388.4</v>
      </c>
    </row>
    <row r="1603" spans="1:18" ht="34.049999999999997" customHeight="1" x14ac:dyDescent="0.3">
      <c r="A1603" s="96">
        <v>1592</v>
      </c>
      <c r="B1603" s="91" t="s">
        <v>5155</v>
      </c>
      <c r="C1603" s="91" t="s">
        <v>7279</v>
      </c>
      <c r="D1603" s="93" t="s">
        <v>4638</v>
      </c>
      <c r="E1603" s="91">
        <v>2023</v>
      </c>
      <c r="F1603" s="91" t="s">
        <v>18</v>
      </c>
      <c r="G1603" s="91" t="s">
        <v>4774</v>
      </c>
      <c r="H1603" s="91" t="s">
        <v>1614</v>
      </c>
      <c r="I1603" s="91" t="s">
        <v>4861</v>
      </c>
      <c r="J1603" s="91">
        <v>2900</v>
      </c>
      <c r="K1603" s="91">
        <v>0</v>
      </c>
      <c r="L1603" s="91">
        <v>0</v>
      </c>
      <c r="M1603" s="91">
        <v>0</v>
      </c>
      <c r="N1603" s="91">
        <v>2088</v>
      </c>
      <c r="O1603" s="91">
        <v>0</v>
      </c>
      <c r="P1603" s="91">
        <f>360+56</f>
        <v>416</v>
      </c>
      <c r="Q1603" s="97">
        <f t="shared" si="48"/>
        <v>5404</v>
      </c>
      <c r="R1603" s="95">
        <f t="shared" si="49"/>
        <v>4593.3999999999996</v>
      </c>
    </row>
    <row r="1604" spans="1:18" ht="34.049999999999997" customHeight="1" x14ac:dyDescent="0.3">
      <c r="A1604" s="90">
        <v>1593</v>
      </c>
      <c r="B1604" s="91" t="s">
        <v>5155</v>
      </c>
      <c r="C1604" s="91" t="s">
        <v>7280</v>
      </c>
      <c r="D1604" s="93" t="s">
        <v>4911</v>
      </c>
      <c r="E1604" s="91">
        <v>2024</v>
      </c>
      <c r="F1604" s="91" t="s">
        <v>18</v>
      </c>
      <c r="G1604" s="91" t="s">
        <v>5029</v>
      </c>
      <c r="H1604" s="91" t="s">
        <v>1044</v>
      </c>
      <c r="I1604" s="91" t="s">
        <v>5128</v>
      </c>
      <c r="J1604" s="91">
        <v>2900</v>
      </c>
      <c r="K1604" s="91">
        <v>0</v>
      </c>
      <c r="L1604" s="91">
        <v>0</v>
      </c>
      <c r="M1604" s="91">
        <v>0</v>
      </c>
      <c r="N1604" s="91">
        <v>2088</v>
      </c>
      <c r="O1604" s="91">
        <v>0</v>
      </c>
      <c r="P1604" s="91">
        <f>360+56</f>
        <v>416</v>
      </c>
      <c r="Q1604" s="97">
        <f t="shared" si="48"/>
        <v>5404</v>
      </c>
      <c r="R1604" s="95">
        <f t="shared" si="49"/>
        <v>4593.3999999999996</v>
      </c>
    </row>
    <row r="1605" spans="1:18" ht="34.049999999999997" customHeight="1" x14ac:dyDescent="0.3">
      <c r="A1605" s="90">
        <v>1594</v>
      </c>
      <c r="B1605" s="91" t="s">
        <v>5410</v>
      </c>
      <c r="C1605" s="91" t="s">
        <v>5411</v>
      </c>
      <c r="D1605" s="91" t="s">
        <v>5412</v>
      </c>
      <c r="E1605" s="91">
        <v>1989</v>
      </c>
      <c r="F1605" s="91" t="s">
        <v>19</v>
      </c>
      <c r="G1605" s="91" t="s">
        <v>5592</v>
      </c>
      <c r="H1605" s="91" t="s">
        <v>5592</v>
      </c>
      <c r="I1605" s="91" t="s">
        <v>5728</v>
      </c>
      <c r="J1605" s="91">
        <v>6199</v>
      </c>
      <c r="K1605" s="91">
        <v>0</v>
      </c>
      <c r="L1605" s="91">
        <v>0</v>
      </c>
      <c r="M1605" s="91">
        <v>0</v>
      </c>
      <c r="N1605" s="91">
        <v>0</v>
      </c>
      <c r="O1605" s="91">
        <v>0</v>
      </c>
      <c r="P1605" s="91">
        <v>0</v>
      </c>
      <c r="Q1605" s="97">
        <f t="shared" si="48"/>
        <v>6199</v>
      </c>
      <c r="R1605" s="95">
        <f t="shared" si="49"/>
        <v>5269.15</v>
      </c>
    </row>
    <row r="1606" spans="1:18" ht="34.049999999999997" customHeight="1" x14ac:dyDescent="0.3">
      <c r="A1606" s="96">
        <v>1595</v>
      </c>
      <c r="B1606" s="91" t="s">
        <v>5410</v>
      </c>
      <c r="C1606" s="91" t="s">
        <v>5413</v>
      </c>
      <c r="D1606" s="91" t="s">
        <v>5414</v>
      </c>
      <c r="E1606" s="91">
        <v>1950</v>
      </c>
      <c r="F1606" s="91" t="s">
        <v>18</v>
      </c>
      <c r="G1606" s="91" t="s">
        <v>5593</v>
      </c>
      <c r="H1606" s="91" t="s">
        <v>5593</v>
      </c>
      <c r="I1606" s="91" t="s">
        <v>824</v>
      </c>
      <c r="J1606" s="91">
        <v>6199</v>
      </c>
      <c r="K1606" s="91">
        <f>6278+2332+2332+2332+13452+2332+4484+4484</f>
        <v>38026</v>
      </c>
      <c r="L1606" s="91">
        <v>0</v>
      </c>
      <c r="M1606" s="91">
        <v>0</v>
      </c>
      <c r="N1606" s="91">
        <v>1793</v>
      </c>
      <c r="O1606" s="91">
        <v>0</v>
      </c>
      <c r="P1606" s="91">
        <v>0</v>
      </c>
      <c r="Q1606" s="97">
        <f t="shared" si="48"/>
        <v>46018</v>
      </c>
      <c r="R1606" s="95">
        <f t="shared" si="49"/>
        <v>39115.300000000003</v>
      </c>
    </row>
    <row r="1607" spans="1:18" ht="34.049999999999997" customHeight="1" x14ac:dyDescent="0.3">
      <c r="A1607" s="90">
        <v>1596</v>
      </c>
      <c r="B1607" s="91" t="s">
        <v>5410</v>
      </c>
      <c r="C1607" s="91" t="s">
        <v>5415</v>
      </c>
      <c r="D1607" s="91" t="s">
        <v>5416</v>
      </c>
      <c r="E1607" s="91">
        <v>2017</v>
      </c>
      <c r="F1607" s="91" t="s">
        <v>19</v>
      </c>
      <c r="G1607" s="91" t="s">
        <v>5594</v>
      </c>
      <c r="H1607" s="91" t="s">
        <v>5678</v>
      </c>
      <c r="I1607" s="91" t="s">
        <v>4611</v>
      </c>
      <c r="J1607" s="91">
        <v>6199</v>
      </c>
      <c r="K1607" s="91">
        <f>6278+4484+1346</f>
        <v>12108</v>
      </c>
      <c r="L1607" s="91">
        <v>0</v>
      </c>
      <c r="M1607" s="91">
        <v>0</v>
      </c>
      <c r="N1607" s="91">
        <v>3148</v>
      </c>
      <c r="O1607" s="91">
        <v>0</v>
      </c>
      <c r="P1607" s="91">
        <v>0</v>
      </c>
      <c r="Q1607" s="97">
        <f t="shared" si="48"/>
        <v>21455</v>
      </c>
      <c r="R1607" s="95">
        <f t="shared" si="49"/>
        <v>18236.75</v>
      </c>
    </row>
    <row r="1608" spans="1:18" ht="34.049999999999997" customHeight="1" x14ac:dyDescent="0.3">
      <c r="A1608" s="90">
        <v>1597</v>
      </c>
      <c r="B1608" s="91" t="s">
        <v>5410</v>
      </c>
      <c r="C1608" s="91" t="s">
        <v>5417</v>
      </c>
      <c r="D1608" s="91" t="s">
        <v>5418</v>
      </c>
      <c r="E1608" s="91">
        <v>1991</v>
      </c>
      <c r="F1608" s="91" t="s">
        <v>19</v>
      </c>
      <c r="G1608" s="91" t="s">
        <v>5595</v>
      </c>
      <c r="H1608" s="91" t="s">
        <v>5679</v>
      </c>
      <c r="I1608" s="91" t="s">
        <v>826</v>
      </c>
      <c r="J1608" s="91">
        <v>6199</v>
      </c>
      <c r="K1608" s="91">
        <v>3587</v>
      </c>
      <c r="L1608" s="91">
        <v>9422</v>
      </c>
      <c r="M1608" s="91">
        <v>0</v>
      </c>
      <c r="N1608" s="91">
        <v>0</v>
      </c>
      <c r="O1608" s="91">
        <v>0</v>
      </c>
      <c r="P1608" s="91">
        <v>0</v>
      </c>
      <c r="Q1608" s="97">
        <f t="shared" si="48"/>
        <v>19208</v>
      </c>
      <c r="R1608" s="95">
        <f t="shared" si="49"/>
        <v>16326.8</v>
      </c>
    </row>
    <row r="1609" spans="1:18" ht="34.049999999999997" customHeight="1" x14ac:dyDescent="0.3">
      <c r="A1609" s="96">
        <v>1598</v>
      </c>
      <c r="B1609" s="91" t="s">
        <v>5410</v>
      </c>
      <c r="C1609" s="91" t="s">
        <v>5419</v>
      </c>
      <c r="D1609" s="91" t="s">
        <v>5420</v>
      </c>
      <c r="E1609" s="91">
        <v>2020</v>
      </c>
      <c r="F1609" s="91" t="s">
        <v>19</v>
      </c>
      <c r="G1609" s="91" t="s">
        <v>5596</v>
      </c>
      <c r="H1609" s="91" t="s">
        <v>5680</v>
      </c>
      <c r="I1609" s="91" t="s">
        <v>1702</v>
      </c>
      <c r="J1609" s="91">
        <v>6199</v>
      </c>
      <c r="K1609" s="91">
        <f>6278+4484+1346+4484+2332+1166+2332+2332+2332+2332+2332+6995+6995+2332+6995</f>
        <v>55067</v>
      </c>
      <c r="L1609" s="91">
        <v>0</v>
      </c>
      <c r="M1609" s="91">
        <v>0</v>
      </c>
      <c r="N1609" s="91">
        <v>3148</v>
      </c>
      <c r="O1609" s="91">
        <v>0</v>
      </c>
      <c r="P1609" s="91">
        <v>0</v>
      </c>
      <c r="Q1609" s="97">
        <f t="shared" si="48"/>
        <v>64414</v>
      </c>
      <c r="R1609" s="95">
        <f t="shared" si="49"/>
        <v>54751.9</v>
      </c>
    </row>
    <row r="1610" spans="1:18" ht="34.049999999999997" customHeight="1" x14ac:dyDescent="0.3">
      <c r="A1610" s="90">
        <v>1599</v>
      </c>
      <c r="B1610" s="91" t="s">
        <v>5410</v>
      </c>
      <c r="C1610" s="91" t="s">
        <v>5421</v>
      </c>
      <c r="D1610" s="91" t="s">
        <v>5422</v>
      </c>
      <c r="E1610" s="91">
        <v>2012</v>
      </c>
      <c r="F1610" s="91" t="s">
        <v>18</v>
      </c>
      <c r="G1610" s="91" t="s">
        <v>5597</v>
      </c>
      <c r="H1610" s="91" t="s">
        <v>5681</v>
      </c>
      <c r="I1610" s="91" t="s">
        <v>5729</v>
      </c>
      <c r="J1610" s="91">
        <v>6199</v>
      </c>
      <c r="K1610" s="91">
        <v>0</v>
      </c>
      <c r="L1610" s="91">
        <v>0</v>
      </c>
      <c r="M1610" s="91">
        <v>0</v>
      </c>
      <c r="N1610" s="91">
        <v>0</v>
      </c>
      <c r="O1610" s="91">
        <v>0</v>
      </c>
      <c r="P1610" s="91">
        <v>0</v>
      </c>
      <c r="Q1610" s="97">
        <f t="shared" si="48"/>
        <v>6199</v>
      </c>
      <c r="R1610" s="95">
        <f t="shared" si="49"/>
        <v>5269.15</v>
      </c>
    </row>
    <row r="1611" spans="1:18" ht="34.049999999999997" customHeight="1" x14ac:dyDescent="0.3">
      <c r="A1611" s="90">
        <v>1600</v>
      </c>
      <c r="B1611" s="91" t="s">
        <v>5410</v>
      </c>
      <c r="C1611" s="91" t="s">
        <v>5423</v>
      </c>
      <c r="D1611" s="91" t="s">
        <v>5424</v>
      </c>
      <c r="E1611" s="91">
        <v>2023</v>
      </c>
      <c r="F1611" s="91" t="s">
        <v>18</v>
      </c>
      <c r="G1611" s="91" t="s">
        <v>5598</v>
      </c>
      <c r="H1611" s="91" t="s">
        <v>5682</v>
      </c>
      <c r="I1611" s="91" t="s">
        <v>5730</v>
      </c>
      <c r="J1611" s="91">
        <v>6199</v>
      </c>
      <c r="K1611" s="91">
        <f>1346+6278+4484+4484+2332+2332+2332+2332+2332+2332+6995+6995+2332+6995</f>
        <v>53901</v>
      </c>
      <c r="L1611" s="91">
        <v>0</v>
      </c>
      <c r="M1611" s="91">
        <v>0</v>
      </c>
      <c r="N1611" s="91">
        <v>3148</v>
      </c>
      <c r="O1611" s="91">
        <v>0</v>
      </c>
      <c r="P1611" s="91">
        <v>0</v>
      </c>
      <c r="Q1611" s="97">
        <f t="shared" si="48"/>
        <v>63248</v>
      </c>
      <c r="R1611" s="95">
        <f t="shared" si="49"/>
        <v>53760.800000000003</v>
      </c>
    </row>
    <row r="1612" spans="1:18" ht="34.049999999999997" customHeight="1" x14ac:dyDescent="0.3">
      <c r="A1612" s="96">
        <v>1601</v>
      </c>
      <c r="B1612" s="91" t="s">
        <v>5410</v>
      </c>
      <c r="C1612" s="91" t="s">
        <v>5425</v>
      </c>
      <c r="D1612" s="91" t="s">
        <v>2170</v>
      </c>
      <c r="E1612" s="91">
        <v>1990</v>
      </c>
      <c r="F1612" s="91" t="s">
        <v>19</v>
      </c>
      <c r="G1612" s="91" t="s">
        <v>2325</v>
      </c>
      <c r="H1612" s="91" t="s">
        <v>2325</v>
      </c>
      <c r="I1612" s="91" t="s">
        <v>2443</v>
      </c>
      <c r="J1612" s="91">
        <v>3793</v>
      </c>
      <c r="K1612" s="91">
        <v>6278</v>
      </c>
      <c r="L1612" s="91">
        <v>0</v>
      </c>
      <c r="M1612" s="91">
        <v>0</v>
      </c>
      <c r="N1612" s="91">
        <v>1793</v>
      </c>
      <c r="O1612" s="91">
        <v>0</v>
      </c>
      <c r="P1612" s="91">
        <v>0</v>
      </c>
      <c r="Q1612" s="97">
        <f t="shared" ref="Q1612:Q1675" si="50">SUM(J1612:P1612)</f>
        <v>11864</v>
      </c>
      <c r="R1612" s="95">
        <f t="shared" si="49"/>
        <v>10084.4</v>
      </c>
    </row>
    <row r="1613" spans="1:18" ht="34.049999999999997" customHeight="1" x14ac:dyDescent="0.3">
      <c r="A1613" s="90">
        <v>1602</v>
      </c>
      <c r="B1613" s="91" t="s">
        <v>5410</v>
      </c>
      <c r="C1613" s="91" t="s">
        <v>5426</v>
      </c>
      <c r="D1613" s="91" t="s">
        <v>5427</v>
      </c>
      <c r="E1613" s="91">
        <v>2021</v>
      </c>
      <c r="F1613" s="91" t="s">
        <v>19</v>
      </c>
      <c r="G1613" s="91" t="s">
        <v>5599</v>
      </c>
      <c r="H1613" s="91" t="s">
        <v>2325</v>
      </c>
      <c r="I1613" s="91" t="s">
        <v>2443</v>
      </c>
      <c r="J1613" s="91">
        <v>6199</v>
      </c>
      <c r="K1613" s="91">
        <f>1346+6278+4484+1166+4484</f>
        <v>17758</v>
      </c>
      <c r="L1613" s="91">
        <v>0</v>
      </c>
      <c r="M1613" s="91">
        <v>0</v>
      </c>
      <c r="N1613" s="91">
        <v>3148</v>
      </c>
      <c r="O1613" s="91">
        <v>0</v>
      </c>
      <c r="P1613" s="91">
        <v>0</v>
      </c>
      <c r="Q1613" s="97">
        <f t="shared" si="50"/>
        <v>27105</v>
      </c>
      <c r="R1613" s="95">
        <f t="shared" ref="R1613:R1676" si="51">Q1613*85/100</f>
        <v>23039.25</v>
      </c>
    </row>
    <row r="1614" spans="1:18" ht="34.049999999999997" customHeight="1" x14ac:dyDescent="0.3">
      <c r="A1614" s="90">
        <v>1603</v>
      </c>
      <c r="B1614" s="91" t="s">
        <v>5410</v>
      </c>
      <c r="C1614" s="91" t="s">
        <v>5428</v>
      </c>
      <c r="D1614" s="91" t="s">
        <v>5429</v>
      </c>
      <c r="E1614" s="91">
        <v>2024</v>
      </c>
      <c r="F1614" s="91" t="s">
        <v>19</v>
      </c>
      <c r="G1614" s="91" t="s">
        <v>5600</v>
      </c>
      <c r="H1614" s="91" t="s">
        <v>5683</v>
      </c>
      <c r="I1614" s="91" t="s">
        <v>835</v>
      </c>
      <c r="J1614" s="91">
        <v>6199</v>
      </c>
      <c r="K1614" s="91">
        <f>1346+6278+4484</f>
        <v>12108</v>
      </c>
      <c r="L1614" s="91">
        <v>0</v>
      </c>
      <c r="M1614" s="91">
        <v>0</v>
      </c>
      <c r="N1614" s="91">
        <v>3148</v>
      </c>
      <c r="O1614" s="91">
        <v>0</v>
      </c>
      <c r="P1614" s="91">
        <v>0</v>
      </c>
      <c r="Q1614" s="97">
        <f t="shared" si="50"/>
        <v>21455</v>
      </c>
      <c r="R1614" s="95">
        <f t="shared" si="51"/>
        <v>18236.75</v>
      </c>
    </row>
    <row r="1615" spans="1:18" ht="34.049999999999997" customHeight="1" x14ac:dyDescent="0.3">
      <c r="A1615" s="96">
        <v>1604</v>
      </c>
      <c r="B1615" s="91" t="s">
        <v>5410</v>
      </c>
      <c r="C1615" s="91" t="s">
        <v>5430</v>
      </c>
      <c r="D1615" s="91" t="s">
        <v>5431</v>
      </c>
      <c r="E1615" s="91">
        <v>1984</v>
      </c>
      <c r="F1615" s="91" t="s">
        <v>19</v>
      </c>
      <c r="G1615" s="91" t="s">
        <v>5601</v>
      </c>
      <c r="H1615" s="91" t="s">
        <v>5684</v>
      </c>
      <c r="I1615" s="91" t="s">
        <v>274</v>
      </c>
      <c r="J1615" s="91">
        <v>6199</v>
      </c>
      <c r="K1615" s="91">
        <v>0</v>
      </c>
      <c r="L1615" s="91">
        <v>0</v>
      </c>
      <c r="M1615" s="91">
        <v>0</v>
      </c>
      <c r="N1615" s="91">
        <v>0</v>
      </c>
      <c r="O1615" s="91">
        <v>0</v>
      </c>
      <c r="P1615" s="91">
        <v>0</v>
      </c>
      <c r="Q1615" s="97">
        <f t="shared" si="50"/>
        <v>6199</v>
      </c>
      <c r="R1615" s="95">
        <f t="shared" si="51"/>
        <v>5269.15</v>
      </c>
    </row>
    <row r="1616" spans="1:18" ht="34.049999999999997" customHeight="1" x14ac:dyDescent="0.3">
      <c r="A1616" s="90">
        <v>1605</v>
      </c>
      <c r="B1616" s="91" t="s">
        <v>5410</v>
      </c>
      <c r="C1616" s="91" t="s">
        <v>5432</v>
      </c>
      <c r="D1616" s="91" t="s">
        <v>5433</v>
      </c>
      <c r="E1616" s="91">
        <v>2017</v>
      </c>
      <c r="F1616" s="91" t="s">
        <v>19</v>
      </c>
      <c r="G1616" s="91" t="s">
        <v>5602</v>
      </c>
      <c r="H1616" s="91" t="s">
        <v>5685</v>
      </c>
      <c r="I1616" s="91" t="s">
        <v>300</v>
      </c>
      <c r="J1616" s="91">
        <v>3582</v>
      </c>
      <c r="K1616" s="91">
        <v>0</v>
      </c>
      <c r="L1616" s="91">
        <v>0</v>
      </c>
      <c r="M1616" s="91">
        <v>0</v>
      </c>
      <c r="N1616" s="91">
        <f>15443+17918</f>
        <v>33361</v>
      </c>
      <c r="O1616" s="91">
        <v>0</v>
      </c>
      <c r="P1616" s="91">
        <v>0</v>
      </c>
      <c r="Q1616" s="97">
        <f t="shared" si="50"/>
        <v>36943</v>
      </c>
      <c r="R1616" s="95">
        <f t="shared" si="51"/>
        <v>31401.55</v>
      </c>
    </row>
    <row r="1617" spans="1:18" ht="34.049999999999997" customHeight="1" x14ac:dyDescent="0.3">
      <c r="A1617" s="90">
        <v>1606</v>
      </c>
      <c r="B1617" s="91" t="s">
        <v>5410</v>
      </c>
      <c r="C1617" s="91" t="s">
        <v>5434</v>
      </c>
      <c r="D1617" s="91" t="s">
        <v>5435</v>
      </c>
      <c r="E1617" s="91">
        <v>1985</v>
      </c>
      <c r="F1617" s="91" t="s">
        <v>19</v>
      </c>
      <c r="G1617" s="91" t="s">
        <v>5603</v>
      </c>
      <c r="H1617" s="91" t="s">
        <v>5603</v>
      </c>
      <c r="I1617" s="91" t="s">
        <v>5731</v>
      </c>
      <c r="J1617" s="91">
        <v>6199</v>
      </c>
      <c r="K1617" s="91">
        <f>6278+4484+6995+2332+2332+2332+1166+2801+3000+3000+4484+4484+2332+4484+3228</f>
        <v>53732</v>
      </c>
      <c r="L1617" s="91">
        <v>0</v>
      </c>
      <c r="M1617" s="91">
        <v>0</v>
      </c>
      <c r="N1617" s="91">
        <v>1793</v>
      </c>
      <c r="O1617" s="91">
        <v>0</v>
      </c>
      <c r="P1617" s="91">
        <v>0</v>
      </c>
      <c r="Q1617" s="97">
        <f t="shared" si="50"/>
        <v>61724</v>
      </c>
      <c r="R1617" s="95">
        <f t="shared" si="51"/>
        <v>52465.4</v>
      </c>
    </row>
    <row r="1618" spans="1:18" ht="34.049999999999997" customHeight="1" x14ac:dyDescent="0.3">
      <c r="A1618" s="96">
        <v>1607</v>
      </c>
      <c r="B1618" s="91" t="s">
        <v>5410</v>
      </c>
      <c r="C1618" s="91" t="s">
        <v>5436</v>
      </c>
      <c r="D1618" s="91" t="s">
        <v>5437</v>
      </c>
      <c r="E1618" s="91">
        <v>2022</v>
      </c>
      <c r="F1618" s="91" t="s">
        <v>18</v>
      </c>
      <c r="G1618" s="91" t="s">
        <v>5604</v>
      </c>
      <c r="H1618" s="91" t="s">
        <v>5686</v>
      </c>
      <c r="I1618" s="91" t="s">
        <v>5732</v>
      </c>
      <c r="J1618" s="91">
        <v>6199</v>
      </c>
      <c r="K1618" s="91">
        <f>6278+4484+1346+4484+2332+2332+2332+2332+2332+2332+6995+6995+2332+6995+1166</f>
        <v>55067</v>
      </c>
      <c r="L1618" s="91">
        <v>0</v>
      </c>
      <c r="M1618" s="91">
        <v>0</v>
      </c>
      <c r="N1618" s="91">
        <f>3148+4053+1178+2088</f>
        <v>10467</v>
      </c>
      <c r="O1618" s="91">
        <v>0</v>
      </c>
      <c r="P1618" s="91">
        <f>360+56+720+1080</f>
        <v>2216</v>
      </c>
      <c r="Q1618" s="94">
        <f t="shared" si="50"/>
        <v>73949</v>
      </c>
      <c r="R1618" s="95">
        <f t="shared" si="51"/>
        <v>62856.65</v>
      </c>
    </row>
    <row r="1619" spans="1:18" ht="34.049999999999997" customHeight="1" x14ac:dyDescent="0.3">
      <c r="A1619" s="90">
        <v>1608</v>
      </c>
      <c r="B1619" s="91" t="s">
        <v>5410</v>
      </c>
      <c r="C1619" s="91" t="s">
        <v>5438</v>
      </c>
      <c r="D1619" s="91" t="s">
        <v>5439</v>
      </c>
      <c r="E1619" s="91">
        <v>2024</v>
      </c>
      <c r="F1619" s="91" t="s">
        <v>19</v>
      </c>
      <c r="G1619" s="91" t="s">
        <v>5605</v>
      </c>
      <c r="H1619" s="91" t="s">
        <v>5687</v>
      </c>
      <c r="I1619" s="91" t="s">
        <v>5733</v>
      </c>
      <c r="J1619" s="91">
        <v>6199</v>
      </c>
      <c r="K1619" s="91">
        <f>1346+6278+4484+4484</f>
        <v>16592</v>
      </c>
      <c r="L1619" s="91">
        <v>0</v>
      </c>
      <c r="M1619" s="91">
        <v>0</v>
      </c>
      <c r="N1619" s="91">
        <v>3148</v>
      </c>
      <c r="O1619" s="91">
        <v>0</v>
      </c>
      <c r="P1619" s="91">
        <v>0</v>
      </c>
      <c r="Q1619" s="97">
        <f t="shared" si="50"/>
        <v>25939</v>
      </c>
      <c r="R1619" s="95">
        <f t="shared" si="51"/>
        <v>22048.15</v>
      </c>
    </row>
    <row r="1620" spans="1:18" ht="34.049999999999997" customHeight="1" x14ac:dyDescent="0.3">
      <c r="A1620" s="90">
        <v>1609</v>
      </c>
      <c r="B1620" s="91" t="s">
        <v>5410</v>
      </c>
      <c r="C1620" s="91" t="s">
        <v>5440</v>
      </c>
      <c r="D1620" s="91" t="s">
        <v>5441</v>
      </c>
      <c r="E1620" s="91">
        <v>2020</v>
      </c>
      <c r="F1620" s="91" t="s">
        <v>19</v>
      </c>
      <c r="G1620" s="91" t="s">
        <v>5606</v>
      </c>
      <c r="H1620" s="91" t="s">
        <v>5688</v>
      </c>
      <c r="I1620" s="91" t="s">
        <v>5734</v>
      </c>
      <c r="J1620" s="91">
        <v>6199</v>
      </c>
      <c r="K1620" s="91">
        <f>1346+6278+4484+1166+4484+2332+2332+2332+2332+2332+2332+6995+6995+2332+6995</f>
        <v>55067</v>
      </c>
      <c r="L1620" s="91">
        <v>0</v>
      </c>
      <c r="M1620" s="91">
        <v>0</v>
      </c>
      <c r="N1620" s="91">
        <v>3148</v>
      </c>
      <c r="O1620" s="91">
        <v>0</v>
      </c>
      <c r="P1620" s="91">
        <v>0</v>
      </c>
      <c r="Q1620" s="97">
        <f t="shared" si="50"/>
        <v>64414</v>
      </c>
      <c r="R1620" s="95">
        <f t="shared" si="51"/>
        <v>54751.9</v>
      </c>
    </row>
    <row r="1621" spans="1:18" ht="34.049999999999997" customHeight="1" x14ac:dyDescent="0.3">
      <c r="A1621" s="96">
        <v>1610</v>
      </c>
      <c r="B1621" s="91" t="s">
        <v>5410</v>
      </c>
      <c r="C1621" s="91" t="s">
        <v>5442</v>
      </c>
      <c r="D1621" s="91" t="s">
        <v>5443</v>
      </c>
      <c r="E1621" s="91">
        <v>2024</v>
      </c>
      <c r="F1621" s="91" t="s">
        <v>18</v>
      </c>
      <c r="G1621" s="91" t="s">
        <v>5607</v>
      </c>
      <c r="H1621" s="91" t="s">
        <v>5689</v>
      </c>
      <c r="I1621" s="91" t="s">
        <v>1698</v>
      </c>
      <c r="J1621" s="91">
        <v>6199</v>
      </c>
      <c r="K1621" s="91">
        <f>1346+6278+4484+4484+2332+2332+2332+2332+2332+2332+6995+6995+2332+6995</f>
        <v>53901</v>
      </c>
      <c r="L1621" s="91">
        <v>0</v>
      </c>
      <c r="M1621" s="91">
        <v>0</v>
      </c>
      <c r="N1621" s="91">
        <f>3148+4053+1178+2088</f>
        <v>10467</v>
      </c>
      <c r="O1621" s="91">
        <v>0</v>
      </c>
      <c r="P1621" s="91">
        <f>720+1080+120+360+56</f>
        <v>2336</v>
      </c>
      <c r="Q1621" s="97">
        <f t="shared" si="50"/>
        <v>72903</v>
      </c>
      <c r="R1621" s="95">
        <f t="shared" si="51"/>
        <v>61967.55</v>
      </c>
    </row>
    <row r="1622" spans="1:18" ht="34.049999999999997" customHeight="1" x14ac:dyDescent="0.3">
      <c r="A1622" s="90">
        <v>1611</v>
      </c>
      <c r="B1622" s="91" t="s">
        <v>5410</v>
      </c>
      <c r="C1622" s="91" t="s">
        <v>5444</v>
      </c>
      <c r="D1622" s="91" t="s">
        <v>5445</v>
      </c>
      <c r="E1622" s="91">
        <v>1984</v>
      </c>
      <c r="F1622" s="91" t="s">
        <v>19</v>
      </c>
      <c r="G1622" s="91" t="s">
        <v>5608</v>
      </c>
      <c r="H1622" s="91" t="s">
        <v>5690</v>
      </c>
      <c r="I1622" s="91" t="s">
        <v>5735</v>
      </c>
      <c r="J1622" s="91">
        <v>6199</v>
      </c>
      <c r="K1622" s="91">
        <v>0</v>
      </c>
      <c r="L1622" s="91">
        <v>0</v>
      </c>
      <c r="M1622" s="91">
        <v>0</v>
      </c>
      <c r="N1622" s="91">
        <v>0</v>
      </c>
      <c r="O1622" s="91">
        <v>0</v>
      </c>
      <c r="P1622" s="91">
        <v>0</v>
      </c>
      <c r="Q1622" s="97">
        <f t="shared" si="50"/>
        <v>6199</v>
      </c>
      <c r="R1622" s="95">
        <f t="shared" si="51"/>
        <v>5269.15</v>
      </c>
    </row>
    <row r="1623" spans="1:18" ht="34.049999999999997" customHeight="1" x14ac:dyDescent="0.3">
      <c r="A1623" s="90">
        <v>1612</v>
      </c>
      <c r="B1623" s="91" t="s">
        <v>5410</v>
      </c>
      <c r="C1623" s="91" t="s">
        <v>5446</v>
      </c>
      <c r="D1623" s="91" t="s">
        <v>5447</v>
      </c>
      <c r="E1623" s="91">
        <v>1963</v>
      </c>
      <c r="F1623" s="91" t="s">
        <v>19</v>
      </c>
      <c r="G1623" s="91" t="s">
        <v>5609</v>
      </c>
      <c r="H1623" s="91" t="s">
        <v>5609</v>
      </c>
      <c r="I1623" s="91" t="s">
        <v>544</v>
      </c>
      <c r="J1623" s="91">
        <v>6199</v>
      </c>
      <c r="K1623" s="91">
        <v>0</v>
      </c>
      <c r="L1623" s="91">
        <v>0</v>
      </c>
      <c r="M1623" s="91">
        <v>0</v>
      </c>
      <c r="N1623" s="91">
        <v>0</v>
      </c>
      <c r="O1623" s="91">
        <v>0</v>
      </c>
      <c r="P1623" s="91">
        <v>0</v>
      </c>
      <c r="Q1623" s="97">
        <f t="shared" si="50"/>
        <v>6199</v>
      </c>
      <c r="R1623" s="95">
        <f t="shared" si="51"/>
        <v>5269.15</v>
      </c>
    </row>
    <row r="1624" spans="1:18" ht="34.049999999999997" customHeight="1" x14ac:dyDescent="0.3">
      <c r="A1624" s="96">
        <v>1613</v>
      </c>
      <c r="B1624" s="91" t="s">
        <v>5410</v>
      </c>
      <c r="C1624" s="91" t="s">
        <v>5448</v>
      </c>
      <c r="D1624" s="91" t="s">
        <v>5449</v>
      </c>
      <c r="E1624" s="91">
        <v>1980</v>
      </c>
      <c r="F1624" s="91" t="s">
        <v>18</v>
      </c>
      <c r="G1624" s="91" t="s">
        <v>5610</v>
      </c>
      <c r="H1624" s="91" t="s">
        <v>5610</v>
      </c>
      <c r="I1624" s="91" t="s">
        <v>1704</v>
      </c>
      <c r="J1624" s="91">
        <v>6199</v>
      </c>
      <c r="K1624" s="91">
        <f>1346+6278+4484+2332+2332+2332+2332+2332+2332+4484+4484+2332+4484+3228+3000+3000</f>
        <v>51112</v>
      </c>
      <c r="L1624" s="91">
        <v>0</v>
      </c>
      <c r="M1624" s="91">
        <v>0</v>
      </c>
      <c r="N1624" s="91">
        <v>1793</v>
      </c>
      <c r="O1624" s="91">
        <v>0</v>
      </c>
      <c r="P1624" s="91">
        <v>0</v>
      </c>
      <c r="Q1624" s="97">
        <f t="shared" si="50"/>
        <v>59104</v>
      </c>
      <c r="R1624" s="95">
        <f t="shared" si="51"/>
        <v>50238.400000000001</v>
      </c>
    </row>
    <row r="1625" spans="1:18" ht="34.049999999999997" customHeight="1" x14ac:dyDescent="0.3">
      <c r="A1625" s="90">
        <v>1614</v>
      </c>
      <c r="B1625" s="91" t="s">
        <v>5410</v>
      </c>
      <c r="C1625" s="91" t="s">
        <v>5450</v>
      </c>
      <c r="D1625" s="91" t="s">
        <v>5451</v>
      </c>
      <c r="E1625" s="91">
        <v>2020</v>
      </c>
      <c r="F1625" s="91" t="s">
        <v>19</v>
      </c>
      <c r="G1625" s="91" t="s">
        <v>5611</v>
      </c>
      <c r="H1625" s="91" t="s">
        <v>5691</v>
      </c>
      <c r="I1625" s="91" t="s">
        <v>541</v>
      </c>
      <c r="J1625" s="91">
        <v>6199</v>
      </c>
      <c r="K1625" s="91">
        <f>1346+6278+4484+2332+2332+2332+6995+2332+6995+6995+4484+2332+2332+2332</f>
        <v>53901</v>
      </c>
      <c r="L1625" s="91">
        <v>0</v>
      </c>
      <c r="M1625" s="91">
        <v>0</v>
      </c>
      <c r="N1625" s="91">
        <v>3148</v>
      </c>
      <c r="O1625" s="91">
        <v>0</v>
      </c>
      <c r="P1625" s="91">
        <v>0</v>
      </c>
      <c r="Q1625" s="97">
        <f t="shared" si="50"/>
        <v>63248</v>
      </c>
      <c r="R1625" s="95">
        <f t="shared" si="51"/>
        <v>53760.800000000003</v>
      </c>
    </row>
    <row r="1626" spans="1:18" ht="34.049999999999997" customHeight="1" x14ac:dyDescent="0.3">
      <c r="A1626" s="90">
        <v>1615</v>
      </c>
      <c r="B1626" s="91" t="s">
        <v>5410</v>
      </c>
      <c r="C1626" s="91" t="s">
        <v>5452</v>
      </c>
      <c r="D1626" s="91" t="s">
        <v>5453</v>
      </c>
      <c r="E1626" s="91">
        <v>1999</v>
      </c>
      <c r="F1626" s="91" t="s">
        <v>19</v>
      </c>
      <c r="G1626" s="91" t="s">
        <v>5612</v>
      </c>
      <c r="H1626" s="91" t="s">
        <v>5692</v>
      </c>
      <c r="I1626" s="91" t="s">
        <v>5736</v>
      </c>
      <c r="J1626" s="91">
        <v>6199</v>
      </c>
      <c r="K1626" s="91">
        <v>0</v>
      </c>
      <c r="L1626" s="91">
        <v>0</v>
      </c>
      <c r="M1626" s="91">
        <v>0</v>
      </c>
      <c r="N1626" s="91">
        <v>0</v>
      </c>
      <c r="O1626" s="91">
        <v>0</v>
      </c>
      <c r="P1626" s="91">
        <v>0</v>
      </c>
      <c r="Q1626" s="97">
        <f t="shared" si="50"/>
        <v>6199</v>
      </c>
      <c r="R1626" s="95">
        <f t="shared" si="51"/>
        <v>5269.15</v>
      </c>
    </row>
    <row r="1627" spans="1:18" ht="34.049999999999997" customHeight="1" x14ac:dyDescent="0.3">
      <c r="A1627" s="96">
        <v>1616</v>
      </c>
      <c r="B1627" s="91" t="s">
        <v>5410</v>
      </c>
      <c r="C1627" s="91" t="s">
        <v>5454</v>
      </c>
      <c r="D1627" s="91" t="s">
        <v>5455</v>
      </c>
      <c r="E1627" s="91">
        <v>1989</v>
      </c>
      <c r="F1627" s="91" t="s">
        <v>19</v>
      </c>
      <c r="G1627" s="91" t="s">
        <v>5613</v>
      </c>
      <c r="H1627" s="91" t="s">
        <v>5691</v>
      </c>
      <c r="I1627" s="91" t="s">
        <v>541</v>
      </c>
      <c r="J1627" s="91">
        <v>6199</v>
      </c>
      <c r="K1627" s="91">
        <f>2332+2332+2243</f>
        <v>6907</v>
      </c>
      <c r="L1627" s="91">
        <v>9422</v>
      </c>
      <c r="M1627" s="91">
        <v>0</v>
      </c>
      <c r="N1627" s="91">
        <v>0</v>
      </c>
      <c r="O1627" s="91">
        <v>0</v>
      </c>
      <c r="P1627" s="91">
        <v>0</v>
      </c>
      <c r="Q1627" s="97">
        <f t="shared" si="50"/>
        <v>22528</v>
      </c>
      <c r="R1627" s="95">
        <f t="shared" si="51"/>
        <v>19148.8</v>
      </c>
    </row>
    <row r="1628" spans="1:18" ht="34.049999999999997" customHeight="1" x14ac:dyDescent="0.3">
      <c r="A1628" s="90">
        <v>1617</v>
      </c>
      <c r="B1628" s="91" t="s">
        <v>5410</v>
      </c>
      <c r="C1628" s="91" t="s">
        <v>5456</v>
      </c>
      <c r="D1628" s="91" t="s">
        <v>5457</v>
      </c>
      <c r="E1628" s="91">
        <v>2022</v>
      </c>
      <c r="F1628" s="91" t="s">
        <v>18</v>
      </c>
      <c r="G1628" s="91" t="s">
        <v>5614</v>
      </c>
      <c r="H1628" s="91" t="s">
        <v>5693</v>
      </c>
      <c r="I1628" s="91" t="s">
        <v>5737</v>
      </c>
      <c r="J1628" s="91">
        <v>6199</v>
      </c>
      <c r="K1628" s="91">
        <f>1346+6278+4484+4484+2332+2332+2332+6995+6995+2332+6995+2332+2332+2332</f>
        <v>53901</v>
      </c>
      <c r="L1628" s="91">
        <v>0</v>
      </c>
      <c r="M1628" s="91">
        <v>0</v>
      </c>
      <c r="N1628" s="91">
        <f>3148+4053+1178+2088</f>
        <v>10467</v>
      </c>
      <c r="O1628" s="91">
        <v>0</v>
      </c>
      <c r="P1628" s="91">
        <f>720+1080+120+360+56</f>
        <v>2336</v>
      </c>
      <c r="Q1628" s="94">
        <f t="shared" si="50"/>
        <v>72903</v>
      </c>
      <c r="R1628" s="95">
        <f t="shared" si="51"/>
        <v>61967.55</v>
      </c>
    </row>
    <row r="1629" spans="1:18" ht="34.049999999999997" customHeight="1" x14ac:dyDescent="0.3">
      <c r="A1629" s="90">
        <v>1618</v>
      </c>
      <c r="B1629" s="91" t="s">
        <v>5410</v>
      </c>
      <c r="C1629" s="91" t="s">
        <v>5456</v>
      </c>
      <c r="D1629" s="91" t="s">
        <v>5457</v>
      </c>
      <c r="E1629" s="91">
        <v>2022</v>
      </c>
      <c r="F1629" s="91" t="s">
        <v>18</v>
      </c>
      <c r="G1629" s="91" t="s">
        <v>5614</v>
      </c>
      <c r="H1629" s="91" t="s">
        <v>5693</v>
      </c>
      <c r="I1629" s="91" t="s">
        <v>5737</v>
      </c>
      <c r="J1629" s="91">
        <v>0</v>
      </c>
      <c r="K1629" s="91">
        <v>0</v>
      </c>
      <c r="L1629" s="91">
        <v>0</v>
      </c>
      <c r="M1629" s="91">
        <v>17688</v>
      </c>
      <c r="N1629" s="91">
        <v>2088</v>
      </c>
      <c r="O1629" s="91">
        <v>0</v>
      </c>
      <c r="P1629" s="91">
        <f>360+56</f>
        <v>416</v>
      </c>
      <c r="Q1629" s="94">
        <f t="shared" si="50"/>
        <v>20192</v>
      </c>
      <c r="R1629" s="95">
        <f t="shared" si="51"/>
        <v>17163.2</v>
      </c>
    </row>
    <row r="1630" spans="1:18" ht="34.049999999999997" customHeight="1" x14ac:dyDescent="0.3">
      <c r="A1630" s="96">
        <v>1619</v>
      </c>
      <c r="B1630" s="91" t="s">
        <v>5410</v>
      </c>
      <c r="C1630" s="91" t="s">
        <v>5458</v>
      </c>
      <c r="D1630" s="91" t="s">
        <v>5459</v>
      </c>
      <c r="E1630" s="91">
        <v>2024</v>
      </c>
      <c r="F1630" s="91" t="s">
        <v>18</v>
      </c>
      <c r="G1630" s="91" t="s">
        <v>5615</v>
      </c>
      <c r="H1630" s="91" t="s">
        <v>5693</v>
      </c>
      <c r="I1630" s="91" t="s">
        <v>5737</v>
      </c>
      <c r="J1630" s="91">
        <v>6199</v>
      </c>
      <c r="K1630" s="91">
        <v>0</v>
      </c>
      <c r="L1630" s="91">
        <v>0</v>
      </c>
      <c r="M1630" s="91">
        <v>0</v>
      </c>
      <c r="N1630" s="91">
        <v>0</v>
      </c>
      <c r="O1630" s="91">
        <v>0</v>
      </c>
      <c r="P1630" s="91">
        <v>0</v>
      </c>
      <c r="Q1630" s="97">
        <f t="shared" si="50"/>
        <v>6199</v>
      </c>
      <c r="R1630" s="95">
        <f t="shared" si="51"/>
        <v>5269.15</v>
      </c>
    </row>
    <row r="1631" spans="1:18" ht="34.049999999999997" customHeight="1" x14ac:dyDescent="0.3">
      <c r="A1631" s="90">
        <v>1620</v>
      </c>
      <c r="B1631" s="91" t="s">
        <v>5410</v>
      </c>
      <c r="C1631" s="91" t="s">
        <v>5460</v>
      </c>
      <c r="D1631" s="91" t="s">
        <v>5461</v>
      </c>
      <c r="E1631" s="91">
        <v>2016</v>
      </c>
      <c r="F1631" s="91" t="s">
        <v>19</v>
      </c>
      <c r="G1631" s="91" t="s">
        <v>5616</v>
      </c>
      <c r="H1631" s="91" t="s">
        <v>5694</v>
      </c>
      <c r="I1631" s="91" t="s">
        <v>5738</v>
      </c>
      <c r="J1631" s="91">
        <v>6199</v>
      </c>
      <c r="K1631" s="91">
        <f>1346+6278+4484+2332+2332+2332+2332+2332+2332+6995+6995+2332+6995+4484</f>
        <v>53901</v>
      </c>
      <c r="L1631" s="91">
        <v>0</v>
      </c>
      <c r="M1631" s="91">
        <v>0</v>
      </c>
      <c r="N1631" s="91">
        <v>3148</v>
      </c>
      <c r="O1631" s="91">
        <v>0</v>
      </c>
      <c r="P1631" s="91">
        <v>0</v>
      </c>
      <c r="Q1631" s="97">
        <f t="shared" si="50"/>
        <v>63248</v>
      </c>
      <c r="R1631" s="95">
        <f t="shared" si="51"/>
        <v>53760.800000000003</v>
      </c>
    </row>
    <row r="1632" spans="1:18" ht="34.049999999999997" customHeight="1" x14ac:dyDescent="0.3">
      <c r="A1632" s="90">
        <v>1621</v>
      </c>
      <c r="B1632" s="91" t="s">
        <v>5410</v>
      </c>
      <c r="C1632" s="91" t="s">
        <v>5460</v>
      </c>
      <c r="D1632" s="91" t="s">
        <v>5461</v>
      </c>
      <c r="E1632" s="91">
        <v>2016</v>
      </c>
      <c r="F1632" s="91" t="s">
        <v>19</v>
      </c>
      <c r="G1632" s="91" t="s">
        <v>5616</v>
      </c>
      <c r="H1632" s="91" t="s">
        <v>5694</v>
      </c>
      <c r="I1632" s="91" t="s">
        <v>5738</v>
      </c>
      <c r="J1632" s="91">
        <v>0</v>
      </c>
      <c r="K1632" s="91">
        <v>0</v>
      </c>
      <c r="L1632" s="91">
        <v>0</v>
      </c>
      <c r="M1632" s="91">
        <v>0</v>
      </c>
      <c r="N1632" s="91">
        <f>2088+4053+1178</f>
        <v>7319</v>
      </c>
      <c r="O1632" s="91">
        <v>0</v>
      </c>
      <c r="P1632" s="91">
        <f>720+1080+120+360+56+60</f>
        <v>2396</v>
      </c>
      <c r="Q1632" s="97">
        <f t="shared" si="50"/>
        <v>9715</v>
      </c>
      <c r="R1632" s="95">
        <f t="shared" si="51"/>
        <v>8257.75</v>
      </c>
    </row>
    <row r="1633" spans="1:18" ht="34.049999999999997" customHeight="1" x14ac:dyDescent="0.3">
      <c r="A1633" s="96">
        <v>1622</v>
      </c>
      <c r="B1633" s="91" t="s">
        <v>5410</v>
      </c>
      <c r="C1633" s="91" t="s">
        <v>5460</v>
      </c>
      <c r="D1633" s="91" t="s">
        <v>5461</v>
      </c>
      <c r="E1633" s="91">
        <v>2016</v>
      </c>
      <c r="F1633" s="91" t="s">
        <v>19</v>
      </c>
      <c r="G1633" s="91" t="s">
        <v>5616</v>
      </c>
      <c r="H1633" s="91" t="s">
        <v>5694</v>
      </c>
      <c r="I1633" s="91" t="s">
        <v>5738</v>
      </c>
      <c r="J1633" s="91">
        <v>0</v>
      </c>
      <c r="K1633" s="91">
        <v>0</v>
      </c>
      <c r="L1633" s="91">
        <v>0</v>
      </c>
      <c r="M1633" s="91">
        <v>17688</v>
      </c>
      <c r="N1633" s="91">
        <v>2088</v>
      </c>
      <c r="O1633" s="91">
        <v>0</v>
      </c>
      <c r="P1633" s="91">
        <f>360+56</f>
        <v>416</v>
      </c>
      <c r="Q1633" s="97">
        <f t="shared" si="50"/>
        <v>20192</v>
      </c>
      <c r="R1633" s="95">
        <f t="shared" si="51"/>
        <v>17163.2</v>
      </c>
    </row>
    <row r="1634" spans="1:18" ht="34.049999999999997" customHeight="1" x14ac:dyDescent="0.3">
      <c r="A1634" s="90">
        <v>1623</v>
      </c>
      <c r="B1634" s="91" t="s">
        <v>5410</v>
      </c>
      <c r="C1634" s="91" t="s">
        <v>5462</v>
      </c>
      <c r="D1634" s="91" t="s">
        <v>5463</v>
      </c>
      <c r="E1634" s="91">
        <v>2025</v>
      </c>
      <c r="F1634" s="91" t="s">
        <v>19</v>
      </c>
      <c r="G1634" s="91" t="s">
        <v>5617</v>
      </c>
      <c r="H1634" s="91" t="s">
        <v>5695</v>
      </c>
      <c r="I1634" s="91" t="s">
        <v>5739</v>
      </c>
      <c r="J1634" s="91">
        <v>6199</v>
      </c>
      <c r="K1634" s="91">
        <v>0</v>
      </c>
      <c r="L1634" s="91">
        <v>0</v>
      </c>
      <c r="M1634" s="91">
        <v>0</v>
      </c>
      <c r="N1634" s="91">
        <v>0</v>
      </c>
      <c r="O1634" s="91">
        <v>0</v>
      </c>
      <c r="P1634" s="91">
        <v>0</v>
      </c>
      <c r="Q1634" s="97">
        <f t="shared" si="50"/>
        <v>6199</v>
      </c>
      <c r="R1634" s="95">
        <f t="shared" si="51"/>
        <v>5269.15</v>
      </c>
    </row>
    <row r="1635" spans="1:18" ht="34.049999999999997" customHeight="1" x14ac:dyDescent="0.3">
      <c r="A1635" s="90">
        <v>1624</v>
      </c>
      <c r="B1635" s="91" t="s">
        <v>5410</v>
      </c>
      <c r="C1635" s="91" t="s">
        <v>5464</v>
      </c>
      <c r="D1635" s="91" t="s">
        <v>3136</v>
      </c>
      <c r="E1635" s="91">
        <v>1960</v>
      </c>
      <c r="F1635" s="91" t="s">
        <v>18</v>
      </c>
      <c r="G1635" s="91" t="s">
        <v>3236</v>
      </c>
      <c r="H1635" s="91" t="s">
        <v>3284</v>
      </c>
      <c r="I1635" s="91" t="s">
        <v>3309</v>
      </c>
      <c r="J1635" s="91">
        <v>3582</v>
      </c>
      <c r="K1635" s="91">
        <v>0</v>
      </c>
      <c r="L1635" s="91">
        <v>0</v>
      </c>
      <c r="M1635" s="91">
        <v>0</v>
      </c>
      <c r="N1635" s="91">
        <f>15443+21194+13563</f>
        <v>50200</v>
      </c>
      <c r="O1635" s="91">
        <v>0</v>
      </c>
      <c r="P1635" s="91">
        <v>0</v>
      </c>
      <c r="Q1635" s="97">
        <f t="shared" si="50"/>
        <v>53782</v>
      </c>
      <c r="R1635" s="95">
        <f t="shared" si="51"/>
        <v>45714.7</v>
      </c>
    </row>
    <row r="1636" spans="1:18" ht="34.049999999999997" customHeight="1" x14ac:dyDescent="0.3">
      <c r="A1636" s="96">
        <v>1625</v>
      </c>
      <c r="B1636" s="91" t="s">
        <v>5410</v>
      </c>
      <c r="C1636" s="91" t="s">
        <v>5465</v>
      </c>
      <c r="D1636" s="91" t="s">
        <v>5466</v>
      </c>
      <c r="E1636" s="91">
        <v>2017</v>
      </c>
      <c r="F1636" s="91" t="s">
        <v>18</v>
      </c>
      <c r="G1636" s="91" t="s">
        <v>5618</v>
      </c>
      <c r="H1636" s="91" t="s">
        <v>5696</v>
      </c>
      <c r="I1636" s="91" t="s">
        <v>5740</v>
      </c>
      <c r="J1636" s="91">
        <v>6199</v>
      </c>
      <c r="K1636" s="91">
        <f>6278+4484+4484+1166</f>
        <v>16412</v>
      </c>
      <c r="L1636" s="91">
        <v>0</v>
      </c>
      <c r="M1636" s="91">
        <v>0</v>
      </c>
      <c r="N1636" s="91">
        <v>3148</v>
      </c>
      <c r="O1636" s="91">
        <v>0</v>
      </c>
      <c r="P1636" s="91">
        <v>0</v>
      </c>
      <c r="Q1636" s="97">
        <f t="shared" si="50"/>
        <v>25759</v>
      </c>
      <c r="R1636" s="95">
        <f t="shared" si="51"/>
        <v>21895.15</v>
      </c>
    </row>
    <row r="1637" spans="1:18" ht="34.049999999999997" customHeight="1" x14ac:dyDescent="0.3">
      <c r="A1637" s="90">
        <v>1626</v>
      </c>
      <c r="B1637" s="91" t="s">
        <v>5410</v>
      </c>
      <c r="C1637" s="91" t="s">
        <v>5467</v>
      </c>
      <c r="D1637" s="91" t="s">
        <v>5468</v>
      </c>
      <c r="E1637" s="91">
        <v>2022</v>
      </c>
      <c r="F1637" s="91" t="s">
        <v>18</v>
      </c>
      <c r="G1637" s="91" t="s">
        <v>5619</v>
      </c>
      <c r="H1637" s="91" t="s">
        <v>5696</v>
      </c>
      <c r="I1637" s="91" t="s">
        <v>5740</v>
      </c>
      <c r="J1637" s="91">
        <v>3582</v>
      </c>
      <c r="K1637" s="91">
        <v>0</v>
      </c>
      <c r="L1637" s="91">
        <v>0</v>
      </c>
      <c r="M1637" s="91">
        <v>0</v>
      </c>
      <c r="N1637" s="91">
        <v>0</v>
      </c>
      <c r="O1637" s="91">
        <v>0</v>
      </c>
      <c r="P1637" s="91">
        <v>0</v>
      </c>
      <c r="Q1637" s="97">
        <f t="shared" si="50"/>
        <v>3582</v>
      </c>
      <c r="R1637" s="95">
        <f t="shared" si="51"/>
        <v>3044.7</v>
      </c>
    </row>
    <row r="1638" spans="1:18" ht="34.049999999999997" customHeight="1" x14ac:dyDescent="0.3">
      <c r="A1638" s="90">
        <v>1627</v>
      </c>
      <c r="B1638" s="91" t="s">
        <v>5410</v>
      </c>
      <c r="C1638" s="91" t="s">
        <v>5469</v>
      </c>
      <c r="D1638" s="91" t="s">
        <v>5470</v>
      </c>
      <c r="E1638" s="91">
        <v>1989</v>
      </c>
      <c r="F1638" s="91" t="s">
        <v>19</v>
      </c>
      <c r="G1638" s="91" t="s">
        <v>5620</v>
      </c>
      <c r="H1638" s="91" t="s">
        <v>5696</v>
      </c>
      <c r="I1638" s="91" t="s">
        <v>5740</v>
      </c>
      <c r="J1638" s="91">
        <v>3582</v>
      </c>
      <c r="K1638" s="91">
        <v>0</v>
      </c>
      <c r="L1638" s="91">
        <v>0</v>
      </c>
      <c r="M1638" s="91">
        <v>0</v>
      </c>
      <c r="N1638" s="91">
        <f>34016+27380</f>
        <v>61396</v>
      </c>
      <c r="O1638" s="91">
        <v>0</v>
      </c>
      <c r="P1638" s="91">
        <v>0</v>
      </c>
      <c r="Q1638" s="97">
        <f t="shared" si="50"/>
        <v>64978</v>
      </c>
      <c r="R1638" s="95">
        <f t="shared" si="51"/>
        <v>55231.3</v>
      </c>
    </row>
    <row r="1639" spans="1:18" ht="34.049999999999997" customHeight="1" x14ac:dyDescent="0.3">
      <c r="A1639" s="96">
        <v>1628</v>
      </c>
      <c r="B1639" s="91" t="s">
        <v>5410</v>
      </c>
      <c r="C1639" s="91" t="s">
        <v>5471</v>
      </c>
      <c r="D1639" s="91" t="s">
        <v>5472</v>
      </c>
      <c r="E1639" s="91">
        <v>2025</v>
      </c>
      <c r="F1639" s="91" t="s">
        <v>18</v>
      </c>
      <c r="G1639" s="91" t="s">
        <v>5621</v>
      </c>
      <c r="H1639" s="91" t="s">
        <v>5697</v>
      </c>
      <c r="I1639" s="91" t="s">
        <v>5741</v>
      </c>
      <c r="J1639" s="91">
        <v>6199</v>
      </c>
      <c r="K1639" s="91">
        <f>6278+4484+1346+4484</f>
        <v>16592</v>
      </c>
      <c r="L1639" s="91">
        <v>0</v>
      </c>
      <c r="M1639" s="91">
        <v>0</v>
      </c>
      <c r="N1639" s="91">
        <f>3148+4053+2088</f>
        <v>9289</v>
      </c>
      <c r="O1639" s="91">
        <v>0</v>
      </c>
      <c r="P1639" s="91">
        <f>720+1080+1200+720+112</f>
        <v>3832</v>
      </c>
      <c r="Q1639" s="97">
        <f t="shared" si="50"/>
        <v>35912</v>
      </c>
      <c r="R1639" s="95">
        <f t="shared" si="51"/>
        <v>30525.200000000001</v>
      </c>
    </row>
    <row r="1640" spans="1:18" ht="34.049999999999997" customHeight="1" x14ac:dyDescent="0.3">
      <c r="A1640" s="90">
        <v>1629</v>
      </c>
      <c r="B1640" s="91" t="s">
        <v>5410</v>
      </c>
      <c r="C1640" s="91" t="s">
        <v>5473</v>
      </c>
      <c r="D1640" s="91" t="s">
        <v>3734</v>
      </c>
      <c r="E1640" s="91">
        <v>1990</v>
      </c>
      <c r="F1640" s="91" t="s">
        <v>19</v>
      </c>
      <c r="G1640" s="91" t="s">
        <v>5622</v>
      </c>
      <c r="H1640" s="91" t="s">
        <v>3618</v>
      </c>
      <c r="I1640" s="91" t="s">
        <v>28</v>
      </c>
      <c r="J1640" s="91">
        <v>3793</v>
      </c>
      <c r="K1640" s="91">
        <v>0</v>
      </c>
      <c r="L1640" s="91">
        <v>9422</v>
      </c>
      <c r="M1640" s="91">
        <v>0</v>
      </c>
      <c r="N1640" s="91">
        <v>0</v>
      </c>
      <c r="O1640" s="91">
        <v>0</v>
      </c>
      <c r="P1640" s="91">
        <v>0</v>
      </c>
      <c r="Q1640" s="97">
        <f t="shared" si="50"/>
        <v>13215</v>
      </c>
      <c r="R1640" s="95">
        <f t="shared" si="51"/>
        <v>11232.75</v>
      </c>
    </row>
    <row r="1641" spans="1:18" ht="34.049999999999997" customHeight="1" x14ac:dyDescent="0.3">
      <c r="A1641" s="90">
        <v>1630</v>
      </c>
      <c r="B1641" s="91" t="s">
        <v>5410</v>
      </c>
      <c r="C1641" s="91" t="s">
        <v>5474</v>
      </c>
      <c r="D1641" s="91" t="s">
        <v>2521</v>
      </c>
      <c r="E1641" s="91">
        <v>2023</v>
      </c>
      <c r="F1641" s="91" t="s">
        <v>18</v>
      </c>
      <c r="G1641" s="91" t="s">
        <v>2569</v>
      </c>
      <c r="H1641" s="91" t="s">
        <v>2600</v>
      </c>
      <c r="I1641" s="91" t="s">
        <v>2628</v>
      </c>
      <c r="J1641" s="91">
        <v>3793</v>
      </c>
      <c r="K1641" s="91">
        <f>1346+6278+4484</f>
        <v>12108</v>
      </c>
      <c r="L1641" s="91">
        <v>0</v>
      </c>
      <c r="M1641" s="91">
        <v>0</v>
      </c>
      <c r="N1641" s="91">
        <v>3148</v>
      </c>
      <c r="O1641" s="91">
        <v>0</v>
      </c>
      <c r="P1641" s="91">
        <v>0</v>
      </c>
      <c r="Q1641" s="97">
        <f t="shared" si="50"/>
        <v>19049</v>
      </c>
      <c r="R1641" s="95">
        <f t="shared" si="51"/>
        <v>16191.65</v>
      </c>
    </row>
    <row r="1642" spans="1:18" ht="34.049999999999997" customHeight="1" x14ac:dyDescent="0.3">
      <c r="A1642" s="96">
        <v>1631</v>
      </c>
      <c r="B1642" s="91" t="s">
        <v>5410</v>
      </c>
      <c r="C1642" s="91" t="s">
        <v>5475</v>
      </c>
      <c r="D1642" s="91" t="s">
        <v>5476</v>
      </c>
      <c r="E1642" s="91">
        <v>1990</v>
      </c>
      <c r="F1642" s="91" t="s">
        <v>18</v>
      </c>
      <c r="G1642" s="91" t="s">
        <v>5623</v>
      </c>
      <c r="H1642" s="91" t="s">
        <v>5698</v>
      </c>
      <c r="I1642" s="91" t="s">
        <v>5399</v>
      </c>
      <c r="J1642" s="91">
        <v>3582</v>
      </c>
      <c r="K1642" s="91">
        <v>0</v>
      </c>
      <c r="L1642" s="91">
        <v>0</v>
      </c>
      <c r="M1642" s="91">
        <v>0</v>
      </c>
      <c r="N1642" s="91">
        <f>15443+21194+13563</f>
        <v>50200</v>
      </c>
      <c r="O1642" s="91">
        <v>0</v>
      </c>
      <c r="P1642" s="91">
        <v>0</v>
      </c>
      <c r="Q1642" s="97">
        <f t="shared" si="50"/>
        <v>53782</v>
      </c>
      <c r="R1642" s="95">
        <f t="shared" si="51"/>
        <v>45714.7</v>
      </c>
    </row>
    <row r="1643" spans="1:18" ht="34.049999999999997" customHeight="1" x14ac:dyDescent="0.3">
      <c r="A1643" s="90">
        <v>1632</v>
      </c>
      <c r="B1643" s="91" t="s">
        <v>5410</v>
      </c>
      <c r="C1643" s="91" t="s">
        <v>5477</v>
      </c>
      <c r="D1643" s="91" t="s">
        <v>5478</v>
      </c>
      <c r="E1643" s="91">
        <v>2013</v>
      </c>
      <c r="F1643" s="91" t="s">
        <v>19</v>
      </c>
      <c r="G1643" s="91" t="s">
        <v>5624</v>
      </c>
      <c r="H1643" s="91" t="s">
        <v>5699</v>
      </c>
      <c r="I1643" s="91" t="s">
        <v>5742</v>
      </c>
      <c r="J1643" s="91">
        <v>6199</v>
      </c>
      <c r="K1643" s="91">
        <v>0</v>
      </c>
      <c r="L1643" s="91">
        <v>0</v>
      </c>
      <c r="M1643" s="91">
        <v>0</v>
      </c>
      <c r="N1643" s="91">
        <v>0</v>
      </c>
      <c r="O1643" s="91">
        <v>0</v>
      </c>
      <c r="P1643" s="91">
        <v>0</v>
      </c>
      <c r="Q1643" s="97">
        <f t="shared" si="50"/>
        <v>6199</v>
      </c>
      <c r="R1643" s="95">
        <f t="shared" si="51"/>
        <v>5269.15</v>
      </c>
    </row>
    <row r="1644" spans="1:18" ht="34.049999999999997" customHeight="1" x14ac:dyDescent="0.3">
      <c r="A1644" s="90">
        <v>1633</v>
      </c>
      <c r="B1644" s="91" t="s">
        <v>5410</v>
      </c>
      <c r="C1644" s="91" t="s">
        <v>5479</v>
      </c>
      <c r="D1644" s="91" t="s">
        <v>5480</v>
      </c>
      <c r="E1644" s="91">
        <v>1994</v>
      </c>
      <c r="F1644" s="91" t="s">
        <v>18</v>
      </c>
      <c r="G1644" s="91" t="s">
        <v>5625</v>
      </c>
      <c r="H1644" s="91" t="s">
        <v>5625</v>
      </c>
      <c r="I1644" s="91" t="s">
        <v>299</v>
      </c>
      <c r="J1644" s="91">
        <v>6199</v>
      </c>
      <c r="K1644" s="91">
        <f>1346+6278+4484</f>
        <v>12108</v>
      </c>
      <c r="L1644" s="91">
        <v>0</v>
      </c>
      <c r="M1644" s="91">
        <v>0</v>
      </c>
      <c r="N1644" s="91">
        <v>1793</v>
      </c>
      <c r="O1644" s="91">
        <v>0</v>
      </c>
      <c r="P1644" s="91">
        <v>0</v>
      </c>
      <c r="Q1644" s="97">
        <f t="shared" si="50"/>
        <v>20100</v>
      </c>
      <c r="R1644" s="95">
        <f t="shared" si="51"/>
        <v>17085</v>
      </c>
    </row>
    <row r="1645" spans="1:18" ht="34.049999999999997" customHeight="1" x14ac:dyDescent="0.3">
      <c r="A1645" s="96">
        <v>1634</v>
      </c>
      <c r="B1645" s="91" t="s">
        <v>5410</v>
      </c>
      <c r="C1645" s="91" t="s">
        <v>5481</v>
      </c>
      <c r="D1645" s="91" t="s">
        <v>5482</v>
      </c>
      <c r="E1645" s="91">
        <v>2014</v>
      </c>
      <c r="F1645" s="91" t="s">
        <v>19</v>
      </c>
      <c r="G1645" s="91" t="s">
        <v>5626</v>
      </c>
      <c r="H1645" s="91" t="s">
        <v>5700</v>
      </c>
      <c r="I1645" s="91" t="s">
        <v>5743</v>
      </c>
      <c r="J1645" s="91">
        <v>3582</v>
      </c>
      <c r="K1645" s="91">
        <v>0</v>
      </c>
      <c r="L1645" s="91">
        <v>0</v>
      </c>
      <c r="M1645" s="91">
        <v>0</v>
      </c>
      <c r="N1645" s="91">
        <f>15443+19239</f>
        <v>34682</v>
      </c>
      <c r="O1645" s="91">
        <v>0</v>
      </c>
      <c r="P1645" s="91">
        <v>0</v>
      </c>
      <c r="Q1645" s="97">
        <f t="shared" si="50"/>
        <v>38264</v>
      </c>
      <c r="R1645" s="95">
        <f t="shared" si="51"/>
        <v>32524.400000000001</v>
      </c>
    </row>
    <row r="1646" spans="1:18" ht="34.049999999999997" customHeight="1" x14ac:dyDescent="0.3">
      <c r="A1646" s="90">
        <v>1635</v>
      </c>
      <c r="B1646" s="91" t="s">
        <v>5410</v>
      </c>
      <c r="C1646" s="91" t="s">
        <v>5483</v>
      </c>
      <c r="D1646" s="91" t="s">
        <v>5482</v>
      </c>
      <c r="E1646" s="91">
        <v>2014</v>
      </c>
      <c r="F1646" s="91" t="s">
        <v>19</v>
      </c>
      <c r="G1646" s="91" t="s">
        <v>5626</v>
      </c>
      <c r="H1646" s="91" t="s">
        <v>5700</v>
      </c>
      <c r="I1646" s="91" t="s">
        <v>5743</v>
      </c>
      <c r="J1646" s="91">
        <v>6199</v>
      </c>
      <c r="K1646" s="91">
        <f>1346+6278+4484+1166+2801</f>
        <v>16075</v>
      </c>
      <c r="L1646" s="91">
        <v>0</v>
      </c>
      <c r="M1646" s="91">
        <v>0</v>
      </c>
      <c r="N1646" s="91">
        <v>3148</v>
      </c>
      <c r="O1646" s="91">
        <v>0</v>
      </c>
      <c r="P1646" s="91">
        <v>0</v>
      </c>
      <c r="Q1646" s="97">
        <f t="shared" si="50"/>
        <v>25422</v>
      </c>
      <c r="R1646" s="95">
        <f t="shared" si="51"/>
        <v>21608.7</v>
      </c>
    </row>
    <row r="1647" spans="1:18" ht="34.049999999999997" customHeight="1" x14ac:dyDescent="0.3">
      <c r="A1647" s="90">
        <v>1636</v>
      </c>
      <c r="B1647" s="91" t="s">
        <v>5410</v>
      </c>
      <c r="C1647" s="91" t="s">
        <v>5484</v>
      </c>
      <c r="D1647" s="91" t="s">
        <v>5485</v>
      </c>
      <c r="E1647" s="91">
        <v>2021</v>
      </c>
      <c r="F1647" s="91" t="s">
        <v>19</v>
      </c>
      <c r="G1647" s="91" t="s">
        <v>5627</v>
      </c>
      <c r="H1647" s="91" t="s">
        <v>5701</v>
      </c>
      <c r="I1647" s="91" t="s">
        <v>5744</v>
      </c>
      <c r="J1647" s="91">
        <v>6199</v>
      </c>
      <c r="K1647" s="91">
        <v>0</v>
      </c>
      <c r="L1647" s="91">
        <v>0</v>
      </c>
      <c r="M1647" s="91">
        <v>0</v>
      </c>
      <c r="N1647" s="91">
        <v>0</v>
      </c>
      <c r="O1647" s="91">
        <v>0</v>
      </c>
      <c r="P1647" s="91">
        <v>0</v>
      </c>
      <c r="Q1647" s="97">
        <f t="shared" si="50"/>
        <v>6199</v>
      </c>
      <c r="R1647" s="95">
        <f t="shared" si="51"/>
        <v>5269.15</v>
      </c>
    </row>
    <row r="1648" spans="1:18" ht="34.049999999999997" customHeight="1" x14ac:dyDescent="0.3">
      <c r="A1648" s="96">
        <v>1637</v>
      </c>
      <c r="B1648" s="91" t="s">
        <v>5410</v>
      </c>
      <c r="C1648" s="91" t="s">
        <v>5486</v>
      </c>
      <c r="D1648" s="91" t="s">
        <v>5487</v>
      </c>
      <c r="E1648" s="91">
        <v>2020</v>
      </c>
      <c r="F1648" s="91" t="s">
        <v>19</v>
      </c>
      <c r="G1648" s="91" t="s">
        <v>5628</v>
      </c>
      <c r="H1648" s="91" t="s">
        <v>5701</v>
      </c>
      <c r="I1648" s="91" t="s">
        <v>5745</v>
      </c>
      <c r="J1648" s="91">
        <v>6199</v>
      </c>
      <c r="K1648" s="91">
        <v>0</v>
      </c>
      <c r="L1648" s="91">
        <v>0</v>
      </c>
      <c r="M1648" s="91">
        <v>0</v>
      </c>
      <c r="N1648" s="91">
        <v>0</v>
      </c>
      <c r="O1648" s="91">
        <v>0</v>
      </c>
      <c r="P1648" s="91">
        <v>0</v>
      </c>
      <c r="Q1648" s="97">
        <f t="shared" si="50"/>
        <v>6199</v>
      </c>
      <c r="R1648" s="95">
        <f t="shared" si="51"/>
        <v>5269.15</v>
      </c>
    </row>
    <row r="1649" spans="1:18" ht="34.049999999999997" customHeight="1" x14ac:dyDescent="0.3">
      <c r="A1649" s="90">
        <v>1638</v>
      </c>
      <c r="B1649" s="91" t="s">
        <v>5410</v>
      </c>
      <c r="C1649" s="91" t="s">
        <v>5488</v>
      </c>
      <c r="D1649" s="91" t="s">
        <v>5489</v>
      </c>
      <c r="E1649" s="91">
        <v>1978</v>
      </c>
      <c r="F1649" s="91" t="s">
        <v>19</v>
      </c>
      <c r="G1649" s="91" t="s">
        <v>5629</v>
      </c>
      <c r="H1649" s="91" t="s">
        <v>5629</v>
      </c>
      <c r="I1649" s="91" t="s">
        <v>565</v>
      </c>
      <c r="J1649" s="91">
        <v>6199</v>
      </c>
      <c r="K1649" s="91">
        <v>0</v>
      </c>
      <c r="L1649" s="91">
        <v>0</v>
      </c>
      <c r="M1649" s="91">
        <v>0</v>
      </c>
      <c r="N1649" s="91">
        <v>0</v>
      </c>
      <c r="O1649" s="91">
        <v>0</v>
      </c>
      <c r="P1649" s="91">
        <v>0</v>
      </c>
      <c r="Q1649" s="97">
        <f t="shared" si="50"/>
        <v>6199</v>
      </c>
      <c r="R1649" s="95">
        <f t="shared" si="51"/>
        <v>5269.15</v>
      </c>
    </row>
    <row r="1650" spans="1:18" ht="34.049999999999997" customHeight="1" x14ac:dyDescent="0.3">
      <c r="A1650" s="90">
        <v>1639</v>
      </c>
      <c r="B1650" s="91" t="s">
        <v>5410</v>
      </c>
      <c r="C1650" s="91" t="s">
        <v>5490</v>
      </c>
      <c r="D1650" s="91" t="s">
        <v>5491</v>
      </c>
      <c r="E1650" s="91">
        <v>2025</v>
      </c>
      <c r="F1650" s="91" t="s">
        <v>18</v>
      </c>
      <c r="G1650" s="91" t="s">
        <v>5630</v>
      </c>
      <c r="H1650" s="91" t="s">
        <v>5702</v>
      </c>
      <c r="I1650" s="91" t="s">
        <v>5746</v>
      </c>
      <c r="J1650" s="91">
        <v>6199</v>
      </c>
      <c r="K1650" s="91">
        <f>6278+4484</f>
        <v>10762</v>
      </c>
      <c r="L1650" s="91">
        <v>0</v>
      </c>
      <c r="M1650" s="91">
        <v>0</v>
      </c>
      <c r="N1650" s="91">
        <v>3148</v>
      </c>
      <c r="O1650" s="91">
        <v>0</v>
      </c>
      <c r="P1650" s="91">
        <v>0</v>
      </c>
      <c r="Q1650" s="97">
        <f t="shared" si="50"/>
        <v>20109</v>
      </c>
      <c r="R1650" s="95">
        <f t="shared" si="51"/>
        <v>17092.650000000001</v>
      </c>
    </row>
    <row r="1651" spans="1:18" ht="34.049999999999997" customHeight="1" x14ac:dyDescent="0.3">
      <c r="A1651" s="96">
        <v>1640</v>
      </c>
      <c r="B1651" s="91" t="s">
        <v>5410</v>
      </c>
      <c r="C1651" s="91" t="s">
        <v>5492</v>
      </c>
      <c r="D1651" s="91" t="s">
        <v>5493</v>
      </c>
      <c r="E1651" s="91">
        <v>1979</v>
      </c>
      <c r="F1651" s="91" t="s">
        <v>19</v>
      </c>
      <c r="G1651" s="91" t="s">
        <v>5631</v>
      </c>
      <c r="H1651" s="91" t="s">
        <v>5703</v>
      </c>
      <c r="I1651" s="91" t="s">
        <v>5747</v>
      </c>
      <c r="J1651" s="91">
        <v>6199</v>
      </c>
      <c r="K1651" s="91">
        <f>2332+2332+2243</f>
        <v>6907</v>
      </c>
      <c r="L1651" s="91">
        <v>0</v>
      </c>
      <c r="M1651" s="91">
        <v>0</v>
      </c>
      <c r="N1651" s="91">
        <v>0</v>
      </c>
      <c r="O1651" s="91">
        <v>0</v>
      </c>
      <c r="P1651" s="91">
        <v>0</v>
      </c>
      <c r="Q1651" s="97">
        <f t="shared" si="50"/>
        <v>13106</v>
      </c>
      <c r="R1651" s="95">
        <f t="shared" si="51"/>
        <v>11140.1</v>
      </c>
    </row>
    <row r="1652" spans="1:18" ht="34.049999999999997" customHeight="1" x14ac:dyDescent="0.3">
      <c r="A1652" s="90">
        <v>1641</v>
      </c>
      <c r="B1652" s="91" t="s">
        <v>5410</v>
      </c>
      <c r="C1652" s="91" t="s">
        <v>5494</v>
      </c>
      <c r="D1652" s="91" t="s">
        <v>5495</v>
      </c>
      <c r="E1652" s="91">
        <v>2014</v>
      </c>
      <c r="F1652" s="91" t="s">
        <v>19</v>
      </c>
      <c r="G1652" s="91" t="s">
        <v>5632</v>
      </c>
      <c r="H1652" s="91" t="s">
        <v>5703</v>
      </c>
      <c r="I1652" s="91" t="s">
        <v>5748</v>
      </c>
      <c r="J1652" s="91">
        <v>6199</v>
      </c>
      <c r="K1652" s="91">
        <f>1346+6278+4484</f>
        <v>12108</v>
      </c>
      <c r="L1652" s="91">
        <v>0</v>
      </c>
      <c r="M1652" s="91">
        <v>0</v>
      </c>
      <c r="N1652" s="91">
        <v>3148</v>
      </c>
      <c r="O1652" s="91">
        <v>0</v>
      </c>
      <c r="P1652" s="91">
        <v>0</v>
      </c>
      <c r="Q1652" s="97">
        <f t="shared" si="50"/>
        <v>21455</v>
      </c>
      <c r="R1652" s="95">
        <f t="shared" si="51"/>
        <v>18236.75</v>
      </c>
    </row>
    <row r="1653" spans="1:18" ht="34.049999999999997" customHeight="1" x14ac:dyDescent="0.3">
      <c r="A1653" s="90">
        <v>1642</v>
      </c>
      <c r="B1653" s="91" t="s">
        <v>5410</v>
      </c>
      <c r="C1653" s="91" t="s">
        <v>5496</v>
      </c>
      <c r="D1653" s="91" t="s">
        <v>2490</v>
      </c>
      <c r="E1653" s="91">
        <v>2022</v>
      </c>
      <c r="F1653" s="91" t="s">
        <v>19</v>
      </c>
      <c r="G1653" s="91" t="s">
        <v>2555</v>
      </c>
      <c r="H1653" s="91" t="s">
        <v>2587</v>
      </c>
      <c r="I1653" s="91" t="s">
        <v>2618</v>
      </c>
      <c r="J1653" s="91">
        <v>0</v>
      </c>
      <c r="K1653" s="91">
        <v>0</v>
      </c>
      <c r="L1653" s="91">
        <v>0</v>
      </c>
      <c r="M1653" s="91">
        <v>0</v>
      </c>
      <c r="N1653" s="91">
        <f>3148+4053+1178</f>
        <v>8379</v>
      </c>
      <c r="O1653" s="91">
        <v>0</v>
      </c>
      <c r="P1653" s="91">
        <f>120+720+1080+360+56</f>
        <v>2336</v>
      </c>
      <c r="Q1653" s="94">
        <f t="shared" si="50"/>
        <v>10715</v>
      </c>
      <c r="R1653" s="95">
        <f t="shared" si="51"/>
        <v>9107.75</v>
      </c>
    </row>
    <row r="1654" spans="1:18" ht="34.049999999999997" customHeight="1" x14ac:dyDescent="0.3">
      <c r="A1654" s="96">
        <v>1643</v>
      </c>
      <c r="B1654" s="91" t="s">
        <v>5410</v>
      </c>
      <c r="C1654" s="91" t="s">
        <v>5496</v>
      </c>
      <c r="D1654" s="91" t="s">
        <v>2490</v>
      </c>
      <c r="E1654" s="91">
        <v>2022</v>
      </c>
      <c r="F1654" s="91" t="s">
        <v>19</v>
      </c>
      <c r="G1654" s="91" t="s">
        <v>2555</v>
      </c>
      <c r="H1654" s="91" t="s">
        <v>2587</v>
      </c>
      <c r="I1654" s="91" t="s">
        <v>2618</v>
      </c>
      <c r="J1654" s="91">
        <v>0</v>
      </c>
      <c r="K1654" s="91">
        <v>0</v>
      </c>
      <c r="L1654" s="91">
        <v>0</v>
      </c>
      <c r="M1654" s="91">
        <v>17688</v>
      </c>
      <c r="N1654" s="91">
        <v>2088</v>
      </c>
      <c r="O1654" s="91">
        <v>0</v>
      </c>
      <c r="P1654" s="91">
        <f>360+56</f>
        <v>416</v>
      </c>
      <c r="Q1654" s="94">
        <f t="shared" si="50"/>
        <v>20192</v>
      </c>
      <c r="R1654" s="95">
        <f t="shared" si="51"/>
        <v>17163.2</v>
      </c>
    </row>
    <row r="1655" spans="1:18" ht="34.049999999999997" customHeight="1" x14ac:dyDescent="0.3">
      <c r="A1655" s="90">
        <v>1644</v>
      </c>
      <c r="B1655" s="91" t="s">
        <v>5410</v>
      </c>
      <c r="C1655" s="91" t="s">
        <v>5497</v>
      </c>
      <c r="D1655" s="91" t="s">
        <v>5498</v>
      </c>
      <c r="E1655" s="91">
        <v>1980</v>
      </c>
      <c r="F1655" s="91" t="s">
        <v>19</v>
      </c>
      <c r="G1655" s="91" t="s">
        <v>5633</v>
      </c>
      <c r="H1655" s="91" t="s">
        <v>5633</v>
      </c>
      <c r="I1655" s="91" t="s">
        <v>290</v>
      </c>
      <c r="J1655" s="91">
        <v>6199</v>
      </c>
      <c r="K1655" s="91">
        <f>6278+2332+2801+1166+6995+2332+2332+2332+2332+2332</f>
        <v>31232</v>
      </c>
      <c r="L1655" s="91">
        <v>0</v>
      </c>
      <c r="M1655" s="91">
        <v>0</v>
      </c>
      <c r="N1655" s="91">
        <v>1793</v>
      </c>
      <c r="O1655" s="91">
        <v>0</v>
      </c>
      <c r="P1655" s="91">
        <v>0</v>
      </c>
      <c r="Q1655" s="97">
        <f t="shared" si="50"/>
        <v>39224</v>
      </c>
      <c r="R1655" s="95">
        <f t="shared" si="51"/>
        <v>33340.400000000001</v>
      </c>
    </row>
    <row r="1656" spans="1:18" ht="34.049999999999997" customHeight="1" x14ac:dyDescent="0.3">
      <c r="A1656" s="90">
        <v>1645</v>
      </c>
      <c r="B1656" s="91" t="s">
        <v>5410</v>
      </c>
      <c r="C1656" s="91" t="s">
        <v>5499</v>
      </c>
      <c r="D1656" s="91" t="s">
        <v>5500</v>
      </c>
      <c r="E1656" s="91">
        <v>2024</v>
      </c>
      <c r="F1656" s="91" t="s">
        <v>18</v>
      </c>
      <c r="G1656" s="91" t="s">
        <v>5634</v>
      </c>
      <c r="H1656" s="91" t="s">
        <v>5704</v>
      </c>
      <c r="I1656" s="91" t="s">
        <v>1046</v>
      </c>
      <c r="J1656" s="91">
        <v>6199</v>
      </c>
      <c r="K1656" s="91">
        <f>6278+4484+1346</f>
        <v>12108</v>
      </c>
      <c r="L1656" s="91">
        <v>0</v>
      </c>
      <c r="M1656" s="91">
        <v>0</v>
      </c>
      <c r="N1656" s="91">
        <v>3148</v>
      </c>
      <c r="O1656" s="91">
        <v>0</v>
      </c>
      <c r="P1656" s="91">
        <v>0</v>
      </c>
      <c r="Q1656" s="97">
        <f t="shared" si="50"/>
        <v>21455</v>
      </c>
      <c r="R1656" s="95">
        <f t="shared" si="51"/>
        <v>18236.75</v>
      </c>
    </row>
    <row r="1657" spans="1:18" ht="34.049999999999997" customHeight="1" x14ac:dyDescent="0.3">
      <c r="A1657" s="96">
        <v>1646</v>
      </c>
      <c r="B1657" s="91" t="s">
        <v>5410</v>
      </c>
      <c r="C1657" s="91" t="s">
        <v>5501</v>
      </c>
      <c r="D1657" s="91" t="s">
        <v>5502</v>
      </c>
      <c r="E1657" s="91">
        <v>2021</v>
      </c>
      <c r="F1657" s="91" t="s">
        <v>19</v>
      </c>
      <c r="G1657" s="91" t="s">
        <v>5635</v>
      </c>
      <c r="H1657" s="91" t="s">
        <v>5705</v>
      </c>
      <c r="I1657" s="91" t="s">
        <v>5749</v>
      </c>
      <c r="J1657" s="91">
        <v>6199</v>
      </c>
      <c r="K1657" s="91">
        <f>6278+4484+1346+4484+2332+2332+2332+2332+2332+2332+6995+6995+2332+6995</f>
        <v>53901</v>
      </c>
      <c r="L1657" s="91">
        <v>0</v>
      </c>
      <c r="M1657" s="91">
        <v>0</v>
      </c>
      <c r="N1657" s="91">
        <v>3148</v>
      </c>
      <c r="O1657" s="91">
        <v>0</v>
      </c>
      <c r="P1657" s="91">
        <v>0</v>
      </c>
      <c r="Q1657" s="97">
        <f t="shared" si="50"/>
        <v>63248</v>
      </c>
      <c r="R1657" s="95">
        <f t="shared" si="51"/>
        <v>53760.800000000003</v>
      </c>
    </row>
    <row r="1658" spans="1:18" ht="34.049999999999997" customHeight="1" x14ac:dyDescent="0.3">
      <c r="A1658" s="90">
        <v>1647</v>
      </c>
      <c r="B1658" s="91" t="s">
        <v>5410</v>
      </c>
      <c r="C1658" s="91" t="s">
        <v>5503</v>
      </c>
      <c r="D1658" s="91" t="s">
        <v>5504</v>
      </c>
      <c r="E1658" s="91">
        <v>2021</v>
      </c>
      <c r="F1658" s="91" t="s">
        <v>19</v>
      </c>
      <c r="G1658" s="91" t="s">
        <v>5636</v>
      </c>
      <c r="H1658" s="91" t="s">
        <v>5706</v>
      </c>
      <c r="I1658" s="91" t="s">
        <v>5750</v>
      </c>
      <c r="J1658" s="91">
        <v>6199</v>
      </c>
      <c r="K1658" s="91">
        <f>1346+6278+4484+4484+2332+2332+2332+2332+2332+2332+6995+6995+2332+6995</f>
        <v>53901</v>
      </c>
      <c r="L1658" s="91">
        <v>0</v>
      </c>
      <c r="M1658" s="91">
        <v>0</v>
      </c>
      <c r="N1658" s="91">
        <v>3148</v>
      </c>
      <c r="O1658" s="91">
        <v>0</v>
      </c>
      <c r="P1658" s="91">
        <v>0</v>
      </c>
      <c r="Q1658" s="97">
        <f t="shared" si="50"/>
        <v>63248</v>
      </c>
      <c r="R1658" s="95">
        <f t="shared" si="51"/>
        <v>53760.800000000003</v>
      </c>
    </row>
    <row r="1659" spans="1:18" ht="34.049999999999997" customHeight="1" x14ac:dyDescent="0.3">
      <c r="A1659" s="90">
        <v>1648</v>
      </c>
      <c r="B1659" s="91" t="s">
        <v>5410</v>
      </c>
      <c r="C1659" s="91" t="s">
        <v>5505</v>
      </c>
      <c r="D1659" s="91" t="s">
        <v>5506</v>
      </c>
      <c r="E1659" s="91">
        <v>1997</v>
      </c>
      <c r="F1659" s="91" t="s">
        <v>19</v>
      </c>
      <c r="G1659" s="91" t="s">
        <v>5637</v>
      </c>
      <c r="H1659" s="91" t="s">
        <v>5637</v>
      </c>
      <c r="I1659" s="91" t="s">
        <v>861</v>
      </c>
      <c r="J1659" s="91">
        <v>6199</v>
      </c>
      <c r="K1659" s="91">
        <v>0</v>
      </c>
      <c r="L1659" s="91">
        <v>0</v>
      </c>
      <c r="M1659" s="91">
        <v>0</v>
      </c>
      <c r="N1659" s="91">
        <f>3179+1178</f>
        <v>4357</v>
      </c>
      <c r="O1659" s="91">
        <v>0</v>
      </c>
      <c r="P1659" s="91">
        <v>660</v>
      </c>
      <c r="Q1659" s="97">
        <f t="shared" si="50"/>
        <v>11216</v>
      </c>
      <c r="R1659" s="95">
        <f t="shared" si="51"/>
        <v>9533.6</v>
      </c>
    </row>
    <row r="1660" spans="1:18" ht="34.049999999999997" customHeight="1" x14ac:dyDescent="0.3">
      <c r="A1660" s="96">
        <v>1649</v>
      </c>
      <c r="B1660" s="91" t="s">
        <v>5410</v>
      </c>
      <c r="C1660" s="91" t="s">
        <v>5507</v>
      </c>
      <c r="D1660" s="91" t="s">
        <v>2892</v>
      </c>
      <c r="E1660" s="91">
        <v>1988</v>
      </c>
      <c r="F1660" s="91" t="s">
        <v>19</v>
      </c>
      <c r="G1660" s="91" t="s">
        <v>3001</v>
      </c>
      <c r="H1660" s="91" t="s">
        <v>2825</v>
      </c>
      <c r="I1660" s="91" t="s">
        <v>24</v>
      </c>
      <c r="J1660" s="91">
        <v>3793</v>
      </c>
      <c r="K1660" s="91">
        <v>0</v>
      </c>
      <c r="L1660" s="91">
        <v>0</v>
      </c>
      <c r="M1660" s="91">
        <v>0</v>
      </c>
      <c r="N1660" s="91">
        <v>0</v>
      </c>
      <c r="O1660" s="91">
        <v>0</v>
      </c>
      <c r="P1660" s="91">
        <v>0</v>
      </c>
      <c r="Q1660" s="97">
        <f t="shared" si="50"/>
        <v>3793</v>
      </c>
      <c r="R1660" s="95">
        <f t="shared" si="51"/>
        <v>3224.05</v>
      </c>
    </row>
    <row r="1661" spans="1:18" ht="34.049999999999997" customHeight="1" x14ac:dyDescent="0.3">
      <c r="A1661" s="90">
        <v>1650</v>
      </c>
      <c r="B1661" s="91" t="s">
        <v>5410</v>
      </c>
      <c r="C1661" s="91" t="s">
        <v>5508</v>
      </c>
      <c r="D1661" s="91" t="s">
        <v>5509</v>
      </c>
      <c r="E1661" s="91">
        <v>1970</v>
      </c>
      <c r="F1661" s="91" t="s">
        <v>18</v>
      </c>
      <c r="G1661" s="91" t="s">
        <v>5638</v>
      </c>
      <c r="H1661" s="91" t="s">
        <v>5707</v>
      </c>
      <c r="I1661" s="91" t="s">
        <v>5751</v>
      </c>
      <c r="J1661" s="91">
        <v>3582</v>
      </c>
      <c r="K1661" s="91">
        <v>0</v>
      </c>
      <c r="L1661" s="91">
        <v>0</v>
      </c>
      <c r="M1661" s="91">
        <v>0</v>
      </c>
      <c r="N1661" s="91">
        <f>15443+21194+13563</f>
        <v>50200</v>
      </c>
      <c r="O1661" s="91">
        <v>0</v>
      </c>
      <c r="P1661" s="91">
        <v>0</v>
      </c>
      <c r="Q1661" s="97">
        <f t="shared" si="50"/>
        <v>53782</v>
      </c>
      <c r="R1661" s="95">
        <f t="shared" si="51"/>
        <v>45714.7</v>
      </c>
    </row>
    <row r="1662" spans="1:18" ht="34.049999999999997" customHeight="1" x14ac:dyDescent="0.3">
      <c r="A1662" s="90">
        <v>1651</v>
      </c>
      <c r="B1662" s="91" t="s">
        <v>5410</v>
      </c>
      <c r="C1662" s="91" t="s">
        <v>5510</v>
      </c>
      <c r="D1662" s="91" t="s">
        <v>5511</v>
      </c>
      <c r="E1662" s="91">
        <v>2000</v>
      </c>
      <c r="F1662" s="91" t="s">
        <v>19</v>
      </c>
      <c r="G1662" s="91" t="s">
        <v>5639</v>
      </c>
      <c r="H1662" s="91" t="s">
        <v>5639</v>
      </c>
      <c r="I1662" s="91" t="s">
        <v>5752</v>
      </c>
      <c r="J1662" s="91">
        <v>6199</v>
      </c>
      <c r="K1662" s="91">
        <f>2332+2332+2243</f>
        <v>6907</v>
      </c>
      <c r="L1662" s="91">
        <v>0</v>
      </c>
      <c r="M1662" s="91">
        <v>0</v>
      </c>
      <c r="N1662" s="91">
        <v>0</v>
      </c>
      <c r="O1662" s="91">
        <v>0</v>
      </c>
      <c r="P1662" s="91">
        <v>0</v>
      </c>
      <c r="Q1662" s="97">
        <f t="shared" si="50"/>
        <v>13106</v>
      </c>
      <c r="R1662" s="95">
        <f t="shared" si="51"/>
        <v>11140.1</v>
      </c>
    </row>
    <row r="1663" spans="1:18" ht="34.049999999999997" customHeight="1" x14ac:dyDescent="0.3">
      <c r="A1663" s="96">
        <v>1652</v>
      </c>
      <c r="B1663" s="91" t="s">
        <v>5410</v>
      </c>
      <c r="C1663" s="91" t="s">
        <v>5512</v>
      </c>
      <c r="D1663" s="91" t="s">
        <v>5513</v>
      </c>
      <c r="E1663" s="91">
        <v>1988</v>
      </c>
      <c r="F1663" s="91" t="s">
        <v>19</v>
      </c>
      <c r="G1663" s="91" t="s">
        <v>5640</v>
      </c>
      <c r="H1663" s="91" t="s">
        <v>5708</v>
      </c>
      <c r="I1663" s="91" t="s">
        <v>4618</v>
      </c>
      <c r="J1663" s="91">
        <v>6199</v>
      </c>
      <c r="K1663" s="91">
        <f>6278+6995+3228+2332+2332+2243+1166+2332+2332+2332</f>
        <v>31570</v>
      </c>
      <c r="L1663" s="91">
        <v>0</v>
      </c>
      <c r="M1663" s="91">
        <v>0</v>
      </c>
      <c r="N1663" s="91">
        <v>1793</v>
      </c>
      <c r="O1663" s="91">
        <v>0</v>
      </c>
      <c r="P1663" s="91">
        <v>0</v>
      </c>
      <c r="Q1663" s="97">
        <f t="shared" si="50"/>
        <v>39562</v>
      </c>
      <c r="R1663" s="95">
        <f t="shared" si="51"/>
        <v>33627.699999999997</v>
      </c>
    </row>
    <row r="1664" spans="1:18" ht="34.049999999999997" customHeight="1" x14ac:dyDescent="0.3">
      <c r="A1664" s="90">
        <v>1653</v>
      </c>
      <c r="B1664" s="91" t="s">
        <v>5410</v>
      </c>
      <c r="C1664" s="91" t="s">
        <v>5514</v>
      </c>
      <c r="D1664" s="91" t="s">
        <v>5515</v>
      </c>
      <c r="E1664" s="91">
        <v>1981</v>
      </c>
      <c r="F1664" s="91" t="s">
        <v>19</v>
      </c>
      <c r="G1664" s="91" t="s">
        <v>5641</v>
      </c>
      <c r="H1664" s="91" t="s">
        <v>5641</v>
      </c>
      <c r="I1664" s="91" t="s">
        <v>1262</v>
      </c>
      <c r="J1664" s="91">
        <v>6199</v>
      </c>
      <c r="K1664" s="91">
        <v>0</v>
      </c>
      <c r="L1664" s="91">
        <v>0</v>
      </c>
      <c r="M1664" s="91">
        <v>0</v>
      </c>
      <c r="N1664" s="91">
        <v>0</v>
      </c>
      <c r="O1664" s="91">
        <v>0</v>
      </c>
      <c r="P1664" s="91">
        <v>0</v>
      </c>
      <c r="Q1664" s="97">
        <f t="shared" si="50"/>
        <v>6199</v>
      </c>
      <c r="R1664" s="95">
        <f t="shared" si="51"/>
        <v>5269.15</v>
      </c>
    </row>
    <row r="1665" spans="1:23" ht="34.049999999999997" customHeight="1" x14ac:dyDescent="0.3">
      <c r="A1665" s="90">
        <v>1654</v>
      </c>
      <c r="B1665" s="91" t="s">
        <v>5410</v>
      </c>
      <c r="C1665" s="91" t="s">
        <v>5516</v>
      </c>
      <c r="D1665" s="91" t="s">
        <v>5517</v>
      </c>
      <c r="E1665" s="91">
        <v>2024</v>
      </c>
      <c r="F1665" s="91" t="s">
        <v>18</v>
      </c>
      <c r="G1665" s="91" t="s">
        <v>5642</v>
      </c>
      <c r="H1665" s="91" t="s">
        <v>497</v>
      </c>
      <c r="I1665" s="91" t="s">
        <v>5753</v>
      </c>
      <c r="J1665" s="91">
        <v>6199</v>
      </c>
      <c r="K1665" s="91">
        <v>0</v>
      </c>
      <c r="L1665" s="91">
        <v>0</v>
      </c>
      <c r="M1665" s="91">
        <v>0</v>
      </c>
      <c r="N1665" s="91">
        <v>0</v>
      </c>
      <c r="O1665" s="91">
        <v>0</v>
      </c>
      <c r="P1665" s="91">
        <v>0</v>
      </c>
      <c r="Q1665" s="97">
        <f t="shared" si="50"/>
        <v>6199</v>
      </c>
      <c r="R1665" s="95">
        <f t="shared" si="51"/>
        <v>5269.15</v>
      </c>
    </row>
    <row r="1666" spans="1:23" ht="34.049999999999997" customHeight="1" x14ac:dyDescent="0.3">
      <c r="A1666" s="96">
        <v>1655</v>
      </c>
      <c r="B1666" s="91" t="s">
        <v>5410</v>
      </c>
      <c r="C1666" s="91" t="s">
        <v>5518</v>
      </c>
      <c r="D1666" s="91" t="s">
        <v>5519</v>
      </c>
      <c r="E1666" s="91">
        <v>2024</v>
      </c>
      <c r="F1666" s="91" t="s">
        <v>18</v>
      </c>
      <c r="G1666" s="91" t="s">
        <v>5643</v>
      </c>
      <c r="H1666" s="91" t="s">
        <v>5709</v>
      </c>
      <c r="I1666" s="91" t="s">
        <v>1046</v>
      </c>
      <c r="J1666" s="91">
        <v>6199</v>
      </c>
      <c r="K1666" s="91">
        <f>1346+6278+4484</f>
        <v>12108</v>
      </c>
      <c r="L1666" s="91">
        <v>0</v>
      </c>
      <c r="M1666" s="91">
        <v>0</v>
      </c>
      <c r="N1666" s="91">
        <v>3148</v>
      </c>
      <c r="O1666" s="91">
        <v>0</v>
      </c>
      <c r="P1666" s="91">
        <v>0</v>
      </c>
      <c r="Q1666" s="97">
        <f t="shared" si="50"/>
        <v>21455</v>
      </c>
      <c r="R1666" s="95">
        <f t="shared" si="51"/>
        <v>18236.75</v>
      </c>
    </row>
    <row r="1667" spans="1:23" ht="34.049999999999997" customHeight="1" x14ac:dyDescent="0.3">
      <c r="A1667" s="90">
        <v>1656</v>
      </c>
      <c r="B1667" s="91" t="s">
        <v>5410</v>
      </c>
      <c r="C1667" s="91" t="s">
        <v>5520</v>
      </c>
      <c r="D1667" s="91" t="s">
        <v>5521</v>
      </c>
      <c r="E1667" s="91">
        <v>2002</v>
      </c>
      <c r="F1667" s="91" t="s">
        <v>19</v>
      </c>
      <c r="G1667" s="91" t="s">
        <v>5644</v>
      </c>
      <c r="H1667" s="91" t="s">
        <v>5710</v>
      </c>
      <c r="I1667" s="91" t="s">
        <v>5754</v>
      </c>
      <c r="J1667" s="91">
        <v>6199</v>
      </c>
      <c r="K1667" s="91">
        <f>1346+6278+4484+2332+2332+2332+2332+2332</f>
        <v>23768</v>
      </c>
      <c r="L1667" s="91">
        <f>20807+13298</f>
        <v>34105</v>
      </c>
      <c r="M1667" s="91">
        <v>0</v>
      </c>
      <c r="N1667" s="91">
        <v>1793</v>
      </c>
      <c r="O1667" s="91">
        <v>0</v>
      </c>
      <c r="P1667" s="91">
        <v>0</v>
      </c>
      <c r="Q1667" s="97">
        <f t="shared" si="50"/>
        <v>65865</v>
      </c>
      <c r="R1667" s="95">
        <f t="shared" si="51"/>
        <v>55985.25</v>
      </c>
    </row>
    <row r="1668" spans="1:23" ht="34.049999999999997" customHeight="1" x14ac:dyDescent="0.3">
      <c r="A1668" s="90">
        <v>1657</v>
      </c>
      <c r="B1668" s="98" t="s">
        <v>5410</v>
      </c>
      <c r="C1668" s="98" t="s">
        <v>5522</v>
      </c>
      <c r="D1668" s="98" t="s">
        <v>5523</v>
      </c>
      <c r="E1668" s="98">
        <v>1990</v>
      </c>
      <c r="F1668" s="98" t="s">
        <v>19</v>
      </c>
      <c r="G1668" s="98" t="s">
        <v>5645</v>
      </c>
      <c r="H1668" s="98" t="s">
        <v>5645</v>
      </c>
      <c r="I1668" s="98" t="s">
        <v>5755</v>
      </c>
      <c r="J1668" s="98">
        <v>6199</v>
      </c>
      <c r="K1668" s="98">
        <v>0</v>
      </c>
      <c r="L1668" s="98">
        <v>0</v>
      </c>
      <c r="M1668" s="98">
        <v>0</v>
      </c>
      <c r="N1668" s="98">
        <v>0</v>
      </c>
      <c r="O1668" s="98">
        <v>0</v>
      </c>
      <c r="P1668" s="98">
        <v>0</v>
      </c>
      <c r="Q1668" s="97">
        <f t="shared" si="50"/>
        <v>6199</v>
      </c>
      <c r="R1668" s="95">
        <f t="shared" si="51"/>
        <v>5269.15</v>
      </c>
      <c r="S1668" s="41"/>
      <c r="T1668" s="41"/>
      <c r="U1668" s="41"/>
      <c r="V1668" s="41"/>
      <c r="W1668" s="41"/>
    </row>
    <row r="1669" spans="1:23" ht="34.049999999999997" customHeight="1" x14ac:dyDescent="0.3">
      <c r="A1669" s="96">
        <v>1658</v>
      </c>
      <c r="B1669" s="91" t="s">
        <v>5410</v>
      </c>
      <c r="C1669" s="91" t="s">
        <v>5524</v>
      </c>
      <c r="D1669" s="91" t="s">
        <v>5525</v>
      </c>
      <c r="E1669" s="91">
        <v>2023</v>
      </c>
      <c r="F1669" s="91" t="s">
        <v>19</v>
      </c>
      <c r="G1669" s="91" t="s">
        <v>5646</v>
      </c>
      <c r="H1669" s="91" t="s">
        <v>4609</v>
      </c>
      <c r="I1669" s="91" t="s">
        <v>5756</v>
      </c>
      <c r="J1669" s="91">
        <v>6199</v>
      </c>
      <c r="K1669" s="91">
        <f>1346+6278+4484</f>
        <v>12108</v>
      </c>
      <c r="L1669" s="91">
        <v>0</v>
      </c>
      <c r="M1669" s="91">
        <v>0</v>
      </c>
      <c r="N1669" s="91">
        <v>3148</v>
      </c>
      <c r="O1669" s="91">
        <v>0</v>
      </c>
      <c r="P1669" s="91">
        <v>0</v>
      </c>
      <c r="Q1669" s="97">
        <f t="shared" si="50"/>
        <v>21455</v>
      </c>
      <c r="R1669" s="95">
        <f t="shared" si="51"/>
        <v>18236.75</v>
      </c>
    </row>
    <row r="1670" spans="1:23" ht="34.049999999999997" customHeight="1" x14ac:dyDescent="0.3">
      <c r="A1670" s="90">
        <v>1659</v>
      </c>
      <c r="B1670" s="98" t="s">
        <v>5410</v>
      </c>
      <c r="C1670" s="98" t="s">
        <v>5526</v>
      </c>
      <c r="D1670" s="98" t="s">
        <v>5527</v>
      </c>
      <c r="E1670" s="98">
        <v>2024</v>
      </c>
      <c r="F1670" s="98" t="s">
        <v>19</v>
      </c>
      <c r="G1670" s="98" t="s">
        <v>5647</v>
      </c>
      <c r="H1670" s="98" t="s">
        <v>5711</v>
      </c>
      <c r="I1670" s="98" t="s">
        <v>5757</v>
      </c>
      <c r="J1670" s="98">
        <v>6199</v>
      </c>
      <c r="K1670" s="98">
        <v>0</v>
      </c>
      <c r="L1670" s="98">
        <v>0</v>
      </c>
      <c r="M1670" s="98">
        <v>0</v>
      </c>
      <c r="N1670" s="98">
        <v>0</v>
      </c>
      <c r="O1670" s="98">
        <v>0</v>
      </c>
      <c r="P1670" s="98">
        <v>0</v>
      </c>
      <c r="Q1670" s="97">
        <f t="shared" si="50"/>
        <v>6199</v>
      </c>
      <c r="R1670" s="95">
        <f t="shared" si="51"/>
        <v>5269.15</v>
      </c>
      <c r="S1670" s="41"/>
      <c r="T1670" s="41"/>
      <c r="U1670" s="41"/>
      <c r="V1670" s="41"/>
      <c r="W1670" s="41"/>
    </row>
    <row r="1671" spans="1:23" ht="34.049999999999997" customHeight="1" x14ac:dyDescent="0.3">
      <c r="A1671" s="90">
        <v>1660</v>
      </c>
      <c r="B1671" s="91" t="s">
        <v>5410</v>
      </c>
      <c r="C1671" s="91" t="s">
        <v>5528</v>
      </c>
      <c r="D1671" s="91" t="s">
        <v>5529</v>
      </c>
      <c r="E1671" s="91">
        <v>1958</v>
      </c>
      <c r="F1671" s="91" t="s">
        <v>19</v>
      </c>
      <c r="G1671" s="91" t="s">
        <v>5648</v>
      </c>
      <c r="H1671" s="91" t="s">
        <v>5712</v>
      </c>
      <c r="I1671" s="91" t="s">
        <v>824</v>
      </c>
      <c r="J1671" s="91">
        <v>6199</v>
      </c>
      <c r="K1671" s="91">
        <f>6278+2332+2332+2332+6995+1166+2801+2332+2332</f>
        <v>28900</v>
      </c>
      <c r="L1671" s="91">
        <v>0</v>
      </c>
      <c r="M1671" s="91">
        <v>0</v>
      </c>
      <c r="N1671" s="91">
        <f>1793+1681</f>
        <v>3474</v>
      </c>
      <c r="O1671" s="91">
        <v>0</v>
      </c>
      <c r="P1671" s="91">
        <f>312+56</f>
        <v>368</v>
      </c>
      <c r="Q1671" s="97">
        <f t="shared" si="50"/>
        <v>38941</v>
      </c>
      <c r="R1671" s="95">
        <f t="shared" si="51"/>
        <v>33099.85</v>
      </c>
    </row>
    <row r="1672" spans="1:23" ht="34.049999999999997" customHeight="1" x14ac:dyDescent="0.3">
      <c r="A1672" s="96">
        <v>1661</v>
      </c>
      <c r="B1672" s="91" t="s">
        <v>5410</v>
      </c>
      <c r="C1672" s="91" t="s">
        <v>5530</v>
      </c>
      <c r="D1672" s="91" t="s">
        <v>5531</v>
      </c>
      <c r="E1672" s="91">
        <v>2019</v>
      </c>
      <c r="F1672" s="91" t="s">
        <v>19</v>
      </c>
      <c r="G1672" s="91" t="s">
        <v>5649</v>
      </c>
      <c r="H1672" s="91" t="s">
        <v>5327</v>
      </c>
      <c r="I1672" s="91" t="s">
        <v>5758</v>
      </c>
      <c r="J1672" s="91">
        <v>6199</v>
      </c>
      <c r="K1672" s="91">
        <f>1346+6278+4484+1166</f>
        <v>13274</v>
      </c>
      <c r="L1672" s="91">
        <v>0</v>
      </c>
      <c r="M1672" s="91">
        <v>0</v>
      </c>
      <c r="N1672" s="91">
        <v>3148</v>
      </c>
      <c r="O1672" s="91">
        <v>0</v>
      </c>
      <c r="P1672" s="91">
        <v>0</v>
      </c>
      <c r="Q1672" s="94">
        <f t="shared" si="50"/>
        <v>22621</v>
      </c>
      <c r="R1672" s="95">
        <f t="shared" si="51"/>
        <v>19227.849999999999</v>
      </c>
    </row>
    <row r="1673" spans="1:23" ht="34.049999999999997" customHeight="1" x14ac:dyDescent="0.3">
      <c r="A1673" s="90">
        <v>1662</v>
      </c>
      <c r="B1673" s="91" t="s">
        <v>5410</v>
      </c>
      <c r="C1673" s="91" t="s">
        <v>5532</v>
      </c>
      <c r="D1673" s="91" t="s">
        <v>1737</v>
      </c>
      <c r="E1673" s="91">
        <v>2020</v>
      </c>
      <c r="F1673" s="91" t="s">
        <v>19</v>
      </c>
      <c r="G1673" s="91" t="s">
        <v>1815</v>
      </c>
      <c r="H1673" s="91" t="s">
        <v>1859</v>
      </c>
      <c r="I1673" s="91" t="s">
        <v>1084</v>
      </c>
      <c r="J1673" s="91">
        <v>6199</v>
      </c>
      <c r="K1673" s="91">
        <f>1346+6278+4484+1166</f>
        <v>13274</v>
      </c>
      <c r="L1673" s="91">
        <v>0</v>
      </c>
      <c r="M1673" s="91">
        <v>0</v>
      </c>
      <c r="N1673" s="91">
        <v>3148</v>
      </c>
      <c r="O1673" s="91">
        <v>0</v>
      </c>
      <c r="P1673" s="91">
        <v>0</v>
      </c>
      <c r="Q1673" s="97">
        <f t="shared" si="50"/>
        <v>22621</v>
      </c>
      <c r="R1673" s="95">
        <f t="shared" si="51"/>
        <v>19227.849999999999</v>
      </c>
    </row>
    <row r="1674" spans="1:23" ht="34.049999999999997" customHeight="1" x14ac:dyDescent="0.3">
      <c r="A1674" s="90">
        <v>1663</v>
      </c>
      <c r="B1674" s="91" t="s">
        <v>5410</v>
      </c>
      <c r="C1674" s="91" t="s">
        <v>5533</v>
      </c>
      <c r="D1674" s="91" t="s">
        <v>5534</v>
      </c>
      <c r="E1674" s="91">
        <v>1952</v>
      </c>
      <c r="F1674" s="91" t="s">
        <v>19</v>
      </c>
      <c r="G1674" s="91" t="s">
        <v>5650</v>
      </c>
      <c r="H1674" s="91" t="s">
        <v>5650</v>
      </c>
      <c r="I1674" s="91" t="s">
        <v>1689</v>
      </c>
      <c r="J1674" s="91">
        <v>6199</v>
      </c>
      <c r="K1674" s="91">
        <v>0</v>
      </c>
      <c r="L1674" s="91">
        <v>0</v>
      </c>
      <c r="M1674" s="91">
        <v>0</v>
      </c>
      <c r="N1674" s="91">
        <v>0</v>
      </c>
      <c r="O1674" s="91">
        <v>0</v>
      </c>
      <c r="P1674" s="91">
        <v>0</v>
      </c>
      <c r="Q1674" s="97">
        <f t="shared" si="50"/>
        <v>6199</v>
      </c>
      <c r="R1674" s="95">
        <f t="shared" si="51"/>
        <v>5269.15</v>
      </c>
    </row>
    <row r="1675" spans="1:23" ht="34.049999999999997" customHeight="1" x14ac:dyDescent="0.3">
      <c r="A1675" s="96">
        <v>1664</v>
      </c>
      <c r="B1675" s="91" t="s">
        <v>5410</v>
      </c>
      <c r="C1675" s="91" t="s">
        <v>5535</v>
      </c>
      <c r="D1675" s="91" t="s">
        <v>5536</v>
      </c>
      <c r="E1675" s="91">
        <v>1982</v>
      </c>
      <c r="F1675" s="91" t="s">
        <v>19</v>
      </c>
      <c r="G1675" s="91" t="s">
        <v>5651</v>
      </c>
      <c r="H1675" s="91" t="s">
        <v>1243</v>
      </c>
      <c r="I1675" s="91" t="s">
        <v>1277</v>
      </c>
      <c r="J1675" s="91">
        <v>6199</v>
      </c>
      <c r="K1675" s="91">
        <v>0</v>
      </c>
      <c r="L1675" s="91">
        <v>0</v>
      </c>
      <c r="M1675" s="91">
        <v>0</v>
      </c>
      <c r="N1675" s="91">
        <v>0</v>
      </c>
      <c r="O1675" s="91">
        <v>0</v>
      </c>
      <c r="P1675" s="91">
        <v>0</v>
      </c>
      <c r="Q1675" s="97">
        <f t="shared" si="50"/>
        <v>6199</v>
      </c>
      <c r="R1675" s="95">
        <f t="shared" si="51"/>
        <v>5269.15</v>
      </c>
    </row>
    <row r="1676" spans="1:23" ht="34.049999999999997" customHeight="1" x14ac:dyDescent="0.3">
      <c r="A1676" s="90">
        <v>1665</v>
      </c>
      <c r="B1676" s="91" t="s">
        <v>5410</v>
      </c>
      <c r="C1676" s="91" t="s">
        <v>5537</v>
      </c>
      <c r="D1676" s="91" t="s">
        <v>5538</v>
      </c>
      <c r="E1676" s="91">
        <v>1991</v>
      </c>
      <c r="F1676" s="91" t="s">
        <v>19</v>
      </c>
      <c r="G1676" s="91" t="s">
        <v>5652</v>
      </c>
      <c r="H1676" s="91" t="s">
        <v>5652</v>
      </c>
      <c r="I1676" s="91" t="s">
        <v>541</v>
      </c>
      <c r="J1676" s="91">
        <v>6199</v>
      </c>
      <c r="K1676" s="91">
        <v>0</v>
      </c>
      <c r="L1676" s="91">
        <v>0</v>
      </c>
      <c r="M1676" s="91">
        <v>0</v>
      </c>
      <c r="N1676" s="91">
        <v>0</v>
      </c>
      <c r="O1676" s="91">
        <v>0</v>
      </c>
      <c r="P1676" s="91">
        <v>0</v>
      </c>
      <c r="Q1676" s="97">
        <f t="shared" ref="Q1676:Q1739" si="52">SUM(J1676:P1676)</f>
        <v>6199</v>
      </c>
      <c r="R1676" s="95">
        <f t="shared" si="51"/>
        <v>5269.15</v>
      </c>
    </row>
    <row r="1677" spans="1:23" ht="34.049999999999997" customHeight="1" x14ac:dyDescent="0.3">
      <c r="A1677" s="90">
        <v>1666</v>
      </c>
      <c r="B1677" s="91" t="s">
        <v>5410</v>
      </c>
      <c r="C1677" s="91" t="s">
        <v>5539</v>
      </c>
      <c r="D1677" s="91" t="s">
        <v>5540</v>
      </c>
      <c r="E1677" s="91">
        <v>2021</v>
      </c>
      <c r="F1677" s="91" t="s">
        <v>18</v>
      </c>
      <c r="G1677" s="91" t="s">
        <v>5653</v>
      </c>
      <c r="H1677" s="91" t="s">
        <v>5713</v>
      </c>
      <c r="I1677" s="91" t="s">
        <v>5759</v>
      </c>
      <c r="J1677" s="91">
        <v>6199</v>
      </c>
      <c r="K1677" s="91">
        <f>6278+4484+1346+4484+2332+2332+2332+2332+2332+2332+6995+6995+2332+6995</f>
        <v>53901</v>
      </c>
      <c r="L1677" s="91">
        <v>0</v>
      </c>
      <c r="M1677" s="91">
        <v>0</v>
      </c>
      <c r="N1677" s="91">
        <v>3148</v>
      </c>
      <c r="O1677" s="91">
        <v>0</v>
      </c>
      <c r="P1677" s="91">
        <v>0</v>
      </c>
      <c r="Q1677" s="97">
        <f t="shared" si="52"/>
        <v>63248</v>
      </c>
      <c r="R1677" s="95">
        <f t="shared" ref="R1677:R1740" si="53">Q1677*85/100</f>
        <v>53760.800000000003</v>
      </c>
    </row>
    <row r="1678" spans="1:23" ht="34.049999999999997" customHeight="1" x14ac:dyDescent="0.3">
      <c r="A1678" s="96">
        <v>1667</v>
      </c>
      <c r="B1678" s="91" t="s">
        <v>5410</v>
      </c>
      <c r="C1678" s="91" t="s">
        <v>5541</v>
      </c>
      <c r="D1678" s="91" t="s">
        <v>5542</v>
      </c>
      <c r="E1678" s="91">
        <v>2022</v>
      </c>
      <c r="F1678" s="91" t="s">
        <v>19</v>
      </c>
      <c r="G1678" s="91" t="s">
        <v>5654</v>
      </c>
      <c r="H1678" s="91" t="s">
        <v>5714</v>
      </c>
      <c r="I1678" s="91" t="s">
        <v>300</v>
      </c>
      <c r="J1678" s="91">
        <v>6199</v>
      </c>
      <c r="K1678" s="91">
        <v>0</v>
      </c>
      <c r="L1678" s="91">
        <v>0</v>
      </c>
      <c r="M1678" s="91">
        <v>0</v>
      </c>
      <c r="N1678" s="91">
        <v>0</v>
      </c>
      <c r="O1678" s="91">
        <v>0</v>
      </c>
      <c r="P1678" s="91">
        <v>0</v>
      </c>
      <c r="Q1678" s="97">
        <f t="shared" si="52"/>
        <v>6199</v>
      </c>
      <c r="R1678" s="95">
        <f t="shared" si="53"/>
        <v>5269.15</v>
      </c>
    </row>
    <row r="1679" spans="1:23" ht="34.049999999999997" customHeight="1" x14ac:dyDescent="0.3">
      <c r="A1679" s="90">
        <v>1668</v>
      </c>
      <c r="B1679" s="91" t="s">
        <v>5410</v>
      </c>
      <c r="C1679" s="91" t="s">
        <v>5543</v>
      </c>
      <c r="D1679" s="91" t="s">
        <v>5544</v>
      </c>
      <c r="E1679" s="91">
        <v>1971</v>
      </c>
      <c r="F1679" s="91" t="s">
        <v>19</v>
      </c>
      <c r="G1679" s="91" t="s">
        <v>5655</v>
      </c>
      <c r="H1679" s="91" t="s">
        <v>5715</v>
      </c>
      <c r="I1679" s="91" t="s">
        <v>5760</v>
      </c>
      <c r="J1679" s="91">
        <v>6199</v>
      </c>
      <c r="K1679" s="91">
        <v>0</v>
      </c>
      <c r="L1679" s="91">
        <v>0</v>
      </c>
      <c r="M1679" s="91">
        <v>0</v>
      </c>
      <c r="N1679" s="91">
        <v>0</v>
      </c>
      <c r="O1679" s="91">
        <v>0</v>
      </c>
      <c r="P1679" s="91">
        <v>0</v>
      </c>
      <c r="Q1679" s="97">
        <f t="shared" si="52"/>
        <v>6199</v>
      </c>
      <c r="R1679" s="95">
        <f t="shared" si="53"/>
        <v>5269.15</v>
      </c>
    </row>
    <row r="1680" spans="1:23" ht="34.049999999999997" customHeight="1" x14ac:dyDescent="0.3">
      <c r="A1680" s="90">
        <v>1669</v>
      </c>
      <c r="B1680" s="91" t="s">
        <v>5410</v>
      </c>
      <c r="C1680" s="91" t="s">
        <v>5545</v>
      </c>
      <c r="D1680" s="91" t="s">
        <v>5546</v>
      </c>
      <c r="E1680" s="91">
        <v>1994</v>
      </c>
      <c r="F1680" s="91" t="s">
        <v>18</v>
      </c>
      <c r="G1680" s="91" t="s">
        <v>5656</v>
      </c>
      <c r="H1680" s="91" t="s">
        <v>5656</v>
      </c>
      <c r="I1680" s="91" t="s">
        <v>5740</v>
      </c>
      <c r="J1680" s="91">
        <v>6199</v>
      </c>
      <c r="K1680" s="91">
        <f>6278+6995+4484+4484+3000+3000+3228</f>
        <v>31469</v>
      </c>
      <c r="L1680" s="91">
        <v>13298</v>
      </c>
      <c r="M1680" s="91">
        <v>0</v>
      </c>
      <c r="N1680" s="91">
        <v>1793</v>
      </c>
      <c r="O1680" s="91">
        <v>0</v>
      </c>
      <c r="P1680" s="91">
        <v>0</v>
      </c>
      <c r="Q1680" s="97">
        <f t="shared" si="52"/>
        <v>52759</v>
      </c>
      <c r="R1680" s="95">
        <f t="shared" si="53"/>
        <v>44845.15</v>
      </c>
    </row>
    <row r="1681" spans="1:18" ht="34.049999999999997" customHeight="1" x14ac:dyDescent="0.3">
      <c r="A1681" s="96">
        <v>1670</v>
      </c>
      <c r="B1681" s="91" t="s">
        <v>5410</v>
      </c>
      <c r="C1681" s="91" t="s">
        <v>5547</v>
      </c>
      <c r="D1681" s="91" t="s">
        <v>5548</v>
      </c>
      <c r="E1681" s="91">
        <v>1996</v>
      </c>
      <c r="F1681" s="91" t="s">
        <v>19</v>
      </c>
      <c r="G1681" s="91" t="s">
        <v>5657</v>
      </c>
      <c r="H1681" s="91" t="s">
        <v>5657</v>
      </c>
      <c r="I1681" s="91" t="s">
        <v>5761</v>
      </c>
      <c r="J1681" s="91">
        <v>6199</v>
      </c>
      <c r="K1681" s="91">
        <v>0</v>
      </c>
      <c r="L1681" s="91">
        <v>0</v>
      </c>
      <c r="M1681" s="91">
        <v>0</v>
      </c>
      <c r="N1681" s="91">
        <v>0</v>
      </c>
      <c r="O1681" s="91">
        <v>0</v>
      </c>
      <c r="P1681" s="91">
        <v>0</v>
      </c>
      <c r="Q1681" s="97">
        <f t="shared" si="52"/>
        <v>6199</v>
      </c>
      <c r="R1681" s="95">
        <f t="shared" si="53"/>
        <v>5269.15</v>
      </c>
    </row>
    <row r="1682" spans="1:18" ht="34.049999999999997" customHeight="1" x14ac:dyDescent="0.3">
      <c r="A1682" s="90">
        <v>1671</v>
      </c>
      <c r="B1682" s="91" t="s">
        <v>5410</v>
      </c>
      <c r="C1682" s="91" t="s">
        <v>5549</v>
      </c>
      <c r="D1682" s="91" t="s">
        <v>5550</v>
      </c>
      <c r="E1682" s="91">
        <v>2021</v>
      </c>
      <c r="F1682" s="91" t="s">
        <v>19</v>
      </c>
      <c r="G1682" s="91" t="s">
        <v>5658</v>
      </c>
      <c r="H1682" s="91" t="s">
        <v>5716</v>
      </c>
      <c r="I1682" s="91" t="s">
        <v>27</v>
      </c>
      <c r="J1682" s="91">
        <v>6199</v>
      </c>
      <c r="K1682" s="91">
        <f>6278+4484+1346+1166+4484+2332+2332+2332+2332+2332</f>
        <v>29418</v>
      </c>
      <c r="L1682" s="91">
        <v>0</v>
      </c>
      <c r="M1682" s="91">
        <v>0</v>
      </c>
      <c r="N1682" s="91">
        <v>3148</v>
      </c>
      <c r="O1682" s="91">
        <v>0</v>
      </c>
      <c r="P1682" s="91">
        <v>0</v>
      </c>
      <c r="Q1682" s="97">
        <f t="shared" si="52"/>
        <v>38765</v>
      </c>
      <c r="R1682" s="95">
        <f t="shared" si="53"/>
        <v>32950.25</v>
      </c>
    </row>
    <row r="1683" spans="1:18" ht="34.049999999999997" customHeight="1" x14ac:dyDescent="0.3">
      <c r="A1683" s="90">
        <v>1672</v>
      </c>
      <c r="B1683" s="91" t="s">
        <v>5410</v>
      </c>
      <c r="C1683" s="91" t="s">
        <v>5551</v>
      </c>
      <c r="D1683" s="91" t="s">
        <v>5552</v>
      </c>
      <c r="E1683" s="91">
        <v>2023</v>
      </c>
      <c r="F1683" s="91" t="s">
        <v>18</v>
      </c>
      <c r="G1683" s="91" t="s">
        <v>5659</v>
      </c>
      <c r="H1683" s="91" t="s">
        <v>5717</v>
      </c>
      <c r="I1683" s="91" t="s">
        <v>1890</v>
      </c>
      <c r="J1683" s="91">
        <v>6199</v>
      </c>
      <c r="K1683" s="91">
        <f>6278+4484+1346+4484+2332+2332+2332+2332+2332+2332+6995+6995+2332+6995+1166</f>
        <v>55067</v>
      </c>
      <c r="L1683" s="91">
        <v>0</v>
      </c>
      <c r="M1683" s="91">
        <v>0</v>
      </c>
      <c r="N1683" s="91">
        <f>3148+4053+2088+1178</f>
        <v>10467</v>
      </c>
      <c r="O1683" s="91">
        <v>0</v>
      </c>
      <c r="P1683" s="91">
        <f>720+1080+1200+360+56+396</f>
        <v>3812</v>
      </c>
      <c r="Q1683" s="94">
        <f t="shared" si="52"/>
        <v>75545</v>
      </c>
      <c r="R1683" s="95">
        <f t="shared" si="53"/>
        <v>64213.25</v>
      </c>
    </row>
    <row r="1684" spans="1:18" ht="34.049999999999997" customHeight="1" x14ac:dyDescent="0.3">
      <c r="A1684" s="96">
        <v>1673</v>
      </c>
      <c r="B1684" s="91" t="s">
        <v>5410</v>
      </c>
      <c r="C1684" s="91" t="s">
        <v>5551</v>
      </c>
      <c r="D1684" s="91" t="s">
        <v>5552</v>
      </c>
      <c r="E1684" s="91">
        <v>2023</v>
      </c>
      <c r="F1684" s="91" t="s">
        <v>18</v>
      </c>
      <c r="G1684" s="91" t="s">
        <v>5659</v>
      </c>
      <c r="H1684" s="91" t="s">
        <v>5717</v>
      </c>
      <c r="I1684" s="91" t="s">
        <v>1890</v>
      </c>
      <c r="J1684" s="91">
        <v>0</v>
      </c>
      <c r="K1684" s="91">
        <v>0</v>
      </c>
      <c r="L1684" s="91">
        <v>0</v>
      </c>
      <c r="M1684" s="91">
        <v>17688</v>
      </c>
      <c r="N1684" s="91">
        <v>2088</v>
      </c>
      <c r="O1684" s="91">
        <v>0</v>
      </c>
      <c r="P1684" s="91">
        <f>360+56</f>
        <v>416</v>
      </c>
      <c r="Q1684" s="94">
        <f t="shared" si="52"/>
        <v>20192</v>
      </c>
      <c r="R1684" s="95">
        <f t="shared" si="53"/>
        <v>17163.2</v>
      </c>
    </row>
    <row r="1685" spans="1:18" ht="34.049999999999997" customHeight="1" x14ac:dyDescent="0.3">
      <c r="A1685" s="90">
        <v>1674</v>
      </c>
      <c r="B1685" s="91" t="s">
        <v>5410</v>
      </c>
      <c r="C1685" s="91" t="s">
        <v>5553</v>
      </c>
      <c r="D1685" s="91" t="s">
        <v>3796</v>
      </c>
      <c r="E1685" s="91">
        <v>1949</v>
      </c>
      <c r="F1685" s="91" t="s">
        <v>18</v>
      </c>
      <c r="G1685" s="91" t="s">
        <v>3871</v>
      </c>
      <c r="H1685" s="91" t="s">
        <v>3871</v>
      </c>
      <c r="I1685" s="91" t="s">
        <v>3940</v>
      </c>
      <c r="J1685" s="91">
        <v>3793</v>
      </c>
      <c r="K1685" s="91">
        <v>0</v>
      </c>
      <c r="L1685" s="91">
        <v>0</v>
      </c>
      <c r="M1685" s="91">
        <v>0</v>
      </c>
      <c r="N1685" s="91">
        <v>0</v>
      </c>
      <c r="O1685" s="91">
        <v>0</v>
      </c>
      <c r="P1685" s="91">
        <v>0</v>
      </c>
      <c r="Q1685" s="97">
        <f t="shared" si="52"/>
        <v>3793</v>
      </c>
      <c r="R1685" s="95">
        <f t="shared" si="53"/>
        <v>3224.05</v>
      </c>
    </row>
    <row r="1686" spans="1:18" ht="34.049999999999997" customHeight="1" x14ac:dyDescent="0.3">
      <c r="A1686" s="90">
        <v>1675</v>
      </c>
      <c r="B1686" s="91" t="s">
        <v>5410</v>
      </c>
      <c r="C1686" s="91" t="s">
        <v>5554</v>
      </c>
      <c r="D1686" s="91" t="s">
        <v>5555</v>
      </c>
      <c r="E1686" s="91">
        <v>1990</v>
      </c>
      <c r="F1686" s="91" t="s">
        <v>19</v>
      </c>
      <c r="G1686" s="91" t="s">
        <v>5660</v>
      </c>
      <c r="H1686" s="91" t="s">
        <v>5660</v>
      </c>
      <c r="I1686" s="91" t="s">
        <v>5762</v>
      </c>
      <c r="J1686" s="91">
        <v>6199</v>
      </c>
      <c r="K1686" s="91">
        <v>0</v>
      </c>
      <c r="L1686" s="91">
        <v>0</v>
      </c>
      <c r="M1686" s="91">
        <v>0</v>
      </c>
      <c r="N1686" s="91">
        <v>0</v>
      </c>
      <c r="O1686" s="91">
        <v>0</v>
      </c>
      <c r="P1686" s="91">
        <v>0</v>
      </c>
      <c r="Q1686" s="97">
        <f t="shared" si="52"/>
        <v>6199</v>
      </c>
      <c r="R1686" s="95">
        <f t="shared" si="53"/>
        <v>5269.15</v>
      </c>
    </row>
    <row r="1687" spans="1:18" ht="34.049999999999997" customHeight="1" x14ac:dyDescent="0.3">
      <c r="A1687" s="96">
        <v>1676</v>
      </c>
      <c r="B1687" s="91" t="s">
        <v>5410</v>
      </c>
      <c r="C1687" s="91" t="s">
        <v>5556</v>
      </c>
      <c r="D1687" s="91" t="s">
        <v>5557</v>
      </c>
      <c r="E1687" s="91">
        <v>2006</v>
      </c>
      <c r="F1687" s="91" t="s">
        <v>19</v>
      </c>
      <c r="G1687" s="91" t="s">
        <v>5661</v>
      </c>
      <c r="H1687" s="91" t="s">
        <v>5718</v>
      </c>
      <c r="I1687" s="91" t="s">
        <v>5763</v>
      </c>
      <c r="J1687" s="91">
        <v>6199</v>
      </c>
      <c r="K1687" s="91">
        <v>0</v>
      </c>
      <c r="L1687" s="91">
        <v>0</v>
      </c>
      <c r="M1687" s="91">
        <v>0</v>
      </c>
      <c r="N1687" s="91">
        <v>0</v>
      </c>
      <c r="O1687" s="91">
        <v>0</v>
      </c>
      <c r="P1687" s="91">
        <v>0</v>
      </c>
      <c r="Q1687" s="97">
        <f t="shared" si="52"/>
        <v>6199</v>
      </c>
      <c r="R1687" s="95">
        <f t="shared" si="53"/>
        <v>5269.15</v>
      </c>
    </row>
    <row r="1688" spans="1:18" ht="34.049999999999997" customHeight="1" x14ac:dyDescent="0.3">
      <c r="A1688" s="90">
        <v>1677</v>
      </c>
      <c r="B1688" s="91" t="s">
        <v>5410</v>
      </c>
      <c r="C1688" s="91" t="s">
        <v>5558</v>
      </c>
      <c r="D1688" s="91" t="s">
        <v>3778</v>
      </c>
      <c r="E1688" s="91">
        <v>1984</v>
      </c>
      <c r="F1688" s="91" t="s">
        <v>18</v>
      </c>
      <c r="G1688" s="91" t="s">
        <v>3862</v>
      </c>
      <c r="H1688" s="91" t="s">
        <v>3909</v>
      </c>
      <c r="I1688" s="91" t="s">
        <v>3938</v>
      </c>
      <c r="J1688" s="91">
        <v>3793</v>
      </c>
      <c r="K1688" s="91">
        <v>0</v>
      </c>
      <c r="L1688" s="91">
        <v>0</v>
      </c>
      <c r="M1688" s="91">
        <v>0</v>
      </c>
      <c r="N1688" s="91">
        <v>0</v>
      </c>
      <c r="O1688" s="91">
        <v>0</v>
      </c>
      <c r="P1688" s="91">
        <v>0</v>
      </c>
      <c r="Q1688" s="97">
        <f t="shared" si="52"/>
        <v>3793</v>
      </c>
      <c r="R1688" s="95">
        <f t="shared" si="53"/>
        <v>3224.05</v>
      </c>
    </row>
    <row r="1689" spans="1:18" ht="34.049999999999997" customHeight="1" x14ac:dyDescent="0.3">
      <c r="A1689" s="90">
        <v>1678</v>
      </c>
      <c r="B1689" s="91" t="s">
        <v>5410</v>
      </c>
      <c r="C1689" s="91" t="s">
        <v>5559</v>
      </c>
      <c r="D1689" s="91" t="s">
        <v>5560</v>
      </c>
      <c r="E1689" s="91">
        <v>2021</v>
      </c>
      <c r="F1689" s="91" t="s">
        <v>18</v>
      </c>
      <c r="G1689" s="91" t="s">
        <v>5662</v>
      </c>
      <c r="H1689" s="91" t="s">
        <v>5719</v>
      </c>
      <c r="I1689" s="91" t="s">
        <v>299</v>
      </c>
      <c r="J1689" s="91">
        <v>6199</v>
      </c>
      <c r="K1689" s="91">
        <f>1346+6278+4484+4484+2332+2332+2332+2332+2332+2332+6995+6995+2332+6995+1166</f>
        <v>55067</v>
      </c>
      <c r="L1689" s="91">
        <v>0</v>
      </c>
      <c r="M1689" s="91">
        <v>0</v>
      </c>
      <c r="N1689" s="91">
        <f>3148+2088+4053+1178</f>
        <v>10467</v>
      </c>
      <c r="O1689" s="91">
        <v>0</v>
      </c>
      <c r="P1689" s="91">
        <f>720+1080+360+56+1200</f>
        <v>3416</v>
      </c>
      <c r="Q1689" s="94">
        <f t="shared" si="52"/>
        <v>75149</v>
      </c>
      <c r="R1689" s="95">
        <f t="shared" si="53"/>
        <v>63876.65</v>
      </c>
    </row>
    <row r="1690" spans="1:18" ht="34.049999999999997" customHeight="1" x14ac:dyDescent="0.3">
      <c r="A1690" s="96">
        <v>1679</v>
      </c>
      <c r="B1690" s="91" t="s">
        <v>5410</v>
      </c>
      <c r="C1690" s="91" t="s">
        <v>5559</v>
      </c>
      <c r="D1690" s="91" t="s">
        <v>5560</v>
      </c>
      <c r="E1690" s="91">
        <v>2021</v>
      </c>
      <c r="F1690" s="91" t="s">
        <v>18</v>
      </c>
      <c r="G1690" s="91" t="s">
        <v>5662</v>
      </c>
      <c r="H1690" s="91" t="s">
        <v>5719</v>
      </c>
      <c r="I1690" s="91" t="s">
        <v>299</v>
      </c>
      <c r="J1690" s="91">
        <v>0</v>
      </c>
      <c r="K1690" s="91">
        <v>0</v>
      </c>
      <c r="L1690" s="91">
        <v>0</v>
      </c>
      <c r="M1690" s="91">
        <v>17688</v>
      </c>
      <c r="N1690" s="91">
        <v>2088</v>
      </c>
      <c r="O1690" s="91">
        <v>0</v>
      </c>
      <c r="P1690" s="91">
        <f>360+56</f>
        <v>416</v>
      </c>
      <c r="Q1690" s="94">
        <f t="shared" si="52"/>
        <v>20192</v>
      </c>
      <c r="R1690" s="95">
        <f t="shared" si="53"/>
        <v>17163.2</v>
      </c>
    </row>
    <row r="1691" spans="1:18" ht="34.049999999999997" customHeight="1" x14ac:dyDescent="0.3">
      <c r="A1691" s="90">
        <v>1680</v>
      </c>
      <c r="B1691" s="91" t="s">
        <v>5410</v>
      </c>
      <c r="C1691" s="91" t="s">
        <v>5561</v>
      </c>
      <c r="D1691" s="91" t="s">
        <v>5562</v>
      </c>
      <c r="E1691" s="91">
        <v>2019</v>
      </c>
      <c r="F1691" s="91" t="s">
        <v>18</v>
      </c>
      <c r="G1691" s="91" t="s">
        <v>5663</v>
      </c>
      <c r="H1691" s="91" t="s">
        <v>5720</v>
      </c>
      <c r="I1691" s="91" t="s">
        <v>580</v>
      </c>
      <c r="J1691" s="91">
        <v>6199</v>
      </c>
      <c r="K1691" s="91">
        <f>6278+4484+1346+4484+2332+2332+2332+2332+2332+1166</f>
        <v>29418</v>
      </c>
      <c r="L1691" s="91">
        <v>0</v>
      </c>
      <c r="M1691" s="91">
        <v>0</v>
      </c>
      <c r="N1691" s="91">
        <v>3148</v>
      </c>
      <c r="O1691" s="91">
        <v>0</v>
      </c>
      <c r="P1691" s="91">
        <v>0</v>
      </c>
      <c r="Q1691" s="97">
        <f t="shared" si="52"/>
        <v>38765</v>
      </c>
      <c r="R1691" s="95">
        <f t="shared" si="53"/>
        <v>32950.25</v>
      </c>
    </row>
    <row r="1692" spans="1:18" ht="34.049999999999997" customHeight="1" x14ac:dyDescent="0.3">
      <c r="A1692" s="90">
        <v>1681</v>
      </c>
      <c r="B1692" s="91" t="s">
        <v>5410</v>
      </c>
      <c r="C1692" s="91" t="s">
        <v>5563</v>
      </c>
      <c r="D1692" s="91" t="s">
        <v>5564</v>
      </c>
      <c r="E1692" s="91">
        <v>1982</v>
      </c>
      <c r="F1692" s="91" t="s">
        <v>19</v>
      </c>
      <c r="G1692" s="91" t="s">
        <v>5664</v>
      </c>
      <c r="H1692" s="91" t="s">
        <v>5664</v>
      </c>
      <c r="I1692" s="91" t="s">
        <v>1890</v>
      </c>
      <c r="J1692" s="91">
        <v>6199</v>
      </c>
      <c r="K1692" s="91">
        <v>0</v>
      </c>
      <c r="L1692" s="91">
        <v>0</v>
      </c>
      <c r="M1692" s="91">
        <v>0</v>
      </c>
      <c r="N1692" s="91">
        <v>0</v>
      </c>
      <c r="O1692" s="91">
        <v>0</v>
      </c>
      <c r="P1692" s="91">
        <v>0</v>
      </c>
      <c r="Q1692" s="94">
        <f t="shared" si="52"/>
        <v>6199</v>
      </c>
      <c r="R1692" s="95">
        <f t="shared" si="53"/>
        <v>5269.15</v>
      </c>
    </row>
    <row r="1693" spans="1:18" ht="34.049999999999997" customHeight="1" x14ac:dyDescent="0.3">
      <c r="A1693" s="96">
        <v>1682</v>
      </c>
      <c r="B1693" s="91" t="s">
        <v>5410</v>
      </c>
      <c r="C1693" s="91" t="s">
        <v>5565</v>
      </c>
      <c r="D1693" s="91" t="s">
        <v>5566</v>
      </c>
      <c r="E1693" s="91">
        <v>2004</v>
      </c>
      <c r="F1693" s="91" t="s">
        <v>19</v>
      </c>
      <c r="G1693" s="91" t="s">
        <v>5665</v>
      </c>
      <c r="H1693" s="91" t="s">
        <v>5665</v>
      </c>
      <c r="I1693" s="91" t="s">
        <v>1257</v>
      </c>
      <c r="J1693" s="91">
        <v>6199</v>
      </c>
      <c r="K1693" s="91">
        <f>2332+2332+2243</f>
        <v>6907</v>
      </c>
      <c r="L1693" s="91">
        <v>0</v>
      </c>
      <c r="M1693" s="91">
        <v>0</v>
      </c>
      <c r="N1693" s="91">
        <v>0</v>
      </c>
      <c r="O1693" s="91">
        <v>0</v>
      </c>
      <c r="P1693" s="91">
        <v>0</v>
      </c>
      <c r="Q1693" s="97">
        <f t="shared" si="52"/>
        <v>13106</v>
      </c>
      <c r="R1693" s="95">
        <f t="shared" si="53"/>
        <v>11140.1</v>
      </c>
    </row>
    <row r="1694" spans="1:18" ht="34.049999999999997" customHeight="1" x14ac:dyDescent="0.3">
      <c r="A1694" s="90">
        <v>1683</v>
      </c>
      <c r="B1694" s="91" t="s">
        <v>5410</v>
      </c>
      <c r="C1694" s="91" t="s">
        <v>5567</v>
      </c>
      <c r="D1694" s="91" t="s">
        <v>5568</v>
      </c>
      <c r="E1694" s="91">
        <v>2021</v>
      </c>
      <c r="F1694" s="91" t="s">
        <v>19</v>
      </c>
      <c r="G1694" s="91" t="s">
        <v>5666</v>
      </c>
      <c r="H1694" s="91" t="s">
        <v>5721</v>
      </c>
      <c r="I1694" s="91" t="s">
        <v>300</v>
      </c>
      <c r="J1694" s="91">
        <v>6199</v>
      </c>
      <c r="K1694" s="91">
        <f>1346+6278+4484</f>
        <v>12108</v>
      </c>
      <c r="L1694" s="91">
        <v>0</v>
      </c>
      <c r="M1694" s="91">
        <v>0</v>
      </c>
      <c r="N1694" s="91">
        <v>3148</v>
      </c>
      <c r="O1694" s="91">
        <v>0</v>
      </c>
      <c r="P1694" s="91">
        <v>0</v>
      </c>
      <c r="Q1694" s="97">
        <f t="shared" si="52"/>
        <v>21455</v>
      </c>
      <c r="R1694" s="95">
        <f t="shared" si="53"/>
        <v>18236.75</v>
      </c>
    </row>
    <row r="1695" spans="1:18" ht="34.049999999999997" customHeight="1" x14ac:dyDescent="0.3">
      <c r="A1695" s="90">
        <v>1684</v>
      </c>
      <c r="B1695" s="91" t="s">
        <v>5410</v>
      </c>
      <c r="C1695" s="91" t="s">
        <v>5569</v>
      </c>
      <c r="D1695" s="91" t="s">
        <v>5570</v>
      </c>
      <c r="E1695" s="91">
        <v>2017</v>
      </c>
      <c r="F1695" s="91" t="s">
        <v>18</v>
      </c>
      <c r="G1695" s="91" t="s">
        <v>5667</v>
      </c>
      <c r="H1695" s="91" t="s">
        <v>5722</v>
      </c>
      <c r="I1695" s="91" t="s">
        <v>5751</v>
      </c>
      <c r="J1695" s="91">
        <v>6199</v>
      </c>
      <c r="K1695" s="91">
        <f>1346+6278+4484+4484</f>
        <v>16592</v>
      </c>
      <c r="L1695" s="91">
        <v>0</v>
      </c>
      <c r="M1695" s="91">
        <v>0</v>
      </c>
      <c r="N1695" s="91">
        <v>3148</v>
      </c>
      <c r="O1695" s="91">
        <v>0</v>
      </c>
      <c r="P1695" s="91">
        <v>0</v>
      </c>
      <c r="Q1695" s="97">
        <f t="shared" si="52"/>
        <v>25939</v>
      </c>
      <c r="R1695" s="95">
        <f t="shared" si="53"/>
        <v>22048.15</v>
      </c>
    </row>
    <row r="1696" spans="1:18" ht="34.049999999999997" customHeight="1" x14ac:dyDescent="0.3">
      <c r="A1696" s="96">
        <v>1685</v>
      </c>
      <c r="B1696" s="91" t="s">
        <v>5410</v>
      </c>
      <c r="C1696" s="91" t="s">
        <v>5571</v>
      </c>
      <c r="D1696" s="91" t="s">
        <v>5572</v>
      </c>
      <c r="E1696" s="91">
        <v>2014</v>
      </c>
      <c r="F1696" s="91" t="s">
        <v>19</v>
      </c>
      <c r="G1696" s="91" t="s">
        <v>5668</v>
      </c>
      <c r="H1696" s="91" t="s">
        <v>1882</v>
      </c>
      <c r="I1696" s="91" t="s">
        <v>1068</v>
      </c>
      <c r="J1696" s="91">
        <v>6199</v>
      </c>
      <c r="K1696" s="91">
        <v>0</v>
      </c>
      <c r="L1696" s="91">
        <v>0</v>
      </c>
      <c r="M1696" s="91">
        <v>0</v>
      </c>
      <c r="N1696" s="91">
        <v>0</v>
      </c>
      <c r="O1696" s="91">
        <v>0</v>
      </c>
      <c r="P1696" s="91">
        <v>0</v>
      </c>
      <c r="Q1696" s="97">
        <f t="shared" si="52"/>
        <v>6199</v>
      </c>
      <c r="R1696" s="95">
        <f t="shared" si="53"/>
        <v>5269.15</v>
      </c>
    </row>
    <row r="1697" spans="1:18" ht="34.049999999999997" customHeight="1" x14ac:dyDescent="0.3">
      <c r="A1697" s="90">
        <v>1686</v>
      </c>
      <c r="B1697" s="91" t="s">
        <v>5410</v>
      </c>
      <c r="C1697" s="91" t="s">
        <v>5573</v>
      </c>
      <c r="D1697" s="91" t="s">
        <v>5574</v>
      </c>
      <c r="E1697" s="91">
        <v>2007</v>
      </c>
      <c r="F1697" s="91" t="s">
        <v>19</v>
      </c>
      <c r="G1697" s="91" t="s">
        <v>5669</v>
      </c>
      <c r="H1697" s="91" t="s">
        <v>5723</v>
      </c>
      <c r="I1697" s="91" t="s">
        <v>1067</v>
      </c>
      <c r="J1697" s="91">
        <v>6199</v>
      </c>
      <c r="K1697" s="91">
        <v>0</v>
      </c>
      <c r="L1697" s="91">
        <v>0</v>
      </c>
      <c r="M1697" s="91">
        <v>0</v>
      </c>
      <c r="N1697" s="91">
        <v>0</v>
      </c>
      <c r="O1697" s="91">
        <v>0</v>
      </c>
      <c r="P1697" s="91">
        <v>0</v>
      </c>
      <c r="Q1697" s="97">
        <f t="shared" si="52"/>
        <v>6199</v>
      </c>
      <c r="R1697" s="95">
        <f t="shared" si="53"/>
        <v>5269.15</v>
      </c>
    </row>
    <row r="1698" spans="1:18" ht="34.049999999999997" customHeight="1" x14ac:dyDescent="0.3">
      <c r="A1698" s="90">
        <v>1687</v>
      </c>
      <c r="B1698" s="91" t="s">
        <v>5410</v>
      </c>
      <c r="C1698" s="91" t="s">
        <v>5575</v>
      </c>
      <c r="D1698" s="91" t="s">
        <v>5576</v>
      </c>
      <c r="E1698" s="91">
        <v>1988</v>
      </c>
      <c r="F1698" s="91" t="s">
        <v>19</v>
      </c>
      <c r="G1698" s="91" t="s">
        <v>5670</v>
      </c>
      <c r="H1698" s="91" t="s">
        <v>5724</v>
      </c>
      <c r="I1698" s="91" t="s">
        <v>839</v>
      </c>
      <c r="J1698" s="91">
        <v>6199</v>
      </c>
      <c r="K1698" s="91">
        <f>1346+6278+4484</f>
        <v>12108</v>
      </c>
      <c r="L1698" s="91">
        <v>0</v>
      </c>
      <c r="M1698" s="91">
        <v>0</v>
      </c>
      <c r="N1698" s="91">
        <v>1793</v>
      </c>
      <c r="O1698" s="91">
        <v>0</v>
      </c>
      <c r="P1698" s="91">
        <v>0</v>
      </c>
      <c r="Q1698" s="97">
        <f t="shared" si="52"/>
        <v>20100</v>
      </c>
      <c r="R1698" s="95">
        <f t="shared" si="53"/>
        <v>17085</v>
      </c>
    </row>
    <row r="1699" spans="1:18" ht="34.049999999999997" customHeight="1" x14ac:dyDescent="0.3">
      <c r="A1699" s="96">
        <v>1688</v>
      </c>
      <c r="B1699" s="91" t="s">
        <v>5410</v>
      </c>
      <c r="C1699" s="91" t="s">
        <v>5577</v>
      </c>
      <c r="D1699" s="91" t="s">
        <v>5578</v>
      </c>
      <c r="E1699" s="91">
        <v>2018</v>
      </c>
      <c r="F1699" s="91" t="s">
        <v>19</v>
      </c>
      <c r="G1699" s="91" t="s">
        <v>5671</v>
      </c>
      <c r="H1699" s="91" t="s">
        <v>5672</v>
      </c>
      <c r="I1699" s="91" t="s">
        <v>279</v>
      </c>
      <c r="J1699" s="91">
        <v>6199</v>
      </c>
      <c r="K1699" s="91">
        <v>0</v>
      </c>
      <c r="L1699" s="91">
        <v>0</v>
      </c>
      <c r="M1699" s="91">
        <v>0</v>
      </c>
      <c r="N1699" s="91">
        <v>0</v>
      </c>
      <c r="O1699" s="91">
        <v>0</v>
      </c>
      <c r="P1699" s="91">
        <v>0</v>
      </c>
      <c r="Q1699" s="97">
        <f t="shared" si="52"/>
        <v>6199</v>
      </c>
      <c r="R1699" s="95">
        <f t="shared" si="53"/>
        <v>5269.15</v>
      </c>
    </row>
    <row r="1700" spans="1:18" ht="34.049999999999997" customHeight="1" x14ac:dyDescent="0.3">
      <c r="A1700" s="90">
        <v>1689</v>
      </c>
      <c r="B1700" s="91" t="s">
        <v>5410</v>
      </c>
      <c r="C1700" s="91" t="s">
        <v>5579</v>
      </c>
      <c r="D1700" s="91" t="s">
        <v>5580</v>
      </c>
      <c r="E1700" s="91">
        <v>1985</v>
      </c>
      <c r="F1700" s="91" t="s">
        <v>19</v>
      </c>
      <c r="G1700" s="91" t="s">
        <v>5672</v>
      </c>
      <c r="H1700" s="91" t="s">
        <v>5672</v>
      </c>
      <c r="I1700" s="91" t="s">
        <v>279</v>
      </c>
      <c r="J1700" s="91">
        <v>6199</v>
      </c>
      <c r="K1700" s="91">
        <v>0</v>
      </c>
      <c r="L1700" s="91">
        <v>0</v>
      </c>
      <c r="M1700" s="91">
        <v>0</v>
      </c>
      <c r="N1700" s="91">
        <v>0</v>
      </c>
      <c r="O1700" s="91">
        <v>0</v>
      </c>
      <c r="P1700" s="91">
        <v>0</v>
      </c>
      <c r="Q1700" s="97">
        <f t="shared" si="52"/>
        <v>6199</v>
      </c>
      <c r="R1700" s="95">
        <f t="shared" si="53"/>
        <v>5269.15</v>
      </c>
    </row>
    <row r="1701" spans="1:18" ht="34.049999999999997" customHeight="1" x14ac:dyDescent="0.3">
      <c r="A1701" s="90">
        <v>1690</v>
      </c>
      <c r="B1701" s="91" t="s">
        <v>5410</v>
      </c>
      <c r="C1701" s="91" t="s">
        <v>5581</v>
      </c>
      <c r="D1701" s="91" t="s">
        <v>5582</v>
      </c>
      <c r="E1701" s="91">
        <v>2019</v>
      </c>
      <c r="F1701" s="91" t="s">
        <v>19</v>
      </c>
      <c r="G1701" s="91" t="s">
        <v>5673</v>
      </c>
      <c r="H1701" s="91" t="s">
        <v>5725</v>
      </c>
      <c r="I1701" s="91" t="s">
        <v>2618</v>
      </c>
      <c r="J1701" s="91">
        <v>6199</v>
      </c>
      <c r="K1701" s="91">
        <v>0</v>
      </c>
      <c r="L1701" s="91">
        <v>0</v>
      </c>
      <c r="M1701" s="91">
        <v>0</v>
      </c>
      <c r="N1701" s="91">
        <v>0</v>
      </c>
      <c r="O1701" s="91">
        <v>0</v>
      </c>
      <c r="P1701" s="91">
        <v>0</v>
      </c>
      <c r="Q1701" s="97">
        <f t="shared" si="52"/>
        <v>6199</v>
      </c>
      <c r="R1701" s="95">
        <f t="shared" si="53"/>
        <v>5269.15</v>
      </c>
    </row>
    <row r="1702" spans="1:18" ht="34.049999999999997" customHeight="1" x14ac:dyDescent="0.3">
      <c r="A1702" s="96">
        <v>1691</v>
      </c>
      <c r="B1702" s="91" t="s">
        <v>5410</v>
      </c>
      <c r="C1702" s="91" t="s">
        <v>5583</v>
      </c>
      <c r="D1702" s="91" t="s">
        <v>5584</v>
      </c>
      <c r="E1702" s="91">
        <v>2023</v>
      </c>
      <c r="F1702" s="91" t="s">
        <v>19</v>
      </c>
      <c r="G1702" s="91" t="s">
        <v>5674</v>
      </c>
      <c r="H1702" s="91" t="s">
        <v>5726</v>
      </c>
      <c r="I1702" s="91" t="s">
        <v>300</v>
      </c>
      <c r="J1702" s="91">
        <v>6199</v>
      </c>
      <c r="K1702" s="91">
        <f>1346+6278+4484+4484+2332+2332</f>
        <v>21256</v>
      </c>
      <c r="L1702" s="91">
        <v>0</v>
      </c>
      <c r="M1702" s="91">
        <v>0</v>
      </c>
      <c r="N1702" s="91">
        <v>3148</v>
      </c>
      <c r="O1702" s="91">
        <v>0</v>
      </c>
      <c r="P1702" s="91">
        <v>0</v>
      </c>
      <c r="Q1702" s="97">
        <f t="shared" si="52"/>
        <v>30603</v>
      </c>
      <c r="R1702" s="95">
        <f t="shared" si="53"/>
        <v>26012.55</v>
      </c>
    </row>
    <row r="1703" spans="1:18" ht="34.049999999999997" customHeight="1" x14ac:dyDescent="0.3">
      <c r="A1703" s="90">
        <v>1692</v>
      </c>
      <c r="B1703" s="91" t="s">
        <v>5410</v>
      </c>
      <c r="C1703" s="91" t="s">
        <v>5585</v>
      </c>
      <c r="D1703" s="91" t="s">
        <v>5586</v>
      </c>
      <c r="E1703" s="91">
        <v>2024</v>
      </c>
      <c r="F1703" s="91" t="s">
        <v>18</v>
      </c>
      <c r="G1703" s="91" t="s">
        <v>5675</v>
      </c>
      <c r="H1703" s="91" t="s">
        <v>5727</v>
      </c>
      <c r="I1703" s="91" t="s">
        <v>539</v>
      </c>
      <c r="J1703" s="91">
        <v>6199</v>
      </c>
      <c r="K1703" s="91">
        <f>1346+6278+4484+4484+2332+2332+2332+2332+2332+2332+6995+6995+2332+6995</f>
        <v>53901</v>
      </c>
      <c r="L1703" s="91">
        <v>0</v>
      </c>
      <c r="M1703" s="91">
        <v>0</v>
      </c>
      <c r="N1703" s="91">
        <v>3148</v>
      </c>
      <c r="O1703" s="91">
        <v>0</v>
      </c>
      <c r="P1703" s="91">
        <v>0</v>
      </c>
      <c r="Q1703" s="97">
        <f t="shared" si="52"/>
        <v>63248</v>
      </c>
      <c r="R1703" s="95">
        <f t="shared" si="53"/>
        <v>53760.800000000003</v>
      </c>
    </row>
    <row r="1704" spans="1:18" ht="34.049999999999997" customHeight="1" x14ac:dyDescent="0.3">
      <c r="A1704" s="90">
        <v>1693</v>
      </c>
      <c r="B1704" s="91" t="s">
        <v>5410</v>
      </c>
      <c r="C1704" s="91" t="s">
        <v>5587</v>
      </c>
      <c r="D1704" s="91" t="s">
        <v>5588</v>
      </c>
      <c r="E1704" s="91">
        <v>2020</v>
      </c>
      <c r="F1704" s="91" t="s">
        <v>19</v>
      </c>
      <c r="G1704" s="91" t="s">
        <v>5676</v>
      </c>
      <c r="H1704" s="91" t="s">
        <v>5726</v>
      </c>
      <c r="I1704" s="91" t="s">
        <v>300</v>
      </c>
      <c r="J1704" s="91">
        <v>6199</v>
      </c>
      <c r="K1704" s="91">
        <v>0</v>
      </c>
      <c r="L1704" s="91">
        <v>0</v>
      </c>
      <c r="M1704" s="91">
        <v>0</v>
      </c>
      <c r="N1704" s="91">
        <v>0</v>
      </c>
      <c r="O1704" s="91">
        <v>0</v>
      </c>
      <c r="P1704" s="91">
        <v>0</v>
      </c>
      <c r="Q1704" s="97">
        <f t="shared" si="52"/>
        <v>6199</v>
      </c>
      <c r="R1704" s="95">
        <f t="shared" si="53"/>
        <v>5269.15</v>
      </c>
    </row>
    <row r="1705" spans="1:18" ht="34.049999999999997" customHeight="1" x14ac:dyDescent="0.3">
      <c r="A1705" s="96">
        <v>1694</v>
      </c>
      <c r="B1705" s="91" t="s">
        <v>5410</v>
      </c>
      <c r="C1705" s="91" t="s">
        <v>5589</v>
      </c>
      <c r="D1705" s="91" t="s">
        <v>5590</v>
      </c>
      <c r="E1705" s="91">
        <v>1992</v>
      </c>
      <c r="F1705" s="91" t="s">
        <v>18</v>
      </c>
      <c r="G1705" s="91" t="s">
        <v>5677</v>
      </c>
      <c r="H1705" s="91" t="s">
        <v>5677</v>
      </c>
      <c r="I1705" s="91" t="s">
        <v>5764</v>
      </c>
      <c r="J1705" s="91">
        <v>6199</v>
      </c>
      <c r="K1705" s="91">
        <f>6278+4484+3228+1166</f>
        <v>15156</v>
      </c>
      <c r="L1705" s="91">
        <v>0</v>
      </c>
      <c r="M1705" s="91">
        <v>0</v>
      </c>
      <c r="N1705" s="91">
        <v>1793</v>
      </c>
      <c r="O1705" s="91">
        <v>0</v>
      </c>
      <c r="P1705" s="91">
        <v>0</v>
      </c>
      <c r="Q1705" s="97">
        <f t="shared" si="52"/>
        <v>23148</v>
      </c>
      <c r="R1705" s="95">
        <f t="shared" si="53"/>
        <v>19675.8</v>
      </c>
    </row>
    <row r="1706" spans="1:18" ht="34.049999999999997" customHeight="1" x14ac:dyDescent="0.3">
      <c r="A1706" s="90">
        <v>1695</v>
      </c>
      <c r="B1706" s="91" t="s">
        <v>5410</v>
      </c>
      <c r="C1706" s="91" t="s">
        <v>5591</v>
      </c>
      <c r="D1706" s="91" t="s">
        <v>3536</v>
      </c>
      <c r="E1706" s="91">
        <v>2021</v>
      </c>
      <c r="F1706" s="91" t="s">
        <v>18</v>
      </c>
      <c r="G1706" s="91" t="s">
        <v>3631</v>
      </c>
      <c r="H1706" s="91" t="s">
        <v>3593</v>
      </c>
      <c r="I1706" s="91" t="s">
        <v>1070</v>
      </c>
      <c r="J1706" s="91">
        <v>3793</v>
      </c>
      <c r="K1706" s="91">
        <f>1346+6278+4484+4484+2332+2332+2332+2332+2332+2332+6995+6995+2332+6995</f>
        <v>53901</v>
      </c>
      <c r="L1706" s="91">
        <v>0</v>
      </c>
      <c r="M1706" s="91">
        <v>0</v>
      </c>
      <c r="N1706" s="91">
        <v>3148</v>
      </c>
      <c r="O1706" s="91">
        <v>0</v>
      </c>
      <c r="P1706" s="91">
        <v>0</v>
      </c>
      <c r="Q1706" s="94">
        <f t="shared" si="52"/>
        <v>60842</v>
      </c>
      <c r="R1706" s="95">
        <f t="shared" si="53"/>
        <v>51715.7</v>
      </c>
    </row>
    <row r="1707" spans="1:18" ht="34.049999999999997" customHeight="1" x14ac:dyDescent="0.3">
      <c r="A1707" s="90">
        <v>1696</v>
      </c>
      <c r="B1707" s="91" t="s">
        <v>5410</v>
      </c>
      <c r="C1707" s="91" t="s">
        <v>5591</v>
      </c>
      <c r="D1707" s="91" t="s">
        <v>3536</v>
      </c>
      <c r="E1707" s="91">
        <v>2021</v>
      </c>
      <c r="F1707" s="91" t="s">
        <v>18</v>
      </c>
      <c r="G1707" s="91" t="s">
        <v>3631</v>
      </c>
      <c r="H1707" s="91" t="s">
        <v>3593</v>
      </c>
      <c r="I1707" s="91" t="s">
        <v>1070</v>
      </c>
      <c r="J1707" s="91">
        <v>0</v>
      </c>
      <c r="K1707" s="91">
        <v>0</v>
      </c>
      <c r="L1707" s="91">
        <v>0</v>
      </c>
      <c r="M1707" s="91">
        <v>17688</v>
      </c>
      <c r="N1707" s="91">
        <v>2088</v>
      </c>
      <c r="O1707" s="91">
        <v>0</v>
      </c>
      <c r="P1707" s="91">
        <f>360+56</f>
        <v>416</v>
      </c>
      <c r="Q1707" s="94">
        <f t="shared" si="52"/>
        <v>20192</v>
      </c>
      <c r="R1707" s="95">
        <f t="shared" si="53"/>
        <v>17163.2</v>
      </c>
    </row>
    <row r="1708" spans="1:18" ht="34.049999999999997" customHeight="1" x14ac:dyDescent="0.3">
      <c r="A1708" s="96">
        <v>1697</v>
      </c>
      <c r="B1708" s="91" t="s">
        <v>5410</v>
      </c>
      <c r="C1708" s="91" t="s">
        <v>7281</v>
      </c>
      <c r="D1708" s="93" t="s">
        <v>6942</v>
      </c>
      <c r="E1708" s="91">
        <v>2024</v>
      </c>
      <c r="F1708" s="91" t="s">
        <v>18</v>
      </c>
      <c r="G1708" s="91" t="s">
        <v>6944</v>
      </c>
      <c r="H1708" s="91" t="s">
        <v>3466</v>
      </c>
      <c r="I1708" s="91" t="s">
        <v>4208</v>
      </c>
      <c r="J1708" s="91">
        <v>2900</v>
      </c>
      <c r="K1708" s="91">
        <v>0</v>
      </c>
      <c r="L1708" s="91">
        <v>0</v>
      </c>
      <c r="M1708" s="91">
        <v>17688</v>
      </c>
      <c r="N1708" s="91">
        <v>2088</v>
      </c>
      <c r="O1708" s="91">
        <v>0</v>
      </c>
      <c r="P1708" s="91">
        <f>1080+336</f>
        <v>1416</v>
      </c>
      <c r="Q1708" s="97">
        <f t="shared" si="52"/>
        <v>24092</v>
      </c>
      <c r="R1708" s="95">
        <f t="shared" si="53"/>
        <v>20478.2</v>
      </c>
    </row>
    <row r="1709" spans="1:18" ht="34.049999999999997" customHeight="1" x14ac:dyDescent="0.3">
      <c r="A1709" s="90">
        <v>1698</v>
      </c>
      <c r="B1709" s="91" t="s">
        <v>5410</v>
      </c>
      <c r="C1709" s="91" t="s">
        <v>7282</v>
      </c>
      <c r="D1709" s="93" t="s">
        <v>5251</v>
      </c>
      <c r="E1709" s="91">
        <v>2023</v>
      </c>
      <c r="F1709" s="91" t="s">
        <v>19</v>
      </c>
      <c r="G1709" s="91" t="s">
        <v>5337</v>
      </c>
      <c r="H1709" s="91" t="s">
        <v>5380</v>
      </c>
      <c r="I1709" s="91" t="s">
        <v>1260</v>
      </c>
      <c r="J1709" s="91">
        <v>2900</v>
      </c>
      <c r="K1709" s="91">
        <v>0</v>
      </c>
      <c r="L1709" s="91">
        <v>0</v>
      </c>
      <c r="M1709" s="91">
        <v>17688</v>
      </c>
      <c r="N1709" s="91">
        <v>2088</v>
      </c>
      <c r="O1709" s="91">
        <v>0</v>
      </c>
      <c r="P1709" s="91">
        <f>1080+168</f>
        <v>1248</v>
      </c>
      <c r="Q1709" s="97">
        <f t="shared" si="52"/>
        <v>23924</v>
      </c>
      <c r="R1709" s="95">
        <f t="shared" si="53"/>
        <v>20335.400000000001</v>
      </c>
    </row>
    <row r="1710" spans="1:18" ht="34.049999999999997" customHeight="1" x14ac:dyDescent="0.3">
      <c r="A1710" s="90">
        <v>1699</v>
      </c>
      <c r="B1710" s="91" t="s">
        <v>5410</v>
      </c>
      <c r="C1710" s="91" t="s">
        <v>7283</v>
      </c>
      <c r="D1710" s="93" t="s">
        <v>5223</v>
      </c>
      <c r="E1710" s="91">
        <v>2022</v>
      </c>
      <c r="F1710" s="91" t="s">
        <v>19</v>
      </c>
      <c r="G1710" s="91" t="s">
        <v>5323</v>
      </c>
      <c r="H1710" s="91" t="s">
        <v>5372</v>
      </c>
      <c r="I1710" s="91" t="s">
        <v>569</v>
      </c>
      <c r="J1710" s="91">
        <v>2900</v>
      </c>
      <c r="K1710" s="91">
        <v>0</v>
      </c>
      <c r="L1710" s="91">
        <v>0</v>
      </c>
      <c r="M1710" s="91">
        <v>17688</v>
      </c>
      <c r="N1710" s="91">
        <v>2088</v>
      </c>
      <c r="O1710" s="91">
        <v>0</v>
      </c>
      <c r="P1710" s="91">
        <f>1080+168</f>
        <v>1248</v>
      </c>
      <c r="Q1710" s="97">
        <f t="shared" si="52"/>
        <v>23924</v>
      </c>
      <c r="R1710" s="95">
        <f t="shared" si="53"/>
        <v>20335.400000000001</v>
      </c>
    </row>
    <row r="1711" spans="1:18" ht="34.049999999999997" customHeight="1" x14ac:dyDescent="0.3">
      <c r="A1711" s="96">
        <v>1700</v>
      </c>
      <c r="B1711" s="91" t="s">
        <v>5765</v>
      </c>
      <c r="C1711" s="91" t="s">
        <v>5766</v>
      </c>
      <c r="D1711" s="91" t="s">
        <v>5767</v>
      </c>
      <c r="E1711" s="91">
        <v>2017</v>
      </c>
      <c r="F1711" s="91" t="s">
        <v>18</v>
      </c>
      <c r="G1711" s="91" t="s">
        <v>5860</v>
      </c>
      <c r="H1711" s="91" t="s">
        <v>5592</v>
      </c>
      <c r="I1711" s="91" t="s">
        <v>34</v>
      </c>
      <c r="J1711" s="91">
        <v>6199</v>
      </c>
      <c r="K1711" s="91">
        <v>0</v>
      </c>
      <c r="L1711" s="91">
        <v>0</v>
      </c>
      <c r="M1711" s="91">
        <v>0</v>
      </c>
      <c r="N1711" s="91">
        <v>0</v>
      </c>
      <c r="O1711" s="91">
        <v>0</v>
      </c>
      <c r="P1711" s="91">
        <v>0</v>
      </c>
      <c r="Q1711" s="97">
        <f t="shared" si="52"/>
        <v>6199</v>
      </c>
      <c r="R1711" s="95">
        <f t="shared" si="53"/>
        <v>5269.15</v>
      </c>
    </row>
    <row r="1712" spans="1:18" ht="34.049999999999997" customHeight="1" x14ac:dyDescent="0.3">
      <c r="A1712" s="90">
        <v>1701</v>
      </c>
      <c r="B1712" s="91" t="s">
        <v>5765</v>
      </c>
      <c r="C1712" s="91" t="s">
        <v>5768</v>
      </c>
      <c r="D1712" s="91" t="s">
        <v>5769</v>
      </c>
      <c r="E1712" s="91">
        <v>2022</v>
      </c>
      <c r="F1712" s="91" t="s">
        <v>18</v>
      </c>
      <c r="G1712" s="91" t="s">
        <v>5861</v>
      </c>
      <c r="H1712" s="91" t="s">
        <v>5909</v>
      </c>
      <c r="I1712" s="91" t="s">
        <v>5944</v>
      </c>
      <c r="J1712" s="91">
        <v>6199</v>
      </c>
      <c r="K1712" s="91">
        <f>1346+6278+4484+4484+1166+2332+2332+2332+6995+6995+2332+6995+2332+2332+2332</f>
        <v>55067</v>
      </c>
      <c r="L1712" s="91">
        <v>0</v>
      </c>
      <c r="M1712" s="91">
        <v>0</v>
      </c>
      <c r="N1712" s="91">
        <v>3148</v>
      </c>
      <c r="O1712" s="91">
        <v>0</v>
      </c>
      <c r="P1712" s="91">
        <v>0</v>
      </c>
      <c r="Q1712" s="97">
        <f t="shared" si="52"/>
        <v>64414</v>
      </c>
      <c r="R1712" s="95">
        <f t="shared" si="53"/>
        <v>54751.9</v>
      </c>
    </row>
    <row r="1713" spans="1:18" ht="34.049999999999997" customHeight="1" x14ac:dyDescent="0.3">
      <c r="A1713" s="90">
        <v>1702</v>
      </c>
      <c r="B1713" s="91" t="s">
        <v>5765</v>
      </c>
      <c r="C1713" s="91" t="s">
        <v>5768</v>
      </c>
      <c r="D1713" s="91" t="s">
        <v>5769</v>
      </c>
      <c r="E1713" s="91">
        <v>2022</v>
      </c>
      <c r="F1713" s="91" t="s">
        <v>18</v>
      </c>
      <c r="G1713" s="91" t="s">
        <v>5861</v>
      </c>
      <c r="H1713" s="91" t="s">
        <v>5909</v>
      </c>
      <c r="I1713" s="91" t="s">
        <v>5944</v>
      </c>
      <c r="J1713" s="91">
        <v>0</v>
      </c>
      <c r="K1713" s="91">
        <v>0</v>
      </c>
      <c r="L1713" s="91">
        <v>0</v>
      </c>
      <c r="M1713" s="91">
        <v>0</v>
      </c>
      <c r="N1713" s="91">
        <f>1178+4053+2088</f>
        <v>7319</v>
      </c>
      <c r="O1713" s="91">
        <v>0</v>
      </c>
      <c r="P1713" s="91">
        <f>720+1080+63+720+112</f>
        <v>2695</v>
      </c>
      <c r="Q1713" s="97">
        <f t="shared" si="52"/>
        <v>10014</v>
      </c>
      <c r="R1713" s="95">
        <f t="shared" si="53"/>
        <v>8511.9</v>
      </c>
    </row>
    <row r="1714" spans="1:18" ht="34.049999999999997" customHeight="1" x14ac:dyDescent="0.3">
      <c r="A1714" s="96">
        <v>1703</v>
      </c>
      <c r="B1714" s="91" t="s">
        <v>5765</v>
      </c>
      <c r="C1714" s="91" t="s">
        <v>5768</v>
      </c>
      <c r="D1714" s="91" t="s">
        <v>5769</v>
      </c>
      <c r="E1714" s="91">
        <v>2022</v>
      </c>
      <c r="F1714" s="91" t="s">
        <v>18</v>
      </c>
      <c r="G1714" s="91" t="s">
        <v>5861</v>
      </c>
      <c r="H1714" s="91" t="s">
        <v>5909</v>
      </c>
      <c r="I1714" s="91" t="s">
        <v>5944</v>
      </c>
      <c r="J1714" s="91"/>
      <c r="K1714" s="91"/>
      <c r="L1714" s="91"/>
      <c r="M1714" s="91">
        <v>17688</v>
      </c>
      <c r="N1714" s="91">
        <v>0</v>
      </c>
      <c r="O1714" s="91">
        <v>0</v>
      </c>
      <c r="P1714" s="91">
        <f>360+56</f>
        <v>416</v>
      </c>
      <c r="Q1714" s="97">
        <f t="shared" si="52"/>
        <v>18104</v>
      </c>
      <c r="R1714" s="95">
        <f t="shared" si="53"/>
        <v>15388.4</v>
      </c>
    </row>
    <row r="1715" spans="1:18" ht="34.049999999999997" customHeight="1" x14ac:dyDescent="0.3">
      <c r="A1715" s="90">
        <v>1704</v>
      </c>
      <c r="B1715" s="91" t="s">
        <v>5765</v>
      </c>
      <c r="C1715" s="91" t="s">
        <v>5770</v>
      </c>
      <c r="D1715" s="91" t="s">
        <v>5771</v>
      </c>
      <c r="E1715" s="91">
        <v>2021</v>
      </c>
      <c r="F1715" s="91" t="s">
        <v>19</v>
      </c>
      <c r="G1715" s="91" t="s">
        <v>5862</v>
      </c>
      <c r="H1715" s="91" t="s">
        <v>5910</v>
      </c>
      <c r="I1715" s="91" t="s">
        <v>1267</v>
      </c>
      <c r="J1715" s="91">
        <v>6199</v>
      </c>
      <c r="K1715" s="91">
        <f>1346+6278+4484+4484+1166+2332+2332+2332+6995+6995+2332+6995+2332+2332+2332</f>
        <v>55067</v>
      </c>
      <c r="L1715" s="91">
        <v>0</v>
      </c>
      <c r="M1715" s="91">
        <v>0</v>
      </c>
      <c r="N1715" s="91">
        <v>3148</v>
      </c>
      <c r="O1715" s="91">
        <v>0</v>
      </c>
      <c r="P1715" s="91">
        <v>0</v>
      </c>
      <c r="Q1715" s="97">
        <f t="shared" si="52"/>
        <v>64414</v>
      </c>
      <c r="R1715" s="95">
        <f t="shared" si="53"/>
        <v>54751.9</v>
      </c>
    </row>
    <row r="1716" spans="1:18" ht="34.049999999999997" customHeight="1" x14ac:dyDescent="0.3">
      <c r="A1716" s="90">
        <v>1705</v>
      </c>
      <c r="B1716" s="91" t="s">
        <v>5765</v>
      </c>
      <c r="C1716" s="91" t="s">
        <v>5772</v>
      </c>
      <c r="D1716" s="91" t="s">
        <v>1381</v>
      </c>
      <c r="E1716" s="91">
        <v>2021</v>
      </c>
      <c r="F1716" s="91" t="s">
        <v>18</v>
      </c>
      <c r="G1716" s="91" t="s">
        <v>1431</v>
      </c>
      <c r="H1716" s="91" t="s">
        <v>1458</v>
      </c>
      <c r="I1716" s="91" t="s">
        <v>24</v>
      </c>
      <c r="J1716" s="91">
        <v>6199</v>
      </c>
      <c r="K1716" s="91">
        <f>6278+4484+1346+4484+2332+3000+3000+2332+2332+2332+2332+2332+6995+6995+2332+6995+2332+2332+1166</f>
        <v>65731</v>
      </c>
      <c r="L1716" s="91">
        <v>0</v>
      </c>
      <c r="M1716" s="91">
        <v>0</v>
      </c>
      <c r="N1716" s="91">
        <v>3148</v>
      </c>
      <c r="O1716" s="91">
        <v>0</v>
      </c>
      <c r="P1716" s="91">
        <v>0</v>
      </c>
      <c r="Q1716" s="97">
        <f t="shared" si="52"/>
        <v>75078</v>
      </c>
      <c r="R1716" s="95">
        <f t="shared" si="53"/>
        <v>63816.3</v>
      </c>
    </row>
    <row r="1717" spans="1:18" ht="34.049999999999997" customHeight="1" x14ac:dyDescent="0.3">
      <c r="A1717" s="96">
        <v>1706</v>
      </c>
      <c r="B1717" s="91" t="s">
        <v>5765</v>
      </c>
      <c r="C1717" s="91" t="s">
        <v>5773</v>
      </c>
      <c r="D1717" s="91" t="s">
        <v>5774</v>
      </c>
      <c r="E1717" s="91">
        <v>1988</v>
      </c>
      <c r="F1717" s="91" t="s">
        <v>19</v>
      </c>
      <c r="G1717" s="91" t="s">
        <v>5863</v>
      </c>
      <c r="H1717" s="91" t="s">
        <v>5911</v>
      </c>
      <c r="I1717" s="91" t="s">
        <v>1050</v>
      </c>
      <c r="J1717" s="91">
        <v>6199</v>
      </c>
      <c r="K1717" s="91">
        <v>0</v>
      </c>
      <c r="L1717" s="91">
        <v>0</v>
      </c>
      <c r="M1717" s="91">
        <v>0</v>
      </c>
      <c r="N1717" s="91">
        <v>0</v>
      </c>
      <c r="O1717" s="91">
        <v>0</v>
      </c>
      <c r="P1717" s="91">
        <v>0</v>
      </c>
      <c r="Q1717" s="97">
        <f t="shared" si="52"/>
        <v>6199</v>
      </c>
      <c r="R1717" s="95">
        <f t="shared" si="53"/>
        <v>5269.15</v>
      </c>
    </row>
    <row r="1718" spans="1:18" ht="34.049999999999997" customHeight="1" x14ac:dyDescent="0.3">
      <c r="A1718" s="90">
        <v>1707</v>
      </c>
      <c r="B1718" s="91" t="s">
        <v>5765</v>
      </c>
      <c r="C1718" s="91" t="s">
        <v>5775</v>
      </c>
      <c r="D1718" s="91" t="s">
        <v>5776</v>
      </c>
      <c r="E1718" s="91">
        <v>2023</v>
      </c>
      <c r="F1718" s="91" t="s">
        <v>19</v>
      </c>
      <c r="G1718" s="91" t="s">
        <v>5864</v>
      </c>
      <c r="H1718" s="91" t="s">
        <v>5912</v>
      </c>
      <c r="I1718" s="91" t="s">
        <v>554</v>
      </c>
      <c r="J1718" s="91">
        <v>6199</v>
      </c>
      <c r="K1718" s="91">
        <f>1346+6278+4484+4484+2332+2332+2332+2332+2332+2332+6995+6995+6995+2332</f>
        <v>53901</v>
      </c>
      <c r="L1718" s="91">
        <v>0</v>
      </c>
      <c r="M1718" s="91">
        <v>0</v>
      </c>
      <c r="N1718" s="91">
        <v>3148</v>
      </c>
      <c r="O1718" s="91">
        <v>0</v>
      </c>
      <c r="P1718" s="91">
        <v>0</v>
      </c>
      <c r="Q1718" s="97">
        <f t="shared" si="52"/>
        <v>63248</v>
      </c>
      <c r="R1718" s="95">
        <f t="shared" si="53"/>
        <v>53760.800000000003</v>
      </c>
    </row>
    <row r="1719" spans="1:18" ht="34.049999999999997" customHeight="1" x14ac:dyDescent="0.3">
      <c r="A1719" s="90">
        <v>1708</v>
      </c>
      <c r="B1719" s="91" t="s">
        <v>5765</v>
      </c>
      <c r="C1719" s="91" t="s">
        <v>5777</v>
      </c>
      <c r="D1719" s="91" t="s">
        <v>5778</v>
      </c>
      <c r="E1719" s="91">
        <v>1991</v>
      </c>
      <c r="F1719" s="91" t="s">
        <v>18</v>
      </c>
      <c r="G1719" s="91" t="s">
        <v>5865</v>
      </c>
      <c r="H1719" s="91" t="s">
        <v>5865</v>
      </c>
      <c r="I1719" s="91" t="s">
        <v>1064</v>
      </c>
      <c r="J1719" s="91">
        <v>6199</v>
      </c>
      <c r="K1719" s="91">
        <f>1346+6278+4484+2332+2332+2332</f>
        <v>19104</v>
      </c>
      <c r="L1719" s="91">
        <v>0</v>
      </c>
      <c r="M1719" s="91">
        <v>0</v>
      </c>
      <c r="N1719" s="91">
        <v>1793</v>
      </c>
      <c r="O1719" s="91">
        <v>0</v>
      </c>
      <c r="P1719" s="91">
        <v>0</v>
      </c>
      <c r="Q1719" s="97">
        <f t="shared" si="52"/>
        <v>27096</v>
      </c>
      <c r="R1719" s="95">
        <f t="shared" si="53"/>
        <v>23031.599999999999</v>
      </c>
    </row>
    <row r="1720" spans="1:18" ht="34.049999999999997" customHeight="1" x14ac:dyDescent="0.3">
      <c r="A1720" s="96">
        <v>1709</v>
      </c>
      <c r="B1720" s="91" t="s">
        <v>5765</v>
      </c>
      <c r="C1720" s="91" t="s">
        <v>5779</v>
      </c>
      <c r="D1720" s="91" t="s">
        <v>5780</v>
      </c>
      <c r="E1720" s="91">
        <v>2023</v>
      </c>
      <c r="F1720" s="91" t="s">
        <v>19</v>
      </c>
      <c r="G1720" s="91" t="s">
        <v>5866</v>
      </c>
      <c r="H1720" s="91" t="s">
        <v>5913</v>
      </c>
      <c r="I1720" s="91" t="s">
        <v>2852</v>
      </c>
      <c r="J1720" s="91">
        <v>6199</v>
      </c>
      <c r="K1720" s="91">
        <v>0</v>
      </c>
      <c r="L1720" s="91">
        <v>0</v>
      </c>
      <c r="M1720" s="91">
        <v>0</v>
      </c>
      <c r="N1720" s="91">
        <v>0</v>
      </c>
      <c r="O1720" s="91">
        <v>0</v>
      </c>
      <c r="P1720" s="91">
        <v>0</v>
      </c>
      <c r="Q1720" s="97">
        <f t="shared" si="52"/>
        <v>6199</v>
      </c>
      <c r="R1720" s="95">
        <f t="shared" si="53"/>
        <v>5269.15</v>
      </c>
    </row>
    <row r="1721" spans="1:18" ht="34.049999999999997" customHeight="1" x14ac:dyDescent="0.3">
      <c r="A1721" s="90">
        <v>1710</v>
      </c>
      <c r="B1721" s="91" t="s">
        <v>5765</v>
      </c>
      <c r="C1721" s="91" t="s">
        <v>5781</v>
      </c>
      <c r="D1721" s="91" t="s">
        <v>5782</v>
      </c>
      <c r="E1721" s="91">
        <v>1987</v>
      </c>
      <c r="F1721" s="91" t="s">
        <v>18</v>
      </c>
      <c r="G1721" s="91" t="s">
        <v>5867</v>
      </c>
      <c r="H1721" s="91" t="s">
        <v>5867</v>
      </c>
      <c r="I1721" s="91" t="s">
        <v>32</v>
      </c>
      <c r="J1721" s="91">
        <v>6199</v>
      </c>
      <c r="K1721" s="91">
        <v>0</v>
      </c>
      <c r="L1721" s="91">
        <v>0</v>
      </c>
      <c r="M1721" s="91">
        <v>0</v>
      </c>
      <c r="N1721" s="91">
        <v>0</v>
      </c>
      <c r="O1721" s="91">
        <v>0</v>
      </c>
      <c r="P1721" s="91">
        <v>0</v>
      </c>
      <c r="Q1721" s="97">
        <f t="shared" si="52"/>
        <v>6199</v>
      </c>
      <c r="R1721" s="95">
        <f t="shared" si="53"/>
        <v>5269.15</v>
      </c>
    </row>
    <row r="1722" spans="1:18" ht="34.049999999999997" customHeight="1" x14ac:dyDescent="0.3">
      <c r="A1722" s="90">
        <v>1711</v>
      </c>
      <c r="B1722" s="91" t="s">
        <v>5765</v>
      </c>
      <c r="C1722" s="91" t="s">
        <v>5783</v>
      </c>
      <c r="D1722" s="91" t="s">
        <v>5784</v>
      </c>
      <c r="E1722" s="91">
        <v>2025</v>
      </c>
      <c r="F1722" s="91" t="s">
        <v>19</v>
      </c>
      <c r="G1722" s="91" t="s">
        <v>5868</v>
      </c>
      <c r="H1722" s="91" t="s">
        <v>5914</v>
      </c>
      <c r="I1722" s="91" t="s">
        <v>5751</v>
      </c>
      <c r="J1722" s="91">
        <v>6199</v>
      </c>
      <c r="K1722" s="91">
        <v>0</v>
      </c>
      <c r="L1722" s="91">
        <v>0</v>
      </c>
      <c r="M1722" s="91">
        <v>0</v>
      </c>
      <c r="N1722" s="91">
        <v>0</v>
      </c>
      <c r="O1722" s="91">
        <v>0</v>
      </c>
      <c r="P1722" s="91">
        <v>0</v>
      </c>
      <c r="Q1722" s="97">
        <f t="shared" si="52"/>
        <v>6199</v>
      </c>
      <c r="R1722" s="95">
        <f t="shared" si="53"/>
        <v>5269.15</v>
      </c>
    </row>
    <row r="1723" spans="1:18" ht="34.049999999999997" customHeight="1" x14ac:dyDescent="0.3">
      <c r="A1723" s="96">
        <v>1712</v>
      </c>
      <c r="B1723" s="91" t="s">
        <v>5765</v>
      </c>
      <c r="C1723" s="91" t="s">
        <v>5785</v>
      </c>
      <c r="D1723" s="91" t="s">
        <v>5786</v>
      </c>
      <c r="E1723" s="91">
        <v>2023</v>
      </c>
      <c r="F1723" s="91" t="s">
        <v>18</v>
      </c>
      <c r="G1723" s="91" t="s">
        <v>5869</v>
      </c>
      <c r="H1723" s="91" t="s">
        <v>5915</v>
      </c>
      <c r="I1723" s="91" t="s">
        <v>290</v>
      </c>
      <c r="J1723" s="91">
        <v>6199</v>
      </c>
      <c r="K1723" s="91">
        <f>1346+6278+4484+4484+2332+2332+2332+2332+2332+2332+6995+6995+2332+6995</f>
        <v>53901</v>
      </c>
      <c r="L1723" s="91">
        <v>0</v>
      </c>
      <c r="M1723" s="91">
        <v>0</v>
      </c>
      <c r="N1723" s="91">
        <v>3148</v>
      </c>
      <c r="O1723" s="91">
        <v>0</v>
      </c>
      <c r="P1723" s="91">
        <v>0</v>
      </c>
      <c r="Q1723" s="97">
        <f t="shared" si="52"/>
        <v>63248</v>
      </c>
      <c r="R1723" s="95">
        <f t="shared" si="53"/>
        <v>53760.800000000003</v>
      </c>
    </row>
    <row r="1724" spans="1:18" ht="34.049999999999997" customHeight="1" x14ac:dyDescent="0.3">
      <c r="A1724" s="90">
        <v>1713</v>
      </c>
      <c r="B1724" s="91" t="s">
        <v>5765</v>
      </c>
      <c r="C1724" s="91" t="s">
        <v>5785</v>
      </c>
      <c r="D1724" s="91" t="s">
        <v>5786</v>
      </c>
      <c r="E1724" s="91">
        <v>2023</v>
      </c>
      <c r="F1724" s="91" t="s">
        <v>18</v>
      </c>
      <c r="G1724" s="91" t="s">
        <v>5869</v>
      </c>
      <c r="H1724" s="91" t="s">
        <v>5915</v>
      </c>
      <c r="I1724" s="91" t="s">
        <v>290</v>
      </c>
      <c r="J1724" s="91">
        <v>0</v>
      </c>
      <c r="K1724" s="91">
        <v>0</v>
      </c>
      <c r="L1724" s="91">
        <v>0</v>
      </c>
      <c r="M1724" s="91">
        <v>17688</v>
      </c>
      <c r="N1724" s="91">
        <v>0</v>
      </c>
      <c r="O1724" s="91">
        <v>0</v>
      </c>
      <c r="P1724" s="91">
        <f>360+56</f>
        <v>416</v>
      </c>
      <c r="Q1724" s="97">
        <f t="shared" si="52"/>
        <v>18104</v>
      </c>
      <c r="R1724" s="95">
        <f t="shared" si="53"/>
        <v>15388.4</v>
      </c>
    </row>
    <row r="1725" spans="1:18" ht="34.049999999999997" customHeight="1" x14ac:dyDescent="0.3">
      <c r="A1725" s="90">
        <v>1714</v>
      </c>
      <c r="B1725" s="91" t="s">
        <v>5765</v>
      </c>
      <c r="C1725" s="91" t="s">
        <v>5787</v>
      </c>
      <c r="D1725" s="91" t="s">
        <v>5788</v>
      </c>
      <c r="E1725" s="91">
        <v>2007</v>
      </c>
      <c r="F1725" s="91" t="s">
        <v>19</v>
      </c>
      <c r="G1725" s="91" t="s">
        <v>5870</v>
      </c>
      <c r="H1725" s="91" t="s">
        <v>5916</v>
      </c>
      <c r="I1725" s="91" t="s">
        <v>272</v>
      </c>
      <c r="J1725" s="91">
        <v>6199</v>
      </c>
      <c r="K1725" s="91">
        <f>1346+6278+4484+2332+2332+2332</f>
        <v>19104</v>
      </c>
      <c r="L1725" s="91">
        <v>0</v>
      </c>
      <c r="M1725" s="91">
        <v>0</v>
      </c>
      <c r="N1725" s="91">
        <v>1793</v>
      </c>
      <c r="O1725" s="91">
        <v>0</v>
      </c>
      <c r="P1725" s="91">
        <v>0</v>
      </c>
      <c r="Q1725" s="97">
        <f t="shared" si="52"/>
        <v>27096</v>
      </c>
      <c r="R1725" s="95">
        <f t="shared" si="53"/>
        <v>23031.599999999999</v>
      </c>
    </row>
    <row r="1726" spans="1:18" ht="34.049999999999997" customHeight="1" x14ac:dyDescent="0.3">
      <c r="A1726" s="96">
        <v>1715</v>
      </c>
      <c r="B1726" s="91" t="s">
        <v>5765</v>
      </c>
      <c r="C1726" s="91" t="s">
        <v>5789</v>
      </c>
      <c r="D1726" s="91" t="s">
        <v>5790</v>
      </c>
      <c r="E1726" s="91">
        <v>1989</v>
      </c>
      <c r="F1726" s="91" t="s">
        <v>19</v>
      </c>
      <c r="G1726" s="91" t="s">
        <v>5871</v>
      </c>
      <c r="H1726" s="91" t="s">
        <v>5871</v>
      </c>
      <c r="I1726" s="91" t="s">
        <v>3313</v>
      </c>
      <c r="J1726" s="91">
        <v>6199</v>
      </c>
      <c r="K1726" s="91">
        <f>6278+4484+4484+2332+2332+2332+2332+2332+3587+2332+2332+2332</f>
        <v>37489</v>
      </c>
      <c r="L1726" s="91">
        <v>13298</v>
      </c>
      <c r="M1726" s="91">
        <v>0</v>
      </c>
      <c r="N1726" s="91">
        <v>1793</v>
      </c>
      <c r="O1726" s="91">
        <v>0</v>
      </c>
      <c r="P1726" s="91">
        <v>0</v>
      </c>
      <c r="Q1726" s="97">
        <f t="shared" si="52"/>
        <v>58779</v>
      </c>
      <c r="R1726" s="95">
        <f t="shared" si="53"/>
        <v>49962.15</v>
      </c>
    </row>
    <row r="1727" spans="1:18" ht="34.049999999999997" customHeight="1" x14ac:dyDescent="0.3">
      <c r="A1727" s="90">
        <v>1716</v>
      </c>
      <c r="B1727" s="91" t="s">
        <v>5765</v>
      </c>
      <c r="C1727" s="91" t="s">
        <v>5791</v>
      </c>
      <c r="D1727" s="91" t="s">
        <v>5792</v>
      </c>
      <c r="E1727" s="91">
        <v>2011</v>
      </c>
      <c r="F1727" s="91" t="s">
        <v>19</v>
      </c>
      <c r="G1727" s="91" t="s">
        <v>5872</v>
      </c>
      <c r="H1727" s="91" t="s">
        <v>5917</v>
      </c>
      <c r="I1727" s="91" t="s">
        <v>5945</v>
      </c>
      <c r="J1727" s="91">
        <v>3582</v>
      </c>
      <c r="K1727" s="91">
        <v>0</v>
      </c>
      <c r="L1727" s="91">
        <v>0</v>
      </c>
      <c r="M1727" s="91">
        <v>0</v>
      </c>
      <c r="N1727" s="91">
        <f>34016+27380</f>
        <v>61396</v>
      </c>
      <c r="O1727" s="91">
        <v>0</v>
      </c>
      <c r="P1727" s="91">
        <v>0</v>
      </c>
      <c r="Q1727" s="97">
        <f t="shared" si="52"/>
        <v>64978</v>
      </c>
      <c r="R1727" s="95">
        <f t="shared" si="53"/>
        <v>55231.3</v>
      </c>
    </row>
    <row r="1728" spans="1:18" ht="34.049999999999997" customHeight="1" x14ac:dyDescent="0.3">
      <c r="A1728" s="90">
        <v>1717</v>
      </c>
      <c r="B1728" s="91" t="s">
        <v>5765</v>
      </c>
      <c r="C1728" s="91" t="s">
        <v>5793</v>
      </c>
      <c r="D1728" s="91" t="s">
        <v>4676</v>
      </c>
      <c r="E1728" s="91">
        <v>1962</v>
      </c>
      <c r="F1728" s="91" t="s">
        <v>19</v>
      </c>
      <c r="G1728" s="91" t="s">
        <v>4792</v>
      </c>
      <c r="H1728" s="91" t="s">
        <v>4840</v>
      </c>
      <c r="I1728" s="91" t="s">
        <v>4867</v>
      </c>
      <c r="J1728" s="91">
        <v>3793</v>
      </c>
      <c r="K1728" s="91">
        <f>6278+4484+1346+2332+2332+2332+2332+2332+4484+4484+4484+2332+3000+3000</f>
        <v>45552</v>
      </c>
      <c r="L1728" s="91">
        <v>0</v>
      </c>
      <c r="M1728" s="91">
        <v>0</v>
      </c>
      <c r="N1728" s="91">
        <v>1793</v>
      </c>
      <c r="O1728" s="91">
        <v>0</v>
      </c>
      <c r="P1728" s="91">
        <v>0</v>
      </c>
      <c r="Q1728" s="97">
        <f t="shared" si="52"/>
        <v>51138</v>
      </c>
      <c r="R1728" s="95">
        <f t="shared" si="53"/>
        <v>43467.3</v>
      </c>
    </row>
    <row r="1729" spans="1:23" ht="34.049999999999997" customHeight="1" x14ac:dyDescent="0.3">
      <c r="A1729" s="96">
        <v>1718</v>
      </c>
      <c r="B1729" s="91" t="s">
        <v>5765</v>
      </c>
      <c r="C1729" s="91" t="s">
        <v>5794</v>
      </c>
      <c r="D1729" s="91" t="s">
        <v>5795</v>
      </c>
      <c r="E1729" s="91">
        <v>2019</v>
      </c>
      <c r="F1729" s="91" t="s">
        <v>18</v>
      </c>
      <c r="G1729" s="91" t="s">
        <v>5873</v>
      </c>
      <c r="H1729" s="91" t="s">
        <v>5918</v>
      </c>
      <c r="I1729" s="91" t="s">
        <v>5946</v>
      </c>
      <c r="J1729" s="91">
        <v>6199</v>
      </c>
      <c r="K1729" s="91">
        <f>1346+6278+4484</f>
        <v>12108</v>
      </c>
      <c r="L1729" s="91">
        <v>0</v>
      </c>
      <c r="M1729" s="91">
        <v>0</v>
      </c>
      <c r="N1729" s="91">
        <v>3148</v>
      </c>
      <c r="O1729" s="91">
        <v>0</v>
      </c>
      <c r="P1729" s="91">
        <v>0</v>
      </c>
      <c r="Q1729" s="97">
        <f t="shared" si="52"/>
        <v>21455</v>
      </c>
      <c r="R1729" s="95">
        <f t="shared" si="53"/>
        <v>18236.75</v>
      </c>
    </row>
    <row r="1730" spans="1:23" ht="34.049999999999997" customHeight="1" x14ac:dyDescent="0.3">
      <c r="A1730" s="90">
        <v>1719</v>
      </c>
      <c r="B1730" s="91" t="s">
        <v>5765</v>
      </c>
      <c r="C1730" s="91" t="s">
        <v>5796</v>
      </c>
      <c r="D1730" s="91" t="s">
        <v>5797</v>
      </c>
      <c r="E1730" s="91">
        <v>2019</v>
      </c>
      <c r="F1730" s="91" t="s">
        <v>18</v>
      </c>
      <c r="G1730" s="91" t="s">
        <v>5874</v>
      </c>
      <c r="H1730" s="91" t="s">
        <v>5919</v>
      </c>
      <c r="I1730" s="91" t="s">
        <v>5947</v>
      </c>
      <c r="J1730" s="91">
        <v>6199</v>
      </c>
      <c r="K1730" s="91">
        <f>1346+6278+4484+4484+2332+2332+2332+2332+2332+2332+6995+6995+2332+6995</f>
        <v>53901</v>
      </c>
      <c r="L1730" s="91">
        <v>0</v>
      </c>
      <c r="M1730" s="91">
        <v>0</v>
      </c>
      <c r="N1730" s="91">
        <v>3148</v>
      </c>
      <c r="O1730" s="91">
        <v>0</v>
      </c>
      <c r="P1730" s="91">
        <v>0</v>
      </c>
      <c r="Q1730" s="97">
        <f t="shared" si="52"/>
        <v>63248</v>
      </c>
      <c r="R1730" s="95">
        <f t="shared" si="53"/>
        <v>53760.800000000003</v>
      </c>
    </row>
    <row r="1731" spans="1:23" ht="34.049999999999997" customHeight="1" x14ac:dyDescent="0.3">
      <c r="A1731" s="90">
        <v>1720</v>
      </c>
      <c r="B1731" s="91" t="s">
        <v>5765</v>
      </c>
      <c r="C1731" s="91" t="s">
        <v>5798</v>
      </c>
      <c r="D1731" s="91" t="s">
        <v>3163</v>
      </c>
      <c r="E1731" s="91">
        <v>2020</v>
      </c>
      <c r="F1731" s="91" t="s">
        <v>19</v>
      </c>
      <c r="G1731" s="91" t="s">
        <v>3249</v>
      </c>
      <c r="H1731" s="91" t="s">
        <v>1452</v>
      </c>
      <c r="I1731" s="91" t="s">
        <v>282</v>
      </c>
      <c r="J1731" s="91">
        <v>3793</v>
      </c>
      <c r="K1731" s="91">
        <f>6278+4484+1346+4484+2332+2332+2332+2332+2332+6995+6995+2332+6995+2332</f>
        <v>53901</v>
      </c>
      <c r="L1731" s="91">
        <v>0</v>
      </c>
      <c r="M1731" s="91">
        <v>0</v>
      </c>
      <c r="N1731" s="91">
        <v>3148</v>
      </c>
      <c r="O1731" s="91">
        <v>0</v>
      </c>
      <c r="P1731" s="91">
        <v>0</v>
      </c>
      <c r="Q1731" s="97">
        <f t="shared" si="52"/>
        <v>60842</v>
      </c>
      <c r="R1731" s="95">
        <f t="shared" si="53"/>
        <v>51715.7</v>
      </c>
    </row>
    <row r="1732" spans="1:23" ht="34.049999999999997" customHeight="1" x14ac:dyDescent="0.3">
      <c r="A1732" s="96">
        <v>1721</v>
      </c>
      <c r="B1732" s="98" t="s">
        <v>5765</v>
      </c>
      <c r="C1732" s="98" t="s">
        <v>5799</v>
      </c>
      <c r="D1732" s="98" t="s">
        <v>5800</v>
      </c>
      <c r="E1732" s="98">
        <v>2002</v>
      </c>
      <c r="F1732" s="98" t="s">
        <v>19</v>
      </c>
      <c r="G1732" s="98" t="s">
        <v>5875</v>
      </c>
      <c r="H1732" s="98" t="s">
        <v>5920</v>
      </c>
      <c r="I1732" s="98" t="s">
        <v>1060</v>
      </c>
      <c r="J1732" s="98">
        <v>6199</v>
      </c>
      <c r="K1732" s="98">
        <f>2332+2332</f>
        <v>4664</v>
      </c>
      <c r="L1732" s="98">
        <v>9422</v>
      </c>
      <c r="M1732" s="98">
        <v>0</v>
      </c>
      <c r="N1732" s="98">
        <v>0</v>
      </c>
      <c r="O1732" s="98">
        <v>0</v>
      </c>
      <c r="P1732" s="98">
        <v>0</v>
      </c>
      <c r="Q1732" s="97">
        <f t="shared" si="52"/>
        <v>20285</v>
      </c>
      <c r="R1732" s="95">
        <f t="shared" si="53"/>
        <v>17242.25</v>
      </c>
      <c r="S1732" s="41"/>
      <c r="T1732" s="41"/>
      <c r="U1732" s="41"/>
      <c r="V1732" s="41"/>
      <c r="W1732" s="41"/>
    </row>
    <row r="1733" spans="1:23" ht="34.049999999999997" customHeight="1" x14ac:dyDescent="0.3">
      <c r="A1733" s="90">
        <v>1722</v>
      </c>
      <c r="B1733" s="98" t="s">
        <v>5765</v>
      </c>
      <c r="C1733" s="98" t="s">
        <v>5801</v>
      </c>
      <c r="D1733" s="98" t="s">
        <v>5802</v>
      </c>
      <c r="E1733" s="98">
        <v>2025</v>
      </c>
      <c r="F1733" s="98" t="s">
        <v>18</v>
      </c>
      <c r="G1733" s="98" t="s">
        <v>5876</v>
      </c>
      <c r="H1733" s="41" t="s">
        <v>7284</v>
      </c>
      <c r="I1733" s="98" t="s">
        <v>5948</v>
      </c>
      <c r="J1733" s="98">
        <v>6199</v>
      </c>
      <c r="K1733" s="98">
        <f>1346+6278+4484+4484+2332+2332+2332+2332+2332+2332+6995+6995+2332+6995</f>
        <v>53901</v>
      </c>
      <c r="L1733" s="98">
        <v>0</v>
      </c>
      <c r="M1733" s="98">
        <v>0</v>
      </c>
      <c r="N1733" s="98">
        <v>3148</v>
      </c>
      <c r="O1733" s="98">
        <v>0</v>
      </c>
      <c r="P1733" s="98">
        <v>0</v>
      </c>
      <c r="Q1733" s="97">
        <f t="shared" si="52"/>
        <v>63248</v>
      </c>
      <c r="R1733" s="95">
        <f t="shared" si="53"/>
        <v>53760.800000000003</v>
      </c>
      <c r="S1733" s="41"/>
      <c r="T1733" s="41"/>
      <c r="U1733" s="41"/>
      <c r="V1733" s="41"/>
      <c r="W1733" s="41"/>
    </row>
    <row r="1734" spans="1:23" ht="34.049999999999997" customHeight="1" x14ac:dyDescent="0.3">
      <c r="A1734" s="90">
        <v>1723</v>
      </c>
      <c r="B1734" s="91" t="s">
        <v>5765</v>
      </c>
      <c r="C1734" s="91" t="s">
        <v>5803</v>
      </c>
      <c r="D1734" s="91" t="s">
        <v>5804</v>
      </c>
      <c r="E1734" s="91">
        <v>1979</v>
      </c>
      <c r="F1734" s="91" t="s">
        <v>19</v>
      </c>
      <c r="G1734" s="91" t="s">
        <v>5877</v>
      </c>
      <c r="H1734" s="91" t="s">
        <v>5921</v>
      </c>
      <c r="I1734" s="91" t="s">
        <v>5949</v>
      </c>
      <c r="J1734" s="91">
        <v>6199</v>
      </c>
      <c r="K1734" s="91">
        <v>0</v>
      </c>
      <c r="L1734" s="91">
        <v>0</v>
      </c>
      <c r="M1734" s="91">
        <v>0</v>
      </c>
      <c r="N1734" s="91">
        <f>303362+15443</f>
        <v>318805</v>
      </c>
      <c r="O1734" s="91">
        <v>0</v>
      </c>
      <c r="P1734" s="91">
        <v>0</v>
      </c>
      <c r="Q1734" s="97">
        <f t="shared" si="52"/>
        <v>325004</v>
      </c>
      <c r="R1734" s="95">
        <f t="shared" si="53"/>
        <v>276253.40000000002</v>
      </c>
    </row>
    <row r="1735" spans="1:23" ht="34.049999999999997" customHeight="1" x14ac:dyDescent="0.3">
      <c r="A1735" s="96">
        <v>1724</v>
      </c>
      <c r="B1735" s="91" t="s">
        <v>5765</v>
      </c>
      <c r="C1735" s="91" t="s">
        <v>5805</v>
      </c>
      <c r="D1735" s="91" t="s">
        <v>5806</v>
      </c>
      <c r="E1735" s="91">
        <v>2020</v>
      </c>
      <c r="F1735" s="91" t="s">
        <v>19</v>
      </c>
      <c r="G1735" s="91" t="s">
        <v>5878</v>
      </c>
      <c r="H1735" s="91" t="s">
        <v>5922</v>
      </c>
      <c r="I1735" s="91" t="s">
        <v>5950</v>
      </c>
      <c r="J1735" s="91">
        <v>6199</v>
      </c>
      <c r="K1735" s="91">
        <f>1346+6278+4484+2332+2332+2332+4484+2332+2332+2332+6995+6995+2332+6995</f>
        <v>53901</v>
      </c>
      <c r="L1735" s="91">
        <v>0</v>
      </c>
      <c r="M1735" s="91">
        <v>0</v>
      </c>
      <c r="N1735" s="91">
        <v>3148</v>
      </c>
      <c r="O1735" s="91">
        <v>0</v>
      </c>
      <c r="P1735" s="91">
        <v>0</v>
      </c>
      <c r="Q1735" s="97">
        <f t="shared" si="52"/>
        <v>63248</v>
      </c>
      <c r="R1735" s="95">
        <f t="shared" si="53"/>
        <v>53760.800000000003</v>
      </c>
    </row>
    <row r="1736" spans="1:23" ht="34.049999999999997" customHeight="1" x14ac:dyDescent="0.3">
      <c r="A1736" s="90">
        <v>1725</v>
      </c>
      <c r="B1736" s="91" t="s">
        <v>5765</v>
      </c>
      <c r="C1736" s="91" t="s">
        <v>5807</v>
      </c>
      <c r="D1736" s="91" t="s">
        <v>5808</v>
      </c>
      <c r="E1736" s="91">
        <v>2023</v>
      </c>
      <c r="F1736" s="91" t="s">
        <v>19</v>
      </c>
      <c r="G1736" s="91" t="s">
        <v>5879</v>
      </c>
      <c r="H1736" s="91" t="s">
        <v>5923</v>
      </c>
      <c r="I1736" s="91" t="s">
        <v>5951</v>
      </c>
      <c r="J1736" s="91">
        <v>6199</v>
      </c>
      <c r="K1736" s="91">
        <f>1346+6278+4484+4484+2332+6995+6995+2332+2332+2332+2332+2332+2332+6995</f>
        <v>53901</v>
      </c>
      <c r="L1736" s="91">
        <v>0</v>
      </c>
      <c r="M1736" s="91">
        <v>0</v>
      </c>
      <c r="N1736" s="91">
        <v>3148</v>
      </c>
      <c r="O1736" s="91">
        <v>0</v>
      </c>
      <c r="P1736" s="91">
        <v>0</v>
      </c>
      <c r="Q1736" s="97">
        <f t="shared" si="52"/>
        <v>63248</v>
      </c>
      <c r="R1736" s="95">
        <f t="shared" si="53"/>
        <v>53760.800000000003</v>
      </c>
    </row>
    <row r="1737" spans="1:23" ht="34.049999999999997" customHeight="1" x14ac:dyDescent="0.3">
      <c r="A1737" s="90">
        <v>1726</v>
      </c>
      <c r="B1737" s="91" t="s">
        <v>5765</v>
      </c>
      <c r="C1737" s="91" t="s">
        <v>5807</v>
      </c>
      <c r="D1737" s="91" t="s">
        <v>5808</v>
      </c>
      <c r="E1737" s="91">
        <v>2023</v>
      </c>
      <c r="F1737" s="91" t="s">
        <v>19</v>
      </c>
      <c r="G1737" s="91" t="s">
        <v>5879</v>
      </c>
      <c r="H1737" s="91" t="s">
        <v>5923</v>
      </c>
      <c r="I1737" s="91" t="s">
        <v>5951</v>
      </c>
      <c r="J1737" s="91">
        <v>0</v>
      </c>
      <c r="K1737" s="91">
        <v>0</v>
      </c>
      <c r="L1737" s="91">
        <v>0</v>
      </c>
      <c r="M1737" s="91">
        <v>0</v>
      </c>
      <c r="N1737" s="91">
        <f>1178+2088+4053</f>
        <v>7319</v>
      </c>
      <c r="O1737" s="91">
        <v>0</v>
      </c>
      <c r="P1737" s="91">
        <f>720+1080+360+56</f>
        <v>2216</v>
      </c>
      <c r="Q1737" s="97">
        <f t="shared" si="52"/>
        <v>9535</v>
      </c>
      <c r="R1737" s="95">
        <f t="shared" si="53"/>
        <v>8104.75</v>
      </c>
    </row>
    <row r="1738" spans="1:23" ht="34.049999999999997" customHeight="1" x14ac:dyDescent="0.3">
      <c r="A1738" s="96">
        <v>1727</v>
      </c>
      <c r="B1738" s="91" t="s">
        <v>5765</v>
      </c>
      <c r="C1738" s="91" t="s">
        <v>5807</v>
      </c>
      <c r="D1738" s="91" t="s">
        <v>5808</v>
      </c>
      <c r="E1738" s="91">
        <v>2023</v>
      </c>
      <c r="F1738" s="91" t="s">
        <v>19</v>
      </c>
      <c r="G1738" s="91" t="s">
        <v>5879</v>
      </c>
      <c r="H1738" s="91" t="s">
        <v>5923</v>
      </c>
      <c r="I1738" s="91" t="s">
        <v>5951</v>
      </c>
      <c r="J1738" s="91">
        <v>0</v>
      </c>
      <c r="K1738" s="91">
        <v>0</v>
      </c>
      <c r="L1738" s="91">
        <v>0</v>
      </c>
      <c r="M1738" s="91">
        <v>17688</v>
      </c>
      <c r="N1738" s="91">
        <v>0</v>
      </c>
      <c r="O1738" s="91">
        <v>0</v>
      </c>
      <c r="P1738" s="91">
        <f>1200+360+56</f>
        <v>1616</v>
      </c>
      <c r="Q1738" s="97">
        <f t="shared" si="52"/>
        <v>19304</v>
      </c>
      <c r="R1738" s="95">
        <f t="shared" si="53"/>
        <v>16408.400000000001</v>
      </c>
    </row>
    <row r="1739" spans="1:23" ht="34.049999999999997" customHeight="1" x14ac:dyDescent="0.3">
      <c r="A1739" s="90">
        <v>1728</v>
      </c>
      <c r="B1739" s="91" t="s">
        <v>5765</v>
      </c>
      <c r="C1739" s="91" t="s">
        <v>5809</v>
      </c>
      <c r="D1739" s="91" t="s">
        <v>5810</v>
      </c>
      <c r="E1739" s="91">
        <v>2001</v>
      </c>
      <c r="F1739" s="91" t="s">
        <v>19</v>
      </c>
      <c r="G1739" s="91" t="s">
        <v>5880</v>
      </c>
      <c r="H1739" s="91" t="s">
        <v>5880</v>
      </c>
      <c r="I1739" s="91" t="s">
        <v>3675</v>
      </c>
      <c r="J1739" s="91">
        <v>6199</v>
      </c>
      <c r="K1739" s="91">
        <v>0</v>
      </c>
      <c r="L1739" s="91">
        <v>0</v>
      </c>
      <c r="M1739" s="91">
        <v>0</v>
      </c>
      <c r="N1739" s="91">
        <f>303362+15443</f>
        <v>318805</v>
      </c>
      <c r="O1739" s="91">
        <v>0</v>
      </c>
      <c r="P1739" s="91">
        <v>0</v>
      </c>
      <c r="Q1739" s="97">
        <f t="shared" si="52"/>
        <v>325004</v>
      </c>
      <c r="R1739" s="95">
        <f t="shared" si="53"/>
        <v>276253.40000000002</v>
      </c>
    </row>
    <row r="1740" spans="1:23" ht="34.049999999999997" customHeight="1" x14ac:dyDescent="0.3">
      <c r="A1740" s="90">
        <v>1729</v>
      </c>
      <c r="B1740" s="91" t="s">
        <v>5765</v>
      </c>
      <c r="C1740" s="91" t="s">
        <v>5811</v>
      </c>
      <c r="D1740" s="91" t="s">
        <v>5812</v>
      </c>
      <c r="E1740" s="91">
        <v>2000</v>
      </c>
      <c r="F1740" s="91" t="s">
        <v>19</v>
      </c>
      <c r="G1740" s="91" t="s">
        <v>5881</v>
      </c>
      <c r="H1740" s="91" t="s">
        <v>5924</v>
      </c>
      <c r="I1740" s="91" t="s">
        <v>3313</v>
      </c>
      <c r="J1740" s="91">
        <v>6199</v>
      </c>
      <c r="K1740" s="91">
        <f>6278+6995+3228+4484+3000+3000+3500+3500+1346+2332+2332+2243+2332</f>
        <v>44570</v>
      </c>
      <c r="L1740" s="91">
        <v>9422</v>
      </c>
      <c r="M1740" s="91">
        <v>0</v>
      </c>
      <c r="N1740" s="91">
        <f>1793+1681</f>
        <v>3474</v>
      </c>
      <c r="O1740" s="91">
        <v>0</v>
      </c>
      <c r="P1740" s="91">
        <v>2400</v>
      </c>
      <c r="Q1740" s="97">
        <f t="shared" ref="Q1740:Q1803" si="54">SUM(J1740:P1740)</f>
        <v>66065</v>
      </c>
      <c r="R1740" s="95">
        <f t="shared" si="53"/>
        <v>56155.25</v>
      </c>
    </row>
    <row r="1741" spans="1:23" ht="34.049999999999997" customHeight="1" x14ac:dyDescent="0.3">
      <c r="A1741" s="96">
        <v>1730</v>
      </c>
      <c r="B1741" s="91" t="s">
        <v>5765</v>
      </c>
      <c r="C1741" s="91" t="s">
        <v>5813</v>
      </c>
      <c r="D1741" s="91" t="s">
        <v>5814</v>
      </c>
      <c r="E1741" s="91">
        <v>2017</v>
      </c>
      <c r="F1741" s="91" t="s">
        <v>18</v>
      </c>
      <c r="G1741" s="91" t="s">
        <v>5882</v>
      </c>
      <c r="H1741" s="91" t="s">
        <v>5925</v>
      </c>
      <c r="I1741" s="91" t="s">
        <v>560</v>
      </c>
      <c r="J1741" s="91">
        <v>6199</v>
      </c>
      <c r="K1741" s="91">
        <f>6278+4484+1346+2332+4484+2332+2332+2332+2332+2332+2332+2332+6995+6995+2332+6995</f>
        <v>58565</v>
      </c>
      <c r="L1741" s="91">
        <v>0</v>
      </c>
      <c r="M1741" s="91">
        <v>0</v>
      </c>
      <c r="N1741" s="91">
        <v>3148</v>
      </c>
      <c r="O1741" s="91">
        <v>0</v>
      </c>
      <c r="P1741" s="91">
        <v>0</v>
      </c>
      <c r="Q1741" s="94">
        <f t="shared" si="54"/>
        <v>67912</v>
      </c>
      <c r="R1741" s="95">
        <f t="shared" ref="R1741:R1804" si="55">Q1741*85/100</f>
        <v>57725.2</v>
      </c>
    </row>
    <row r="1742" spans="1:23" ht="34.049999999999997" customHeight="1" x14ac:dyDescent="0.3">
      <c r="A1742" s="90">
        <v>1731</v>
      </c>
      <c r="B1742" s="91" t="s">
        <v>5765</v>
      </c>
      <c r="C1742" s="91" t="s">
        <v>5815</v>
      </c>
      <c r="D1742" s="91" t="s">
        <v>5816</v>
      </c>
      <c r="E1742" s="91">
        <v>1999</v>
      </c>
      <c r="F1742" s="91" t="s">
        <v>19</v>
      </c>
      <c r="G1742" s="91" t="s">
        <v>5883</v>
      </c>
      <c r="H1742" s="91" t="s">
        <v>5883</v>
      </c>
      <c r="I1742" s="91" t="s">
        <v>1063</v>
      </c>
      <c r="J1742" s="91">
        <v>6199</v>
      </c>
      <c r="K1742" s="91">
        <f>6278+4484+1346+2332+2332+2332+2332+2332+2332+3000+3000+3228+1166+2332+2332+6995+6995+2332+6995</f>
        <v>64475</v>
      </c>
      <c r="L1742" s="91">
        <v>0</v>
      </c>
      <c r="M1742" s="91">
        <v>0</v>
      </c>
      <c r="N1742" s="91">
        <v>1793</v>
      </c>
      <c r="O1742" s="91">
        <v>0</v>
      </c>
      <c r="P1742" s="91">
        <v>0</v>
      </c>
      <c r="Q1742" s="97">
        <f t="shared" si="54"/>
        <v>72467</v>
      </c>
      <c r="R1742" s="95">
        <f t="shared" si="55"/>
        <v>61596.95</v>
      </c>
    </row>
    <row r="1743" spans="1:23" ht="34.049999999999997" customHeight="1" x14ac:dyDescent="0.3">
      <c r="A1743" s="90">
        <v>1732</v>
      </c>
      <c r="B1743" s="91" t="s">
        <v>5765</v>
      </c>
      <c r="C1743" s="91" t="s">
        <v>5817</v>
      </c>
      <c r="D1743" s="91" t="s">
        <v>5818</v>
      </c>
      <c r="E1743" s="91">
        <v>2025</v>
      </c>
      <c r="F1743" s="91" t="s">
        <v>18</v>
      </c>
      <c r="G1743" s="91" t="s">
        <v>5884</v>
      </c>
      <c r="H1743" s="91" t="s">
        <v>5926</v>
      </c>
      <c r="I1743" s="91" t="s">
        <v>263</v>
      </c>
      <c r="J1743" s="91">
        <v>6199</v>
      </c>
      <c r="K1743" s="91">
        <v>0</v>
      </c>
      <c r="L1743" s="91">
        <v>0</v>
      </c>
      <c r="M1743" s="91">
        <v>0</v>
      </c>
      <c r="N1743" s="91">
        <v>0</v>
      </c>
      <c r="O1743" s="91">
        <v>0</v>
      </c>
      <c r="P1743" s="91">
        <v>0</v>
      </c>
      <c r="Q1743" s="97">
        <f t="shared" si="54"/>
        <v>6199</v>
      </c>
      <c r="R1743" s="95">
        <f t="shared" si="55"/>
        <v>5269.15</v>
      </c>
    </row>
    <row r="1744" spans="1:23" ht="34.049999999999997" customHeight="1" x14ac:dyDescent="0.3">
      <c r="A1744" s="96">
        <v>1733</v>
      </c>
      <c r="B1744" s="91" t="s">
        <v>5765</v>
      </c>
      <c r="C1744" s="91" t="s">
        <v>5819</v>
      </c>
      <c r="D1744" s="91" t="s">
        <v>3383</v>
      </c>
      <c r="E1744" s="91">
        <v>1955</v>
      </c>
      <c r="F1744" s="91" t="s">
        <v>18</v>
      </c>
      <c r="G1744" s="91" t="s">
        <v>3446</v>
      </c>
      <c r="H1744" s="91" t="s">
        <v>3446</v>
      </c>
      <c r="I1744" s="91" t="s">
        <v>253</v>
      </c>
      <c r="J1744" s="91">
        <v>3793</v>
      </c>
      <c r="K1744" s="91">
        <f>6278+4484+1346+2332+2332+2332+2332+2332+2332+4484+4484+4484+2332+2332+2332+2332+3000+3000</f>
        <v>54880</v>
      </c>
      <c r="L1744" s="91">
        <v>0</v>
      </c>
      <c r="M1744" s="91">
        <v>0</v>
      </c>
      <c r="N1744" s="91">
        <v>1793</v>
      </c>
      <c r="O1744" s="91">
        <v>0</v>
      </c>
      <c r="P1744" s="91">
        <v>0</v>
      </c>
      <c r="Q1744" s="97">
        <f t="shared" si="54"/>
        <v>60466</v>
      </c>
      <c r="R1744" s="95">
        <f t="shared" si="55"/>
        <v>51396.1</v>
      </c>
    </row>
    <row r="1745" spans="1:23" ht="34.049999999999997" customHeight="1" x14ac:dyDescent="0.3">
      <c r="A1745" s="90">
        <v>1734</v>
      </c>
      <c r="B1745" s="91" t="s">
        <v>5765</v>
      </c>
      <c r="C1745" s="91" t="s">
        <v>5820</v>
      </c>
      <c r="D1745" s="91" t="s">
        <v>5821</v>
      </c>
      <c r="E1745" s="91">
        <v>1984</v>
      </c>
      <c r="F1745" s="91" t="s">
        <v>19</v>
      </c>
      <c r="G1745" s="91" t="s">
        <v>5885</v>
      </c>
      <c r="H1745" s="91" t="s">
        <v>5885</v>
      </c>
      <c r="I1745" s="91" t="s">
        <v>1075</v>
      </c>
      <c r="J1745" s="91">
        <v>6199</v>
      </c>
      <c r="K1745" s="91">
        <f>6278+4484+2332+2332+2332+1166+2801+6995+2332+2332+2332+3000+3000+3228+6995+2332+2332</f>
        <v>56603</v>
      </c>
      <c r="L1745" s="91">
        <v>20807</v>
      </c>
      <c r="M1745" s="91">
        <v>0</v>
      </c>
      <c r="N1745" s="91">
        <f>1793+9871</f>
        <v>11664</v>
      </c>
      <c r="O1745" s="91">
        <v>0</v>
      </c>
      <c r="P1745" s="91">
        <v>0</v>
      </c>
      <c r="Q1745" s="97">
        <f t="shared" si="54"/>
        <v>95273</v>
      </c>
      <c r="R1745" s="95">
        <f t="shared" si="55"/>
        <v>80982.05</v>
      </c>
    </row>
    <row r="1746" spans="1:23" ht="34.049999999999997" customHeight="1" x14ac:dyDescent="0.3">
      <c r="A1746" s="90">
        <v>1735</v>
      </c>
      <c r="B1746" s="91" t="s">
        <v>5765</v>
      </c>
      <c r="C1746" s="91" t="s">
        <v>5822</v>
      </c>
      <c r="D1746" s="91" t="s">
        <v>5823</v>
      </c>
      <c r="E1746" s="91">
        <v>1967</v>
      </c>
      <c r="F1746" s="91" t="s">
        <v>19</v>
      </c>
      <c r="G1746" s="91" t="s">
        <v>5886</v>
      </c>
      <c r="H1746" s="91" t="s">
        <v>5886</v>
      </c>
      <c r="I1746" s="91" t="s">
        <v>5952</v>
      </c>
      <c r="J1746" s="91">
        <v>6199</v>
      </c>
      <c r="K1746" s="91">
        <f>6278+4484+2332+2332+4484+2332+2332+2332+6995+2332+1346+1346+4484+4484+2332+4484+3000+3000+2332+2332</f>
        <v>65373</v>
      </c>
      <c r="L1746" s="91">
        <v>13298</v>
      </c>
      <c r="M1746" s="91">
        <v>0</v>
      </c>
      <c r="N1746" s="91">
        <v>1793</v>
      </c>
      <c r="O1746" s="91">
        <v>0</v>
      </c>
      <c r="P1746" s="91">
        <v>0</v>
      </c>
      <c r="Q1746" s="97">
        <f t="shared" si="54"/>
        <v>86663</v>
      </c>
      <c r="R1746" s="95">
        <f t="shared" si="55"/>
        <v>73663.55</v>
      </c>
    </row>
    <row r="1747" spans="1:23" ht="34.049999999999997" customHeight="1" x14ac:dyDescent="0.3">
      <c r="A1747" s="96">
        <v>1736</v>
      </c>
      <c r="B1747" s="91" t="s">
        <v>5765</v>
      </c>
      <c r="C1747" s="91" t="s">
        <v>5824</v>
      </c>
      <c r="D1747" s="91" t="s">
        <v>2716</v>
      </c>
      <c r="E1747" s="91">
        <v>1992</v>
      </c>
      <c r="F1747" s="91" t="s">
        <v>18</v>
      </c>
      <c r="G1747" s="91" t="s">
        <v>2785</v>
      </c>
      <c r="H1747" s="91" t="s">
        <v>2785</v>
      </c>
      <c r="I1747" s="91" t="s">
        <v>1278</v>
      </c>
      <c r="J1747" s="91">
        <v>0</v>
      </c>
      <c r="K1747" s="91">
        <v>0</v>
      </c>
      <c r="L1747" s="91">
        <v>0</v>
      </c>
      <c r="M1747" s="91">
        <v>0</v>
      </c>
      <c r="N1747" s="91">
        <f>34016+27380</f>
        <v>61396</v>
      </c>
      <c r="O1747" s="91">
        <v>0</v>
      </c>
      <c r="P1747" s="91">
        <v>0</v>
      </c>
      <c r="Q1747" s="97">
        <f t="shared" si="54"/>
        <v>61396</v>
      </c>
      <c r="R1747" s="95">
        <f t="shared" si="55"/>
        <v>52186.6</v>
      </c>
    </row>
    <row r="1748" spans="1:23" ht="34.049999999999997" customHeight="1" x14ac:dyDescent="0.3">
      <c r="A1748" s="90">
        <v>1737</v>
      </c>
      <c r="B1748" s="91" t="s">
        <v>5765</v>
      </c>
      <c r="C1748" s="91" t="s">
        <v>5825</v>
      </c>
      <c r="D1748" s="91" t="s">
        <v>5826</v>
      </c>
      <c r="E1748" s="91">
        <v>2009</v>
      </c>
      <c r="F1748" s="91" t="s">
        <v>19</v>
      </c>
      <c r="G1748" s="91" t="s">
        <v>5887</v>
      </c>
      <c r="H1748" s="91" t="s">
        <v>5927</v>
      </c>
      <c r="I1748" s="91" t="s">
        <v>5953</v>
      </c>
      <c r="J1748" s="91">
        <v>6199</v>
      </c>
      <c r="K1748" s="91">
        <f>6278+4484+1166+2332+2332+2332+6995+2332+2332+1166+2801+3000+3000+3228</f>
        <v>43778</v>
      </c>
      <c r="L1748" s="91">
        <f>20807+13298</f>
        <v>34105</v>
      </c>
      <c r="M1748" s="91">
        <v>0</v>
      </c>
      <c r="N1748" s="91">
        <v>1793</v>
      </c>
      <c r="O1748" s="91">
        <v>0</v>
      </c>
      <c r="P1748" s="91">
        <v>0</v>
      </c>
      <c r="Q1748" s="97">
        <f t="shared" si="54"/>
        <v>85875</v>
      </c>
      <c r="R1748" s="95">
        <f t="shared" si="55"/>
        <v>72993.75</v>
      </c>
    </row>
    <row r="1749" spans="1:23" ht="34.049999999999997" customHeight="1" x14ac:dyDescent="0.3">
      <c r="A1749" s="90">
        <v>1738</v>
      </c>
      <c r="B1749" s="98" t="s">
        <v>5765</v>
      </c>
      <c r="C1749" s="98" t="s">
        <v>5827</v>
      </c>
      <c r="D1749" s="98" t="s">
        <v>5800</v>
      </c>
      <c r="E1749" s="98">
        <v>2002</v>
      </c>
      <c r="F1749" s="98" t="s">
        <v>19</v>
      </c>
      <c r="G1749" s="98" t="s">
        <v>5875</v>
      </c>
      <c r="H1749" s="98" t="s">
        <v>5920</v>
      </c>
      <c r="I1749" s="98" t="s">
        <v>1060</v>
      </c>
      <c r="J1749" s="98">
        <v>3582</v>
      </c>
      <c r="K1749" s="98">
        <v>0</v>
      </c>
      <c r="L1749" s="98">
        <v>0</v>
      </c>
      <c r="M1749" s="98">
        <v>0</v>
      </c>
      <c r="N1749" s="98">
        <v>0</v>
      </c>
      <c r="O1749" s="98">
        <v>0</v>
      </c>
      <c r="P1749" s="98">
        <v>0</v>
      </c>
      <c r="Q1749" s="97">
        <f t="shared" si="54"/>
        <v>3582</v>
      </c>
      <c r="R1749" s="95">
        <f t="shared" si="55"/>
        <v>3044.7</v>
      </c>
      <c r="S1749" s="41"/>
      <c r="T1749" s="41"/>
      <c r="U1749" s="41"/>
      <c r="V1749" s="41"/>
      <c r="W1749" s="41"/>
    </row>
    <row r="1750" spans="1:23" ht="34.049999999999997" customHeight="1" x14ac:dyDescent="0.3">
      <c r="A1750" s="96">
        <v>1739</v>
      </c>
      <c r="B1750" s="91" t="s">
        <v>5765</v>
      </c>
      <c r="C1750" s="91" t="s">
        <v>5828</v>
      </c>
      <c r="D1750" s="91" t="s">
        <v>5829</v>
      </c>
      <c r="E1750" s="91">
        <v>2018</v>
      </c>
      <c r="F1750" s="91" t="s">
        <v>19</v>
      </c>
      <c r="G1750" s="91" t="s">
        <v>5888</v>
      </c>
      <c r="H1750" s="91" t="s">
        <v>5928</v>
      </c>
      <c r="I1750" s="91" t="s">
        <v>3947</v>
      </c>
      <c r="J1750" s="91">
        <v>6199</v>
      </c>
      <c r="K1750" s="91">
        <f>6278+4484+1346</f>
        <v>12108</v>
      </c>
      <c r="L1750" s="91">
        <v>0</v>
      </c>
      <c r="M1750" s="91">
        <v>0</v>
      </c>
      <c r="N1750" s="91">
        <v>3148</v>
      </c>
      <c r="O1750" s="91">
        <v>0</v>
      </c>
      <c r="P1750" s="91">
        <v>0</v>
      </c>
      <c r="Q1750" s="97">
        <f t="shared" si="54"/>
        <v>21455</v>
      </c>
      <c r="R1750" s="95">
        <f t="shared" si="55"/>
        <v>18236.75</v>
      </c>
    </row>
    <row r="1751" spans="1:23" ht="34.049999999999997" customHeight="1" x14ac:dyDescent="0.3">
      <c r="A1751" s="90">
        <v>1740</v>
      </c>
      <c r="B1751" s="91" t="s">
        <v>5765</v>
      </c>
      <c r="C1751" s="91" t="s">
        <v>5830</v>
      </c>
      <c r="D1751" s="91" t="s">
        <v>5831</v>
      </c>
      <c r="E1751" s="91">
        <v>2013</v>
      </c>
      <c r="F1751" s="91" t="s">
        <v>19</v>
      </c>
      <c r="G1751" s="91" t="s">
        <v>5889</v>
      </c>
      <c r="H1751" s="91" t="s">
        <v>5929</v>
      </c>
      <c r="I1751" s="91" t="s">
        <v>560</v>
      </c>
      <c r="J1751" s="91">
        <v>3582</v>
      </c>
      <c r="K1751" s="91">
        <v>0</v>
      </c>
      <c r="L1751" s="91">
        <v>0</v>
      </c>
      <c r="M1751" s="91">
        <v>0</v>
      </c>
      <c r="N1751" s="91">
        <f>35836+30886</f>
        <v>66722</v>
      </c>
      <c r="O1751" s="91">
        <v>0</v>
      </c>
      <c r="P1751" s="91">
        <v>0</v>
      </c>
      <c r="Q1751" s="97">
        <f t="shared" si="54"/>
        <v>70304</v>
      </c>
      <c r="R1751" s="95">
        <f t="shared" si="55"/>
        <v>59758.400000000001</v>
      </c>
    </row>
    <row r="1752" spans="1:23" ht="34.049999999999997" customHeight="1" x14ac:dyDescent="0.3">
      <c r="A1752" s="90">
        <v>1741</v>
      </c>
      <c r="B1752" s="91" t="s">
        <v>5765</v>
      </c>
      <c r="C1752" s="91" t="s">
        <v>5832</v>
      </c>
      <c r="D1752" s="91" t="s">
        <v>5833</v>
      </c>
      <c r="E1752" s="91">
        <v>1972</v>
      </c>
      <c r="F1752" s="91" t="s">
        <v>18</v>
      </c>
      <c r="G1752" s="91" t="s">
        <v>232</v>
      </c>
      <c r="H1752" s="91" t="s">
        <v>232</v>
      </c>
      <c r="I1752" s="91" t="s">
        <v>5954</v>
      </c>
      <c r="J1752" s="91">
        <v>6199</v>
      </c>
      <c r="K1752" s="91">
        <v>0</v>
      </c>
      <c r="L1752" s="91">
        <v>0</v>
      </c>
      <c r="M1752" s="91">
        <v>0</v>
      </c>
      <c r="N1752" s="91">
        <v>0</v>
      </c>
      <c r="O1752" s="91">
        <v>0</v>
      </c>
      <c r="P1752" s="91">
        <v>0</v>
      </c>
      <c r="Q1752" s="97">
        <f t="shared" si="54"/>
        <v>6199</v>
      </c>
      <c r="R1752" s="95">
        <f t="shared" si="55"/>
        <v>5269.15</v>
      </c>
    </row>
    <row r="1753" spans="1:23" ht="34.049999999999997" customHeight="1" x14ac:dyDescent="0.3">
      <c r="A1753" s="96">
        <v>1742</v>
      </c>
      <c r="B1753" s="91" t="s">
        <v>5765</v>
      </c>
      <c r="C1753" s="91" t="s">
        <v>5834</v>
      </c>
      <c r="D1753" s="91" t="s">
        <v>5835</v>
      </c>
      <c r="E1753" s="91">
        <v>2018</v>
      </c>
      <c r="F1753" s="91" t="s">
        <v>19</v>
      </c>
      <c r="G1753" s="91" t="s">
        <v>5890</v>
      </c>
      <c r="H1753" s="91" t="s">
        <v>5930</v>
      </c>
      <c r="I1753" s="91" t="s">
        <v>3678</v>
      </c>
      <c r="J1753" s="91">
        <v>6199</v>
      </c>
      <c r="K1753" s="91">
        <f>1346+6278+4484+4484+2332+2332+2332+2332+2332+2332+6995+6995+2332+6995</f>
        <v>53901</v>
      </c>
      <c r="L1753" s="91">
        <v>0</v>
      </c>
      <c r="M1753" s="91">
        <v>0</v>
      </c>
      <c r="N1753" s="91">
        <f>3148+1178+4053+2088</f>
        <v>10467</v>
      </c>
      <c r="O1753" s="91">
        <v>0</v>
      </c>
      <c r="P1753" s="91">
        <f>720+1080+120+360+56+60</f>
        <v>2396</v>
      </c>
      <c r="Q1753" s="94">
        <f t="shared" si="54"/>
        <v>72963</v>
      </c>
      <c r="R1753" s="95">
        <f t="shared" si="55"/>
        <v>62018.55</v>
      </c>
    </row>
    <row r="1754" spans="1:23" ht="34.049999999999997" customHeight="1" x14ac:dyDescent="0.3">
      <c r="A1754" s="90">
        <v>1743</v>
      </c>
      <c r="B1754" s="91" t="s">
        <v>5765</v>
      </c>
      <c r="C1754" s="91" t="s">
        <v>5834</v>
      </c>
      <c r="D1754" s="91" t="s">
        <v>5835</v>
      </c>
      <c r="E1754" s="91">
        <v>2018</v>
      </c>
      <c r="F1754" s="91" t="s">
        <v>19</v>
      </c>
      <c r="G1754" s="91" t="s">
        <v>5890</v>
      </c>
      <c r="H1754" s="91" t="s">
        <v>5930</v>
      </c>
      <c r="I1754" s="91" t="s">
        <v>3678</v>
      </c>
      <c r="J1754" s="91">
        <v>0</v>
      </c>
      <c r="K1754" s="91">
        <v>0</v>
      </c>
      <c r="L1754" s="91">
        <v>0</v>
      </c>
      <c r="M1754" s="91">
        <v>17688</v>
      </c>
      <c r="N1754" s="91">
        <v>0</v>
      </c>
      <c r="O1754" s="91">
        <v>0</v>
      </c>
      <c r="P1754" s="91">
        <f>360+56</f>
        <v>416</v>
      </c>
      <c r="Q1754" s="94">
        <f t="shared" si="54"/>
        <v>18104</v>
      </c>
      <c r="R1754" s="95">
        <f t="shared" si="55"/>
        <v>15388.4</v>
      </c>
    </row>
    <row r="1755" spans="1:23" ht="34.049999999999997" customHeight="1" x14ac:dyDescent="0.3">
      <c r="A1755" s="90">
        <v>1744</v>
      </c>
      <c r="B1755" s="91" t="s">
        <v>5765</v>
      </c>
      <c r="C1755" s="91" t="s">
        <v>5836</v>
      </c>
      <c r="D1755" s="91" t="s">
        <v>5837</v>
      </c>
      <c r="E1755" s="91">
        <v>1997</v>
      </c>
      <c r="F1755" s="91" t="s">
        <v>19</v>
      </c>
      <c r="G1755" s="91" t="s">
        <v>5891</v>
      </c>
      <c r="H1755" s="91" t="s">
        <v>5931</v>
      </c>
      <c r="I1755" s="91" t="s">
        <v>5955</v>
      </c>
      <c r="J1755" s="91">
        <v>6199</v>
      </c>
      <c r="K1755" s="91">
        <v>0</v>
      </c>
      <c r="L1755" s="91">
        <v>0</v>
      </c>
      <c r="M1755" s="91">
        <v>0</v>
      </c>
      <c r="N1755" s="91">
        <v>0</v>
      </c>
      <c r="O1755" s="91">
        <v>0</v>
      </c>
      <c r="P1755" s="91">
        <v>0</v>
      </c>
      <c r="Q1755" s="94">
        <f t="shared" si="54"/>
        <v>6199</v>
      </c>
      <c r="R1755" s="95">
        <f t="shared" si="55"/>
        <v>5269.15</v>
      </c>
    </row>
    <row r="1756" spans="1:23" ht="34.049999999999997" customHeight="1" x14ac:dyDescent="0.3">
      <c r="A1756" s="96">
        <v>1745</v>
      </c>
      <c r="B1756" s="91" t="s">
        <v>5765</v>
      </c>
      <c r="C1756" s="91" t="s">
        <v>5838</v>
      </c>
      <c r="D1756" s="91" t="s">
        <v>5839</v>
      </c>
      <c r="E1756" s="91">
        <v>2020</v>
      </c>
      <c r="F1756" s="91" t="s">
        <v>19</v>
      </c>
      <c r="G1756" s="91" t="s">
        <v>5892</v>
      </c>
      <c r="H1756" s="91" t="s">
        <v>5932</v>
      </c>
      <c r="I1756" s="91" t="s">
        <v>5956</v>
      </c>
      <c r="J1756" s="91">
        <v>6199</v>
      </c>
      <c r="K1756" s="91">
        <f>1346+6278+4484+4484+2332+2332+2332+2332+2332+2332+6995+6995+2332+6995</f>
        <v>53901</v>
      </c>
      <c r="L1756" s="91">
        <v>0</v>
      </c>
      <c r="M1756" s="91">
        <v>0</v>
      </c>
      <c r="N1756" s="91">
        <f>3148+1178+4053+2088</f>
        <v>10467</v>
      </c>
      <c r="O1756" s="91">
        <v>0</v>
      </c>
      <c r="P1756" s="91">
        <f>720+1080+120+360+56+60</f>
        <v>2396</v>
      </c>
      <c r="Q1756" s="94">
        <f t="shared" si="54"/>
        <v>72963</v>
      </c>
      <c r="R1756" s="95">
        <f t="shared" si="55"/>
        <v>62018.55</v>
      </c>
    </row>
    <row r="1757" spans="1:23" ht="34.049999999999997" customHeight="1" x14ac:dyDescent="0.3">
      <c r="A1757" s="90">
        <v>1746</v>
      </c>
      <c r="B1757" s="91" t="s">
        <v>5765</v>
      </c>
      <c r="C1757" s="91" t="s">
        <v>5838</v>
      </c>
      <c r="D1757" s="91" t="s">
        <v>5839</v>
      </c>
      <c r="E1757" s="91">
        <v>2020</v>
      </c>
      <c r="F1757" s="91" t="s">
        <v>19</v>
      </c>
      <c r="G1757" s="91" t="s">
        <v>5892</v>
      </c>
      <c r="H1757" s="91" t="s">
        <v>5932</v>
      </c>
      <c r="I1757" s="91" t="s">
        <v>5956</v>
      </c>
      <c r="J1757" s="91">
        <v>0</v>
      </c>
      <c r="K1757" s="91">
        <v>0</v>
      </c>
      <c r="L1757" s="91">
        <v>0</v>
      </c>
      <c r="M1757" s="91">
        <v>17688</v>
      </c>
      <c r="N1757" s="91">
        <v>0</v>
      </c>
      <c r="O1757" s="91">
        <v>0</v>
      </c>
      <c r="P1757" s="91">
        <f>360+56</f>
        <v>416</v>
      </c>
      <c r="Q1757" s="94">
        <f t="shared" si="54"/>
        <v>18104</v>
      </c>
      <c r="R1757" s="95">
        <f t="shared" si="55"/>
        <v>15388.4</v>
      </c>
    </row>
    <row r="1758" spans="1:23" ht="34.049999999999997" customHeight="1" x14ac:dyDescent="0.3">
      <c r="A1758" s="90">
        <v>1747</v>
      </c>
      <c r="B1758" s="98" t="s">
        <v>5765</v>
      </c>
      <c r="C1758" s="98" t="s">
        <v>5840</v>
      </c>
      <c r="D1758" s="98" t="s">
        <v>5841</v>
      </c>
      <c r="E1758" s="98">
        <v>2017</v>
      </c>
      <c r="F1758" s="98" t="s">
        <v>18</v>
      </c>
      <c r="G1758" s="98" t="s">
        <v>5893</v>
      </c>
      <c r="H1758" s="98" t="s">
        <v>5933</v>
      </c>
      <c r="I1758" s="98" t="s">
        <v>5957</v>
      </c>
      <c r="J1758" s="98">
        <v>3582</v>
      </c>
      <c r="K1758" s="98">
        <v>0</v>
      </c>
      <c r="L1758" s="98">
        <v>0</v>
      </c>
      <c r="M1758" s="98">
        <v>0</v>
      </c>
      <c r="N1758" s="98">
        <f>15443+35836</f>
        <v>51279</v>
      </c>
      <c r="O1758" s="98">
        <v>0</v>
      </c>
      <c r="P1758" s="98">
        <v>0</v>
      </c>
      <c r="Q1758" s="97">
        <f t="shared" si="54"/>
        <v>54861</v>
      </c>
      <c r="R1758" s="95">
        <f t="shared" si="55"/>
        <v>46631.85</v>
      </c>
      <c r="S1758" s="41"/>
      <c r="T1758" s="41"/>
      <c r="U1758" s="41"/>
      <c r="V1758" s="41"/>
      <c r="W1758" s="41"/>
    </row>
    <row r="1759" spans="1:23" ht="34.049999999999997" customHeight="1" x14ac:dyDescent="0.3">
      <c r="A1759" s="96">
        <v>1748</v>
      </c>
      <c r="B1759" s="91" t="s">
        <v>5765</v>
      </c>
      <c r="C1759" s="91" t="s">
        <v>5842</v>
      </c>
      <c r="D1759" s="91" t="s">
        <v>5843</v>
      </c>
      <c r="E1759" s="91">
        <v>2022</v>
      </c>
      <c r="F1759" s="91" t="s">
        <v>19</v>
      </c>
      <c r="G1759" s="91" t="s">
        <v>5894</v>
      </c>
      <c r="H1759" s="91" t="s">
        <v>5934</v>
      </c>
      <c r="I1759" s="91" t="s">
        <v>5153</v>
      </c>
      <c r="J1759" s="91">
        <v>6199</v>
      </c>
      <c r="K1759" s="91">
        <f>1346+6278+4484+1166</f>
        <v>13274</v>
      </c>
      <c r="L1759" s="91">
        <v>0</v>
      </c>
      <c r="M1759" s="91">
        <v>0</v>
      </c>
      <c r="N1759" s="91">
        <v>3148</v>
      </c>
      <c r="O1759" s="91">
        <v>0</v>
      </c>
      <c r="P1759" s="91">
        <v>0</v>
      </c>
      <c r="Q1759" s="97">
        <f t="shared" si="54"/>
        <v>22621</v>
      </c>
      <c r="R1759" s="95">
        <f t="shared" si="55"/>
        <v>19227.849999999999</v>
      </c>
    </row>
    <row r="1760" spans="1:23" ht="34.049999999999997" customHeight="1" x14ac:dyDescent="0.3">
      <c r="A1760" s="90">
        <v>1749</v>
      </c>
      <c r="B1760" s="91" t="s">
        <v>5765</v>
      </c>
      <c r="C1760" s="91" t="s">
        <v>5844</v>
      </c>
      <c r="D1760" s="91" t="s">
        <v>5845</v>
      </c>
      <c r="E1760" s="91">
        <v>1977</v>
      </c>
      <c r="F1760" s="91" t="s">
        <v>18</v>
      </c>
      <c r="G1760" s="91" t="s">
        <v>5895</v>
      </c>
      <c r="H1760" s="91" t="s">
        <v>5895</v>
      </c>
      <c r="I1760" s="91" t="s">
        <v>5958</v>
      </c>
      <c r="J1760" s="91">
        <v>6199</v>
      </c>
      <c r="K1760" s="91">
        <f>6278+4484+2332+2332+2332+3228</f>
        <v>20986</v>
      </c>
      <c r="L1760" s="91">
        <v>0</v>
      </c>
      <c r="M1760" s="91">
        <v>0</v>
      </c>
      <c r="N1760" s="91">
        <v>1793</v>
      </c>
      <c r="O1760" s="91">
        <v>0</v>
      </c>
      <c r="P1760" s="91">
        <v>0</v>
      </c>
      <c r="Q1760" s="97">
        <f t="shared" si="54"/>
        <v>28978</v>
      </c>
      <c r="R1760" s="95">
        <f t="shared" si="55"/>
        <v>24631.3</v>
      </c>
    </row>
    <row r="1761" spans="1:18" ht="34.049999999999997" customHeight="1" x14ac:dyDescent="0.3">
      <c r="A1761" s="90">
        <v>1750</v>
      </c>
      <c r="B1761" s="91" t="s">
        <v>5765</v>
      </c>
      <c r="C1761" s="91" t="s">
        <v>5846</v>
      </c>
      <c r="D1761" s="91" t="s">
        <v>5847</v>
      </c>
      <c r="E1761" s="91">
        <v>2019</v>
      </c>
      <c r="F1761" s="91" t="s">
        <v>18</v>
      </c>
      <c r="G1761" s="91" t="s">
        <v>5896</v>
      </c>
      <c r="H1761" s="91" t="s">
        <v>5935</v>
      </c>
      <c r="I1761" s="91" t="s">
        <v>1069</v>
      </c>
      <c r="J1761" s="91">
        <v>6199</v>
      </c>
      <c r="K1761" s="91">
        <f>1346+6278+4484+4484+2332+2332+2332+2332+2332+2332+6995+6995+6995+2332+1166</f>
        <v>55067</v>
      </c>
      <c r="L1761" s="91">
        <v>0</v>
      </c>
      <c r="M1761" s="91">
        <v>0</v>
      </c>
      <c r="N1761" s="91">
        <v>3148</v>
      </c>
      <c r="O1761" s="91">
        <v>0</v>
      </c>
      <c r="P1761" s="91">
        <v>0</v>
      </c>
      <c r="Q1761" s="97">
        <f t="shared" si="54"/>
        <v>64414</v>
      </c>
      <c r="R1761" s="95">
        <f t="shared" si="55"/>
        <v>54751.9</v>
      </c>
    </row>
    <row r="1762" spans="1:18" ht="34.049999999999997" customHeight="1" x14ac:dyDescent="0.3">
      <c r="A1762" s="96">
        <v>1751</v>
      </c>
      <c r="B1762" s="91" t="s">
        <v>5765</v>
      </c>
      <c r="C1762" s="91" t="s">
        <v>5848</v>
      </c>
      <c r="D1762" s="91" t="s">
        <v>5849</v>
      </c>
      <c r="E1762" s="91">
        <v>2019</v>
      </c>
      <c r="F1762" s="91" t="s">
        <v>18</v>
      </c>
      <c r="G1762" s="91" t="s">
        <v>5897</v>
      </c>
      <c r="H1762" s="91" t="s">
        <v>5936</v>
      </c>
      <c r="I1762" s="91" t="s">
        <v>3088</v>
      </c>
      <c r="J1762" s="91">
        <v>6199</v>
      </c>
      <c r="K1762" s="91">
        <f>1346+6278+4484</f>
        <v>12108</v>
      </c>
      <c r="L1762" s="91">
        <v>0</v>
      </c>
      <c r="M1762" s="91">
        <v>0</v>
      </c>
      <c r="N1762" s="91">
        <v>3148</v>
      </c>
      <c r="O1762" s="91">
        <v>0</v>
      </c>
      <c r="P1762" s="91">
        <v>0</v>
      </c>
      <c r="Q1762" s="97">
        <f t="shared" si="54"/>
        <v>21455</v>
      </c>
      <c r="R1762" s="95">
        <f t="shared" si="55"/>
        <v>18236.75</v>
      </c>
    </row>
    <row r="1763" spans="1:18" ht="34.049999999999997" customHeight="1" x14ac:dyDescent="0.3">
      <c r="A1763" s="90">
        <v>1752</v>
      </c>
      <c r="B1763" s="91" t="s">
        <v>5765</v>
      </c>
      <c r="C1763" s="91" t="s">
        <v>7423</v>
      </c>
      <c r="D1763" s="91" t="s">
        <v>5850</v>
      </c>
      <c r="E1763" s="91">
        <v>2024</v>
      </c>
      <c r="F1763" s="91" t="s">
        <v>19</v>
      </c>
      <c r="G1763" s="91" t="s">
        <v>5898</v>
      </c>
      <c r="H1763" s="91" t="s">
        <v>5937</v>
      </c>
      <c r="I1763" s="91" t="s">
        <v>3675</v>
      </c>
      <c r="J1763" s="91">
        <v>6199</v>
      </c>
      <c r="K1763" s="91">
        <f>6278+4484+1346+4484+2332+2332+1166+2332+2332+2332+2332+6995+6995+2332+6995</f>
        <v>55067</v>
      </c>
      <c r="L1763" s="91">
        <v>0</v>
      </c>
      <c r="M1763" s="91">
        <v>0</v>
      </c>
      <c r="N1763" s="91">
        <v>3148</v>
      </c>
      <c r="O1763" s="91">
        <v>0</v>
      </c>
      <c r="P1763" s="91">
        <v>0</v>
      </c>
      <c r="Q1763" s="97">
        <f t="shared" si="54"/>
        <v>64414</v>
      </c>
      <c r="R1763" s="95">
        <f t="shared" si="55"/>
        <v>54751.9</v>
      </c>
    </row>
    <row r="1764" spans="1:18" ht="34.049999999999997" customHeight="1" x14ac:dyDescent="0.3">
      <c r="A1764" s="90">
        <v>1753</v>
      </c>
      <c r="B1764" s="91" t="s">
        <v>5765</v>
      </c>
      <c r="C1764" s="91" t="s">
        <v>7424</v>
      </c>
      <c r="D1764" s="91" t="s">
        <v>5851</v>
      </c>
      <c r="E1764" s="91">
        <v>1988</v>
      </c>
      <c r="F1764" s="91" t="s">
        <v>18</v>
      </c>
      <c r="G1764" s="91" t="s">
        <v>5899</v>
      </c>
      <c r="H1764" s="91" t="s">
        <v>5938</v>
      </c>
      <c r="I1764" s="91" t="s">
        <v>5959</v>
      </c>
      <c r="J1764" s="91">
        <v>6199</v>
      </c>
      <c r="K1764" s="91">
        <f>6278+4484+1346</f>
        <v>12108</v>
      </c>
      <c r="L1764" s="91">
        <v>0</v>
      </c>
      <c r="M1764" s="91">
        <v>0</v>
      </c>
      <c r="N1764" s="91">
        <v>1793</v>
      </c>
      <c r="O1764" s="91">
        <v>0</v>
      </c>
      <c r="P1764" s="91">
        <v>0</v>
      </c>
      <c r="Q1764" s="97">
        <f t="shared" si="54"/>
        <v>20100</v>
      </c>
      <c r="R1764" s="95">
        <f t="shared" si="55"/>
        <v>17085</v>
      </c>
    </row>
    <row r="1765" spans="1:18" ht="34.049999999999997" customHeight="1" x14ac:dyDescent="0.3">
      <c r="A1765" s="96">
        <v>1754</v>
      </c>
      <c r="B1765" s="91" t="s">
        <v>5765</v>
      </c>
      <c r="C1765" s="91" t="s">
        <v>7425</v>
      </c>
      <c r="D1765" s="91" t="s">
        <v>1089</v>
      </c>
      <c r="E1765" s="91">
        <v>1994</v>
      </c>
      <c r="F1765" s="91" t="s">
        <v>19</v>
      </c>
      <c r="G1765" s="91" t="s">
        <v>1171</v>
      </c>
      <c r="H1765" s="91" t="s">
        <v>1171</v>
      </c>
      <c r="I1765" s="91" t="s">
        <v>1255</v>
      </c>
      <c r="J1765" s="91">
        <v>6199</v>
      </c>
      <c r="K1765" s="91">
        <v>0</v>
      </c>
      <c r="L1765" s="91">
        <v>0</v>
      </c>
      <c r="M1765" s="91">
        <v>0</v>
      </c>
      <c r="N1765" s="91">
        <v>0</v>
      </c>
      <c r="O1765" s="91">
        <v>0</v>
      </c>
      <c r="P1765" s="91">
        <v>0</v>
      </c>
      <c r="Q1765" s="97">
        <f t="shared" si="54"/>
        <v>6199</v>
      </c>
      <c r="R1765" s="95">
        <f t="shared" si="55"/>
        <v>5269.15</v>
      </c>
    </row>
    <row r="1766" spans="1:18" ht="34.049999999999997" customHeight="1" x14ac:dyDescent="0.3">
      <c r="A1766" s="90">
        <v>1755</v>
      </c>
      <c r="B1766" s="91" t="s">
        <v>5765</v>
      </c>
      <c r="C1766" s="91" t="s">
        <v>7426</v>
      </c>
      <c r="D1766" s="91" t="s">
        <v>5852</v>
      </c>
      <c r="E1766" s="91">
        <v>2025</v>
      </c>
      <c r="F1766" s="91" t="s">
        <v>18</v>
      </c>
      <c r="G1766" s="91" t="s">
        <v>5900</v>
      </c>
      <c r="H1766" s="91" t="s">
        <v>5939</v>
      </c>
      <c r="I1766" s="91" t="s">
        <v>1263</v>
      </c>
      <c r="J1766" s="91">
        <v>6199</v>
      </c>
      <c r="K1766" s="91">
        <v>0</v>
      </c>
      <c r="L1766" s="91">
        <v>0</v>
      </c>
      <c r="M1766" s="91">
        <v>0</v>
      </c>
      <c r="N1766" s="91">
        <v>0</v>
      </c>
      <c r="O1766" s="91">
        <v>0</v>
      </c>
      <c r="P1766" s="91">
        <v>0</v>
      </c>
      <c r="Q1766" s="94">
        <f t="shared" si="54"/>
        <v>6199</v>
      </c>
      <c r="R1766" s="95">
        <f t="shared" si="55"/>
        <v>5269.15</v>
      </c>
    </row>
    <row r="1767" spans="1:18" ht="34.049999999999997" customHeight="1" x14ac:dyDescent="0.3">
      <c r="A1767" s="90">
        <v>1756</v>
      </c>
      <c r="B1767" s="91" t="s">
        <v>5765</v>
      </c>
      <c r="C1767" s="91" t="s">
        <v>7427</v>
      </c>
      <c r="D1767" s="91" t="s">
        <v>5853</v>
      </c>
      <c r="E1767" s="91">
        <v>2010</v>
      </c>
      <c r="F1767" s="91" t="s">
        <v>19</v>
      </c>
      <c r="G1767" s="91" t="s">
        <v>5901</v>
      </c>
      <c r="H1767" s="91" t="s">
        <v>5940</v>
      </c>
      <c r="I1767" s="91" t="s">
        <v>5960</v>
      </c>
      <c r="J1767" s="91">
        <v>6199</v>
      </c>
      <c r="K1767" s="91">
        <v>0</v>
      </c>
      <c r="L1767" s="91">
        <v>0</v>
      </c>
      <c r="M1767" s="91">
        <v>0</v>
      </c>
      <c r="N1767" s="91">
        <v>0</v>
      </c>
      <c r="O1767" s="91">
        <v>0</v>
      </c>
      <c r="P1767" s="91">
        <v>0</v>
      </c>
      <c r="Q1767" s="94">
        <f t="shared" si="54"/>
        <v>6199</v>
      </c>
      <c r="R1767" s="95">
        <f t="shared" si="55"/>
        <v>5269.15</v>
      </c>
    </row>
    <row r="1768" spans="1:18" ht="34.049999999999997" customHeight="1" x14ac:dyDescent="0.3">
      <c r="A1768" s="96">
        <v>1757</v>
      </c>
      <c r="B1768" s="91" t="s">
        <v>5765</v>
      </c>
      <c r="C1768" s="91" t="s">
        <v>7428</v>
      </c>
      <c r="D1768" s="91" t="s">
        <v>5182</v>
      </c>
      <c r="E1768" s="91">
        <v>1983</v>
      </c>
      <c r="F1768" s="91" t="s">
        <v>18</v>
      </c>
      <c r="G1768" s="91" t="s">
        <v>5902</v>
      </c>
      <c r="H1768" s="91" t="s">
        <v>5902</v>
      </c>
      <c r="I1768" s="91" t="s">
        <v>3089</v>
      </c>
      <c r="J1768" s="91">
        <v>0</v>
      </c>
      <c r="K1768" s="91">
        <v>0</v>
      </c>
      <c r="L1768" s="91">
        <v>0</v>
      </c>
      <c r="M1768" s="91">
        <v>0</v>
      </c>
      <c r="N1768" s="91">
        <v>5321</v>
      </c>
      <c r="O1768" s="91">
        <v>0</v>
      </c>
      <c r="P1768" s="91">
        <v>0</v>
      </c>
      <c r="Q1768" s="94">
        <f t="shared" si="54"/>
        <v>5321</v>
      </c>
      <c r="R1768" s="95">
        <f t="shared" si="55"/>
        <v>4522.8500000000004</v>
      </c>
    </row>
    <row r="1769" spans="1:18" ht="34.049999999999997" customHeight="1" x14ac:dyDescent="0.3">
      <c r="A1769" s="90">
        <v>1758</v>
      </c>
      <c r="B1769" s="91" t="s">
        <v>5765</v>
      </c>
      <c r="C1769" s="91" t="s">
        <v>7429</v>
      </c>
      <c r="D1769" s="91" t="s">
        <v>5854</v>
      </c>
      <c r="E1769" s="91">
        <v>1995</v>
      </c>
      <c r="F1769" s="91" t="s">
        <v>19</v>
      </c>
      <c r="G1769" s="91" t="s">
        <v>5903</v>
      </c>
      <c r="H1769" s="91" t="s">
        <v>5941</v>
      </c>
      <c r="I1769" s="91" t="s">
        <v>2618</v>
      </c>
      <c r="J1769" s="91">
        <v>6199</v>
      </c>
      <c r="K1769" s="91">
        <v>0</v>
      </c>
      <c r="L1769" s="91">
        <v>0</v>
      </c>
      <c r="M1769" s="91">
        <v>0</v>
      </c>
      <c r="N1769" s="91">
        <v>0</v>
      </c>
      <c r="O1769" s="91">
        <v>0</v>
      </c>
      <c r="P1769" s="91">
        <v>0</v>
      </c>
      <c r="Q1769" s="94">
        <f t="shared" si="54"/>
        <v>6199</v>
      </c>
      <c r="R1769" s="95">
        <f t="shared" si="55"/>
        <v>5269.15</v>
      </c>
    </row>
    <row r="1770" spans="1:18" ht="34.049999999999997" customHeight="1" x14ac:dyDescent="0.3">
      <c r="A1770" s="90">
        <v>1759</v>
      </c>
      <c r="B1770" s="91" t="s">
        <v>5765</v>
      </c>
      <c r="C1770" s="91" t="s">
        <v>7430</v>
      </c>
      <c r="D1770" s="91" t="s">
        <v>5855</v>
      </c>
      <c r="E1770" s="91">
        <v>1996</v>
      </c>
      <c r="F1770" s="91" t="s">
        <v>18</v>
      </c>
      <c r="G1770" s="91" t="s">
        <v>5904</v>
      </c>
      <c r="H1770" s="91" t="s">
        <v>5904</v>
      </c>
      <c r="I1770" s="91" t="s">
        <v>1487</v>
      </c>
      <c r="J1770" s="91">
        <v>6199</v>
      </c>
      <c r="K1770" s="91">
        <f>1346+6278+4484+2332+2332+2332+6995+3228+2332+2332</f>
        <v>33991</v>
      </c>
      <c r="L1770" s="91">
        <v>0</v>
      </c>
      <c r="M1770" s="91">
        <v>0</v>
      </c>
      <c r="N1770" s="91">
        <v>1793</v>
      </c>
      <c r="O1770" s="91">
        <v>0</v>
      </c>
      <c r="P1770" s="91">
        <v>0</v>
      </c>
      <c r="Q1770" s="97">
        <f t="shared" si="54"/>
        <v>41983</v>
      </c>
      <c r="R1770" s="95">
        <f t="shared" si="55"/>
        <v>35685.550000000003</v>
      </c>
    </row>
    <row r="1771" spans="1:18" ht="34.049999999999997" customHeight="1" x14ac:dyDescent="0.3">
      <c r="A1771" s="96">
        <v>1760</v>
      </c>
      <c r="B1771" s="91" t="s">
        <v>5765</v>
      </c>
      <c r="C1771" s="91" t="s">
        <v>7431</v>
      </c>
      <c r="D1771" s="91" t="s">
        <v>5856</v>
      </c>
      <c r="E1771" s="91">
        <v>1998</v>
      </c>
      <c r="F1771" s="91" t="s">
        <v>19</v>
      </c>
      <c r="G1771" s="91" t="s">
        <v>5905</v>
      </c>
      <c r="H1771" s="91" t="s">
        <v>5905</v>
      </c>
      <c r="I1771" s="91" t="s">
        <v>254</v>
      </c>
      <c r="J1771" s="91">
        <v>6199</v>
      </c>
      <c r="K1771" s="91">
        <f>1346+6278+4484+2332+2332+2332+2332+2332</f>
        <v>23768</v>
      </c>
      <c r="L1771" s="91">
        <v>0</v>
      </c>
      <c r="M1771" s="91">
        <v>0</v>
      </c>
      <c r="N1771" s="91">
        <v>1793</v>
      </c>
      <c r="O1771" s="91">
        <v>0</v>
      </c>
      <c r="P1771" s="91">
        <v>0</v>
      </c>
      <c r="Q1771" s="97">
        <f t="shared" si="54"/>
        <v>31760</v>
      </c>
      <c r="R1771" s="95">
        <f t="shared" si="55"/>
        <v>26996</v>
      </c>
    </row>
    <row r="1772" spans="1:18" ht="34.049999999999997" customHeight="1" x14ac:dyDescent="0.3">
      <c r="A1772" s="90">
        <v>1761</v>
      </c>
      <c r="B1772" s="91" t="s">
        <v>5765</v>
      </c>
      <c r="C1772" s="91" t="s">
        <v>7432</v>
      </c>
      <c r="D1772" s="91" t="s">
        <v>1298</v>
      </c>
      <c r="E1772" s="91">
        <v>2022</v>
      </c>
      <c r="F1772" s="91" t="s">
        <v>19</v>
      </c>
      <c r="G1772" s="91" t="s">
        <v>1388</v>
      </c>
      <c r="H1772" s="91" t="s">
        <v>1387</v>
      </c>
      <c r="I1772" s="91" t="s">
        <v>1462</v>
      </c>
      <c r="J1772" s="91">
        <v>6199</v>
      </c>
      <c r="K1772" s="91">
        <f>1346+6278+4484+4484+2332+2332+2332+2332+2332+2332+6995+6995+2332+6995</f>
        <v>53901</v>
      </c>
      <c r="L1772" s="91">
        <v>0</v>
      </c>
      <c r="M1772" s="91">
        <v>0</v>
      </c>
      <c r="N1772" s="91">
        <v>3148</v>
      </c>
      <c r="O1772" s="91">
        <v>0</v>
      </c>
      <c r="P1772" s="91">
        <v>63</v>
      </c>
      <c r="Q1772" s="97">
        <f t="shared" si="54"/>
        <v>63311</v>
      </c>
      <c r="R1772" s="95">
        <f t="shared" si="55"/>
        <v>53814.35</v>
      </c>
    </row>
    <row r="1773" spans="1:18" ht="34.049999999999997" customHeight="1" x14ac:dyDescent="0.3">
      <c r="A1773" s="90">
        <v>1762</v>
      </c>
      <c r="B1773" s="91" t="s">
        <v>5765</v>
      </c>
      <c r="C1773" s="91" t="s">
        <v>7433</v>
      </c>
      <c r="D1773" s="91" t="s">
        <v>5255</v>
      </c>
      <c r="E1773" s="91">
        <v>2022</v>
      </c>
      <c r="F1773" s="91" t="s">
        <v>19</v>
      </c>
      <c r="G1773" s="91" t="s">
        <v>5339</v>
      </c>
      <c r="H1773" s="91" t="s">
        <v>5381</v>
      </c>
      <c r="I1773" s="91" t="s">
        <v>1077</v>
      </c>
      <c r="J1773" s="91">
        <v>3793</v>
      </c>
      <c r="K1773" s="91">
        <f>1346+6278+4484</f>
        <v>12108</v>
      </c>
      <c r="L1773" s="91">
        <v>0</v>
      </c>
      <c r="M1773" s="91">
        <v>0</v>
      </c>
      <c r="N1773" s="91">
        <v>3148</v>
      </c>
      <c r="O1773" s="91">
        <v>0</v>
      </c>
      <c r="P1773" s="91">
        <v>0</v>
      </c>
      <c r="Q1773" s="97">
        <f t="shared" si="54"/>
        <v>19049</v>
      </c>
      <c r="R1773" s="95">
        <f t="shared" si="55"/>
        <v>16191.65</v>
      </c>
    </row>
    <row r="1774" spans="1:18" ht="34.049999999999997" customHeight="1" x14ac:dyDescent="0.3">
      <c r="A1774" s="96">
        <v>1763</v>
      </c>
      <c r="B1774" s="91" t="s">
        <v>5765</v>
      </c>
      <c r="C1774" s="91" t="s">
        <v>7434</v>
      </c>
      <c r="D1774" s="91" t="s">
        <v>3971</v>
      </c>
      <c r="E1774" s="91">
        <v>2021</v>
      </c>
      <c r="F1774" s="91" t="s">
        <v>18</v>
      </c>
      <c r="G1774" s="91" t="s">
        <v>4100</v>
      </c>
      <c r="H1774" s="91" t="s">
        <v>4165</v>
      </c>
      <c r="I1774" s="91" t="s">
        <v>4206</v>
      </c>
      <c r="J1774" s="91">
        <v>3793</v>
      </c>
      <c r="K1774" s="91">
        <v>0</v>
      </c>
      <c r="L1774" s="91">
        <v>0</v>
      </c>
      <c r="M1774" s="91">
        <v>0</v>
      </c>
      <c r="N1774" s="91">
        <v>0</v>
      </c>
      <c r="O1774" s="91">
        <v>0</v>
      </c>
      <c r="P1774" s="91">
        <v>0</v>
      </c>
      <c r="Q1774" s="97">
        <f t="shared" si="54"/>
        <v>3793</v>
      </c>
      <c r="R1774" s="95">
        <f t="shared" si="55"/>
        <v>3224.05</v>
      </c>
    </row>
    <row r="1775" spans="1:18" ht="34.049999999999997" customHeight="1" x14ac:dyDescent="0.3">
      <c r="A1775" s="90">
        <v>1764</v>
      </c>
      <c r="B1775" s="91" t="s">
        <v>5765</v>
      </c>
      <c r="C1775" s="91" t="s">
        <v>7435</v>
      </c>
      <c r="D1775" s="91" t="s">
        <v>5857</v>
      </c>
      <c r="E1775" s="91">
        <v>2020</v>
      </c>
      <c r="F1775" s="91" t="s">
        <v>19</v>
      </c>
      <c r="G1775" s="91" t="s">
        <v>5906</v>
      </c>
      <c r="H1775" s="91" t="s">
        <v>2390</v>
      </c>
      <c r="I1775" s="91" t="s">
        <v>1081</v>
      </c>
      <c r="J1775" s="91">
        <v>6199</v>
      </c>
      <c r="K1775" s="91">
        <f>1346+6278+4484</f>
        <v>12108</v>
      </c>
      <c r="L1775" s="91">
        <v>0</v>
      </c>
      <c r="M1775" s="91">
        <v>0</v>
      </c>
      <c r="N1775" s="91">
        <v>3148</v>
      </c>
      <c r="O1775" s="91">
        <v>0</v>
      </c>
      <c r="P1775" s="91">
        <v>0</v>
      </c>
      <c r="Q1775" s="97">
        <f t="shared" si="54"/>
        <v>21455</v>
      </c>
      <c r="R1775" s="95">
        <f t="shared" si="55"/>
        <v>18236.75</v>
      </c>
    </row>
    <row r="1776" spans="1:18" ht="34.049999999999997" customHeight="1" x14ac:dyDescent="0.3">
      <c r="A1776" s="90">
        <v>1765</v>
      </c>
      <c r="B1776" s="91" t="s">
        <v>5765</v>
      </c>
      <c r="C1776" s="91" t="s">
        <v>7436</v>
      </c>
      <c r="D1776" s="91" t="s">
        <v>5858</v>
      </c>
      <c r="E1776" s="91">
        <v>2022</v>
      </c>
      <c r="F1776" s="91" t="s">
        <v>19</v>
      </c>
      <c r="G1776" s="91" t="s">
        <v>5907</v>
      </c>
      <c r="H1776" s="91" t="s">
        <v>5942</v>
      </c>
      <c r="I1776" s="91" t="s">
        <v>3671</v>
      </c>
      <c r="J1776" s="91">
        <v>6199</v>
      </c>
      <c r="K1776" s="91">
        <v>0</v>
      </c>
      <c r="L1776" s="91">
        <v>0</v>
      </c>
      <c r="M1776" s="91">
        <v>0</v>
      </c>
      <c r="N1776" s="91">
        <v>0</v>
      </c>
      <c r="O1776" s="91">
        <v>0</v>
      </c>
      <c r="P1776" s="91">
        <v>0</v>
      </c>
      <c r="Q1776" s="97">
        <f t="shared" si="54"/>
        <v>6199</v>
      </c>
      <c r="R1776" s="95">
        <f t="shared" si="55"/>
        <v>5269.15</v>
      </c>
    </row>
    <row r="1777" spans="1:18" ht="34.049999999999997" customHeight="1" x14ac:dyDescent="0.3">
      <c r="A1777" s="96">
        <v>1766</v>
      </c>
      <c r="B1777" s="91" t="s">
        <v>5765</v>
      </c>
      <c r="C1777" s="91" t="s">
        <v>7437</v>
      </c>
      <c r="D1777" s="91" t="s">
        <v>5859</v>
      </c>
      <c r="E1777" s="91">
        <v>2014</v>
      </c>
      <c r="F1777" s="91" t="s">
        <v>18</v>
      </c>
      <c r="G1777" s="91" t="s">
        <v>5908</v>
      </c>
      <c r="H1777" s="91" t="s">
        <v>5943</v>
      </c>
      <c r="I1777" s="91" t="s">
        <v>4630</v>
      </c>
      <c r="J1777" s="91">
        <v>6199</v>
      </c>
      <c r="K1777" s="91">
        <v>0</v>
      </c>
      <c r="L1777" s="91">
        <v>0</v>
      </c>
      <c r="M1777" s="91">
        <v>0</v>
      </c>
      <c r="N1777" s="91">
        <v>0</v>
      </c>
      <c r="O1777" s="91">
        <v>0</v>
      </c>
      <c r="P1777" s="91">
        <v>0</v>
      </c>
      <c r="Q1777" s="97">
        <f t="shared" si="54"/>
        <v>6199</v>
      </c>
      <c r="R1777" s="95">
        <f t="shared" si="55"/>
        <v>5269.15</v>
      </c>
    </row>
    <row r="1778" spans="1:18" ht="34.049999999999997" customHeight="1" x14ac:dyDescent="0.3">
      <c r="A1778" s="90">
        <v>1767</v>
      </c>
      <c r="B1778" s="91" t="s">
        <v>5765</v>
      </c>
      <c r="C1778" s="91" t="s">
        <v>6945</v>
      </c>
      <c r="D1778" s="93" t="s">
        <v>5251</v>
      </c>
      <c r="E1778" s="91">
        <v>2023</v>
      </c>
      <c r="F1778" s="91" t="s">
        <v>19</v>
      </c>
      <c r="G1778" s="91" t="s">
        <v>5337</v>
      </c>
      <c r="H1778" s="91" t="s">
        <v>5380</v>
      </c>
      <c r="I1778" s="91" t="s">
        <v>1260</v>
      </c>
      <c r="J1778" s="91">
        <v>2900</v>
      </c>
      <c r="K1778" s="91">
        <v>0</v>
      </c>
      <c r="L1778" s="91">
        <v>0</v>
      </c>
      <c r="M1778" s="91">
        <v>0</v>
      </c>
      <c r="N1778" s="91">
        <v>2088</v>
      </c>
      <c r="O1778" s="91">
        <v>0</v>
      </c>
      <c r="P1778" s="91">
        <f>360+56</f>
        <v>416</v>
      </c>
      <c r="Q1778" s="97">
        <f t="shared" si="54"/>
        <v>5404</v>
      </c>
      <c r="R1778" s="95">
        <f t="shared" si="55"/>
        <v>4593.3999999999996</v>
      </c>
    </row>
    <row r="1779" spans="1:18" ht="34.049999999999997" customHeight="1" x14ac:dyDescent="0.3">
      <c r="A1779" s="90">
        <v>1768</v>
      </c>
      <c r="B1779" s="91" t="s">
        <v>5765</v>
      </c>
      <c r="C1779" s="91" t="s">
        <v>7438</v>
      </c>
      <c r="D1779" s="93" t="s">
        <v>5223</v>
      </c>
      <c r="E1779" s="91">
        <v>2022</v>
      </c>
      <c r="F1779" s="91" t="s">
        <v>19</v>
      </c>
      <c r="G1779" s="91" t="s">
        <v>5323</v>
      </c>
      <c r="H1779" s="91" t="s">
        <v>5372</v>
      </c>
      <c r="I1779" s="91" t="s">
        <v>569</v>
      </c>
      <c r="J1779" s="91">
        <v>2900</v>
      </c>
      <c r="K1779" s="91">
        <v>0</v>
      </c>
      <c r="L1779" s="91">
        <v>0</v>
      </c>
      <c r="M1779" s="91">
        <v>0</v>
      </c>
      <c r="N1779" s="91">
        <v>2088</v>
      </c>
      <c r="O1779" s="91">
        <v>0</v>
      </c>
      <c r="P1779" s="91">
        <f>360+56</f>
        <v>416</v>
      </c>
      <c r="Q1779" s="97">
        <f t="shared" si="54"/>
        <v>5404</v>
      </c>
      <c r="R1779" s="95">
        <f t="shared" si="55"/>
        <v>4593.3999999999996</v>
      </c>
    </row>
    <row r="1780" spans="1:18" ht="34.049999999999997" customHeight="1" x14ac:dyDescent="0.3">
      <c r="A1780" s="96">
        <v>1769</v>
      </c>
      <c r="B1780" s="91" t="s">
        <v>5765</v>
      </c>
      <c r="C1780" s="91" t="s">
        <v>7439</v>
      </c>
      <c r="D1780" s="93" t="s">
        <v>6942</v>
      </c>
      <c r="E1780" s="91">
        <v>2024</v>
      </c>
      <c r="F1780" s="91" t="s">
        <v>18</v>
      </c>
      <c r="G1780" s="91" t="s">
        <v>6944</v>
      </c>
      <c r="H1780" s="91" t="s">
        <v>3466</v>
      </c>
      <c r="I1780" s="91" t="s">
        <v>4208</v>
      </c>
      <c r="J1780" s="91">
        <v>2900</v>
      </c>
      <c r="K1780" s="91">
        <v>0</v>
      </c>
      <c r="L1780" s="91">
        <v>0</v>
      </c>
      <c r="M1780" s="91">
        <v>17688</v>
      </c>
      <c r="N1780" s="91">
        <v>2088</v>
      </c>
      <c r="O1780" s="91">
        <v>0</v>
      </c>
      <c r="P1780" s="91">
        <f>1080+168</f>
        <v>1248</v>
      </c>
      <c r="Q1780" s="97">
        <f t="shared" si="54"/>
        <v>23924</v>
      </c>
      <c r="R1780" s="95">
        <f t="shared" si="55"/>
        <v>20335.400000000001</v>
      </c>
    </row>
    <row r="1781" spans="1:18" ht="34.049999999999997" customHeight="1" x14ac:dyDescent="0.3">
      <c r="A1781" s="90">
        <v>1770</v>
      </c>
      <c r="B1781" s="91" t="s">
        <v>5765</v>
      </c>
      <c r="C1781" s="91" t="s">
        <v>7440</v>
      </c>
      <c r="D1781" s="93" t="s">
        <v>5437</v>
      </c>
      <c r="E1781" s="91">
        <v>2022</v>
      </c>
      <c r="F1781" s="91" t="s">
        <v>18</v>
      </c>
      <c r="G1781" s="91" t="s">
        <v>5604</v>
      </c>
      <c r="H1781" s="91" t="s">
        <v>5686</v>
      </c>
      <c r="I1781" s="91" t="s">
        <v>5732</v>
      </c>
      <c r="J1781" s="91">
        <v>2900</v>
      </c>
      <c r="K1781" s="91">
        <v>0</v>
      </c>
      <c r="L1781" s="91">
        <v>0</v>
      </c>
      <c r="M1781" s="91">
        <v>17688</v>
      </c>
      <c r="N1781" s="91">
        <v>2088</v>
      </c>
      <c r="O1781" s="91">
        <v>0</v>
      </c>
      <c r="P1781" s="91">
        <f>1080+168</f>
        <v>1248</v>
      </c>
      <c r="Q1781" s="97">
        <f t="shared" si="54"/>
        <v>23924</v>
      </c>
      <c r="R1781" s="95">
        <f t="shared" si="55"/>
        <v>20335.400000000001</v>
      </c>
    </row>
    <row r="1782" spans="1:18" ht="34.049999999999997" customHeight="1" x14ac:dyDescent="0.3">
      <c r="A1782" s="90">
        <v>1771</v>
      </c>
      <c r="B1782" s="91" t="s">
        <v>5765</v>
      </c>
      <c r="C1782" s="91" t="s">
        <v>7441</v>
      </c>
      <c r="D1782" s="93" t="s">
        <v>5457</v>
      </c>
      <c r="E1782" s="91">
        <v>2022</v>
      </c>
      <c r="F1782" s="91" t="s">
        <v>18</v>
      </c>
      <c r="G1782" s="91" t="s">
        <v>5614</v>
      </c>
      <c r="H1782" s="91" t="s">
        <v>5693</v>
      </c>
      <c r="I1782" s="91" t="s">
        <v>5737</v>
      </c>
      <c r="J1782" s="91">
        <v>2900</v>
      </c>
      <c r="K1782" s="91">
        <v>0</v>
      </c>
      <c r="L1782" s="91">
        <v>0</v>
      </c>
      <c r="M1782" s="91">
        <v>17688</v>
      </c>
      <c r="N1782" s="91">
        <f>2088+1178</f>
        <v>3266</v>
      </c>
      <c r="O1782" s="91">
        <v>0</v>
      </c>
      <c r="P1782" s="91">
        <f>1080+168+720+1080+120+396</f>
        <v>3564</v>
      </c>
      <c r="Q1782" s="97">
        <f t="shared" si="54"/>
        <v>27418</v>
      </c>
      <c r="R1782" s="95">
        <f t="shared" si="55"/>
        <v>23305.3</v>
      </c>
    </row>
    <row r="1783" spans="1:18" ht="34.049999999999997" customHeight="1" x14ac:dyDescent="0.3">
      <c r="A1783" s="96">
        <v>1772</v>
      </c>
      <c r="B1783" s="91" t="s">
        <v>5765</v>
      </c>
      <c r="C1783" s="91" t="s">
        <v>7442</v>
      </c>
      <c r="D1783" s="93" t="s">
        <v>5560</v>
      </c>
      <c r="E1783" s="91">
        <v>2021</v>
      </c>
      <c r="F1783" s="91" t="s">
        <v>18</v>
      </c>
      <c r="G1783" s="91" t="s">
        <v>5662</v>
      </c>
      <c r="H1783" s="91" t="s">
        <v>5719</v>
      </c>
      <c r="I1783" s="91" t="s">
        <v>7173</v>
      </c>
      <c r="J1783" s="91">
        <v>2900</v>
      </c>
      <c r="K1783" s="91">
        <v>0</v>
      </c>
      <c r="L1783" s="91">
        <v>0</v>
      </c>
      <c r="M1783" s="91">
        <v>0</v>
      </c>
      <c r="N1783" s="91">
        <v>2088</v>
      </c>
      <c r="O1783" s="91">
        <v>0</v>
      </c>
      <c r="P1783" s="91">
        <f>360+56</f>
        <v>416</v>
      </c>
      <c r="Q1783" s="97">
        <f t="shared" si="54"/>
        <v>5404</v>
      </c>
      <c r="R1783" s="95">
        <f t="shared" si="55"/>
        <v>4593.3999999999996</v>
      </c>
    </row>
    <row r="1784" spans="1:18" ht="34.049999999999997" customHeight="1" x14ac:dyDescent="0.3">
      <c r="A1784" s="90">
        <v>1773</v>
      </c>
      <c r="B1784" s="91" t="s">
        <v>5765</v>
      </c>
      <c r="C1784" s="91" t="s">
        <v>7443</v>
      </c>
      <c r="D1784" s="93" t="s">
        <v>5461</v>
      </c>
      <c r="E1784" s="91">
        <v>2016</v>
      </c>
      <c r="F1784" s="91" t="s">
        <v>19</v>
      </c>
      <c r="G1784" s="91" t="s">
        <v>5616</v>
      </c>
      <c r="H1784" s="91" t="s">
        <v>5694</v>
      </c>
      <c r="I1784" s="91" t="s">
        <v>5738</v>
      </c>
      <c r="J1784" s="91">
        <v>2900</v>
      </c>
      <c r="K1784" s="91">
        <v>0</v>
      </c>
      <c r="L1784" s="91">
        <v>0</v>
      </c>
      <c r="M1784" s="91">
        <v>0</v>
      </c>
      <c r="N1784" s="91">
        <v>2088</v>
      </c>
      <c r="O1784" s="91">
        <v>0</v>
      </c>
      <c r="P1784" s="91">
        <f>360+56</f>
        <v>416</v>
      </c>
      <c r="Q1784" s="97">
        <f t="shared" si="54"/>
        <v>5404</v>
      </c>
      <c r="R1784" s="95">
        <f t="shared" si="55"/>
        <v>4593.3999999999996</v>
      </c>
    </row>
    <row r="1785" spans="1:18" ht="34.049999999999997" customHeight="1" x14ac:dyDescent="0.3">
      <c r="A1785" s="90">
        <v>1774</v>
      </c>
      <c r="B1785" s="91" t="s">
        <v>5765</v>
      </c>
      <c r="C1785" s="91" t="s">
        <v>7444</v>
      </c>
      <c r="D1785" s="93" t="s">
        <v>3536</v>
      </c>
      <c r="E1785" s="91">
        <v>2021</v>
      </c>
      <c r="F1785" s="91" t="s">
        <v>18</v>
      </c>
      <c r="G1785" s="91" t="s">
        <v>3631</v>
      </c>
      <c r="H1785" s="91" t="s">
        <v>3593</v>
      </c>
      <c r="I1785" s="91" t="s">
        <v>1070</v>
      </c>
      <c r="J1785" s="91">
        <v>2900</v>
      </c>
      <c r="K1785" s="91">
        <v>0</v>
      </c>
      <c r="L1785" s="91">
        <v>0</v>
      </c>
      <c r="M1785" s="91">
        <v>0</v>
      </c>
      <c r="N1785" s="91">
        <v>2088</v>
      </c>
      <c r="O1785" s="91">
        <v>0</v>
      </c>
      <c r="P1785" s="91">
        <f>360+56</f>
        <v>416</v>
      </c>
      <c r="Q1785" s="97">
        <f t="shared" si="54"/>
        <v>5404</v>
      </c>
      <c r="R1785" s="95">
        <f t="shared" si="55"/>
        <v>4593.3999999999996</v>
      </c>
    </row>
    <row r="1786" spans="1:18" ht="34.049999999999997" customHeight="1" x14ac:dyDescent="0.3">
      <c r="A1786" s="96">
        <v>1775</v>
      </c>
      <c r="B1786" s="91" t="s">
        <v>5765</v>
      </c>
      <c r="C1786" s="91" t="s">
        <v>7445</v>
      </c>
      <c r="D1786" s="93" t="s">
        <v>2490</v>
      </c>
      <c r="E1786" s="91">
        <v>2022</v>
      </c>
      <c r="F1786" s="91" t="s">
        <v>19</v>
      </c>
      <c r="G1786" s="91" t="s">
        <v>2555</v>
      </c>
      <c r="H1786" s="91" t="s">
        <v>2587</v>
      </c>
      <c r="I1786" s="91" t="s">
        <v>2618</v>
      </c>
      <c r="J1786" s="91">
        <v>2900</v>
      </c>
      <c r="K1786" s="91">
        <v>0</v>
      </c>
      <c r="L1786" s="91">
        <v>0</v>
      </c>
      <c r="M1786" s="91">
        <v>0</v>
      </c>
      <c r="N1786" s="91">
        <v>2088</v>
      </c>
      <c r="O1786" s="91">
        <v>0</v>
      </c>
      <c r="P1786" s="91">
        <f>360+56</f>
        <v>416</v>
      </c>
      <c r="Q1786" s="97">
        <f t="shared" si="54"/>
        <v>5404</v>
      </c>
      <c r="R1786" s="95">
        <f t="shared" si="55"/>
        <v>4593.3999999999996</v>
      </c>
    </row>
    <row r="1787" spans="1:18" ht="34.049999999999997" customHeight="1" x14ac:dyDescent="0.3">
      <c r="A1787" s="90">
        <v>1776</v>
      </c>
      <c r="B1787" s="91" t="s">
        <v>5765</v>
      </c>
      <c r="C1787" s="91" t="s">
        <v>7446</v>
      </c>
      <c r="D1787" s="93" t="s">
        <v>5552</v>
      </c>
      <c r="E1787" s="91">
        <v>2023</v>
      </c>
      <c r="F1787" s="91" t="s">
        <v>18</v>
      </c>
      <c r="G1787" s="91" t="s">
        <v>5659</v>
      </c>
      <c r="H1787" s="91" t="s">
        <v>5717</v>
      </c>
      <c r="I1787" s="91" t="s">
        <v>1890</v>
      </c>
      <c r="J1787" s="91">
        <v>2900</v>
      </c>
      <c r="K1787" s="91">
        <v>0</v>
      </c>
      <c r="L1787" s="91">
        <v>0</v>
      </c>
      <c r="M1787" s="91">
        <v>17688</v>
      </c>
      <c r="N1787" s="91">
        <v>2088</v>
      </c>
      <c r="O1787" s="91">
        <v>0</v>
      </c>
      <c r="P1787" s="91">
        <f>1080+112</f>
        <v>1192</v>
      </c>
      <c r="Q1787" s="97">
        <f t="shared" si="54"/>
        <v>23868</v>
      </c>
      <c r="R1787" s="95">
        <f t="shared" si="55"/>
        <v>20287.8</v>
      </c>
    </row>
    <row r="1788" spans="1:18" ht="34.049999999999997" customHeight="1" x14ac:dyDescent="0.3">
      <c r="A1788" s="90">
        <v>1777</v>
      </c>
      <c r="B1788" s="91" t="s">
        <v>5961</v>
      </c>
      <c r="C1788" s="91" t="s">
        <v>5962</v>
      </c>
      <c r="D1788" s="91" t="s">
        <v>5963</v>
      </c>
      <c r="E1788" s="91">
        <v>2025</v>
      </c>
      <c r="F1788" s="91" t="s">
        <v>19</v>
      </c>
      <c r="G1788" s="91" t="s">
        <v>6071</v>
      </c>
      <c r="H1788" s="91" t="s">
        <v>6117</v>
      </c>
      <c r="I1788" s="91" t="s">
        <v>1046</v>
      </c>
      <c r="J1788" s="91">
        <v>6199</v>
      </c>
      <c r="K1788" s="91">
        <f>1346+6278+4484+4484+2332+2332+2332+2332+2332+2332+6995+6995+2332+6995</f>
        <v>53901</v>
      </c>
      <c r="L1788" s="91">
        <v>0</v>
      </c>
      <c r="M1788" s="91">
        <v>0</v>
      </c>
      <c r="N1788" s="91">
        <v>3148</v>
      </c>
      <c r="O1788" s="91">
        <v>0</v>
      </c>
      <c r="P1788" s="91">
        <v>0</v>
      </c>
      <c r="Q1788" s="97">
        <f t="shared" si="54"/>
        <v>63248</v>
      </c>
      <c r="R1788" s="95">
        <f t="shared" si="55"/>
        <v>53760.800000000003</v>
      </c>
    </row>
    <row r="1789" spans="1:18" ht="34.049999999999997" customHeight="1" x14ac:dyDescent="0.3">
      <c r="A1789" s="96">
        <v>1778</v>
      </c>
      <c r="B1789" s="91" t="s">
        <v>5961</v>
      </c>
      <c r="C1789" s="91" t="s">
        <v>5964</v>
      </c>
      <c r="D1789" s="91" t="s">
        <v>5012</v>
      </c>
      <c r="E1789" s="91">
        <v>2025</v>
      </c>
      <c r="F1789" s="91" t="s">
        <v>19</v>
      </c>
      <c r="G1789" s="91" t="s">
        <v>5079</v>
      </c>
      <c r="H1789" s="91" t="s">
        <v>5118</v>
      </c>
      <c r="I1789" s="91" t="s">
        <v>1483</v>
      </c>
      <c r="J1789" s="91">
        <v>3793</v>
      </c>
      <c r="K1789" s="91">
        <f>1346+6278+4484+4484+2332+2332+2332+2332+2332+2332+6995+6995+2332+6995</f>
        <v>53901</v>
      </c>
      <c r="L1789" s="91">
        <v>13298</v>
      </c>
      <c r="M1789" s="91">
        <v>0</v>
      </c>
      <c r="N1789" s="91">
        <v>3148</v>
      </c>
      <c r="O1789" s="91">
        <v>0</v>
      </c>
      <c r="P1789" s="91">
        <v>0</v>
      </c>
      <c r="Q1789" s="104">
        <f t="shared" si="54"/>
        <v>74140</v>
      </c>
      <c r="R1789" s="95">
        <f t="shared" si="55"/>
        <v>63019</v>
      </c>
    </row>
    <row r="1790" spans="1:18" ht="34.049999999999997" customHeight="1" x14ac:dyDescent="0.3">
      <c r="A1790" s="90">
        <v>1779</v>
      </c>
      <c r="B1790" s="91" t="s">
        <v>5961</v>
      </c>
      <c r="C1790" s="91" t="s">
        <v>5965</v>
      </c>
      <c r="D1790" s="91" t="s">
        <v>5966</v>
      </c>
      <c r="E1790" s="91">
        <v>2020</v>
      </c>
      <c r="F1790" s="91" t="s">
        <v>18</v>
      </c>
      <c r="G1790" s="91" t="s">
        <v>6072</v>
      </c>
      <c r="H1790" s="91" t="s">
        <v>6118</v>
      </c>
      <c r="I1790" s="91" t="s">
        <v>2137</v>
      </c>
      <c r="J1790" s="91">
        <v>6199</v>
      </c>
      <c r="K1790" s="91">
        <v>0</v>
      </c>
      <c r="L1790" s="91">
        <v>0</v>
      </c>
      <c r="M1790" s="91">
        <v>0</v>
      </c>
      <c r="N1790" s="91">
        <v>0</v>
      </c>
      <c r="O1790" s="91">
        <v>0</v>
      </c>
      <c r="P1790" s="91">
        <v>0</v>
      </c>
      <c r="Q1790" s="104">
        <f t="shared" si="54"/>
        <v>6199</v>
      </c>
      <c r="R1790" s="95">
        <f t="shared" si="55"/>
        <v>5269.15</v>
      </c>
    </row>
    <row r="1791" spans="1:18" ht="34.049999999999997" customHeight="1" x14ac:dyDescent="0.3">
      <c r="A1791" s="90">
        <v>1780</v>
      </c>
      <c r="B1791" s="91" t="s">
        <v>5961</v>
      </c>
      <c r="C1791" s="91" t="s">
        <v>5967</v>
      </c>
      <c r="D1791" s="91" t="s">
        <v>2253</v>
      </c>
      <c r="E1791" s="91">
        <v>2022</v>
      </c>
      <c r="F1791" s="91" t="s">
        <v>18</v>
      </c>
      <c r="G1791" s="91" t="s">
        <v>2365</v>
      </c>
      <c r="H1791" s="91" t="s">
        <v>2420</v>
      </c>
      <c r="I1791" s="91" t="s">
        <v>34</v>
      </c>
      <c r="J1791" s="91">
        <v>0</v>
      </c>
      <c r="K1791" s="91">
        <v>0</v>
      </c>
      <c r="L1791" s="91">
        <v>0</v>
      </c>
      <c r="M1791" s="91">
        <v>0</v>
      </c>
      <c r="N1791" s="91">
        <v>29964</v>
      </c>
      <c r="O1791" s="91">
        <v>0</v>
      </c>
      <c r="P1791" s="91">
        <v>0</v>
      </c>
      <c r="Q1791" s="104">
        <f t="shared" si="54"/>
        <v>29964</v>
      </c>
      <c r="R1791" s="95">
        <f t="shared" si="55"/>
        <v>25469.4</v>
      </c>
    </row>
    <row r="1792" spans="1:18" ht="34.049999999999997" customHeight="1" x14ac:dyDescent="0.3">
      <c r="A1792" s="96">
        <v>1781</v>
      </c>
      <c r="B1792" s="91" t="s">
        <v>5961</v>
      </c>
      <c r="C1792" s="91" t="s">
        <v>5968</v>
      </c>
      <c r="D1792" s="91" t="s">
        <v>5969</v>
      </c>
      <c r="E1792" s="91">
        <v>2022</v>
      </c>
      <c r="F1792" s="91" t="s">
        <v>19</v>
      </c>
      <c r="G1792" s="91" t="s">
        <v>6073</v>
      </c>
      <c r="H1792" s="91" t="s">
        <v>6119</v>
      </c>
      <c r="I1792" s="91" t="s">
        <v>6144</v>
      </c>
      <c r="J1792" s="91">
        <v>6199</v>
      </c>
      <c r="K1792" s="91">
        <f>6278+4484+2332+4484+2332+2332+2332+2332+2332+1346+6995+6995+2332+6995</f>
        <v>53901</v>
      </c>
      <c r="L1792" s="91">
        <v>0</v>
      </c>
      <c r="M1792" s="91">
        <v>0</v>
      </c>
      <c r="N1792" s="91">
        <v>3148</v>
      </c>
      <c r="O1792" s="91">
        <v>0</v>
      </c>
      <c r="P1792" s="91">
        <v>0</v>
      </c>
      <c r="Q1792" s="104">
        <f t="shared" si="54"/>
        <v>63248</v>
      </c>
      <c r="R1792" s="95">
        <f t="shared" si="55"/>
        <v>53760.800000000003</v>
      </c>
    </row>
    <row r="1793" spans="1:18" ht="34.049999999999997" customHeight="1" x14ac:dyDescent="0.3">
      <c r="A1793" s="90">
        <v>1782</v>
      </c>
      <c r="B1793" s="91" t="s">
        <v>5961</v>
      </c>
      <c r="C1793" s="91" t="s">
        <v>5970</v>
      </c>
      <c r="D1793" s="91" t="s">
        <v>5971</v>
      </c>
      <c r="E1793" s="91">
        <v>2012</v>
      </c>
      <c r="F1793" s="91" t="s">
        <v>19</v>
      </c>
      <c r="G1793" s="91" t="s">
        <v>6074</v>
      </c>
      <c r="H1793" s="91" t="s">
        <v>6120</v>
      </c>
      <c r="I1793" s="91" t="s">
        <v>552</v>
      </c>
      <c r="J1793" s="91">
        <v>3582</v>
      </c>
      <c r="K1793" s="91">
        <v>0</v>
      </c>
      <c r="L1793" s="91">
        <v>0</v>
      </c>
      <c r="M1793" s="91">
        <v>0</v>
      </c>
      <c r="N1793" s="91">
        <f>34016+29964</f>
        <v>63980</v>
      </c>
      <c r="O1793" s="91">
        <v>0</v>
      </c>
      <c r="P1793" s="91">
        <v>0</v>
      </c>
      <c r="Q1793" s="104">
        <f t="shared" si="54"/>
        <v>67562</v>
      </c>
      <c r="R1793" s="95">
        <f t="shared" si="55"/>
        <v>57427.7</v>
      </c>
    </row>
    <row r="1794" spans="1:18" ht="34.049999999999997" customHeight="1" x14ac:dyDescent="0.3">
      <c r="A1794" s="90">
        <v>1783</v>
      </c>
      <c r="B1794" s="91" t="s">
        <v>5961</v>
      </c>
      <c r="C1794" s="91" t="s">
        <v>5972</v>
      </c>
      <c r="D1794" s="91" t="s">
        <v>2483</v>
      </c>
      <c r="E1794" s="91">
        <v>2022</v>
      </c>
      <c r="F1794" s="91" t="s">
        <v>19</v>
      </c>
      <c r="G1794" s="91" t="s">
        <v>2552</v>
      </c>
      <c r="H1794" s="91" t="s">
        <v>1875</v>
      </c>
      <c r="I1794" s="91" t="s">
        <v>1267</v>
      </c>
      <c r="J1794" s="91">
        <v>6199</v>
      </c>
      <c r="K1794" s="91">
        <f>1346+6278+4484+4484+2332+2332+2332+2332+2332+2332+6995+6995+2332+6995+1166</f>
        <v>55067</v>
      </c>
      <c r="L1794" s="91">
        <v>0</v>
      </c>
      <c r="M1794" s="91">
        <v>0</v>
      </c>
      <c r="N1794" s="91">
        <v>3148</v>
      </c>
      <c r="O1794" s="91">
        <v>0</v>
      </c>
      <c r="P1794" s="91">
        <v>0</v>
      </c>
      <c r="Q1794" s="104">
        <f t="shared" si="54"/>
        <v>64414</v>
      </c>
      <c r="R1794" s="95">
        <f t="shared" si="55"/>
        <v>54751.9</v>
      </c>
    </row>
    <row r="1795" spans="1:18" ht="34.049999999999997" customHeight="1" x14ac:dyDescent="0.3">
      <c r="A1795" s="96">
        <v>1784</v>
      </c>
      <c r="B1795" s="91" t="s">
        <v>5961</v>
      </c>
      <c r="C1795" s="91" t="s">
        <v>5973</v>
      </c>
      <c r="D1795" s="91" t="s">
        <v>5974</v>
      </c>
      <c r="E1795" s="91">
        <v>1983</v>
      </c>
      <c r="F1795" s="91" t="s">
        <v>18</v>
      </c>
      <c r="G1795" s="91" t="s">
        <v>6075</v>
      </c>
      <c r="H1795" s="91" t="s">
        <v>6075</v>
      </c>
      <c r="I1795" s="91" t="s">
        <v>25</v>
      </c>
      <c r="J1795" s="91">
        <v>6199</v>
      </c>
      <c r="K1795" s="91">
        <f>6278+4484+2332+2332+2332+3228+2332+2332+1166</f>
        <v>26816</v>
      </c>
      <c r="L1795" s="91">
        <v>0</v>
      </c>
      <c r="M1795" s="91">
        <v>0</v>
      </c>
      <c r="N1795" s="91">
        <v>1793</v>
      </c>
      <c r="O1795" s="91">
        <v>0</v>
      </c>
      <c r="P1795" s="91">
        <v>0</v>
      </c>
      <c r="Q1795" s="104">
        <f t="shared" si="54"/>
        <v>34808</v>
      </c>
      <c r="R1795" s="95">
        <f t="shared" si="55"/>
        <v>29586.799999999999</v>
      </c>
    </row>
    <row r="1796" spans="1:18" ht="34.049999999999997" customHeight="1" x14ac:dyDescent="0.3">
      <c r="A1796" s="90">
        <v>1785</v>
      </c>
      <c r="B1796" s="91" t="s">
        <v>5961</v>
      </c>
      <c r="C1796" s="91" t="s">
        <v>5975</v>
      </c>
      <c r="D1796" s="91" t="s">
        <v>5976</v>
      </c>
      <c r="E1796" s="91">
        <v>2024</v>
      </c>
      <c r="F1796" s="91" t="s">
        <v>19</v>
      </c>
      <c r="G1796" s="91" t="s">
        <v>6076</v>
      </c>
      <c r="H1796" s="91" t="s">
        <v>2390</v>
      </c>
      <c r="I1796" s="91" t="s">
        <v>1068</v>
      </c>
      <c r="J1796" s="91">
        <v>6199</v>
      </c>
      <c r="K1796" s="91">
        <f>1346+6278+4484</f>
        <v>12108</v>
      </c>
      <c r="L1796" s="91">
        <v>0</v>
      </c>
      <c r="M1796" s="91">
        <v>0</v>
      </c>
      <c r="N1796" s="91">
        <v>3148</v>
      </c>
      <c r="O1796" s="91">
        <v>0</v>
      </c>
      <c r="P1796" s="91">
        <v>0</v>
      </c>
      <c r="Q1796" s="104">
        <f t="shared" si="54"/>
        <v>21455</v>
      </c>
      <c r="R1796" s="95">
        <f t="shared" si="55"/>
        <v>18236.75</v>
      </c>
    </row>
    <row r="1797" spans="1:18" ht="34.049999999999997" customHeight="1" x14ac:dyDescent="0.3">
      <c r="A1797" s="90">
        <v>1786</v>
      </c>
      <c r="B1797" s="91" t="s">
        <v>5961</v>
      </c>
      <c r="C1797" s="91" t="s">
        <v>5977</v>
      </c>
      <c r="D1797" s="91" t="s">
        <v>5978</v>
      </c>
      <c r="E1797" s="91">
        <v>2024</v>
      </c>
      <c r="F1797" s="91" t="s">
        <v>18</v>
      </c>
      <c r="G1797" s="91" t="s">
        <v>6077</v>
      </c>
      <c r="H1797" s="91" t="s">
        <v>6121</v>
      </c>
      <c r="I1797" s="91" t="s">
        <v>6145</v>
      </c>
      <c r="J1797" s="91">
        <v>6199</v>
      </c>
      <c r="K1797" s="91">
        <v>0</v>
      </c>
      <c r="L1797" s="91">
        <v>13298</v>
      </c>
      <c r="M1797" s="91">
        <v>0</v>
      </c>
      <c r="N1797" s="91">
        <v>0</v>
      </c>
      <c r="O1797" s="91">
        <v>0</v>
      </c>
      <c r="P1797" s="91">
        <v>0</v>
      </c>
      <c r="Q1797" s="104">
        <f t="shared" si="54"/>
        <v>19497</v>
      </c>
      <c r="R1797" s="95">
        <f t="shared" si="55"/>
        <v>16572.45</v>
      </c>
    </row>
    <row r="1798" spans="1:18" ht="34.049999999999997" customHeight="1" x14ac:dyDescent="0.3">
      <c r="A1798" s="96">
        <v>1787</v>
      </c>
      <c r="B1798" s="91" t="s">
        <v>5961</v>
      </c>
      <c r="C1798" s="91" t="s">
        <v>5979</v>
      </c>
      <c r="D1798" s="91" t="s">
        <v>2674</v>
      </c>
      <c r="E1798" s="91">
        <v>2022</v>
      </c>
      <c r="F1798" s="91" t="s">
        <v>19</v>
      </c>
      <c r="G1798" s="91" t="s">
        <v>2766</v>
      </c>
      <c r="H1798" s="91" t="s">
        <v>2813</v>
      </c>
      <c r="I1798" s="91" t="s">
        <v>2848</v>
      </c>
      <c r="J1798" s="91">
        <v>3793</v>
      </c>
      <c r="K1798" s="91">
        <f>6278+4484+1346+4484+2332+2332+2332+2332+2332+2332+1166+6995+6995+2332+6995</f>
        <v>55067</v>
      </c>
      <c r="L1798" s="91">
        <v>0</v>
      </c>
      <c r="M1798" s="91">
        <v>0</v>
      </c>
      <c r="N1798" s="91">
        <v>3148</v>
      </c>
      <c r="O1798" s="91">
        <v>0</v>
      </c>
      <c r="P1798" s="91">
        <v>0</v>
      </c>
      <c r="Q1798" s="104">
        <f t="shared" si="54"/>
        <v>62008</v>
      </c>
      <c r="R1798" s="95">
        <f t="shared" si="55"/>
        <v>52706.8</v>
      </c>
    </row>
    <row r="1799" spans="1:18" ht="34.049999999999997" customHeight="1" x14ac:dyDescent="0.3">
      <c r="A1799" s="90">
        <v>1788</v>
      </c>
      <c r="B1799" s="91" t="s">
        <v>5961</v>
      </c>
      <c r="C1799" s="91" t="s">
        <v>5980</v>
      </c>
      <c r="D1799" s="91" t="s">
        <v>5981</v>
      </c>
      <c r="E1799" s="91">
        <v>2024</v>
      </c>
      <c r="F1799" s="91" t="s">
        <v>18</v>
      </c>
      <c r="G1799" s="91" t="s">
        <v>6078</v>
      </c>
      <c r="H1799" s="91" t="s">
        <v>6122</v>
      </c>
      <c r="I1799" s="91" t="s">
        <v>1695</v>
      </c>
      <c r="J1799" s="91">
        <v>6199</v>
      </c>
      <c r="K1799" s="91">
        <f>6278+4484+1346+4484+2332+2332+2332+2332</f>
        <v>25920</v>
      </c>
      <c r="L1799" s="91">
        <v>13298</v>
      </c>
      <c r="M1799" s="91">
        <v>0</v>
      </c>
      <c r="N1799" s="91">
        <f>3148+24937+2088</f>
        <v>30173</v>
      </c>
      <c r="O1799" s="91">
        <v>0</v>
      </c>
      <c r="P1799" s="91">
        <f>168+56</f>
        <v>224</v>
      </c>
      <c r="Q1799" s="105">
        <f t="shared" si="54"/>
        <v>75814</v>
      </c>
      <c r="R1799" s="95">
        <f t="shared" si="55"/>
        <v>64441.9</v>
      </c>
    </row>
    <row r="1800" spans="1:18" ht="34.049999999999997" customHeight="1" x14ac:dyDescent="0.3">
      <c r="A1800" s="90">
        <v>1789</v>
      </c>
      <c r="B1800" s="91" t="s">
        <v>5961</v>
      </c>
      <c r="C1800" s="91" t="s">
        <v>5980</v>
      </c>
      <c r="D1800" s="91" t="s">
        <v>5981</v>
      </c>
      <c r="E1800" s="91">
        <v>2024</v>
      </c>
      <c r="F1800" s="91" t="s">
        <v>18</v>
      </c>
      <c r="G1800" s="91" t="s">
        <v>6078</v>
      </c>
      <c r="H1800" s="91" t="s">
        <v>6122</v>
      </c>
      <c r="I1800" s="91" t="s">
        <v>1695</v>
      </c>
      <c r="J1800" s="91">
        <v>0</v>
      </c>
      <c r="K1800" s="91">
        <v>0</v>
      </c>
      <c r="L1800" s="91">
        <v>0</v>
      </c>
      <c r="M1800" s="91">
        <v>17688</v>
      </c>
      <c r="N1800" s="91">
        <v>2088</v>
      </c>
      <c r="O1800" s="91">
        <v>0</v>
      </c>
      <c r="P1800" s="91">
        <f>168+56</f>
        <v>224</v>
      </c>
      <c r="Q1800" s="105">
        <f t="shared" si="54"/>
        <v>20000</v>
      </c>
      <c r="R1800" s="95">
        <f t="shared" si="55"/>
        <v>17000</v>
      </c>
    </row>
    <row r="1801" spans="1:18" ht="34.049999999999997" customHeight="1" x14ac:dyDescent="0.3">
      <c r="A1801" s="96">
        <v>1790</v>
      </c>
      <c r="B1801" s="91" t="s">
        <v>5961</v>
      </c>
      <c r="C1801" s="91" t="s">
        <v>5982</v>
      </c>
      <c r="D1801" s="91" t="s">
        <v>5983</v>
      </c>
      <c r="E1801" s="91">
        <v>1997</v>
      </c>
      <c r="F1801" s="91" t="s">
        <v>19</v>
      </c>
      <c r="G1801" s="91" t="s">
        <v>6079</v>
      </c>
      <c r="H1801" s="91" t="s">
        <v>5386</v>
      </c>
      <c r="I1801" s="91" t="s">
        <v>557</v>
      </c>
      <c r="J1801" s="91">
        <v>6199</v>
      </c>
      <c r="K1801" s="91">
        <f>1346+6278+4484+2332+2332+2332</f>
        <v>19104</v>
      </c>
      <c r="L1801" s="91">
        <v>0</v>
      </c>
      <c r="M1801" s="91">
        <v>0</v>
      </c>
      <c r="N1801" s="91">
        <v>1793</v>
      </c>
      <c r="O1801" s="91">
        <v>0</v>
      </c>
      <c r="P1801" s="91">
        <v>0</v>
      </c>
      <c r="Q1801" s="104">
        <f t="shared" si="54"/>
        <v>27096</v>
      </c>
      <c r="R1801" s="95">
        <f t="shared" si="55"/>
        <v>23031.599999999999</v>
      </c>
    </row>
    <row r="1802" spans="1:18" ht="34.049999999999997" customHeight="1" x14ac:dyDescent="0.3">
      <c r="A1802" s="90">
        <v>1791</v>
      </c>
      <c r="B1802" s="91" t="s">
        <v>5961</v>
      </c>
      <c r="C1802" s="91" t="s">
        <v>5984</v>
      </c>
      <c r="D1802" s="91" t="s">
        <v>2299</v>
      </c>
      <c r="E1802" s="91">
        <v>2024</v>
      </c>
      <c r="F1802" s="91" t="s">
        <v>19</v>
      </c>
      <c r="G1802" s="91" t="s">
        <v>2387</v>
      </c>
      <c r="H1802" s="91" t="s">
        <v>1452</v>
      </c>
      <c r="I1802" s="91" t="s">
        <v>282</v>
      </c>
      <c r="J1802" s="91">
        <v>6199</v>
      </c>
      <c r="K1802" s="91">
        <v>0</v>
      </c>
      <c r="L1802" s="91">
        <v>0</v>
      </c>
      <c r="M1802" s="91">
        <v>0</v>
      </c>
      <c r="N1802" s="91">
        <v>0</v>
      </c>
      <c r="O1802" s="91">
        <v>0</v>
      </c>
      <c r="P1802" s="91">
        <v>0</v>
      </c>
      <c r="Q1802" s="104">
        <f t="shared" si="54"/>
        <v>6199</v>
      </c>
      <c r="R1802" s="95">
        <f t="shared" si="55"/>
        <v>5269.15</v>
      </c>
    </row>
    <row r="1803" spans="1:18" ht="34.049999999999997" customHeight="1" x14ac:dyDescent="0.3">
      <c r="A1803" s="90">
        <v>1792</v>
      </c>
      <c r="B1803" s="91" t="s">
        <v>5961</v>
      </c>
      <c r="C1803" s="91" t="s">
        <v>5985</v>
      </c>
      <c r="D1803" s="91" t="s">
        <v>5986</v>
      </c>
      <c r="E1803" s="91">
        <v>1988</v>
      </c>
      <c r="F1803" s="91" t="s">
        <v>19</v>
      </c>
      <c r="G1803" s="91" t="s">
        <v>6080</v>
      </c>
      <c r="H1803" s="91" t="s">
        <v>6123</v>
      </c>
      <c r="I1803" s="91" t="s">
        <v>6146</v>
      </c>
      <c r="J1803" s="91">
        <v>6199</v>
      </c>
      <c r="K1803" s="91">
        <v>0</v>
      </c>
      <c r="L1803" s="91">
        <v>0</v>
      </c>
      <c r="M1803" s="91">
        <v>0</v>
      </c>
      <c r="N1803" s="91">
        <v>0</v>
      </c>
      <c r="O1803" s="91">
        <v>0</v>
      </c>
      <c r="P1803" s="91">
        <v>0</v>
      </c>
      <c r="Q1803" s="104">
        <f t="shared" si="54"/>
        <v>6199</v>
      </c>
      <c r="R1803" s="95">
        <f t="shared" si="55"/>
        <v>5269.15</v>
      </c>
    </row>
    <row r="1804" spans="1:18" ht="34.049999999999997" customHeight="1" x14ac:dyDescent="0.3">
      <c r="A1804" s="96">
        <v>1793</v>
      </c>
      <c r="B1804" s="91" t="s">
        <v>5961</v>
      </c>
      <c r="C1804" s="91" t="s">
        <v>5987</v>
      </c>
      <c r="D1804" s="91" t="s">
        <v>5988</v>
      </c>
      <c r="E1804" s="91">
        <v>1990</v>
      </c>
      <c r="F1804" s="91" t="s">
        <v>19</v>
      </c>
      <c r="G1804" s="91" t="s">
        <v>6081</v>
      </c>
      <c r="H1804" s="91" t="s">
        <v>6081</v>
      </c>
      <c r="I1804" s="91" t="s">
        <v>281</v>
      </c>
      <c r="J1804" s="91">
        <v>6199</v>
      </c>
      <c r="K1804" s="91">
        <f>1346+6278+4484+2801+1166+2332+2332+2332+2332+2332+2332+6995+3000+3000+3228</f>
        <v>46290</v>
      </c>
      <c r="L1804" s="91">
        <v>0</v>
      </c>
      <c r="M1804" s="91">
        <v>0</v>
      </c>
      <c r="N1804" s="91">
        <f>1793+3179+1178+1681</f>
        <v>7831</v>
      </c>
      <c r="O1804" s="91">
        <v>0</v>
      </c>
      <c r="P1804" s="91">
        <f>312+396+56+720+660</f>
        <v>2144</v>
      </c>
      <c r="Q1804" s="104">
        <f t="shared" ref="Q1804:Q1867" si="56">SUM(J1804:P1804)</f>
        <v>62464</v>
      </c>
      <c r="R1804" s="95">
        <f t="shared" si="55"/>
        <v>53094.400000000001</v>
      </c>
    </row>
    <row r="1805" spans="1:18" ht="34.049999999999997" customHeight="1" x14ac:dyDescent="0.3">
      <c r="A1805" s="90">
        <v>1794</v>
      </c>
      <c r="B1805" s="91" t="s">
        <v>5961</v>
      </c>
      <c r="C1805" s="91" t="s">
        <v>5989</v>
      </c>
      <c r="D1805" s="91" t="s">
        <v>5990</v>
      </c>
      <c r="E1805" s="91">
        <v>2011</v>
      </c>
      <c r="F1805" s="91" t="s">
        <v>19</v>
      </c>
      <c r="G1805" s="91" t="s">
        <v>6082</v>
      </c>
      <c r="H1805" s="91" t="s">
        <v>6124</v>
      </c>
      <c r="I1805" s="91" t="s">
        <v>6147</v>
      </c>
      <c r="J1805" s="91">
        <v>6199</v>
      </c>
      <c r="K1805" s="91">
        <f>6278+4484+1346+4484+2332+2332+2332+2332+2332+2332+2332+1166+2801+3000+3000</f>
        <v>42883</v>
      </c>
      <c r="L1805" s="91">
        <v>0</v>
      </c>
      <c r="M1805" s="91">
        <v>0</v>
      </c>
      <c r="N1805" s="91">
        <f>3148+4053+1178+2088</f>
        <v>10467</v>
      </c>
      <c r="O1805" s="91">
        <v>0</v>
      </c>
      <c r="P1805" s="91">
        <f>720+360+312+56</f>
        <v>1448</v>
      </c>
      <c r="Q1805" s="104">
        <f t="shared" si="56"/>
        <v>60997</v>
      </c>
      <c r="R1805" s="95">
        <f t="shared" ref="R1805:R1868" si="57">Q1805*85/100</f>
        <v>51847.45</v>
      </c>
    </row>
    <row r="1806" spans="1:18" ht="34.049999999999997" customHeight="1" x14ac:dyDescent="0.3">
      <c r="A1806" s="90">
        <v>1795</v>
      </c>
      <c r="B1806" s="91" t="s">
        <v>5961</v>
      </c>
      <c r="C1806" s="91" t="s">
        <v>5991</v>
      </c>
      <c r="D1806" s="91" t="s">
        <v>5992</v>
      </c>
      <c r="E1806" s="91">
        <v>1987</v>
      </c>
      <c r="F1806" s="91" t="s">
        <v>18</v>
      </c>
      <c r="G1806" s="91" t="s">
        <v>6083</v>
      </c>
      <c r="H1806" s="91" t="s">
        <v>6083</v>
      </c>
      <c r="I1806" s="91" t="s">
        <v>6148</v>
      </c>
      <c r="J1806" s="91">
        <v>6199</v>
      </c>
      <c r="K1806" s="91">
        <f>2332+2332+2243</f>
        <v>6907</v>
      </c>
      <c r="L1806" s="91">
        <v>0</v>
      </c>
      <c r="M1806" s="91">
        <v>0</v>
      </c>
      <c r="N1806" s="91">
        <f>3179+2088</f>
        <v>5267</v>
      </c>
      <c r="O1806" s="91">
        <v>0</v>
      </c>
      <c r="P1806" s="91">
        <f>624+112</f>
        <v>736</v>
      </c>
      <c r="Q1806" s="104">
        <f t="shared" si="56"/>
        <v>19109</v>
      </c>
      <c r="R1806" s="95">
        <f t="shared" si="57"/>
        <v>16242.65</v>
      </c>
    </row>
    <row r="1807" spans="1:18" ht="34.049999999999997" customHeight="1" x14ac:dyDescent="0.3">
      <c r="A1807" s="96">
        <v>1796</v>
      </c>
      <c r="B1807" s="91" t="s">
        <v>5961</v>
      </c>
      <c r="C1807" s="91" t="s">
        <v>5993</v>
      </c>
      <c r="D1807" s="91" t="s">
        <v>5994</v>
      </c>
      <c r="E1807" s="91">
        <v>1986</v>
      </c>
      <c r="F1807" s="91" t="s">
        <v>18</v>
      </c>
      <c r="G1807" s="91" t="s">
        <v>5693</v>
      </c>
      <c r="H1807" s="91" t="s">
        <v>5693</v>
      </c>
      <c r="I1807" s="91" t="s">
        <v>5737</v>
      </c>
      <c r="J1807" s="91">
        <v>6199</v>
      </c>
      <c r="K1807" s="91">
        <f>1346+6278+4484</f>
        <v>12108</v>
      </c>
      <c r="L1807" s="91">
        <v>0</v>
      </c>
      <c r="M1807" s="91">
        <v>0</v>
      </c>
      <c r="N1807" s="91">
        <v>1793</v>
      </c>
      <c r="O1807" s="91">
        <v>0</v>
      </c>
      <c r="P1807" s="91">
        <v>0</v>
      </c>
      <c r="Q1807" s="104">
        <f t="shared" si="56"/>
        <v>20100</v>
      </c>
      <c r="R1807" s="95">
        <f t="shared" si="57"/>
        <v>17085</v>
      </c>
    </row>
    <row r="1808" spans="1:18" ht="34.049999999999997" customHeight="1" x14ac:dyDescent="0.3">
      <c r="A1808" s="90">
        <v>1797</v>
      </c>
      <c r="B1808" s="91" t="s">
        <v>5961</v>
      </c>
      <c r="C1808" s="91" t="s">
        <v>5995</v>
      </c>
      <c r="D1808" s="91" t="s">
        <v>96</v>
      </c>
      <c r="E1808" s="91">
        <v>2019</v>
      </c>
      <c r="F1808" s="91" t="s">
        <v>18</v>
      </c>
      <c r="G1808" s="91" t="s">
        <v>177</v>
      </c>
      <c r="H1808" s="91" t="s">
        <v>228</v>
      </c>
      <c r="I1808" s="91" t="s">
        <v>274</v>
      </c>
      <c r="J1808" s="91">
        <v>6199</v>
      </c>
      <c r="K1808" s="91">
        <v>0</v>
      </c>
      <c r="L1808" s="91">
        <v>0</v>
      </c>
      <c r="M1808" s="91">
        <v>0</v>
      </c>
      <c r="N1808" s="91">
        <v>0</v>
      </c>
      <c r="O1808" s="91">
        <v>0</v>
      </c>
      <c r="P1808" s="91">
        <v>0</v>
      </c>
      <c r="Q1808" s="104">
        <f t="shared" si="56"/>
        <v>6199</v>
      </c>
      <c r="R1808" s="95">
        <f t="shared" si="57"/>
        <v>5269.15</v>
      </c>
    </row>
    <row r="1809" spans="1:18" ht="34.049999999999997" customHeight="1" x14ac:dyDescent="0.3">
      <c r="A1809" s="90">
        <v>1798</v>
      </c>
      <c r="B1809" s="91" t="s">
        <v>5961</v>
      </c>
      <c r="C1809" s="91" t="s">
        <v>5996</v>
      </c>
      <c r="D1809" s="91" t="s">
        <v>5186</v>
      </c>
      <c r="E1809" s="91">
        <v>2023</v>
      </c>
      <c r="F1809" s="91" t="s">
        <v>19</v>
      </c>
      <c r="G1809" s="91" t="s">
        <v>5305</v>
      </c>
      <c r="H1809" s="91" t="s">
        <v>5360</v>
      </c>
      <c r="I1809" s="91" t="s">
        <v>5394</v>
      </c>
      <c r="J1809" s="91">
        <v>3793</v>
      </c>
      <c r="K1809" s="91">
        <v>0</v>
      </c>
      <c r="L1809" s="91">
        <v>0</v>
      </c>
      <c r="M1809" s="91">
        <v>0</v>
      </c>
      <c r="N1809" s="91">
        <v>0</v>
      </c>
      <c r="O1809" s="91">
        <v>0</v>
      </c>
      <c r="P1809" s="91">
        <v>0</v>
      </c>
      <c r="Q1809" s="104">
        <f t="shared" si="56"/>
        <v>3793</v>
      </c>
      <c r="R1809" s="95">
        <f t="shared" si="57"/>
        <v>3224.05</v>
      </c>
    </row>
    <row r="1810" spans="1:18" ht="34.049999999999997" customHeight="1" x14ac:dyDescent="0.3">
      <c r="A1810" s="96">
        <v>1799</v>
      </c>
      <c r="B1810" s="91" t="s">
        <v>5961</v>
      </c>
      <c r="C1810" s="91" t="s">
        <v>5997</v>
      </c>
      <c r="D1810" s="91" t="s">
        <v>5998</v>
      </c>
      <c r="E1810" s="91">
        <v>1993</v>
      </c>
      <c r="F1810" s="91" t="s">
        <v>19</v>
      </c>
      <c r="G1810" s="91" t="s">
        <v>6084</v>
      </c>
      <c r="H1810" s="91" t="s">
        <v>6125</v>
      </c>
      <c r="I1810" s="91" t="s">
        <v>6149</v>
      </c>
      <c r="J1810" s="91">
        <v>6199</v>
      </c>
      <c r="K1810" s="91">
        <v>0</v>
      </c>
      <c r="L1810" s="91">
        <v>0</v>
      </c>
      <c r="M1810" s="91">
        <v>0</v>
      </c>
      <c r="N1810" s="91">
        <v>0</v>
      </c>
      <c r="O1810" s="91">
        <v>0</v>
      </c>
      <c r="P1810" s="91">
        <v>0</v>
      </c>
      <c r="Q1810" s="104">
        <f t="shared" si="56"/>
        <v>6199</v>
      </c>
      <c r="R1810" s="95">
        <f t="shared" si="57"/>
        <v>5269.15</v>
      </c>
    </row>
    <row r="1811" spans="1:18" ht="34.049999999999997" customHeight="1" x14ac:dyDescent="0.3">
      <c r="A1811" s="90">
        <v>1800</v>
      </c>
      <c r="B1811" s="91" t="s">
        <v>5961</v>
      </c>
      <c r="C1811" s="91" t="s">
        <v>5999</v>
      </c>
      <c r="D1811" s="91" t="s">
        <v>4256</v>
      </c>
      <c r="E1811" s="91">
        <v>1991</v>
      </c>
      <c r="F1811" s="91" t="s">
        <v>18</v>
      </c>
      <c r="G1811" s="91" t="s">
        <v>4345</v>
      </c>
      <c r="H1811" s="91" t="s">
        <v>4345</v>
      </c>
      <c r="I1811" s="91" t="s">
        <v>2122</v>
      </c>
      <c r="J1811" s="91">
        <v>3793</v>
      </c>
      <c r="K1811" s="91">
        <v>0</v>
      </c>
      <c r="L1811" s="91">
        <v>0</v>
      </c>
      <c r="M1811" s="91">
        <v>0</v>
      </c>
      <c r="N1811" s="91">
        <v>22781</v>
      </c>
      <c r="O1811" s="91">
        <v>0</v>
      </c>
      <c r="P1811" s="91">
        <v>0</v>
      </c>
      <c r="Q1811" s="104">
        <f t="shared" si="56"/>
        <v>26574</v>
      </c>
      <c r="R1811" s="95">
        <f t="shared" si="57"/>
        <v>22587.9</v>
      </c>
    </row>
    <row r="1812" spans="1:18" ht="34.049999999999997" customHeight="1" x14ac:dyDescent="0.3">
      <c r="A1812" s="90">
        <v>1801</v>
      </c>
      <c r="B1812" s="91" t="s">
        <v>5961</v>
      </c>
      <c r="C1812" s="91" t="s">
        <v>6000</v>
      </c>
      <c r="D1812" s="91" t="s">
        <v>6001</v>
      </c>
      <c r="E1812" s="91">
        <v>2020</v>
      </c>
      <c r="F1812" s="91" t="s">
        <v>19</v>
      </c>
      <c r="G1812" s="91" t="s">
        <v>6085</v>
      </c>
      <c r="H1812" s="91" t="s">
        <v>6126</v>
      </c>
      <c r="I1812" s="91" t="s">
        <v>6150</v>
      </c>
      <c r="J1812" s="91">
        <v>6199</v>
      </c>
      <c r="K1812" s="91">
        <f>6278+4484+1346</f>
        <v>12108</v>
      </c>
      <c r="L1812" s="91">
        <v>0</v>
      </c>
      <c r="M1812" s="91">
        <v>0</v>
      </c>
      <c r="N1812" s="91">
        <v>3148</v>
      </c>
      <c r="O1812" s="91">
        <v>0</v>
      </c>
      <c r="P1812" s="91">
        <v>0</v>
      </c>
      <c r="Q1812" s="104">
        <f t="shared" si="56"/>
        <v>21455</v>
      </c>
      <c r="R1812" s="95">
        <f t="shared" si="57"/>
        <v>18236.75</v>
      </c>
    </row>
    <row r="1813" spans="1:18" ht="34.049999999999997" customHeight="1" x14ac:dyDescent="0.3">
      <c r="A1813" s="96">
        <v>1802</v>
      </c>
      <c r="B1813" s="91" t="s">
        <v>5961</v>
      </c>
      <c r="C1813" s="91" t="s">
        <v>6002</v>
      </c>
      <c r="D1813" s="91" t="s">
        <v>6003</v>
      </c>
      <c r="E1813" s="91">
        <v>2019</v>
      </c>
      <c r="F1813" s="91" t="s">
        <v>19</v>
      </c>
      <c r="G1813" s="91" t="s">
        <v>6086</v>
      </c>
      <c r="H1813" s="91" t="s">
        <v>6127</v>
      </c>
      <c r="I1813" s="91" t="s">
        <v>6151</v>
      </c>
      <c r="J1813" s="91">
        <v>6199</v>
      </c>
      <c r="K1813" s="91">
        <f>1346+6278+4484+6995+2332+2332+2332+1166</f>
        <v>27265</v>
      </c>
      <c r="L1813" s="91">
        <v>17620</v>
      </c>
      <c r="M1813" s="91">
        <v>0</v>
      </c>
      <c r="N1813" s="91">
        <v>3148</v>
      </c>
      <c r="O1813" s="91">
        <v>0</v>
      </c>
      <c r="P1813" s="91">
        <v>0</v>
      </c>
      <c r="Q1813" s="104">
        <f t="shared" si="56"/>
        <v>54232</v>
      </c>
      <c r="R1813" s="95">
        <f t="shared" si="57"/>
        <v>46097.2</v>
      </c>
    </row>
    <row r="1814" spans="1:18" ht="34.049999999999997" customHeight="1" x14ac:dyDescent="0.3">
      <c r="A1814" s="90">
        <v>1803</v>
      </c>
      <c r="B1814" s="91" t="s">
        <v>5961</v>
      </c>
      <c r="C1814" s="91" t="s">
        <v>6004</v>
      </c>
      <c r="D1814" s="91" t="s">
        <v>6005</v>
      </c>
      <c r="E1814" s="91">
        <v>1999</v>
      </c>
      <c r="F1814" s="91" t="s">
        <v>18</v>
      </c>
      <c r="G1814" s="91" t="s">
        <v>6087</v>
      </c>
      <c r="H1814" s="91" t="s">
        <v>6087</v>
      </c>
      <c r="I1814" s="91" t="s">
        <v>6152</v>
      </c>
      <c r="J1814" s="91">
        <v>6199</v>
      </c>
      <c r="K1814" s="91">
        <f>1166+2801</f>
        <v>3967</v>
      </c>
      <c r="L1814" s="91">
        <v>0</v>
      </c>
      <c r="M1814" s="91">
        <v>0</v>
      </c>
      <c r="N1814" s="91">
        <v>0</v>
      </c>
      <c r="O1814" s="91">
        <v>0</v>
      </c>
      <c r="P1814" s="91">
        <v>0</v>
      </c>
      <c r="Q1814" s="104">
        <f t="shared" si="56"/>
        <v>10166</v>
      </c>
      <c r="R1814" s="95">
        <f t="shared" si="57"/>
        <v>8641.1</v>
      </c>
    </row>
    <row r="1815" spans="1:18" ht="34.049999999999997" customHeight="1" x14ac:dyDescent="0.3">
      <c r="A1815" s="90">
        <v>1804</v>
      </c>
      <c r="B1815" s="91" t="s">
        <v>5961</v>
      </c>
      <c r="C1815" s="91" t="s">
        <v>6006</v>
      </c>
      <c r="D1815" s="91" t="s">
        <v>6007</v>
      </c>
      <c r="E1815" s="91">
        <v>1998</v>
      </c>
      <c r="F1815" s="91" t="s">
        <v>18</v>
      </c>
      <c r="G1815" s="91" t="s">
        <v>6088</v>
      </c>
      <c r="H1815" s="91" t="s">
        <v>6088</v>
      </c>
      <c r="I1815" s="91" t="s">
        <v>6153</v>
      </c>
      <c r="J1815" s="91">
        <v>6199</v>
      </c>
      <c r="K1815" s="91">
        <f>6278+4484+1346+2332+2332+2332+2332+2332+4484+3000+3000+2332+2332+1166+2801+6995</f>
        <v>49878</v>
      </c>
      <c r="L1815" s="91">
        <v>0</v>
      </c>
      <c r="M1815" s="91">
        <v>0</v>
      </c>
      <c r="N1815" s="91">
        <v>1793</v>
      </c>
      <c r="O1815" s="91">
        <v>0</v>
      </c>
      <c r="P1815" s="91">
        <v>0</v>
      </c>
      <c r="Q1815" s="104">
        <f t="shared" si="56"/>
        <v>57870</v>
      </c>
      <c r="R1815" s="95">
        <f t="shared" si="57"/>
        <v>49189.5</v>
      </c>
    </row>
    <row r="1816" spans="1:18" ht="34.049999999999997" customHeight="1" x14ac:dyDescent="0.3">
      <c r="A1816" s="96">
        <v>1805</v>
      </c>
      <c r="B1816" s="91" t="s">
        <v>5961</v>
      </c>
      <c r="C1816" s="91" t="s">
        <v>6008</v>
      </c>
      <c r="D1816" s="91" t="s">
        <v>6009</v>
      </c>
      <c r="E1816" s="91">
        <v>2019</v>
      </c>
      <c r="F1816" s="91" t="s">
        <v>18</v>
      </c>
      <c r="G1816" s="91" t="s">
        <v>6089</v>
      </c>
      <c r="H1816" s="91" t="s">
        <v>6128</v>
      </c>
      <c r="I1816" s="91" t="s">
        <v>1069</v>
      </c>
      <c r="J1816" s="91">
        <v>3582</v>
      </c>
      <c r="K1816" s="91">
        <v>0</v>
      </c>
      <c r="L1816" s="91">
        <v>0</v>
      </c>
      <c r="M1816" s="91">
        <v>0</v>
      </c>
      <c r="N1816" s="91">
        <f>30886+35836</f>
        <v>66722</v>
      </c>
      <c r="O1816" s="91">
        <v>0</v>
      </c>
      <c r="P1816" s="91">
        <v>0</v>
      </c>
      <c r="Q1816" s="104">
        <f t="shared" si="56"/>
        <v>70304</v>
      </c>
      <c r="R1816" s="95">
        <f t="shared" si="57"/>
        <v>59758.400000000001</v>
      </c>
    </row>
    <row r="1817" spans="1:18" ht="34.049999999999997" customHeight="1" x14ac:dyDescent="0.3">
      <c r="A1817" s="90">
        <v>1806</v>
      </c>
      <c r="B1817" s="91" t="s">
        <v>5961</v>
      </c>
      <c r="C1817" s="91" t="s">
        <v>6010</v>
      </c>
      <c r="D1817" s="91" t="s">
        <v>6011</v>
      </c>
      <c r="E1817" s="91">
        <v>1996</v>
      </c>
      <c r="F1817" s="91" t="s">
        <v>19</v>
      </c>
      <c r="G1817" s="91" t="s">
        <v>6090</v>
      </c>
      <c r="H1817" s="91" t="s">
        <v>6129</v>
      </c>
      <c r="I1817" s="91" t="s">
        <v>6154</v>
      </c>
      <c r="J1817" s="91">
        <v>6199</v>
      </c>
      <c r="K1817" s="91">
        <f>6278+2332+2332+2332+2332+2332+6995+6995+2332+6995</f>
        <v>41255</v>
      </c>
      <c r="L1817" s="91">
        <v>0</v>
      </c>
      <c r="M1817" s="91">
        <v>0</v>
      </c>
      <c r="N1817" s="91">
        <f>3148+3179+1178</f>
        <v>7505</v>
      </c>
      <c r="O1817" s="91">
        <v>0</v>
      </c>
      <c r="P1817" s="91">
        <f>1440+1320+120+720</f>
        <v>3600</v>
      </c>
      <c r="Q1817" s="105">
        <f t="shared" si="56"/>
        <v>58559</v>
      </c>
      <c r="R1817" s="95">
        <f t="shared" si="57"/>
        <v>49775.15</v>
      </c>
    </row>
    <row r="1818" spans="1:18" ht="34.049999999999997" customHeight="1" x14ac:dyDescent="0.3">
      <c r="A1818" s="90">
        <v>1807</v>
      </c>
      <c r="B1818" s="91" t="s">
        <v>5961</v>
      </c>
      <c r="C1818" s="91" t="s">
        <v>6010</v>
      </c>
      <c r="D1818" s="91" t="s">
        <v>6011</v>
      </c>
      <c r="E1818" s="91">
        <v>1996</v>
      </c>
      <c r="F1818" s="91" t="s">
        <v>19</v>
      </c>
      <c r="G1818" s="91" t="s">
        <v>6090</v>
      </c>
      <c r="H1818" s="91" t="s">
        <v>6129</v>
      </c>
      <c r="I1818" s="91" t="s">
        <v>6154</v>
      </c>
      <c r="J1818" s="91">
        <v>0</v>
      </c>
      <c r="K1818" s="91">
        <v>0</v>
      </c>
      <c r="L1818" s="91">
        <v>0</v>
      </c>
      <c r="M1818" s="91">
        <v>17688</v>
      </c>
      <c r="N1818" s="91">
        <v>0</v>
      </c>
      <c r="O1818" s="91">
        <v>0</v>
      </c>
      <c r="P1818" s="91">
        <v>0</v>
      </c>
      <c r="Q1818" s="105">
        <f t="shared" si="56"/>
        <v>17688</v>
      </c>
      <c r="R1818" s="95">
        <f t="shared" si="57"/>
        <v>15034.8</v>
      </c>
    </row>
    <row r="1819" spans="1:18" ht="34.049999999999997" customHeight="1" x14ac:dyDescent="0.3">
      <c r="A1819" s="96">
        <v>1808</v>
      </c>
      <c r="B1819" s="91" t="s">
        <v>5961</v>
      </c>
      <c r="C1819" s="91" t="s">
        <v>6012</v>
      </c>
      <c r="D1819" s="91" t="s">
        <v>6013</v>
      </c>
      <c r="E1819" s="91">
        <v>1983</v>
      </c>
      <c r="F1819" s="91" t="s">
        <v>19</v>
      </c>
      <c r="G1819" s="91" t="s">
        <v>6091</v>
      </c>
      <c r="H1819" s="91" t="s">
        <v>6130</v>
      </c>
      <c r="I1819" s="91" t="s">
        <v>6155</v>
      </c>
      <c r="J1819" s="91">
        <v>6199</v>
      </c>
      <c r="K1819" s="91">
        <v>0</v>
      </c>
      <c r="L1819" s="91">
        <f>13298+13298</f>
        <v>26596</v>
      </c>
      <c r="M1819" s="91">
        <v>0</v>
      </c>
      <c r="N1819" s="91">
        <v>0</v>
      </c>
      <c r="O1819" s="91">
        <v>0</v>
      </c>
      <c r="P1819" s="91">
        <v>0</v>
      </c>
      <c r="Q1819" s="104">
        <f t="shared" si="56"/>
        <v>32795</v>
      </c>
      <c r="R1819" s="95">
        <f t="shared" si="57"/>
        <v>27875.75</v>
      </c>
    </row>
    <row r="1820" spans="1:18" ht="34.049999999999997" customHeight="1" x14ac:dyDescent="0.3">
      <c r="A1820" s="90">
        <v>1809</v>
      </c>
      <c r="B1820" s="91" t="s">
        <v>5961</v>
      </c>
      <c r="C1820" s="91" t="s">
        <v>6014</v>
      </c>
      <c r="D1820" s="91" t="s">
        <v>6015</v>
      </c>
      <c r="E1820" s="91">
        <v>2022</v>
      </c>
      <c r="F1820" s="91" t="s">
        <v>18</v>
      </c>
      <c r="G1820" s="91" t="s">
        <v>6092</v>
      </c>
      <c r="H1820" s="91" t="s">
        <v>6131</v>
      </c>
      <c r="I1820" s="91" t="s">
        <v>6156</v>
      </c>
      <c r="J1820" s="91">
        <v>6199</v>
      </c>
      <c r="K1820" s="91">
        <f>1346+4484+6278+2332+2332+2332+2332+2332+2332+6995+6995+2332+6995+1166+4484</f>
        <v>55067</v>
      </c>
      <c r="L1820" s="91">
        <v>0</v>
      </c>
      <c r="M1820" s="91">
        <v>0</v>
      </c>
      <c r="N1820" s="91">
        <v>3148</v>
      </c>
      <c r="O1820" s="91">
        <v>0</v>
      </c>
      <c r="P1820" s="91">
        <v>0</v>
      </c>
      <c r="Q1820" s="104">
        <f t="shared" si="56"/>
        <v>64414</v>
      </c>
      <c r="R1820" s="95">
        <f t="shared" si="57"/>
        <v>54751.9</v>
      </c>
    </row>
    <row r="1821" spans="1:18" ht="34.049999999999997" customHeight="1" x14ac:dyDescent="0.3">
      <c r="A1821" s="90">
        <v>1810</v>
      </c>
      <c r="B1821" s="91" t="s">
        <v>5961</v>
      </c>
      <c r="C1821" s="91" t="s">
        <v>6016</v>
      </c>
      <c r="D1821" s="91" t="s">
        <v>6017</v>
      </c>
      <c r="E1821" s="91">
        <v>2018</v>
      </c>
      <c r="F1821" s="91" t="s">
        <v>19</v>
      </c>
      <c r="G1821" s="91" t="s">
        <v>6093</v>
      </c>
      <c r="H1821" s="91" t="s">
        <v>6132</v>
      </c>
      <c r="I1821" s="91" t="s">
        <v>6157</v>
      </c>
      <c r="J1821" s="91">
        <v>6199</v>
      </c>
      <c r="K1821" s="91">
        <f>1346+6278+4484+2332+2332+1166+4484</f>
        <v>22422</v>
      </c>
      <c r="L1821" s="91">
        <v>0</v>
      </c>
      <c r="M1821" s="91">
        <v>0</v>
      </c>
      <c r="N1821" s="91">
        <v>3148</v>
      </c>
      <c r="O1821" s="91">
        <v>0</v>
      </c>
      <c r="P1821" s="91">
        <v>0</v>
      </c>
      <c r="Q1821" s="104">
        <f t="shared" si="56"/>
        <v>31769</v>
      </c>
      <c r="R1821" s="95">
        <f t="shared" si="57"/>
        <v>27003.65</v>
      </c>
    </row>
    <row r="1822" spans="1:18" ht="34.049999999999997" customHeight="1" x14ac:dyDescent="0.3">
      <c r="A1822" s="96">
        <v>1811</v>
      </c>
      <c r="B1822" s="91" t="s">
        <v>5961</v>
      </c>
      <c r="C1822" s="91" t="s">
        <v>6018</v>
      </c>
      <c r="D1822" s="91" t="s">
        <v>2699</v>
      </c>
      <c r="E1822" s="91">
        <v>1966</v>
      </c>
      <c r="F1822" s="91" t="s">
        <v>19</v>
      </c>
      <c r="G1822" s="91" t="s">
        <v>2777</v>
      </c>
      <c r="H1822" s="91" t="s">
        <v>2822</v>
      </c>
      <c r="I1822" s="91" t="s">
        <v>1480</v>
      </c>
      <c r="J1822" s="91">
        <v>3793</v>
      </c>
      <c r="K1822" s="91">
        <v>0</v>
      </c>
      <c r="L1822" s="91">
        <v>0</v>
      </c>
      <c r="M1822" s="91">
        <v>0</v>
      </c>
      <c r="N1822" s="91">
        <v>1681</v>
      </c>
      <c r="O1822" s="91">
        <v>0</v>
      </c>
      <c r="P1822" s="91">
        <f>240+56</f>
        <v>296</v>
      </c>
      <c r="Q1822" s="104">
        <f t="shared" si="56"/>
        <v>5770</v>
      </c>
      <c r="R1822" s="95">
        <f t="shared" si="57"/>
        <v>4904.5</v>
      </c>
    </row>
    <row r="1823" spans="1:18" ht="34.049999999999997" customHeight="1" x14ac:dyDescent="0.3">
      <c r="A1823" s="90">
        <v>1812</v>
      </c>
      <c r="B1823" s="91" t="s">
        <v>5961</v>
      </c>
      <c r="C1823" s="91" t="s">
        <v>6019</v>
      </c>
      <c r="D1823" s="91" t="s">
        <v>332</v>
      </c>
      <c r="E1823" s="91">
        <v>2025</v>
      </c>
      <c r="F1823" s="91" t="s">
        <v>18</v>
      </c>
      <c r="G1823" s="91" t="s">
        <v>447</v>
      </c>
      <c r="H1823" s="91" t="s">
        <v>504</v>
      </c>
      <c r="I1823" s="91" t="s">
        <v>544</v>
      </c>
      <c r="J1823" s="91">
        <v>6199</v>
      </c>
      <c r="K1823" s="91">
        <v>0</v>
      </c>
      <c r="L1823" s="91">
        <v>0</v>
      </c>
      <c r="M1823" s="91">
        <v>0</v>
      </c>
      <c r="N1823" s="91">
        <v>0</v>
      </c>
      <c r="O1823" s="91">
        <v>0</v>
      </c>
      <c r="P1823" s="91">
        <v>0</v>
      </c>
      <c r="Q1823" s="104">
        <f t="shared" si="56"/>
        <v>6199</v>
      </c>
      <c r="R1823" s="95">
        <f t="shared" si="57"/>
        <v>5269.15</v>
      </c>
    </row>
    <row r="1824" spans="1:18" ht="34.049999999999997" customHeight="1" x14ac:dyDescent="0.3">
      <c r="A1824" s="90">
        <v>1813</v>
      </c>
      <c r="B1824" s="91" t="s">
        <v>5961</v>
      </c>
      <c r="C1824" s="91" t="s">
        <v>6020</v>
      </c>
      <c r="D1824" s="91" t="s">
        <v>6021</v>
      </c>
      <c r="E1824" s="91">
        <v>1986</v>
      </c>
      <c r="F1824" s="91" t="s">
        <v>18</v>
      </c>
      <c r="G1824" s="91" t="s">
        <v>6094</v>
      </c>
      <c r="H1824" s="91" t="s">
        <v>6094</v>
      </c>
      <c r="I1824" s="91" t="s">
        <v>5956</v>
      </c>
      <c r="J1824" s="91">
        <v>6199</v>
      </c>
      <c r="K1824" s="91">
        <v>0</v>
      </c>
      <c r="L1824" s="91">
        <v>0</v>
      </c>
      <c r="M1824" s="91">
        <v>0</v>
      </c>
      <c r="N1824" s="91">
        <v>0</v>
      </c>
      <c r="O1824" s="91">
        <v>0</v>
      </c>
      <c r="P1824" s="91">
        <v>0</v>
      </c>
      <c r="Q1824" s="104">
        <f t="shared" si="56"/>
        <v>6199</v>
      </c>
      <c r="R1824" s="95">
        <f t="shared" si="57"/>
        <v>5269.15</v>
      </c>
    </row>
    <row r="1825" spans="1:18" ht="34.049999999999997" customHeight="1" x14ac:dyDescent="0.3">
      <c r="A1825" s="96">
        <v>1814</v>
      </c>
      <c r="B1825" s="91" t="s">
        <v>5961</v>
      </c>
      <c r="C1825" s="91" t="s">
        <v>6022</v>
      </c>
      <c r="D1825" s="91" t="s">
        <v>6023</v>
      </c>
      <c r="E1825" s="91">
        <v>2020</v>
      </c>
      <c r="F1825" s="91" t="s">
        <v>19</v>
      </c>
      <c r="G1825" s="91" t="s">
        <v>6095</v>
      </c>
      <c r="H1825" s="91" t="s">
        <v>6133</v>
      </c>
      <c r="I1825" s="91" t="s">
        <v>2622</v>
      </c>
      <c r="J1825" s="91">
        <v>6199</v>
      </c>
      <c r="K1825" s="91">
        <f>6278+4484+1346+1166</f>
        <v>13274</v>
      </c>
      <c r="L1825" s="91">
        <v>0</v>
      </c>
      <c r="M1825" s="91">
        <v>0</v>
      </c>
      <c r="N1825" s="91">
        <v>3148</v>
      </c>
      <c r="O1825" s="91">
        <v>0</v>
      </c>
      <c r="P1825" s="91">
        <v>0</v>
      </c>
      <c r="Q1825" s="104">
        <f t="shared" si="56"/>
        <v>22621</v>
      </c>
      <c r="R1825" s="95">
        <f t="shared" si="57"/>
        <v>19227.849999999999</v>
      </c>
    </row>
    <row r="1826" spans="1:18" ht="34.049999999999997" customHeight="1" x14ac:dyDescent="0.3">
      <c r="A1826" s="90">
        <v>1815</v>
      </c>
      <c r="B1826" s="91" t="s">
        <v>5961</v>
      </c>
      <c r="C1826" s="91" t="s">
        <v>6024</v>
      </c>
      <c r="D1826" s="91" t="s">
        <v>6025</v>
      </c>
      <c r="E1826" s="91">
        <v>1980</v>
      </c>
      <c r="F1826" s="91" t="s">
        <v>18</v>
      </c>
      <c r="G1826" s="91" t="s">
        <v>6096</v>
      </c>
      <c r="H1826" s="91" t="s">
        <v>6096</v>
      </c>
      <c r="I1826" s="91" t="s">
        <v>24</v>
      </c>
      <c r="J1826" s="91">
        <v>6199</v>
      </c>
      <c r="K1826" s="91">
        <v>0</v>
      </c>
      <c r="L1826" s="91">
        <v>13298</v>
      </c>
      <c r="M1826" s="91">
        <v>0</v>
      </c>
      <c r="N1826" s="91">
        <v>0</v>
      </c>
      <c r="O1826" s="91">
        <v>0</v>
      </c>
      <c r="P1826" s="91">
        <v>0</v>
      </c>
      <c r="Q1826" s="104">
        <f t="shared" si="56"/>
        <v>19497</v>
      </c>
      <c r="R1826" s="95">
        <f t="shared" si="57"/>
        <v>16572.45</v>
      </c>
    </row>
    <row r="1827" spans="1:18" ht="34.049999999999997" customHeight="1" x14ac:dyDescent="0.3">
      <c r="A1827" s="90">
        <v>1816</v>
      </c>
      <c r="B1827" s="91" t="s">
        <v>5961</v>
      </c>
      <c r="C1827" s="91" t="s">
        <v>6026</v>
      </c>
      <c r="D1827" s="91" t="s">
        <v>6027</v>
      </c>
      <c r="E1827" s="91">
        <v>1972</v>
      </c>
      <c r="F1827" s="91" t="s">
        <v>19</v>
      </c>
      <c r="G1827" s="91" t="s">
        <v>6097</v>
      </c>
      <c r="H1827" s="91" t="s">
        <v>6097</v>
      </c>
      <c r="I1827" s="91" t="s">
        <v>6158</v>
      </c>
      <c r="J1827" s="91">
        <v>6199</v>
      </c>
      <c r="K1827" s="91">
        <f>1346+6278+4484+2332+2332+2332+4484+4484+2332+3228+6995+2332+2332+2332+3000+3000</f>
        <v>53623</v>
      </c>
      <c r="L1827" s="91">
        <v>0</v>
      </c>
      <c r="M1827" s="91">
        <v>0</v>
      </c>
      <c r="N1827" s="91">
        <v>1793</v>
      </c>
      <c r="O1827" s="91">
        <v>0</v>
      </c>
      <c r="P1827" s="91">
        <v>0</v>
      </c>
      <c r="Q1827" s="104">
        <f t="shared" si="56"/>
        <v>61615</v>
      </c>
      <c r="R1827" s="95">
        <f t="shared" si="57"/>
        <v>52372.75</v>
      </c>
    </row>
    <row r="1828" spans="1:18" ht="34.049999999999997" customHeight="1" x14ac:dyDescent="0.3">
      <c r="A1828" s="96">
        <v>1817</v>
      </c>
      <c r="B1828" s="91" t="s">
        <v>5961</v>
      </c>
      <c r="C1828" s="91" t="s">
        <v>6028</v>
      </c>
      <c r="D1828" s="91" t="s">
        <v>433</v>
      </c>
      <c r="E1828" s="91">
        <v>2021</v>
      </c>
      <c r="F1828" s="91" t="s">
        <v>19</v>
      </c>
      <c r="G1828" s="91" t="s">
        <v>498</v>
      </c>
      <c r="H1828" s="91" t="s">
        <v>533</v>
      </c>
      <c r="I1828" s="91" t="s">
        <v>27</v>
      </c>
      <c r="J1828" s="91">
        <v>3793</v>
      </c>
      <c r="K1828" s="91">
        <f>1346+6278+4484</f>
        <v>12108</v>
      </c>
      <c r="L1828" s="91">
        <v>0</v>
      </c>
      <c r="M1828" s="91">
        <v>0</v>
      </c>
      <c r="N1828" s="91">
        <v>3148</v>
      </c>
      <c r="O1828" s="91">
        <v>0</v>
      </c>
      <c r="P1828" s="91">
        <v>0</v>
      </c>
      <c r="Q1828" s="104">
        <f t="shared" si="56"/>
        <v>19049</v>
      </c>
      <c r="R1828" s="95">
        <f t="shared" si="57"/>
        <v>16191.65</v>
      </c>
    </row>
    <row r="1829" spans="1:18" ht="34.049999999999997" customHeight="1" x14ac:dyDescent="0.3">
      <c r="A1829" s="90">
        <v>1818</v>
      </c>
      <c r="B1829" s="91" t="s">
        <v>5961</v>
      </c>
      <c r="C1829" s="91" t="s">
        <v>6029</v>
      </c>
      <c r="D1829" s="91" t="s">
        <v>6030</v>
      </c>
      <c r="E1829" s="91">
        <v>2020</v>
      </c>
      <c r="F1829" s="91" t="s">
        <v>18</v>
      </c>
      <c r="G1829" s="91" t="s">
        <v>6098</v>
      </c>
      <c r="H1829" s="91" t="s">
        <v>6134</v>
      </c>
      <c r="I1829" s="91" t="s">
        <v>2463</v>
      </c>
      <c r="J1829" s="91">
        <v>6199</v>
      </c>
      <c r="K1829" s="91">
        <v>0</v>
      </c>
      <c r="L1829" s="91">
        <v>0</v>
      </c>
      <c r="M1829" s="91">
        <v>0</v>
      </c>
      <c r="N1829" s="91">
        <v>0</v>
      </c>
      <c r="O1829" s="91">
        <v>0</v>
      </c>
      <c r="P1829" s="91">
        <v>0</v>
      </c>
      <c r="Q1829" s="104">
        <f t="shared" si="56"/>
        <v>6199</v>
      </c>
      <c r="R1829" s="95">
        <f t="shared" si="57"/>
        <v>5269.15</v>
      </c>
    </row>
    <row r="1830" spans="1:18" ht="34.049999999999997" customHeight="1" x14ac:dyDescent="0.3">
      <c r="A1830" s="90">
        <v>1819</v>
      </c>
      <c r="B1830" s="91" t="s">
        <v>5961</v>
      </c>
      <c r="C1830" s="91" t="s">
        <v>6031</v>
      </c>
      <c r="D1830" s="91" t="s">
        <v>6032</v>
      </c>
      <c r="E1830" s="91">
        <v>2019</v>
      </c>
      <c r="F1830" s="91" t="s">
        <v>19</v>
      </c>
      <c r="G1830" s="91" t="s">
        <v>6099</v>
      </c>
      <c r="H1830" s="91" t="s">
        <v>6135</v>
      </c>
      <c r="I1830" s="91" t="s">
        <v>6159</v>
      </c>
      <c r="J1830" s="91">
        <v>6199</v>
      </c>
      <c r="K1830" s="91">
        <v>0</v>
      </c>
      <c r="L1830" s="91">
        <v>0</v>
      </c>
      <c r="M1830" s="91">
        <v>0</v>
      </c>
      <c r="N1830" s="91">
        <v>0</v>
      </c>
      <c r="O1830" s="91">
        <v>0</v>
      </c>
      <c r="P1830" s="91">
        <v>0</v>
      </c>
      <c r="Q1830" s="104">
        <f t="shared" si="56"/>
        <v>6199</v>
      </c>
      <c r="R1830" s="95">
        <f t="shared" si="57"/>
        <v>5269.15</v>
      </c>
    </row>
    <row r="1831" spans="1:18" ht="34.049999999999997" customHeight="1" x14ac:dyDescent="0.3">
      <c r="A1831" s="96">
        <v>1820</v>
      </c>
      <c r="B1831" s="91" t="s">
        <v>5961</v>
      </c>
      <c r="C1831" s="91" t="s">
        <v>6033</v>
      </c>
      <c r="D1831" s="91" t="s">
        <v>6034</v>
      </c>
      <c r="E1831" s="91">
        <v>2015</v>
      </c>
      <c r="F1831" s="91" t="s">
        <v>18</v>
      </c>
      <c r="G1831" s="91" t="s">
        <v>6100</v>
      </c>
      <c r="H1831" s="91" t="s">
        <v>6136</v>
      </c>
      <c r="I1831" s="91" t="s">
        <v>24</v>
      </c>
      <c r="J1831" s="91">
        <v>6199</v>
      </c>
      <c r="K1831" s="91">
        <f>6278+4484+1346</f>
        <v>12108</v>
      </c>
      <c r="L1831" s="91">
        <v>0</v>
      </c>
      <c r="M1831" s="91">
        <v>0</v>
      </c>
      <c r="N1831" s="91">
        <v>3148</v>
      </c>
      <c r="O1831" s="91">
        <v>0</v>
      </c>
      <c r="P1831" s="91">
        <v>0</v>
      </c>
      <c r="Q1831" s="104">
        <f t="shared" si="56"/>
        <v>21455</v>
      </c>
      <c r="R1831" s="95">
        <f t="shared" si="57"/>
        <v>18236.75</v>
      </c>
    </row>
    <row r="1832" spans="1:18" ht="34.049999999999997" customHeight="1" x14ac:dyDescent="0.3">
      <c r="A1832" s="90">
        <v>1821</v>
      </c>
      <c r="B1832" s="91" t="s">
        <v>5961</v>
      </c>
      <c r="C1832" s="91" t="s">
        <v>6035</v>
      </c>
      <c r="D1832" s="91" t="s">
        <v>622</v>
      </c>
      <c r="E1832" s="91">
        <v>2021</v>
      </c>
      <c r="F1832" s="91" t="s">
        <v>18</v>
      </c>
      <c r="G1832" s="91" t="s">
        <v>6101</v>
      </c>
      <c r="H1832" s="91" t="s">
        <v>798</v>
      </c>
      <c r="I1832" s="91" t="s">
        <v>835</v>
      </c>
      <c r="J1832" s="91">
        <v>6199</v>
      </c>
      <c r="K1832" s="91">
        <v>0</v>
      </c>
      <c r="L1832" s="91">
        <v>0</v>
      </c>
      <c r="M1832" s="91">
        <v>0</v>
      </c>
      <c r="N1832" s="91">
        <v>24937</v>
      </c>
      <c r="O1832" s="91">
        <v>0</v>
      </c>
      <c r="P1832" s="91">
        <v>0</v>
      </c>
      <c r="Q1832" s="104">
        <f t="shared" si="56"/>
        <v>31136</v>
      </c>
      <c r="R1832" s="95">
        <f t="shared" si="57"/>
        <v>26465.599999999999</v>
      </c>
    </row>
    <row r="1833" spans="1:18" ht="34.049999999999997" customHeight="1" x14ac:dyDescent="0.3">
      <c r="A1833" s="90">
        <v>1822</v>
      </c>
      <c r="B1833" s="91" t="s">
        <v>5961</v>
      </c>
      <c r="C1833" s="91" t="s">
        <v>6036</v>
      </c>
      <c r="D1833" s="91" t="s">
        <v>6037</v>
      </c>
      <c r="E1833" s="91">
        <v>2022</v>
      </c>
      <c r="F1833" s="91" t="s">
        <v>19</v>
      </c>
      <c r="G1833" s="91" t="s">
        <v>6102</v>
      </c>
      <c r="H1833" s="91" t="s">
        <v>6137</v>
      </c>
      <c r="I1833" s="91" t="s">
        <v>6160</v>
      </c>
      <c r="J1833" s="91">
        <v>6199</v>
      </c>
      <c r="K1833" s="91">
        <f>6278+4484+1346+4484+2332+2332+2332+2332+2332+2332+6995+6995+2332+6995</f>
        <v>53901</v>
      </c>
      <c r="L1833" s="91">
        <v>0</v>
      </c>
      <c r="M1833" s="91">
        <v>0</v>
      </c>
      <c r="N1833" s="91">
        <v>3148</v>
      </c>
      <c r="O1833" s="91">
        <v>0</v>
      </c>
      <c r="P1833" s="91">
        <v>0</v>
      </c>
      <c r="Q1833" s="104">
        <f t="shared" si="56"/>
        <v>63248</v>
      </c>
      <c r="R1833" s="95">
        <f t="shared" si="57"/>
        <v>53760.800000000003</v>
      </c>
    </row>
    <row r="1834" spans="1:18" ht="34.049999999999997" customHeight="1" x14ac:dyDescent="0.3">
      <c r="A1834" s="96">
        <v>1823</v>
      </c>
      <c r="B1834" s="91" t="s">
        <v>5961</v>
      </c>
      <c r="C1834" s="91" t="s">
        <v>6038</v>
      </c>
      <c r="D1834" s="91" t="s">
        <v>6039</v>
      </c>
      <c r="E1834" s="91">
        <v>2022</v>
      </c>
      <c r="F1834" s="91" t="s">
        <v>18</v>
      </c>
      <c r="G1834" s="91" t="s">
        <v>6103</v>
      </c>
      <c r="H1834" s="91" t="s">
        <v>6138</v>
      </c>
      <c r="I1834" s="91" t="s">
        <v>6161</v>
      </c>
      <c r="J1834" s="91">
        <v>6199</v>
      </c>
      <c r="K1834" s="91">
        <v>0</v>
      </c>
      <c r="L1834" s="91">
        <v>0</v>
      </c>
      <c r="M1834" s="91">
        <v>0</v>
      </c>
      <c r="N1834" s="91">
        <v>0</v>
      </c>
      <c r="O1834" s="91">
        <v>0</v>
      </c>
      <c r="P1834" s="91">
        <v>0</v>
      </c>
      <c r="Q1834" s="104">
        <f t="shared" si="56"/>
        <v>6199</v>
      </c>
      <c r="R1834" s="95">
        <f t="shared" si="57"/>
        <v>5269.15</v>
      </c>
    </row>
    <row r="1835" spans="1:18" ht="34.049999999999997" customHeight="1" x14ac:dyDescent="0.3">
      <c r="A1835" s="90">
        <v>1824</v>
      </c>
      <c r="B1835" s="91" t="s">
        <v>5961</v>
      </c>
      <c r="C1835" s="91" t="s">
        <v>6040</v>
      </c>
      <c r="D1835" s="91" t="s">
        <v>6041</v>
      </c>
      <c r="E1835" s="91">
        <v>2023</v>
      </c>
      <c r="F1835" s="91" t="s">
        <v>19</v>
      </c>
      <c r="G1835" s="91" t="s">
        <v>6104</v>
      </c>
      <c r="H1835" s="91" t="s">
        <v>6139</v>
      </c>
      <c r="I1835" s="91" t="s">
        <v>5152</v>
      </c>
      <c r="J1835" s="91">
        <v>6199</v>
      </c>
      <c r="K1835" s="91">
        <v>0</v>
      </c>
      <c r="L1835" s="91">
        <v>0</v>
      </c>
      <c r="M1835" s="91">
        <v>0</v>
      </c>
      <c r="N1835" s="91">
        <v>0</v>
      </c>
      <c r="O1835" s="91">
        <v>0</v>
      </c>
      <c r="P1835" s="91">
        <v>0</v>
      </c>
      <c r="Q1835" s="104">
        <f t="shared" si="56"/>
        <v>6199</v>
      </c>
      <c r="R1835" s="95">
        <f t="shared" si="57"/>
        <v>5269.15</v>
      </c>
    </row>
    <row r="1836" spans="1:18" ht="34.049999999999997" customHeight="1" x14ac:dyDescent="0.3">
      <c r="A1836" s="90">
        <v>1825</v>
      </c>
      <c r="B1836" s="91" t="s">
        <v>5961</v>
      </c>
      <c r="C1836" s="91" t="s">
        <v>6042</v>
      </c>
      <c r="D1836" s="91" t="s">
        <v>6043</v>
      </c>
      <c r="E1836" s="91">
        <v>1990</v>
      </c>
      <c r="F1836" s="91" t="s">
        <v>18</v>
      </c>
      <c r="G1836" s="91" t="s">
        <v>3710</v>
      </c>
      <c r="H1836" s="91" t="s">
        <v>3710</v>
      </c>
      <c r="I1836" s="91" t="s">
        <v>25</v>
      </c>
      <c r="J1836" s="91">
        <v>6199</v>
      </c>
      <c r="K1836" s="91">
        <f>6278+2332+2332+2332+2332+2332</f>
        <v>17938</v>
      </c>
      <c r="L1836" s="91">
        <f>13298+17620</f>
        <v>30918</v>
      </c>
      <c r="M1836" s="91">
        <v>0</v>
      </c>
      <c r="N1836" s="91">
        <v>1793</v>
      </c>
      <c r="O1836" s="91">
        <v>0</v>
      </c>
      <c r="P1836" s="91">
        <v>0</v>
      </c>
      <c r="Q1836" s="104">
        <f t="shared" si="56"/>
        <v>56848</v>
      </c>
      <c r="R1836" s="95">
        <f t="shared" si="57"/>
        <v>48320.800000000003</v>
      </c>
    </row>
    <row r="1837" spans="1:18" ht="34.049999999999997" customHeight="1" x14ac:dyDescent="0.3">
      <c r="A1837" s="96">
        <v>1826</v>
      </c>
      <c r="B1837" s="91" t="s">
        <v>5961</v>
      </c>
      <c r="C1837" s="91" t="s">
        <v>6044</v>
      </c>
      <c r="D1837" s="91" t="s">
        <v>6045</v>
      </c>
      <c r="E1837" s="91">
        <v>2007</v>
      </c>
      <c r="F1837" s="91" t="s">
        <v>19</v>
      </c>
      <c r="G1837" s="91" t="s">
        <v>6105</v>
      </c>
      <c r="H1837" s="91" t="s">
        <v>6140</v>
      </c>
      <c r="I1837" s="91" t="s">
        <v>6162</v>
      </c>
      <c r="J1837" s="91">
        <v>6199</v>
      </c>
      <c r="K1837" s="91">
        <f>2332+2332+2243</f>
        <v>6907</v>
      </c>
      <c r="L1837" s="91">
        <v>0</v>
      </c>
      <c r="M1837" s="91">
        <v>0</v>
      </c>
      <c r="N1837" s="91">
        <v>0</v>
      </c>
      <c r="O1837" s="91">
        <v>0</v>
      </c>
      <c r="P1837" s="91">
        <v>0</v>
      </c>
      <c r="Q1837" s="104">
        <f t="shared" si="56"/>
        <v>13106</v>
      </c>
      <c r="R1837" s="95">
        <f t="shared" si="57"/>
        <v>11140.1</v>
      </c>
    </row>
    <row r="1838" spans="1:18" ht="34.049999999999997" customHeight="1" x14ac:dyDescent="0.3">
      <c r="A1838" s="90">
        <v>1827</v>
      </c>
      <c r="B1838" s="91" t="s">
        <v>5961</v>
      </c>
      <c r="C1838" s="91" t="s">
        <v>6046</v>
      </c>
      <c r="D1838" s="91" t="s">
        <v>426</v>
      </c>
      <c r="E1838" s="91">
        <v>2024</v>
      </c>
      <c r="F1838" s="91" t="s">
        <v>18</v>
      </c>
      <c r="G1838" s="91" t="s">
        <v>492</v>
      </c>
      <c r="H1838" s="91" t="s">
        <v>529</v>
      </c>
      <c r="I1838" s="91" t="s">
        <v>577</v>
      </c>
      <c r="J1838" s="91">
        <v>6199</v>
      </c>
      <c r="K1838" s="91">
        <f>6278+4484</f>
        <v>10762</v>
      </c>
      <c r="L1838" s="91">
        <v>0</v>
      </c>
      <c r="M1838" s="91">
        <v>0</v>
      </c>
      <c r="N1838" s="91">
        <v>3148</v>
      </c>
      <c r="O1838" s="91">
        <v>0</v>
      </c>
      <c r="P1838" s="91">
        <v>0</v>
      </c>
      <c r="Q1838" s="104">
        <f t="shared" si="56"/>
        <v>20109</v>
      </c>
      <c r="R1838" s="95">
        <f t="shared" si="57"/>
        <v>17092.650000000001</v>
      </c>
    </row>
    <row r="1839" spans="1:18" ht="34.049999999999997" customHeight="1" x14ac:dyDescent="0.3">
      <c r="A1839" s="90">
        <v>1828</v>
      </c>
      <c r="B1839" s="91" t="s">
        <v>5961</v>
      </c>
      <c r="C1839" s="91" t="s">
        <v>6047</v>
      </c>
      <c r="D1839" s="91" t="s">
        <v>6048</v>
      </c>
      <c r="E1839" s="91">
        <v>1992</v>
      </c>
      <c r="F1839" s="91" t="s">
        <v>18</v>
      </c>
      <c r="G1839" s="91" t="s">
        <v>5706</v>
      </c>
      <c r="H1839" s="91" t="s">
        <v>5706</v>
      </c>
      <c r="I1839" s="91" t="s">
        <v>6163</v>
      </c>
      <c r="J1839" s="91">
        <v>6199</v>
      </c>
      <c r="K1839" s="91">
        <v>0</v>
      </c>
      <c r="L1839" s="91">
        <v>0</v>
      </c>
      <c r="M1839" s="91">
        <v>0</v>
      </c>
      <c r="N1839" s="91">
        <v>0</v>
      </c>
      <c r="O1839" s="91">
        <v>0</v>
      </c>
      <c r="P1839" s="91">
        <v>0</v>
      </c>
      <c r="Q1839" s="104">
        <f t="shared" si="56"/>
        <v>6199</v>
      </c>
      <c r="R1839" s="95">
        <f t="shared" si="57"/>
        <v>5269.15</v>
      </c>
    </row>
    <row r="1840" spans="1:18" ht="34.049999999999997" customHeight="1" x14ac:dyDescent="0.3">
      <c r="A1840" s="96">
        <v>1829</v>
      </c>
      <c r="B1840" s="91" t="s">
        <v>5961</v>
      </c>
      <c r="C1840" s="91" t="s">
        <v>6049</v>
      </c>
      <c r="D1840" s="91" t="s">
        <v>6050</v>
      </c>
      <c r="E1840" s="91">
        <v>2000</v>
      </c>
      <c r="F1840" s="91" t="s">
        <v>18</v>
      </c>
      <c r="G1840" s="91" t="s">
        <v>6106</v>
      </c>
      <c r="H1840" s="91" t="s">
        <v>6106</v>
      </c>
      <c r="I1840" s="91" t="s">
        <v>2141</v>
      </c>
      <c r="J1840" s="91">
        <v>6199</v>
      </c>
      <c r="K1840" s="91">
        <v>0</v>
      </c>
      <c r="L1840" s="91">
        <v>0</v>
      </c>
      <c r="M1840" s="91">
        <v>0</v>
      </c>
      <c r="N1840" s="91">
        <v>0</v>
      </c>
      <c r="O1840" s="91">
        <v>0</v>
      </c>
      <c r="P1840" s="91">
        <v>0</v>
      </c>
      <c r="Q1840" s="104">
        <f t="shared" si="56"/>
        <v>6199</v>
      </c>
      <c r="R1840" s="95">
        <f t="shared" si="57"/>
        <v>5269.15</v>
      </c>
    </row>
    <row r="1841" spans="1:18" ht="34.049999999999997" customHeight="1" x14ac:dyDescent="0.3">
      <c r="A1841" s="90">
        <v>1830</v>
      </c>
      <c r="B1841" s="91" t="s">
        <v>5961</v>
      </c>
      <c r="C1841" s="91" t="s">
        <v>6051</v>
      </c>
      <c r="D1841" s="91" t="s">
        <v>6052</v>
      </c>
      <c r="E1841" s="91">
        <v>1985</v>
      </c>
      <c r="F1841" s="91" t="s">
        <v>18</v>
      </c>
      <c r="G1841" s="91" t="s">
        <v>6107</v>
      </c>
      <c r="H1841" s="91" t="s">
        <v>6107</v>
      </c>
      <c r="I1841" s="91" t="s">
        <v>540</v>
      </c>
      <c r="J1841" s="91">
        <v>6199</v>
      </c>
      <c r="K1841" s="91">
        <f>2332+2332+2243</f>
        <v>6907</v>
      </c>
      <c r="L1841" s="91">
        <v>0</v>
      </c>
      <c r="M1841" s="91">
        <v>0</v>
      </c>
      <c r="N1841" s="91">
        <v>0</v>
      </c>
      <c r="O1841" s="91">
        <v>0</v>
      </c>
      <c r="P1841" s="91">
        <v>0</v>
      </c>
      <c r="Q1841" s="104">
        <f t="shared" si="56"/>
        <v>13106</v>
      </c>
      <c r="R1841" s="95">
        <f t="shared" si="57"/>
        <v>11140.1</v>
      </c>
    </row>
    <row r="1842" spans="1:18" ht="34.049999999999997" customHeight="1" x14ac:dyDescent="0.3">
      <c r="A1842" s="90">
        <v>1831</v>
      </c>
      <c r="B1842" s="91" t="s">
        <v>5961</v>
      </c>
      <c r="C1842" s="91" t="s">
        <v>6053</v>
      </c>
      <c r="D1842" s="91" t="s">
        <v>6054</v>
      </c>
      <c r="E1842" s="91">
        <v>2015</v>
      </c>
      <c r="F1842" s="91" t="s">
        <v>19</v>
      </c>
      <c r="G1842" s="91" t="s">
        <v>6108</v>
      </c>
      <c r="H1842" s="91" t="s">
        <v>6141</v>
      </c>
      <c r="I1842" s="91" t="s">
        <v>4207</v>
      </c>
      <c r="J1842" s="91">
        <v>6199</v>
      </c>
      <c r="K1842" s="91">
        <v>0</v>
      </c>
      <c r="L1842" s="91">
        <v>0</v>
      </c>
      <c r="M1842" s="91">
        <v>0</v>
      </c>
      <c r="N1842" s="91">
        <v>0</v>
      </c>
      <c r="O1842" s="91">
        <v>0</v>
      </c>
      <c r="P1842" s="91">
        <v>0</v>
      </c>
      <c r="Q1842" s="104">
        <f t="shared" si="56"/>
        <v>6199</v>
      </c>
      <c r="R1842" s="95">
        <f t="shared" si="57"/>
        <v>5269.15</v>
      </c>
    </row>
    <row r="1843" spans="1:18" ht="34.049999999999997" customHeight="1" x14ac:dyDescent="0.3">
      <c r="A1843" s="96">
        <v>1832</v>
      </c>
      <c r="B1843" s="91" t="s">
        <v>5961</v>
      </c>
      <c r="C1843" s="91" t="s">
        <v>6055</v>
      </c>
      <c r="D1843" s="91" t="s">
        <v>6056</v>
      </c>
      <c r="E1843" s="91">
        <v>1987</v>
      </c>
      <c r="F1843" s="91" t="s">
        <v>19</v>
      </c>
      <c r="G1843" s="91" t="s">
        <v>6109</v>
      </c>
      <c r="H1843" s="91" t="s">
        <v>6109</v>
      </c>
      <c r="I1843" s="91" t="s">
        <v>289</v>
      </c>
      <c r="J1843" s="91">
        <v>6199</v>
      </c>
      <c r="K1843" s="91">
        <f>2332+2332+2243+1346+6278+4484</f>
        <v>19015</v>
      </c>
      <c r="L1843" s="91">
        <v>0</v>
      </c>
      <c r="M1843" s="91">
        <v>0</v>
      </c>
      <c r="N1843" s="91">
        <v>1793</v>
      </c>
      <c r="O1843" s="91">
        <v>0</v>
      </c>
      <c r="P1843" s="91">
        <v>0</v>
      </c>
      <c r="Q1843" s="104">
        <f t="shared" si="56"/>
        <v>27007</v>
      </c>
      <c r="R1843" s="95">
        <f t="shared" si="57"/>
        <v>22955.95</v>
      </c>
    </row>
    <row r="1844" spans="1:18" ht="34.049999999999997" customHeight="1" x14ac:dyDescent="0.3">
      <c r="A1844" s="90">
        <v>1833</v>
      </c>
      <c r="B1844" s="91" t="s">
        <v>5961</v>
      </c>
      <c r="C1844" s="91" t="s">
        <v>6057</v>
      </c>
      <c r="D1844" s="91" t="s">
        <v>6058</v>
      </c>
      <c r="E1844" s="91">
        <v>1975</v>
      </c>
      <c r="F1844" s="91" t="s">
        <v>18</v>
      </c>
      <c r="G1844" s="91" t="s">
        <v>6110</v>
      </c>
      <c r="H1844" s="91" t="s">
        <v>6110</v>
      </c>
      <c r="I1844" s="91" t="s">
        <v>6164</v>
      </c>
      <c r="J1844" s="91">
        <v>6199</v>
      </c>
      <c r="K1844" s="91">
        <v>0</v>
      </c>
      <c r="L1844" s="91">
        <v>0</v>
      </c>
      <c r="M1844" s="91">
        <v>0</v>
      </c>
      <c r="N1844" s="91">
        <v>0</v>
      </c>
      <c r="O1844" s="91">
        <v>0</v>
      </c>
      <c r="P1844" s="91">
        <v>0</v>
      </c>
      <c r="Q1844" s="104">
        <f t="shared" si="56"/>
        <v>6199</v>
      </c>
      <c r="R1844" s="95">
        <f t="shared" si="57"/>
        <v>5269.15</v>
      </c>
    </row>
    <row r="1845" spans="1:18" ht="34.049999999999997" customHeight="1" x14ac:dyDescent="0.3">
      <c r="A1845" s="90">
        <v>1834</v>
      </c>
      <c r="B1845" s="91" t="s">
        <v>5961</v>
      </c>
      <c r="C1845" s="91" t="s">
        <v>6059</v>
      </c>
      <c r="D1845" s="91" t="s">
        <v>6060</v>
      </c>
      <c r="E1845" s="91">
        <v>2022</v>
      </c>
      <c r="F1845" s="91" t="s">
        <v>19</v>
      </c>
      <c r="G1845" s="91" t="s">
        <v>6111</v>
      </c>
      <c r="H1845" s="91" t="s">
        <v>6129</v>
      </c>
      <c r="I1845" s="91" t="s">
        <v>6154</v>
      </c>
      <c r="J1845" s="91">
        <v>6199</v>
      </c>
      <c r="K1845" s="91">
        <f>1346+6278+4484+4484</f>
        <v>16592</v>
      </c>
      <c r="L1845" s="91">
        <v>0</v>
      </c>
      <c r="M1845" s="91">
        <v>0</v>
      </c>
      <c r="N1845" s="91">
        <v>3148</v>
      </c>
      <c r="O1845" s="91">
        <v>0</v>
      </c>
      <c r="P1845" s="91">
        <v>0</v>
      </c>
      <c r="Q1845" s="104">
        <f t="shared" si="56"/>
        <v>25939</v>
      </c>
      <c r="R1845" s="95">
        <f t="shared" si="57"/>
        <v>22048.15</v>
      </c>
    </row>
    <row r="1846" spans="1:18" ht="34.049999999999997" customHeight="1" x14ac:dyDescent="0.3">
      <c r="A1846" s="96">
        <v>1835</v>
      </c>
      <c r="B1846" s="91" t="s">
        <v>5961</v>
      </c>
      <c r="C1846" s="91" t="s">
        <v>6061</v>
      </c>
      <c r="D1846" s="91" t="s">
        <v>6062</v>
      </c>
      <c r="E1846" s="91">
        <v>1986</v>
      </c>
      <c r="F1846" s="91" t="s">
        <v>19</v>
      </c>
      <c r="G1846" s="91" t="s">
        <v>6112</v>
      </c>
      <c r="H1846" s="91" t="s">
        <v>6112</v>
      </c>
      <c r="I1846" s="91" t="s">
        <v>1055</v>
      </c>
      <c r="J1846" s="91">
        <v>6199</v>
      </c>
      <c r="K1846" s="91">
        <f>1166+2801</f>
        <v>3967</v>
      </c>
      <c r="L1846" s="91">
        <v>0</v>
      </c>
      <c r="M1846" s="91">
        <v>0</v>
      </c>
      <c r="N1846" s="91">
        <v>0</v>
      </c>
      <c r="O1846" s="91">
        <v>0</v>
      </c>
      <c r="P1846" s="91">
        <v>0</v>
      </c>
      <c r="Q1846" s="104">
        <f t="shared" si="56"/>
        <v>10166</v>
      </c>
      <c r="R1846" s="95">
        <f t="shared" si="57"/>
        <v>8641.1</v>
      </c>
    </row>
    <row r="1847" spans="1:18" ht="34.049999999999997" customHeight="1" x14ac:dyDescent="0.3">
      <c r="A1847" s="90">
        <v>1836</v>
      </c>
      <c r="B1847" s="91" t="s">
        <v>5961</v>
      </c>
      <c r="C1847" s="91" t="s">
        <v>6063</v>
      </c>
      <c r="D1847" s="91" t="s">
        <v>5564</v>
      </c>
      <c r="E1847" s="91">
        <v>1982</v>
      </c>
      <c r="F1847" s="91" t="s">
        <v>19</v>
      </c>
      <c r="G1847" s="91" t="s">
        <v>5664</v>
      </c>
      <c r="H1847" s="91" t="s">
        <v>5664</v>
      </c>
      <c r="I1847" s="91" t="s">
        <v>1890</v>
      </c>
      <c r="J1847" s="91">
        <v>3793</v>
      </c>
      <c r="K1847" s="91">
        <v>0</v>
      </c>
      <c r="L1847" s="91">
        <v>0</v>
      </c>
      <c r="M1847" s="91">
        <v>0</v>
      </c>
      <c r="N1847" s="91">
        <v>0</v>
      </c>
      <c r="O1847" s="91">
        <v>0</v>
      </c>
      <c r="P1847" s="91">
        <v>0</v>
      </c>
      <c r="Q1847" s="104">
        <f t="shared" si="56"/>
        <v>3793</v>
      </c>
      <c r="R1847" s="95">
        <f t="shared" si="57"/>
        <v>3224.05</v>
      </c>
    </row>
    <row r="1848" spans="1:18" ht="34.049999999999997" customHeight="1" x14ac:dyDescent="0.3">
      <c r="A1848" s="90">
        <v>1837</v>
      </c>
      <c r="B1848" s="91" t="s">
        <v>5961</v>
      </c>
      <c r="C1848" s="91" t="s">
        <v>6064</v>
      </c>
      <c r="D1848" s="91" t="s">
        <v>6065</v>
      </c>
      <c r="E1848" s="91">
        <v>2024</v>
      </c>
      <c r="F1848" s="91" t="s">
        <v>19</v>
      </c>
      <c r="G1848" s="91" t="s">
        <v>6113</v>
      </c>
      <c r="H1848" s="91" t="s">
        <v>6142</v>
      </c>
      <c r="I1848" s="91" t="s">
        <v>2467</v>
      </c>
      <c r="J1848" s="91">
        <v>6199</v>
      </c>
      <c r="K1848" s="91">
        <f>1346+6278+4484</f>
        <v>12108</v>
      </c>
      <c r="L1848" s="91">
        <v>0</v>
      </c>
      <c r="M1848" s="91">
        <v>0</v>
      </c>
      <c r="N1848" s="91">
        <v>3148</v>
      </c>
      <c r="O1848" s="91">
        <v>0</v>
      </c>
      <c r="P1848" s="91">
        <v>0</v>
      </c>
      <c r="Q1848" s="104">
        <f t="shared" si="56"/>
        <v>21455</v>
      </c>
      <c r="R1848" s="95">
        <f t="shared" si="57"/>
        <v>18236.75</v>
      </c>
    </row>
    <row r="1849" spans="1:18" ht="34.049999999999997" customHeight="1" x14ac:dyDescent="0.3">
      <c r="A1849" s="96">
        <v>1838</v>
      </c>
      <c r="B1849" s="91" t="s">
        <v>5961</v>
      </c>
      <c r="C1849" s="91" t="s">
        <v>6066</v>
      </c>
      <c r="D1849" s="91" t="s">
        <v>6067</v>
      </c>
      <c r="E1849" s="91">
        <v>2022</v>
      </c>
      <c r="F1849" s="91" t="s">
        <v>18</v>
      </c>
      <c r="G1849" s="91" t="s">
        <v>6114</v>
      </c>
      <c r="H1849" s="91" t="s">
        <v>6143</v>
      </c>
      <c r="I1849" s="91" t="s">
        <v>3703</v>
      </c>
      <c r="J1849" s="91">
        <v>6199</v>
      </c>
      <c r="K1849" s="91">
        <f>1346+6278+4484+4484+2332+2332+2332+2332+2332+2332+6995+6995+2332+6995</f>
        <v>53901</v>
      </c>
      <c r="L1849" s="91">
        <v>0</v>
      </c>
      <c r="M1849" s="91">
        <v>0</v>
      </c>
      <c r="N1849" s="91">
        <v>3148</v>
      </c>
      <c r="O1849" s="91">
        <v>0</v>
      </c>
      <c r="P1849" s="91">
        <v>0</v>
      </c>
      <c r="Q1849" s="104">
        <f t="shared" si="56"/>
        <v>63248</v>
      </c>
      <c r="R1849" s="95">
        <f t="shared" si="57"/>
        <v>53760.800000000003</v>
      </c>
    </row>
    <row r="1850" spans="1:18" ht="34.049999999999997" customHeight="1" x14ac:dyDescent="0.3">
      <c r="A1850" s="90">
        <v>1839</v>
      </c>
      <c r="B1850" s="91" t="s">
        <v>5961</v>
      </c>
      <c r="C1850" s="91" t="s">
        <v>6068</v>
      </c>
      <c r="D1850" s="91" t="s">
        <v>2738</v>
      </c>
      <c r="E1850" s="91">
        <v>2020</v>
      </c>
      <c r="F1850" s="91" t="s">
        <v>18</v>
      </c>
      <c r="G1850" s="91" t="s">
        <v>6115</v>
      </c>
      <c r="H1850" s="91" t="s">
        <v>2836</v>
      </c>
      <c r="I1850" s="91" t="s">
        <v>1279</v>
      </c>
      <c r="J1850" s="91">
        <v>3793</v>
      </c>
      <c r="K1850" s="91">
        <f>1346+6278+4484</f>
        <v>12108</v>
      </c>
      <c r="L1850" s="91">
        <v>0</v>
      </c>
      <c r="M1850" s="91">
        <v>0</v>
      </c>
      <c r="N1850" s="91">
        <v>3148</v>
      </c>
      <c r="O1850" s="91">
        <v>0</v>
      </c>
      <c r="P1850" s="91">
        <v>0</v>
      </c>
      <c r="Q1850" s="104">
        <f t="shared" si="56"/>
        <v>19049</v>
      </c>
      <c r="R1850" s="95">
        <f t="shared" si="57"/>
        <v>16191.65</v>
      </c>
    </row>
    <row r="1851" spans="1:18" ht="34.049999999999997" customHeight="1" x14ac:dyDescent="0.3">
      <c r="A1851" s="90">
        <v>1840</v>
      </c>
      <c r="B1851" s="91" t="s">
        <v>5961</v>
      </c>
      <c r="C1851" s="91" t="s">
        <v>6069</v>
      </c>
      <c r="D1851" s="91" t="s">
        <v>6070</v>
      </c>
      <c r="E1851" s="91">
        <v>2016</v>
      </c>
      <c r="F1851" s="91" t="s">
        <v>19</v>
      </c>
      <c r="G1851" s="91" t="s">
        <v>6116</v>
      </c>
      <c r="H1851" s="91" t="s">
        <v>2834</v>
      </c>
      <c r="I1851" s="91" t="s">
        <v>1279</v>
      </c>
      <c r="J1851" s="91">
        <v>6199</v>
      </c>
      <c r="K1851" s="91">
        <f>1346+6278+4484</f>
        <v>12108</v>
      </c>
      <c r="L1851" s="91">
        <v>0</v>
      </c>
      <c r="M1851" s="91">
        <v>0</v>
      </c>
      <c r="N1851" s="91">
        <v>3148</v>
      </c>
      <c r="O1851" s="91">
        <v>0</v>
      </c>
      <c r="P1851" s="91">
        <v>0</v>
      </c>
      <c r="Q1851" s="104">
        <f t="shared" si="56"/>
        <v>21455</v>
      </c>
      <c r="R1851" s="95">
        <f t="shared" si="57"/>
        <v>18236.75</v>
      </c>
    </row>
    <row r="1852" spans="1:18" ht="34.049999999999997" customHeight="1" x14ac:dyDescent="0.3">
      <c r="A1852" s="96">
        <v>1841</v>
      </c>
      <c r="B1852" s="91" t="s">
        <v>5961</v>
      </c>
      <c r="C1852" s="91" t="s">
        <v>7289</v>
      </c>
      <c r="D1852" s="93" t="s">
        <v>6946</v>
      </c>
      <c r="E1852" s="91">
        <v>2016</v>
      </c>
      <c r="F1852" s="91" t="s">
        <v>19</v>
      </c>
      <c r="G1852" s="91" t="s">
        <v>6947</v>
      </c>
      <c r="H1852" s="91" t="s">
        <v>6828</v>
      </c>
      <c r="I1852" s="91" t="s">
        <v>1702</v>
      </c>
      <c r="J1852" s="91">
        <v>6199</v>
      </c>
      <c r="K1852" s="91">
        <f>1346+6278+4484+4484+1166+2332+2332+2332+2332+2332+2332+6995+6995+2332+6995</f>
        <v>55067</v>
      </c>
      <c r="L1852" s="91">
        <v>0</v>
      </c>
      <c r="M1852" s="91">
        <v>0</v>
      </c>
      <c r="N1852" s="91">
        <f>3148+4053+1178+2088</f>
        <v>10467</v>
      </c>
      <c r="O1852" s="91">
        <v>0</v>
      </c>
      <c r="P1852" s="91">
        <f>720+1080+120+360+56+396</f>
        <v>2732</v>
      </c>
      <c r="Q1852" s="104">
        <f t="shared" si="56"/>
        <v>74465</v>
      </c>
      <c r="R1852" s="95">
        <f t="shared" si="57"/>
        <v>63295.25</v>
      </c>
    </row>
    <row r="1853" spans="1:18" ht="34.049999999999997" customHeight="1" x14ac:dyDescent="0.3">
      <c r="A1853" s="90">
        <v>1842</v>
      </c>
      <c r="B1853" s="91" t="s">
        <v>5961</v>
      </c>
      <c r="C1853" s="91" t="s">
        <v>7289</v>
      </c>
      <c r="D1853" s="93" t="s">
        <v>6946</v>
      </c>
      <c r="E1853" s="91">
        <v>2016</v>
      </c>
      <c r="F1853" s="91" t="s">
        <v>19</v>
      </c>
      <c r="G1853" s="91" t="s">
        <v>6947</v>
      </c>
      <c r="H1853" s="91" t="s">
        <v>6828</v>
      </c>
      <c r="I1853" s="91" t="s">
        <v>1702</v>
      </c>
      <c r="J1853" s="91">
        <v>0</v>
      </c>
      <c r="K1853" s="91">
        <v>0</v>
      </c>
      <c r="L1853" s="91">
        <v>0</v>
      </c>
      <c r="M1853" s="91">
        <v>17688</v>
      </c>
      <c r="N1853" s="91">
        <v>2088</v>
      </c>
      <c r="O1853" s="91">
        <v>0</v>
      </c>
      <c r="P1853" s="91">
        <f>360+56</f>
        <v>416</v>
      </c>
      <c r="Q1853" s="104">
        <f t="shared" si="56"/>
        <v>20192</v>
      </c>
      <c r="R1853" s="95">
        <f t="shared" si="57"/>
        <v>17163.2</v>
      </c>
    </row>
    <row r="1854" spans="1:18" ht="34.049999999999997" customHeight="1" x14ac:dyDescent="0.3">
      <c r="A1854" s="90">
        <v>1843</v>
      </c>
      <c r="B1854" s="91" t="s">
        <v>5961</v>
      </c>
      <c r="C1854" s="91" t="s">
        <v>7290</v>
      </c>
      <c r="D1854" s="93" t="s">
        <v>5420</v>
      </c>
      <c r="E1854" s="91">
        <v>2020</v>
      </c>
      <c r="F1854" s="91" t="s">
        <v>2635</v>
      </c>
      <c r="G1854" s="91" t="s">
        <v>5596</v>
      </c>
      <c r="H1854" s="91" t="s">
        <v>6367</v>
      </c>
      <c r="I1854" s="91" t="s">
        <v>7285</v>
      </c>
      <c r="J1854" s="91">
        <v>3793</v>
      </c>
      <c r="K1854" s="91">
        <f>1346+6278+2332+2332+2332+6995+6995+2332+6995+2332+2332+2332+1166</f>
        <v>46099</v>
      </c>
      <c r="L1854" s="91">
        <v>0</v>
      </c>
      <c r="M1854" s="91">
        <v>0</v>
      </c>
      <c r="N1854" s="91">
        <f>3148+4053+1178</f>
        <v>8379</v>
      </c>
      <c r="O1854" s="91">
        <v>0</v>
      </c>
      <c r="P1854" s="91">
        <f>720+1080+120+396</f>
        <v>2316</v>
      </c>
      <c r="Q1854" s="104">
        <f t="shared" si="56"/>
        <v>60587</v>
      </c>
      <c r="R1854" s="95">
        <f t="shared" si="57"/>
        <v>51498.95</v>
      </c>
    </row>
    <row r="1855" spans="1:18" ht="34.049999999999997" customHeight="1" x14ac:dyDescent="0.3">
      <c r="A1855" s="96">
        <v>1844</v>
      </c>
      <c r="B1855" s="91" t="s">
        <v>5961</v>
      </c>
      <c r="C1855" s="91" t="s">
        <v>7290</v>
      </c>
      <c r="D1855" s="93" t="s">
        <v>5420</v>
      </c>
      <c r="E1855" s="91">
        <v>2020</v>
      </c>
      <c r="F1855" s="91" t="s">
        <v>19</v>
      </c>
      <c r="G1855" s="91" t="s">
        <v>5596</v>
      </c>
      <c r="H1855" s="91" t="s">
        <v>6367</v>
      </c>
      <c r="I1855" s="91" t="s">
        <v>7285</v>
      </c>
      <c r="J1855" s="91">
        <v>0</v>
      </c>
      <c r="K1855" s="91">
        <v>0</v>
      </c>
      <c r="L1855" s="91">
        <v>0</v>
      </c>
      <c r="M1855" s="91">
        <v>17688</v>
      </c>
      <c r="N1855" s="91">
        <v>2088</v>
      </c>
      <c r="O1855" s="91">
        <v>0</v>
      </c>
      <c r="P1855" s="91">
        <f>360+56</f>
        <v>416</v>
      </c>
      <c r="Q1855" s="104">
        <f t="shared" si="56"/>
        <v>20192</v>
      </c>
      <c r="R1855" s="95">
        <f t="shared" si="57"/>
        <v>17163.2</v>
      </c>
    </row>
    <row r="1856" spans="1:18" ht="34.049999999999997" customHeight="1" x14ac:dyDescent="0.3">
      <c r="A1856" s="90">
        <v>1845</v>
      </c>
      <c r="B1856" s="91" t="s">
        <v>5961</v>
      </c>
      <c r="C1856" s="91" t="s">
        <v>7291</v>
      </c>
      <c r="D1856" s="93" t="s">
        <v>7286</v>
      </c>
      <c r="E1856" s="91">
        <v>1967</v>
      </c>
      <c r="F1856" s="91" t="s">
        <v>18</v>
      </c>
      <c r="G1856" s="91" t="s">
        <v>7287</v>
      </c>
      <c r="H1856" s="91" t="s">
        <v>7287</v>
      </c>
      <c r="I1856" s="91" t="s">
        <v>7288</v>
      </c>
      <c r="J1856" s="91">
        <v>6199</v>
      </c>
      <c r="K1856" s="91">
        <f>6278+1346+4484+6995+3000+2332+2332+2332+3000+3000+3228+2332+2332+2332+1346+1346+2332+2332+1166+2801</f>
        <v>56646</v>
      </c>
      <c r="L1856" s="91">
        <v>20807</v>
      </c>
      <c r="M1856" s="91">
        <v>0</v>
      </c>
      <c r="N1856" s="91">
        <f>1178+3179+1793+1681</f>
        <v>7831</v>
      </c>
      <c r="O1856" s="91">
        <v>0</v>
      </c>
      <c r="P1856" s="91">
        <f>720+720+144+120+660+312+56+396+360</f>
        <v>3488</v>
      </c>
      <c r="Q1856" s="104">
        <f t="shared" si="56"/>
        <v>94971</v>
      </c>
      <c r="R1856" s="95">
        <f t="shared" si="57"/>
        <v>80725.350000000006</v>
      </c>
    </row>
    <row r="1857" spans="1:18" ht="34.049999999999997" customHeight="1" x14ac:dyDescent="0.3">
      <c r="A1857" s="90">
        <v>1846</v>
      </c>
      <c r="B1857" s="91" t="s">
        <v>5961</v>
      </c>
      <c r="C1857" s="91" t="s">
        <v>7291</v>
      </c>
      <c r="D1857" s="93" t="s">
        <v>7286</v>
      </c>
      <c r="E1857" s="91">
        <v>1967</v>
      </c>
      <c r="F1857" s="91" t="s">
        <v>18</v>
      </c>
      <c r="G1857" s="91" t="s">
        <v>7287</v>
      </c>
      <c r="H1857" s="91" t="s">
        <v>7287</v>
      </c>
      <c r="I1857" s="91" t="s">
        <v>7288</v>
      </c>
      <c r="J1857" s="91">
        <v>0</v>
      </c>
      <c r="K1857" s="91">
        <v>0</v>
      </c>
      <c r="L1857" s="91">
        <v>0</v>
      </c>
      <c r="M1857" s="91">
        <v>17688</v>
      </c>
      <c r="N1857" s="91">
        <v>1681</v>
      </c>
      <c r="O1857" s="91">
        <v>0</v>
      </c>
      <c r="P1857" s="91">
        <f>312+56+60</f>
        <v>428</v>
      </c>
      <c r="Q1857" s="104">
        <f t="shared" si="56"/>
        <v>19797</v>
      </c>
      <c r="R1857" s="95">
        <f t="shared" si="57"/>
        <v>16827.45</v>
      </c>
    </row>
    <row r="1858" spans="1:18" ht="34.049999999999997" customHeight="1" x14ac:dyDescent="0.3">
      <c r="A1858" s="96">
        <v>1847</v>
      </c>
      <c r="B1858" s="91" t="s">
        <v>5961</v>
      </c>
      <c r="C1858" s="91" t="s">
        <v>7292</v>
      </c>
      <c r="D1858" s="93" t="s">
        <v>7174</v>
      </c>
      <c r="E1858" s="91">
        <v>2023</v>
      </c>
      <c r="F1858" s="91" t="s">
        <v>19</v>
      </c>
      <c r="G1858" s="91" t="s">
        <v>7175</v>
      </c>
      <c r="H1858" s="91" t="s">
        <v>6828</v>
      </c>
      <c r="I1858" s="91" t="s">
        <v>1702</v>
      </c>
      <c r="J1858" s="91">
        <v>6199</v>
      </c>
      <c r="K1858" s="91">
        <f>1346+6278+4484+4484+1166+2332+2332+2332+6995+6995+2332+6995+2332+2332+2332</f>
        <v>55067</v>
      </c>
      <c r="L1858" s="91">
        <v>0</v>
      </c>
      <c r="M1858" s="91">
        <v>0</v>
      </c>
      <c r="N1858" s="91">
        <f>3148+1178+4053+2088</f>
        <v>10467</v>
      </c>
      <c r="O1858" s="91">
        <v>0</v>
      </c>
      <c r="P1858" s="91">
        <f>720+1080+120+360+56+396</f>
        <v>2732</v>
      </c>
      <c r="Q1858" s="104">
        <f t="shared" si="56"/>
        <v>74465</v>
      </c>
      <c r="R1858" s="95">
        <f t="shared" si="57"/>
        <v>63295.25</v>
      </c>
    </row>
    <row r="1859" spans="1:18" ht="34.049999999999997" customHeight="1" x14ac:dyDescent="0.3">
      <c r="A1859" s="90">
        <v>1848</v>
      </c>
      <c r="B1859" s="91" t="s">
        <v>5961</v>
      </c>
      <c r="C1859" s="91" t="s">
        <v>7292</v>
      </c>
      <c r="D1859" s="93" t="s">
        <v>7174</v>
      </c>
      <c r="E1859" s="91">
        <v>2023</v>
      </c>
      <c r="F1859" s="91" t="s">
        <v>19</v>
      </c>
      <c r="G1859" s="91" t="s">
        <v>7175</v>
      </c>
      <c r="H1859" s="91" t="s">
        <v>6828</v>
      </c>
      <c r="I1859" s="91" t="s">
        <v>1702</v>
      </c>
      <c r="J1859" s="91">
        <v>0</v>
      </c>
      <c r="K1859" s="91">
        <v>0</v>
      </c>
      <c r="L1859" s="91">
        <v>0</v>
      </c>
      <c r="M1859" s="91">
        <v>17688</v>
      </c>
      <c r="N1859" s="91">
        <v>2088</v>
      </c>
      <c r="O1859" s="91">
        <v>0</v>
      </c>
      <c r="P1859" s="91">
        <f>360+56</f>
        <v>416</v>
      </c>
      <c r="Q1859" s="104">
        <f t="shared" si="56"/>
        <v>20192</v>
      </c>
      <c r="R1859" s="95">
        <f t="shared" si="57"/>
        <v>17163.2</v>
      </c>
    </row>
    <row r="1860" spans="1:18" ht="34.049999999999997" customHeight="1" x14ac:dyDescent="0.3">
      <c r="A1860" s="90">
        <v>1849</v>
      </c>
      <c r="B1860" s="91" t="s">
        <v>5961</v>
      </c>
      <c r="C1860" s="91" t="s">
        <v>7293</v>
      </c>
      <c r="D1860" s="93" t="s">
        <v>5769</v>
      </c>
      <c r="E1860" s="91">
        <v>2022</v>
      </c>
      <c r="F1860" s="91" t="s">
        <v>18</v>
      </c>
      <c r="G1860" s="91" t="s">
        <v>5861</v>
      </c>
      <c r="H1860" s="91" t="s">
        <v>5909</v>
      </c>
      <c r="I1860" s="91" t="s">
        <v>1267</v>
      </c>
      <c r="J1860" s="91">
        <v>2900</v>
      </c>
      <c r="K1860" s="91">
        <v>0</v>
      </c>
      <c r="L1860" s="91">
        <v>0</v>
      </c>
      <c r="M1860" s="91">
        <v>0</v>
      </c>
      <c r="N1860" s="91">
        <v>2088</v>
      </c>
      <c r="O1860" s="91">
        <v>0</v>
      </c>
      <c r="P1860" s="91">
        <f>360+56</f>
        <v>416</v>
      </c>
      <c r="Q1860" s="104">
        <f t="shared" si="56"/>
        <v>5404</v>
      </c>
      <c r="R1860" s="95">
        <f t="shared" si="57"/>
        <v>4593.3999999999996</v>
      </c>
    </row>
    <row r="1861" spans="1:18" ht="34.049999999999997" customHeight="1" x14ac:dyDescent="0.3">
      <c r="A1861" s="96">
        <v>1850</v>
      </c>
      <c r="B1861" s="91" t="s">
        <v>5961</v>
      </c>
      <c r="C1861" s="91" t="s">
        <v>7294</v>
      </c>
      <c r="D1861" s="93" t="s">
        <v>6942</v>
      </c>
      <c r="E1861" s="91">
        <v>2024</v>
      </c>
      <c r="F1861" s="91" t="s">
        <v>18</v>
      </c>
      <c r="G1861" s="91" t="s">
        <v>6944</v>
      </c>
      <c r="H1861" s="91" t="s">
        <v>3466</v>
      </c>
      <c r="I1861" s="91" t="s">
        <v>4208</v>
      </c>
      <c r="J1861" s="91">
        <v>2900</v>
      </c>
      <c r="K1861" s="91">
        <v>0</v>
      </c>
      <c r="L1861" s="91">
        <v>0</v>
      </c>
      <c r="M1861" s="91">
        <v>17688</v>
      </c>
      <c r="N1861" s="91">
        <f>2088+1178</f>
        <v>3266</v>
      </c>
      <c r="O1861" s="91">
        <v>0</v>
      </c>
      <c r="P1861" s="91">
        <f>1080+168+720+1080+374</f>
        <v>3422</v>
      </c>
      <c r="Q1861" s="104">
        <f t="shared" si="56"/>
        <v>27276</v>
      </c>
      <c r="R1861" s="95">
        <f t="shared" si="57"/>
        <v>23184.6</v>
      </c>
    </row>
    <row r="1862" spans="1:18" ht="34.049999999999997" customHeight="1" x14ac:dyDescent="0.3">
      <c r="A1862" s="90">
        <v>1851</v>
      </c>
      <c r="B1862" s="91" t="s">
        <v>5961</v>
      </c>
      <c r="C1862" s="91" t="s">
        <v>7295</v>
      </c>
      <c r="D1862" s="93" t="s">
        <v>5457</v>
      </c>
      <c r="E1862" s="91">
        <v>2022</v>
      </c>
      <c r="F1862" s="91" t="s">
        <v>18</v>
      </c>
      <c r="G1862" s="91" t="s">
        <v>5614</v>
      </c>
      <c r="H1862" s="91" t="s">
        <v>5693</v>
      </c>
      <c r="I1862" s="91" t="s">
        <v>5737</v>
      </c>
      <c r="J1862" s="91">
        <v>2900</v>
      </c>
      <c r="K1862" s="91">
        <v>0</v>
      </c>
      <c r="L1862" s="91">
        <v>0</v>
      </c>
      <c r="M1862" s="91">
        <v>0</v>
      </c>
      <c r="N1862" s="91">
        <v>2088</v>
      </c>
      <c r="O1862" s="91">
        <v>0</v>
      </c>
      <c r="P1862" s="91">
        <f>360+56</f>
        <v>416</v>
      </c>
      <c r="Q1862" s="104">
        <f t="shared" si="56"/>
        <v>5404</v>
      </c>
      <c r="R1862" s="95">
        <f t="shared" si="57"/>
        <v>4593.3999999999996</v>
      </c>
    </row>
    <row r="1863" spans="1:18" ht="34.049999999999997" customHeight="1" x14ac:dyDescent="0.3">
      <c r="A1863" s="90">
        <v>1852</v>
      </c>
      <c r="B1863" s="91" t="s">
        <v>5961</v>
      </c>
      <c r="C1863" s="91" t="s">
        <v>7296</v>
      </c>
      <c r="D1863" s="93" t="s">
        <v>5808</v>
      </c>
      <c r="E1863" s="91">
        <v>2023</v>
      </c>
      <c r="F1863" s="91" t="s">
        <v>19</v>
      </c>
      <c r="G1863" s="91" t="s">
        <v>5879</v>
      </c>
      <c r="H1863" s="91" t="s">
        <v>5923</v>
      </c>
      <c r="I1863" s="91" t="s">
        <v>5951</v>
      </c>
      <c r="J1863" s="91">
        <v>2900</v>
      </c>
      <c r="K1863" s="91">
        <v>0</v>
      </c>
      <c r="L1863" s="91">
        <v>0</v>
      </c>
      <c r="M1863" s="91">
        <v>0</v>
      </c>
      <c r="N1863" s="91">
        <v>2088</v>
      </c>
      <c r="O1863" s="91">
        <v>0</v>
      </c>
      <c r="P1863" s="91">
        <f>360+56</f>
        <v>416</v>
      </c>
      <c r="Q1863" s="104">
        <f t="shared" si="56"/>
        <v>5404</v>
      </c>
      <c r="R1863" s="95">
        <f t="shared" si="57"/>
        <v>4593.3999999999996</v>
      </c>
    </row>
    <row r="1864" spans="1:18" ht="34.049999999999997" customHeight="1" x14ac:dyDescent="0.3">
      <c r="A1864" s="96">
        <v>1853</v>
      </c>
      <c r="B1864" s="91" t="s">
        <v>5961</v>
      </c>
      <c r="C1864" s="91" t="s">
        <v>7297</v>
      </c>
      <c r="D1864" s="93" t="s">
        <v>5835</v>
      </c>
      <c r="E1864" s="91">
        <v>2018</v>
      </c>
      <c r="F1864" s="91" t="s">
        <v>19</v>
      </c>
      <c r="G1864" s="91" t="s">
        <v>5890</v>
      </c>
      <c r="H1864" s="91" t="s">
        <v>5930</v>
      </c>
      <c r="I1864" s="91" t="s">
        <v>3678</v>
      </c>
      <c r="J1864" s="91">
        <v>2900</v>
      </c>
      <c r="K1864" s="91">
        <v>0</v>
      </c>
      <c r="L1864" s="91">
        <v>0</v>
      </c>
      <c r="M1864" s="91">
        <v>0</v>
      </c>
      <c r="N1864" s="91">
        <v>2088</v>
      </c>
      <c r="O1864" s="91">
        <v>0</v>
      </c>
      <c r="P1864" s="91">
        <f>360+56</f>
        <v>416</v>
      </c>
      <c r="Q1864" s="104">
        <f t="shared" si="56"/>
        <v>5404</v>
      </c>
      <c r="R1864" s="95">
        <f t="shared" si="57"/>
        <v>4593.3999999999996</v>
      </c>
    </row>
    <row r="1865" spans="1:18" ht="34.049999999999997" customHeight="1" x14ac:dyDescent="0.3">
      <c r="A1865" s="90">
        <v>1854</v>
      </c>
      <c r="B1865" s="91" t="s">
        <v>5961</v>
      </c>
      <c r="C1865" s="91" t="s">
        <v>7298</v>
      </c>
      <c r="D1865" s="93" t="s">
        <v>5552</v>
      </c>
      <c r="E1865" s="91">
        <v>2023</v>
      </c>
      <c r="F1865" s="91" t="s">
        <v>18</v>
      </c>
      <c r="G1865" s="91" t="s">
        <v>5659</v>
      </c>
      <c r="H1865" s="91" t="s">
        <v>5717</v>
      </c>
      <c r="I1865" s="91" t="s">
        <v>1890</v>
      </c>
      <c r="J1865" s="91">
        <v>2900</v>
      </c>
      <c r="K1865" s="91">
        <v>0</v>
      </c>
      <c r="L1865" s="91">
        <v>0</v>
      </c>
      <c r="M1865" s="91">
        <v>17688</v>
      </c>
      <c r="N1865" s="91">
        <v>2088</v>
      </c>
      <c r="O1865" s="91">
        <v>0</v>
      </c>
      <c r="P1865" s="91">
        <f>1080+168</f>
        <v>1248</v>
      </c>
      <c r="Q1865" s="104">
        <f t="shared" si="56"/>
        <v>23924</v>
      </c>
      <c r="R1865" s="95">
        <f t="shared" si="57"/>
        <v>20335.400000000001</v>
      </c>
    </row>
    <row r="1866" spans="1:18" ht="34.049999999999997" customHeight="1" x14ac:dyDescent="0.3">
      <c r="A1866" s="90">
        <v>1855</v>
      </c>
      <c r="B1866" s="91" t="s">
        <v>5961</v>
      </c>
      <c r="C1866" s="91" t="s">
        <v>7299</v>
      </c>
      <c r="D1866" s="93" t="s">
        <v>5786</v>
      </c>
      <c r="E1866" s="91">
        <v>2023</v>
      </c>
      <c r="F1866" s="91" t="s">
        <v>18</v>
      </c>
      <c r="G1866" s="91" t="s">
        <v>5869</v>
      </c>
      <c r="H1866" s="91" t="s">
        <v>5915</v>
      </c>
      <c r="I1866" s="91" t="s">
        <v>290</v>
      </c>
      <c r="J1866" s="91">
        <v>2900</v>
      </c>
      <c r="K1866" s="91">
        <v>0</v>
      </c>
      <c r="L1866" s="91">
        <v>0</v>
      </c>
      <c r="M1866" s="91">
        <v>0</v>
      </c>
      <c r="N1866" s="91">
        <v>2088</v>
      </c>
      <c r="O1866" s="91">
        <v>0</v>
      </c>
      <c r="P1866" s="91">
        <f>168+720</f>
        <v>888</v>
      </c>
      <c r="Q1866" s="104">
        <f t="shared" si="56"/>
        <v>5876</v>
      </c>
      <c r="R1866" s="95">
        <f t="shared" si="57"/>
        <v>4994.6000000000004</v>
      </c>
    </row>
    <row r="1867" spans="1:18" ht="34.049999999999997" customHeight="1" x14ac:dyDescent="0.3">
      <c r="A1867" s="96">
        <v>1856</v>
      </c>
      <c r="B1867" s="91" t="s">
        <v>5961</v>
      </c>
      <c r="C1867" s="91" t="s">
        <v>7300</v>
      </c>
      <c r="D1867" s="93" t="s">
        <v>5437</v>
      </c>
      <c r="E1867" s="91">
        <v>2022</v>
      </c>
      <c r="F1867" s="91" t="s">
        <v>18</v>
      </c>
      <c r="G1867" s="91" t="s">
        <v>5604</v>
      </c>
      <c r="H1867" s="91" t="s">
        <v>5686</v>
      </c>
      <c r="I1867" s="91" t="s">
        <v>5732</v>
      </c>
      <c r="J1867" s="91">
        <v>2900</v>
      </c>
      <c r="K1867" s="91">
        <v>0</v>
      </c>
      <c r="L1867" s="91">
        <v>0</v>
      </c>
      <c r="M1867" s="91">
        <v>0</v>
      </c>
      <c r="N1867" s="91">
        <v>2088</v>
      </c>
      <c r="O1867" s="91">
        <v>0</v>
      </c>
      <c r="P1867" s="91">
        <f>360+56</f>
        <v>416</v>
      </c>
      <c r="Q1867" s="104">
        <f t="shared" si="56"/>
        <v>5404</v>
      </c>
      <c r="R1867" s="95">
        <f t="shared" si="57"/>
        <v>4593.3999999999996</v>
      </c>
    </row>
    <row r="1868" spans="1:18" ht="34.049999999999997" customHeight="1" x14ac:dyDescent="0.3">
      <c r="A1868" s="90">
        <v>1857</v>
      </c>
      <c r="B1868" s="91" t="s">
        <v>5961</v>
      </c>
      <c r="C1868" s="91" t="s">
        <v>7301</v>
      </c>
      <c r="D1868" s="93" t="s">
        <v>5839</v>
      </c>
      <c r="E1868" s="91">
        <v>2020</v>
      </c>
      <c r="F1868" s="91" t="s">
        <v>19</v>
      </c>
      <c r="G1868" s="91" t="s">
        <v>5892</v>
      </c>
      <c r="H1868" s="91" t="s">
        <v>5932</v>
      </c>
      <c r="I1868" s="91" t="s">
        <v>5956</v>
      </c>
      <c r="J1868" s="91">
        <v>2900</v>
      </c>
      <c r="K1868" s="91">
        <v>0</v>
      </c>
      <c r="L1868" s="91">
        <v>0</v>
      </c>
      <c r="M1868" s="91">
        <v>0</v>
      </c>
      <c r="N1868" s="91">
        <v>2088</v>
      </c>
      <c r="O1868" s="91">
        <v>0</v>
      </c>
      <c r="P1868" s="91">
        <f>360+56</f>
        <v>416</v>
      </c>
      <c r="Q1868" s="104">
        <f t="shared" ref="Q1868:Q1931" si="58">SUM(J1868:P1868)</f>
        <v>5404</v>
      </c>
      <c r="R1868" s="95">
        <f t="shared" si="57"/>
        <v>4593.3999999999996</v>
      </c>
    </row>
    <row r="1869" spans="1:18" ht="34.049999999999997" customHeight="1" x14ac:dyDescent="0.3">
      <c r="A1869" s="90">
        <v>1858</v>
      </c>
      <c r="B1869" s="91" t="s">
        <v>6165</v>
      </c>
      <c r="C1869" s="91" t="s">
        <v>6166</v>
      </c>
      <c r="D1869" s="91" t="s">
        <v>6167</v>
      </c>
      <c r="E1869" s="91">
        <v>1996</v>
      </c>
      <c r="F1869" s="91" t="s">
        <v>19</v>
      </c>
      <c r="G1869" s="91" t="s">
        <v>6289</v>
      </c>
      <c r="H1869" s="91" t="s">
        <v>6289</v>
      </c>
      <c r="I1869" s="91" t="s">
        <v>1890</v>
      </c>
      <c r="J1869" s="91">
        <v>6199</v>
      </c>
      <c r="K1869" s="91">
        <f>6278+4484+2332+1346+2332+2332+2332+2332+6995+2332+6995+6995+2332+6995+6995+3000+3000</f>
        <v>69407</v>
      </c>
      <c r="L1869" s="91">
        <v>0</v>
      </c>
      <c r="M1869" s="91">
        <v>0</v>
      </c>
      <c r="N1869" s="91">
        <v>1793</v>
      </c>
      <c r="O1869" s="91">
        <v>0</v>
      </c>
      <c r="P1869" s="91">
        <v>0</v>
      </c>
      <c r="Q1869" s="104">
        <f t="shared" si="58"/>
        <v>77399</v>
      </c>
      <c r="R1869" s="95">
        <f t="shared" ref="R1869:R1932" si="59">Q1869*85/100</f>
        <v>65789.149999999994</v>
      </c>
    </row>
    <row r="1870" spans="1:18" ht="34.049999999999997" customHeight="1" x14ac:dyDescent="0.3">
      <c r="A1870" s="96">
        <v>1859</v>
      </c>
      <c r="B1870" s="91" t="s">
        <v>6165</v>
      </c>
      <c r="C1870" s="91" t="s">
        <v>6168</v>
      </c>
      <c r="D1870" s="91" t="s">
        <v>6169</v>
      </c>
      <c r="E1870" s="91">
        <v>2019</v>
      </c>
      <c r="F1870" s="91" t="s">
        <v>19</v>
      </c>
      <c r="G1870" s="91" t="s">
        <v>6290</v>
      </c>
      <c r="H1870" s="91" t="s">
        <v>6343</v>
      </c>
      <c r="I1870" s="91" t="s">
        <v>1267</v>
      </c>
      <c r="J1870" s="91">
        <v>6199</v>
      </c>
      <c r="K1870" s="91">
        <f>1166+2801+6278+4484+2332+1346+2332+2332+2332+2332+6995+6995+2332+6995+2332+4484</f>
        <v>57868</v>
      </c>
      <c r="L1870" s="91">
        <v>0</v>
      </c>
      <c r="M1870" s="91">
        <v>0</v>
      </c>
      <c r="N1870" s="91">
        <v>3148</v>
      </c>
      <c r="O1870" s="91">
        <v>0</v>
      </c>
      <c r="P1870" s="91">
        <v>0</v>
      </c>
      <c r="Q1870" s="104">
        <f t="shared" si="58"/>
        <v>67215</v>
      </c>
      <c r="R1870" s="95">
        <f t="shared" si="59"/>
        <v>57132.75</v>
      </c>
    </row>
    <row r="1871" spans="1:18" ht="34.049999999999997" customHeight="1" x14ac:dyDescent="0.3">
      <c r="A1871" s="90">
        <v>1860</v>
      </c>
      <c r="B1871" s="91" t="s">
        <v>6165</v>
      </c>
      <c r="C1871" s="91" t="s">
        <v>6170</v>
      </c>
      <c r="D1871" s="91" t="s">
        <v>6171</v>
      </c>
      <c r="E1871" s="91">
        <v>2023</v>
      </c>
      <c r="F1871" s="91" t="s">
        <v>19</v>
      </c>
      <c r="G1871" s="91" t="s">
        <v>6291</v>
      </c>
      <c r="H1871" s="91" t="s">
        <v>6344</v>
      </c>
      <c r="I1871" s="91" t="s">
        <v>249</v>
      </c>
      <c r="J1871" s="91">
        <v>6199</v>
      </c>
      <c r="K1871" s="91">
        <f>6278+4484+1346+2332+2332+2332+2332+2332+6995+6995+6995+2332+4484+2332+1166</f>
        <v>55067</v>
      </c>
      <c r="L1871" s="91">
        <v>0</v>
      </c>
      <c r="M1871" s="91">
        <v>0</v>
      </c>
      <c r="N1871" s="91">
        <v>3148</v>
      </c>
      <c r="O1871" s="91">
        <v>0</v>
      </c>
      <c r="P1871" s="91">
        <v>0</v>
      </c>
      <c r="Q1871" s="104">
        <f t="shared" si="58"/>
        <v>64414</v>
      </c>
      <c r="R1871" s="95">
        <f t="shared" si="59"/>
        <v>54751.9</v>
      </c>
    </row>
    <row r="1872" spans="1:18" ht="34.049999999999997" customHeight="1" x14ac:dyDescent="0.3">
      <c r="A1872" s="90">
        <v>1861</v>
      </c>
      <c r="B1872" s="91" t="s">
        <v>6165</v>
      </c>
      <c r="C1872" s="91" t="s">
        <v>6172</v>
      </c>
      <c r="D1872" s="91" t="s">
        <v>6173</v>
      </c>
      <c r="E1872" s="91">
        <v>1994</v>
      </c>
      <c r="F1872" s="91" t="s">
        <v>19</v>
      </c>
      <c r="G1872" s="91" t="s">
        <v>6292</v>
      </c>
      <c r="H1872" s="91" t="s">
        <v>6345</v>
      </c>
      <c r="I1872" s="91" t="s">
        <v>277</v>
      </c>
      <c r="J1872" s="91">
        <v>6199</v>
      </c>
      <c r="K1872" s="91">
        <v>0</v>
      </c>
      <c r="L1872" s="91">
        <v>17279</v>
      </c>
      <c r="M1872" s="91">
        <v>0</v>
      </c>
      <c r="N1872" s="91">
        <v>19725</v>
      </c>
      <c r="O1872" s="91">
        <v>0</v>
      </c>
      <c r="P1872" s="91">
        <v>0</v>
      </c>
      <c r="Q1872" s="104">
        <f t="shared" si="58"/>
        <v>43203</v>
      </c>
      <c r="R1872" s="95">
        <f t="shared" si="59"/>
        <v>36722.550000000003</v>
      </c>
    </row>
    <row r="1873" spans="1:18" ht="34.049999999999997" customHeight="1" x14ac:dyDescent="0.3">
      <c r="A1873" s="96">
        <v>1862</v>
      </c>
      <c r="B1873" s="91" t="s">
        <v>6165</v>
      </c>
      <c r="C1873" s="91" t="s">
        <v>6174</v>
      </c>
      <c r="D1873" s="91" t="s">
        <v>6175</v>
      </c>
      <c r="E1873" s="91">
        <v>2005</v>
      </c>
      <c r="F1873" s="91" t="s">
        <v>19</v>
      </c>
      <c r="G1873" s="91" t="s">
        <v>6293</v>
      </c>
      <c r="H1873" s="91" t="s">
        <v>6346</v>
      </c>
      <c r="I1873" s="91" t="s">
        <v>6373</v>
      </c>
      <c r="J1873" s="91">
        <v>6199</v>
      </c>
      <c r="K1873" s="91">
        <f>6278+4484+2332+2332+2332+3228</f>
        <v>20986</v>
      </c>
      <c r="L1873" s="91">
        <v>0</v>
      </c>
      <c r="M1873" s="91">
        <v>0</v>
      </c>
      <c r="N1873" s="91">
        <f>22781+1793</f>
        <v>24574</v>
      </c>
      <c r="O1873" s="91">
        <v>0</v>
      </c>
      <c r="P1873" s="91">
        <v>0</v>
      </c>
      <c r="Q1873" s="104">
        <f t="shared" si="58"/>
        <v>51759</v>
      </c>
      <c r="R1873" s="95">
        <f t="shared" si="59"/>
        <v>43995.15</v>
      </c>
    </row>
    <row r="1874" spans="1:18" ht="34.049999999999997" customHeight="1" x14ac:dyDescent="0.3">
      <c r="A1874" s="90">
        <v>1863</v>
      </c>
      <c r="B1874" s="91" t="s">
        <v>6165</v>
      </c>
      <c r="C1874" s="91" t="s">
        <v>6176</v>
      </c>
      <c r="D1874" s="91" t="s">
        <v>6177</v>
      </c>
      <c r="E1874" s="91">
        <v>2022</v>
      </c>
      <c r="F1874" s="91" t="s">
        <v>19</v>
      </c>
      <c r="G1874" s="91" t="s">
        <v>6294</v>
      </c>
      <c r="H1874" s="91" t="s">
        <v>6347</v>
      </c>
      <c r="I1874" s="91" t="s">
        <v>1279</v>
      </c>
      <c r="J1874" s="91">
        <v>6199</v>
      </c>
      <c r="K1874" s="91">
        <f>6278+1346+4484+4484+2332+2332+2332+2332+2332+2332+6995+6995+2332+6995</f>
        <v>53901</v>
      </c>
      <c r="L1874" s="91">
        <v>0</v>
      </c>
      <c r="M1874" s="91">
        <v>0</v>
      </c>
      <c r="N1874" s="91">
        <v>3148</v>
      </c>
      <c r="O1874" s="91">
        <v>0</v>
      </c>
      <c r="P1874" s="91">
        <v>0</v>
      </c>
      <c r="Q1874" s="104">
        <f t="shared" si="58"/>
        <v>63248</v>
      </c>
      <c r="R1874" s="95">
        <f t="shared" si="59"/>
        <v>53760.800000000003</v>
      </c>
    </row>
    <row r="1875" spans="1:18" ht="34.049999999999997" customHeight="1" x14ac:dyDescent="0.3">
      <c r="A1875" s="90">
        <v>1864</v>
      </c>
      <c r="B1875" s="91" t="s">
        <v>6165</v>
      </c>
      <c r="C1875" s="91" t="s">
        <v>6178</v>
      </c>
      <c r="D1875" s="91" t="s">
        <v>660</v>
      </c>
      <c r="E1875" s="91">
        <v>2012</v>
      </c>
      <c r="F1875" s="91" t="s">
        <v>19</v>
      </c>
      <c r="G1875" s="91" t="s">
        <v>757</v>
      </c>
      <c r="H1875" s="91" t="s">
        <v>807</v>
      </c>
      <c r="I1875" s="91" t="s">
        <v>20</v>
      </c>
      <c r="J1875" s="91">
        <v>6199</v>
      </c>
      <c r="K1875" s="91">
        <v>0</v>
      </c>
      <c r="L1875" s="91">
        <v>0</v>
      </c>
      <c r="M1875" s="91">
        <v>0</v>
      </c>
      <c r="N1875" s="91">
        <v>0</v>
      </c>
      <c r="O1875" s="91">
        <v>0</v>
      </c>
      <c r="P1875" s="91">
        <v>0</v>
      </c>
      <c r="Q1875" s="104">
        <f t="shared" si="58"/>
        <v>6199</v>
      </c>
      <c r="R1875" s="95">
        <f t="shared" si="59"/>
        <v>5269.15</v>
      </c>
    </row>
    <row r="1876" spans="1:18" ht="34.049999999999997" customHeight="1" x14ac:dyDescent="0.3">
      <c r="A1876" s="96">
        <v>1865</v>
      </c>
      <c r="B1876" s="91" t="s">
        <v>6165</v>
      </c>
      <c r="C1876" s="91" t="s">
        <v>6179</v>
      </c>
      <c r="D1876" s="91" t="s">
        <v>6180</v>
      </c>
      <c r="E1876" s="91">
        <v>1990</v>
      </c>
      <c r="F1876" s="91" t="s">
        <v>18</v>
      </c>
      <c r="G1876" s="91" t="s">
        <v>2097</v>
      </c>
      <c r="H1876" s="91" t="s">
        <v>2097</v>
      </c>
      <c r="I1876" s="91" t="s">
        <v>1069</v>
      </c>
      <c r="J1876" s="91">
        <v>6199</v>
      </c>
      <c r="K1876" s="91">
        <f>1346+6278+4484+2332+2332+2332</f>
        <v>19104</v>
      </c>
      <c r="L1876" s="91">
        <v>0</v>
      </c>
      <c r="M1876" s="91">
        <v>0</v>
      </c>
      <c r="N1876" s="91">
        <v>1793</v>
      </c>
      <c r="O1876" s="91">
        <v>0</v>
      </c>
      <c r="P1876" s="91">
        <v>0</v>
      </c>
      <c r="Q1876" s="104">
        <f t="shared" si="58"/>
        <v>27096</v>
      </c>
      <c r="R1876" s="95">
        <f t="shared" si="59"/>
        <v>23031.599999999999</v>
      </c>
    </row>
    <row r="1877" spans="1:18" ht="34.049999999999997" customHeight="1" x14ac:dyDescent="0.3">
      <c r="A1877" s="90">
        <v>1866</v>
      </c>
      <c r="B1877" s="91" t="s">
        <v>6165</v>
      </c>
      <c r="C1877" s="91" t="s">
        <v>6181</v>
      </c>
      <c r="D1877" s="91" t="s">
        <v>1765</v>
      </c>
      <c r="E1877" s="91">
        <v>2021</v>
      </c>
      <c r="F1877" s="91" t="s">
        <v>19</v>
      </c>
      <c r="G1877" s="91" t="s">
        <v>1829</v>
      </c>
      <c r="H1877" s="91" t="s">
        <v>1870</v>
      </c>
      <c r="I1877" s="91" t="s">
        <v>1050</v>
      </c>
      <c r="J1877" s="91">
        <v>6199</v>
      </c>
      <c r="K1877" s="91">
        <f>6278+4484+2332+1346+2332+2332+2332+2332+6995+6995+2332+6995+2332+4484</f>
        <v>53901</v>
      </c>
      <c r="L1877" s="91">
        <v>0</v>
      </c>
      <c r="M1877" s="91">
        <v>0</v>
      </c>
      <c r="N1877" s="91">
        <v>3148</v>
      </c>
      <c r="O1877" s="91">
        <v>0</v>
      </c>
      <c r="P1877" s="91">
        <v>0</v>
      </c>
      <c r="Q1877" s="104">
        <f t="shared" si="58"/>
        <v>63248</v>
      </c>
      <c r="R1877" s="95">
        <f t="shared" si="59"/>
        <v>53760.800000000003</v>
      </c>
    </row>
    <row r="1878" spans="1:18" ht="34.049999999999997" customHeight="1" x14ac:dyDescent="0.3">
      <c r="A1878" s="90">
        <v>1867</v>
      </c>
      <c r="B1878" s="91" t="s">
        <v>6165</v>
      </c>
      <c r="C1878" s="91" t="s">
        <v>6182</v>
      </c>
      <c r="D1878" s="91" t="s">
        <v>6183</v>
      </c>
      <c r="E1878" s="91">
        <v>1987</v>
      </c>
      <c r="F1878" s="91" t="s">
        <v>19</v>
      </c>
      <c r="G1878" s="91" t="s">
        <v>6295</v>
      </c>
      <c r="H1878" s="91" t="s">
        <v>6348</v>
      </c>
      <c r="I1878" s="91" t="s">
        <v>1050</v>
      </c>
      <c r="J1878" s="91">
        <v>6199</v>
      </c>
      <c r="K1878" s="91">
        <f>1346+6278+4484</f>
        <v>12108</v>
      </c>
      <c r="L1878" s="91">
        <v>0</v>
      </c>
      <c r="M1878" s="91">
        <v>0</v>
      </c>
      <c r="N1878" s="91">
        <v>1793</v>
      </c>
      <c r="O1878" s="91">
        <v>0</v>
      </c>
      <c r="P1878" s="91">
        <v>0</v>
      </c>
      <c r="Q1878" s="104">
        <f t="shared" si="58"/>
        <v>20100</v>
      </c>
      <c r="R1878" s="95">
        <f t="shared" si="59"/>
        <v>17085</v>
      </c>
    </row>
    <row r="1879" spans="1:18" ht="34.049999999999997" customHeight="1" x14ac:dyDescent="0.3">
      <c r="A1879" s="96">
        <v>1868</v>
      </c>
      <c r="B1879" s="91" t="s">
        <v>6165</v>
      </c>
      <c r="C1879" s="91" t="s">
        <v>6184</v>
      </c>
      <c r="D1879" s="91" t="s">
        <v>6185</v>
      </c>
      <c r="E1879" s="91">
        <v>1983</v>
      </c>
      <c r="F1879" s="91" t="s">
        <v>18</v>
      </c>
      <c r="G1879" s="91" t="s">
        <v>6296</v>
      </c>
      <c r="H1879" s="91" t="s">
        <v>6296</v>
      </c>
      <c r="I1879" s="91" t="s">
        <v>576</v>
      </c>
      <c r="J1879" s="91">
        <v>6199</v>
      </c>
      <c r="K1879" s="91">
        <f>1346+6278+4484+2332+2332+2332</f>
        <v>19104</v>
      </c>
      <c r="L1879" s="91">
        <v>0</v>
      </c>
      <c r="M1879" s="91">
        <v>0</v>
      </c>
      <c r="N1879" s="91">
        <v>1793</v>
      </c>
      <c r="O1879" s="91">
        <v>0</v>
      </c>
      <c r="P1879" s="91">
        <v>0</v>
      </c>
      <c r="Q1879" s="104">
        <f t="shared" si="58"/>
        <v>27096</v>
      </c>
      <c r="R1879" s="95">
        <f t="shared" si="59"/>
        <v>23031.599999999999</v>
      </c>
    </row>
    <row r="1880" spans="1:18" ht="34.049999999999997" customHeight="1" x14ac:dyDescent="0.3">
      <c r="A1880" s="90">
        <v>1869</v>
      </c>
      <c r="B1880" s="91" t="s">
        <v>6165</v>
      </c>
      <c r="C1880" s="91" t="s">
        <v>6186</v>
      </c>
      <c r="D1880" s="91" t="s">
        <v>6187</v>
      </c>
      <c r="E1880" s="91">
        <v>2024</v>
      </c>
      <c r="F1880" s="91" t="s">
        <v>18</v>
      </c>
      <c r="G1880" s="91" t="s">
        <v>6297</v>
      </c>
      <c r="H1880" s="91" t="s">
        <v>6349</v>
      </c>
      <c r="I1880" s="91" t="s">
        <v>6374</v>
      </c>
      <c r="J1880" s="91">
        <v>6199</v>
      </c>
      <c r="K1880" s="91">
        <f>6278+4484+2332+1346+2332+2332+2332+2332+6995+6995+2332+6995+2332+4484</f>
        <v>53901</v>
      </c>
      <c r="L1880" s="91">
        <v>0</v>
      </c>
      <c r="M1880" s="91">
        <v>0</v>
      </c>
      <c r="N1880" s="91">
        <v>3148</v>
      </c>
      <c r="O1880" s="91">
        <v>0</v>
      </c>
      <c r="P1880" s="91">
        <v>63</v>
      </c>
      <c r="Q1880" s="104">
        <f t="shared" si="58"/>
        <v>63311</v>
      </c>
      <c r="R1880" s="95">
        <f t="shared" si="59"/>
        <v>53814.35</v>
      </c>
    </row>
    <row r="1881" spans="1:18" ht="34.049999999999997" customHeight="1" x14ac:dyDescent="0.3">
      <c r="A1881" s="90">
        <v>1870</v>
      </c>
      <c r="B1881" s="91" t="s">
        <v>6165</v>
      </c>
      <c r="C1881" s="91" t="s">
        <v>6188</v>
      </c>
      <c r="D1881" s="91" t="s">
        <v>6189</v>
      </c>
      <c r="E1881" s="91">
        <v>1983</v>
      </c>
      <c r="F1881" s="91" t="s">
        <v>19</v>
      </c>
      <c r="G1881" s="91" t="s">
        <v>6298</v>
      </c>
      <c r="H1881" s="91" t="s">
        <v>6298</v>
      </c>
      <c r="I1881" s="91" t="s">
        <v>1279</v>
      </c>
      <c r="J1881" s="91">
        <v>6199</v>
      </c>
      <c r="K1881" s="91">
        <f>1166+2801</f>
        <v>3967</v>
      </c>
      <c r="L1881" s="91">
        <v>20807</v>
      </c>
      <c r="M1881" s="91">
        <v>0</v>
      </c>
      <c r="N1881" s="91">
        <v>0</v>
      </c>
      <c r="O1881" s="91">
        <v>0</v>
      </c>
      <c r="P1881" s="91">
        <v>0</v>
      </c>
      <c r="Q1881" s="104">
        <f t="shared" si="58"/>
        <v>30973</v>
      </c>
      <c r="R1881" s="95">
        <f t="shared" si="59"/>
        <v>26327.05</v>
      </c>
    </row>
    <row r="1882" spans="1:18" ht="34.049999999999997" customHeight="1" x14ac:dyDescent="0.3">
      <c r="A1882" s="96">
        <v>1871</v>
      </c>
      <c r="B1882" s="91" t="s">
        <v>6165</v>
      </c>
      <c r="C1882" s="91" t="s">
        <v>6190</v>
      </c>
      <c r="D1882" s="91" t="s">
        <v>6191</v>
      </c>
      <c r="E1882" s="91">
        <v>2008</v>
      </c>
      <c r="F1882" s="91" t="s">
        <v>19</v>
      </c>
      <c r="G1882" s="91" t="s">
        <v>6299</v>
      </c>
      <c r="H1882" s="91" t="s">
        <v>6350</v>
      </c>
      <c r="I1882" s="91" t="s">
        <v>6375</v>
      </c>
      <c r="J1882" s="91">
        <v>6199</v>
      </c>
      <c r="K1882" s="91">
        <f>1346+6278+4484</f>
        <v>12108</v>
      </c>
      <c r="L1882" s="91">
        <v>0</v>
      </c>
      <c r="M1882" s="91">
        <v>0</v>
      </c>
      <c r="N1882" s="91">
        <v>1793</v>
      </c>
      <c r="O1882" s="91">
        <v>0</v>
      </c>
      <c r="P1882" s="91">
        <v>0</v>
      </c>
      <c r="Q1882" s="104">
        <f t="shared" si="58"/>
        <v>20100</v>
      </c>
      <c r="R1882" s="95">
        <f t="shared" si="59"/>
        <v>17085</v>
      </c>
    </row>
    <row r="1883" spans="1:18" ht="34.049999999999997" customHeight="1" x14ac:dyDescent="0.3">
      <c r="A1883" s="90">
        <v>1872</v>
      </c>
      <c r="B1883" s="91" t="s">
        <v>6165</v>
      </c>
      <c r="C1883" s="91" t="s">
        <v>6192</v>
      </c>
      <c r="D1883" s="91" t="s">
        <v>6193</v>
      </c>
      <c r="E1883" s="91">
        <v>1980</v>
      </c>
      <c r="F1883" s="91" t="s">
        <v>19</v>
      </c>
      <c r="G1883" s="91" t="s">
        <v>6300</v>
      </c>
      <c r="H1883" s="91" t="s">
        <v>6300</v>
      </c>
      <c r="I1883" s="91" t="s">
        <v>6376</v>
      </c>
      <c r="J1883" s="91">
        <v>6199</v>
      </c>
      <c r="K1883" s="91">
        <v>0</v>
      </c>
      <c r="L1883" s="91">
        <v>0</v>
      </c>
      <c r="M1883" s="91">
        <v>0</v>
      </c>
      <c r="N1883" s="91">
        <v>0</v>
      </c>
      <c r="O1883" s="91">
        <v>0</v>
      </c>
      <c r="P1883" s="91">
        <v>0</v>
      </c>
      <c r="Q1883" s="104">
        <f t="shared" si="58"/>
        <v>6199</v>
      </c>
      <c r="R1883" s="95">
        <f t="shared" si="59"/>
        <v>5269.15</v>
      </c>
    </row>
    <row r="1884" spans="1:18" ht="34.049999999999997" customHeight="1" x14ac:dyDescent="0.3">
      <c r="A1884" s="90">
        <v>1873</v>
      </c>
      <c r="B1884" s="91" t="s">
        <v>6165</v>
      </c>
      <c r="C1884" s="91" t="s">
        <v>6194</v>
      </c>
      <c r="D1884" s="91" t="s">
        <v>6195</v>
      </c>
      <c r="E1884" s="91">
        <v>2015</v>
      </c>
      <c r="F1884" s="91" t="s">
        <v>19</v>
      </c>
      <c r="G1884" s="91" t="s">
        <v>6301</v>
      </c>
      <c r="H1884" s="91" t="s">
        <v>6351</v>
      </c>
      <c r="I1884" s="91" t="s">
        <v>836</v>
      </c>
      <c r="J1884" s="91">
        <v>6199</v>
      </c>
      <c r="K1884" s="91">
        <v>0</v>
      </c>
      <c r="L1884" s="91">
        <v>0</v>
      </c>
      <c r="M1884" s="91">
        <v>0</v>
      </c>
      <c r="N1884" s="91">
        <v>0</v>
      </c>
      <c r="O1884" s="91">
        <v>0</v>
      </c>
      <c r="P1884" s="91">
        <v>0</v>
      </c>
      <c r="Q1884" s="104">
        <f t="shared" si="58"/>
        <v>6199</v>
      </c>
      <c r="R1884" s="95">
        <f t="shared" si="59"/>
        <v>5269.15</v>
      </c>
    </row>
    <row r="1885" spans="1:18" ht="34.049999999999997" customHeight="1" x14ac:dyDescent="0.3">
      <c r="A1885" s="96">
        <v>1874</v>
      </c>
      <c r="B1885" s="91" t="s">
        <v>6165</v>
      </c>
      <c r="C1885" s="91" t="s">
        <v>6196</v>
      </c>
      <c r="D1885" s="91" t="s">
        <v>6197</v>
      </c>
      <c r="E1885" s="91">
        <v>2015</v>
      </c>
      <c r="F1885" s="91" t="s">
        <v>18</v>
      </c>
      <c r="G1885" s="91" t="s">
        <v>6302</v>
      </c>
      <c r="H1885" s="91" t="s">
        <v>6352</v>
      </c>
      <c r="I1885" s="91" t="s">
        <v>289</v>
      </c>
      <c r="J1885" s="91">
        <v>6199</v>
      </c>
      <c r="K1885" s="91">
        <f>1346+6278+4484+2332+2332+2332+4484+2332+2332+2332+6995+6995+2332+6995</f>
        <v>53901</v>
      </c>
      <c r="L1885" s="91">
        <v>0</v>
      </c>
      <c r="M1885" s="91">
        <v>0</v>
      </c>
      <c r="N1885" s="91">
        <f>3148+4053+1178+2088</f>
        <v>10467</v>
      </c>
      <c r="O1885" s="91">
        <v>0</v>
      </c>
      <c r="P1885" s="91">
        <f>720+1080+120+720+56</f>
        <v>2696</v>
      </c>
      <c r="Q1885" s="104">
        <f t="shared" si="58"/>
        <v>73263</v>
      </c>
      <c r="R1885" s="95">
        <f t="shared" si="59"/>
        <v>62273.55</v>
      </c>
    </row>
    <row r="1886" spans="1:18" ht="34.049999999999997" customHeight="1" x14ac:dyDescent="0.3">
      <c r="A1886" s="90">
        <v>1875</v>
      </c>
      <c r="B1886" s="91" t="s">
        <v>6165</v>
      </c>
      <c r="C1886" s="91" t="s">
        <v>6198</v>
      </c>
      <c r="D1886" s="91" t="s">
        <v>3971</v>
      </c>
      <c r="E1886" s="91">
        <v>2021</v>
      </c>
      <c r="F1886" s="91" t="s">
        <v>18</v>
      </c>
      <c r="G1886" s="91" t="s">
        <v>4100</v>
      </c>
      <c r="H1886" s="91" t="s">
        <v>4165</v>
      </c>
      <c r="I1886" s="91" t="s">
        <v>4206</v>
      </c>
      <c r="J1886" s="91">
        <v>3582</v>
      </c>
      <c r="K1886" s="91">
        <v>0</v>
      </c>
      <c r="L1886" s="91">
        <v>0</v>
      </c>
      <c r="M1886" s="91">
        <v>0</v>
      </c>
      <c r="N1886" s="91">
        <v>0</v>
      </c>
      <c r="O1886" s="91">
        <v>0</v>
      </c>
      <c r="P1886" s="91">
        <v>0</v>
      </c>
      <c r="Q1886" s="104">
        <f t="shared" si="58"/>
        <v>3582</v>
      </c>
      <c r="R1886" s="95">
        <f t="shared" si="59"/>
        <v>3044.7</v>
      </c>
    </row>
    <row r="1887" spans="1:18" ht="34.049999999999997" customHeight="1" x14ac:dyDescent="0.3">
      <c r="A1887" s="90">
        <v>1876</v>
      </c>
      <c r="B1887" s="91" t="s">
        <v>6165</v>
      </c>
      <c r="C1887" s="91" t="s">
        <v>6199</v>
      </c>
      <c r="D1887" s="91" t="s">
        <v>6200</v>
      </c>
      <c r="E1887" s="91">
        <v>2022</v>
      </c>
      <c r="F1887" s="91" t="s">
        <v>19</v>
      </c>
      <c r="G1887" s="91" t="s">
        <v>6303</v>
      </c>
      <c r="H1887" s="91" t="s">
        <v>6353</v>
      </c>
      <c r="I1887" s="91" t="s">
        <v>6377</v>
      </c>
      <c r="J1887" s="91">
        <v>6199</v>
      </c>
      <c r="K1887" s="91">
        <f>6278+4484+2332+1346+2332+2332+2332+2332+6995+6995+2332+6995+4484+2332</f>
        <v>53901</v>
      </c>
      <c r="L1887" s="91">
        <v>0</v>
      </c>
      <c r="M1887" s="91">
        <v>0</v>
      </c>
      <c r="N1887" s="91">
        <v>3148</v>
      </c>
      <c r="O1887" s="91">
        <v>0</v>
      </c>
      <c r="P1887" s="91">
        <v>63</v>
      </c>
      <c r="Q1887" s="104">
        <f t="shared" si="58"/>
        <v>63311</v>
      </c>
      <c r="R1887" s="95">
        <f t="shared" si="59"/>
        <v>53814.35</v>
      </c>
    </row>
    <row r="1888" spans="1:18" ht="34.049999999999997" customHeight="1" x14ac:dyDescent="0.3">
      <c r="A1888" s="96">
        <v>1877</v>
      </c>
      <c r="B1888" s="91" t="s">
        <v>6165</v>
      </c>
      <c r="C1888" s="91" t="s">
        <v>6201</v>
      </c>
      <c r="D1888" s="91" t="s">
        <v>6202</v>
      </c>
      <c r="E1888" s="91">
        <v>1990</v>
      </c>
      <c r="F1888" s="91" t="s">
        <v>19</v>
      </c>
      <c r="G1888" s="91" t="s">
        <v>6304</v>
      </c>
      <c r="H1888" s="91" t="s">
        <v>6354</v>
      </c>
      <c r="I1888" s="91" t="s">
        <v>1471</v>
      </c>
      <c r="J1888" s="91">
        <v>6199</v>
      </c>
      <c r="K1888" s="91">
        <v>0</v>
      </c>
      <c r="L1888" s="91">
        <v>17279</v>
      </c>
      <c r="M1888" s="91">
        <v>0</v>
      </c>
      <c r="N1888" s="91">
        <v>19725</v>
      </c>
      <c r="O1888" s="91">
        <v>0</v>
      </c>
      <c r="P1888" s="91">
        <v>0</v>
      </c>
      <c r="Q1888" s="104">
        <f t="shared" si="58"/>
        <v>43203</v>
      </c>
      <c r="R1888" s="95">
        <f t="shared" si="59"/>
        <v>36722.550000000003</v>
      </c>
    </row>
    <row r="1889" spans="1:18" ht="34.049999999999997" customHeight="1" x14ac:dyDescent="0.3">
      <c r="A1889" s="90">
        <v>1878</v>
      </c>
      <c r="B1889" s="91" t="s">
        <v>6165</v>
      </c>
      <c r="C1889" s="91" t="s">
        <v>6203</v>
      </c>
      <c r="D1889" s="91" t="s">
        <v>6204</v>
      </c>
      <c r="E1889" s="91">
        <v>1997</v>
      </c>
      <c r="F1889" s="91" t="s">
        <v>19</v>
      </c>
      <c r="G1889" s="91" t="s">
        <v>6305</v>
      </c>
      <c r="H1889" s="91" t="s">
        <v>6305</v>
      </c>
      <c r="I1889" s="91" t="s">
        <v>6378</v>
      </c>
      <c r="J1889" s="91">
        <v>6199</v>
      </c>
      <c r="K1889" s="91">
        <v>0</v>
      </c>
      <c r="L1889" s="91">
        <v>0</v>
      </c>
      <c r="M1889" s="91">
        <v>0</v>
      </c>
      <c r="N1889" s="91">
        <v>0</v>
      </c>
      <c r="O1889" s="91">
        <v>0</v>
      </c>
      <c r="P1889" s="91">
        <v>0</v>
      </c>
      <c r="Q1889" s="104">
        <f t="shared" si="58"/>
        <v>6199</v>
      </c>
      <c r="R1889" s="95">
        <f t="shared" si="59"/>
        <v>5269.15</v>
      </c>
    </row>
    <row r="1890" spans="1:18" ht="34.049999999999997" customHeight="1" x14ac:dyDescent="0.3">
      <c r="A1890" s="90">
        <v>1879</v>
      </c>
      <c r="B1890" s="91" t="s">
        <v>6165</v>
      </c>
      <c r="C1890" s="91" t="s">
        <v>6205</v>
      </c>
      <c r="D1890" s="91" t="s">
        <v>6206</v>
      </c>
      <c r="E1890" s="91">
        <v>2020</v>
      </c>
      <c r="F1890" s="91" t="s">
        <v>18</v>
      </c>
      <c r="G1890" s="91" t="s">
        <v>6306</v>
      </c>
      <c r="H1890" s="91" t="s">
        <v>6355</v>
      </c>
      <c r="I1890" s="91" t="s">
        <v>6379</v>
      </c>
      <c r="J1890" s="91">
        <v>6199</v>
      </c>
      <c r="K1890" s="91">
        <f>6278+4484+2332+1346</f>
        <v>14440</v>
      </c>
      <c r="L1890" s="91">
        <v>0</v>
      </c>
      <c r="M1890" s="91">
        <v>0</v>
      </c>
      <c r="N1890" s="91">
        <v>3148</v>
      </c>
      <c r="O1890" s="91">
        <v>0</v>
      </c>
      <c r="P1890" s="91">
        <v>0</v>
      </c>
      <c r="Q1890" s="104">
        <f t="shared" si="58"/>
        <v>23787</v>
      </c>
      <c r="R1890" s="95">
        <f t="shared" si="59"/>
        <v>20218.95</v>
      </c>
    </row>
    <row r="1891" spans="1:18" ht="34.049999999999997" customHeight="1" x14ac:dyDescent="0.3">
      <c r="A1891" s="96">
        <v>1880</v>
      </c>
      <c r="B1891" s="91" t="s">
        <v>6165</v>
      </c>
      <c r="C1891" s="91" t="s">
        <v>6207</v>
      </c>
      <c r="D1891" s="91" t="s">
        <v>6208</v>
      </c>
      <c r="E1891" s="91">
        <v>1980</v>
      </c>
      <c r="F1891" s="91" t="s">
        <v>18</v>
      </c>
      <c r="G1891" s="91" t="s">
        <v>6307</v>
      </c>
      <c r="H1891" s="91" t="s">
        <v>6307</v>
      </c>
      <c r="I1891" s="91" t="s">
        <v>1084</v>
      </c>
      <c r="J1891" s="91">
        <v>6199</v>
      </c>
      <c r="K1891" s="91">
        <f>1346+6278+4484+2332+2332+2332</f>
        <v>19104</v>
      </c>
      <c r="L1891" s="91">
        <v>0</v>
      </c>
      <c r="M1891" s="91">
        <v>0</v>
      </c>
      <c r="N1891" s="91">
        <v>1793</v>
      </c>
      <c r="O1891" s="91">
        <v>0</v>
      </c>
      <c r="P1891" s="91">
        <v>0</v>
      </c>
      <c r="Q1891" s="104">
        <f t="shared" si="58"/>
        <v>27096</v>
      </c>
      <c r="R1891" s="95">
        <f t="shared" si="59"/>
        <v>23031.599999999999</v>
      </c>
    </row>
    <row r="1892" spans="1:18" ht="34.049999999999997" customHeight="1" x14ac:dyDescent="0.3">
      <c r="A1892" s="90">
        <v>1881</v>
      </c>
      <c r="B1892" s="91" t="s">
        <v>6165</v>
      </c>
      <c r="C1892" s="91" t="s">
        <v>6209</v>
      </c>
      <c r="D1892" s="91" t="s">
        <v>6210</v>
      </c>
      <c r="E1892" s="91">
        <v>1999</v>
      </c>
      <c r="F1892" s="91" t="s">
        <v>19</v>
      </c>
      <c r="G1892" s="91" t="s">
        <v>6308</v>
      </c>
      <c r="H1892" s="91" t="s">
        <v>6308</v>
      </c>
      <c r="I1892" s="91" t="s">
        <v>1064</v>
      </c>
      <c r="J1892" s="91">
        <v>6199</v>
      </c>
      <c r="K1892" s="91">
        <v>0</v>
      </c>
      <c r="L1892" s="91">
        <v>0</v>
      </c>
      <c r="M1892" s="91">
        <v>0</v>
      </c>
      <c r="N1892" s="91">
        <v>0</v>
      </c>
      <c r="O1892" s="91">
        <v>0</v>
      </c>
      <c r="P1892" s="91">
        <v>0</v>
      </c>
      <c r="Q1892" s="104">
        <f t="shared" si="58"/>
        <v>6199</v>
      </c>
      <c r="R1892" s="95">
        <f t="shared" si="59"/>
        <v>5269.15</v>
      </c>
    </row>
    <row r="1893" spans="1:18" ht="34.049999999999997" customHeight="1" x14ac:dyDescent="0.3">
      <c r="A1893" s="90">
        <v>1882</v>
      </c>
      <c r="B1893" s="91" t="s">
        <v>6165</v>
      </c>
      <c r="C1893" s="91" t="s">
        <v>6211</v>
      </c>
      <c r="D1893" s="91" t="s">
        <v>6212</v>
      </c>
      <c r="E1893" s="91">
        <v>2025</v>
      </c>
      <c r="F1893" s="91" t="s">
        <v>19</v>
      </c>
      <c r="G1893" s="91" t="s">
        <v>6309</v>
      </c>
      <c r="H1893" s="91" t="s">
        <v>6356</v>
      </c>
      <c r="I1893" s="91" t="s">
        <v>3944</v>
      </c>
      <c r="J1893" s="91">
        <v>6199</v>
      </c>
      <c r="K1893" s="91">
        <v>0</v>
      </c>
      <c r="L1893" s="91">
        <v>0</v>
      </c>
      <c r="M1893" s="91">
        <v>0</v>
      </c>
      <c r="N1893" s="91">
        <v>0</v>
      </c>
      <c r="O1893" s="91">
        <v>0</v>
      </c>
      <c r="P1893" s="91">
        <v>0</v>
      </c>
      <c r="Q1893" s="104">
        <f t="shared" si="58"/>
        <v>6199</v>
      </c>
      <c r="R1893" s="95">
        <f t="shared" si="59"/>
        <v>5269.15</v>
      </c>
    </row>
    <row r="1894" spans="1:18" ht="34.049999999999997" customHeight="1" x14ac:dyDescent="0.3">
      <c r="A1894" s="96">
        <v>1883</v>
      </c>
      <c r="B1894" s="91" t="s">
        <v>6165</v>
      </c>
      <c r="C1894" s="91" t="s">
        <v>6213</v>
      </c>
      <c r="D1894" s="91" t="s">
        <v>6214</v>
      </c>
      <c r="E1894" s="91">
        <v>2023</v>
      </c>
      <c r="F1894" s="91" t="s">
        <v>19</v>
      </c>
      <c r="G1894" s="91" t="s">
        <v>6310</v>
      </c>
      <c r="H1894" s="91" t="s">
        <v>6357</v>
      </c>
      <c r="I1894" s="91" t="s">
        <v>6380</v>
      </c>
      <c r="J1894" s="91">
        <v>6199</v>
      </c>
      <c r="K1894" s="91">
        <f>1346+6278+4484+4484+1166+2332+2332+2332+6995+6995+2332+6995+2332+2332+2332</f>
        <v>55067</v>
      </c>
      <c r="L1894" s="91">
        <v>0</v>
      </c>
      <c r="M1894" s="91">
        <v>0</v>
      </c>
      <c r="N1894" s="91">
        <v>3148</v>
      </c>
      <c r="O1894" s="91">
        <v>0</v>
      </c>
      <c r="P1894" s="91">
        <v>0</v>
      </c>
      <c r="Q1894" s="104">
        <f t="shared" si="58"/>
        <v>64414</v>
      </c>
      <c r="R1894" s="95">
        <f t="shared" si="59"/>
        <v>54751.9</v>
      </c>
    </row>
    <row r="1895" spans="1:18" ht="34.049999999999997" customHeight="1" x14ac:dyDescent="0.3">
      <c r="A1895" s="90">
        <v>1884</v>
      </c>
      <c r="B1895" s="91" t="s">
        <v>6165</v>
      </c>
      <c r="C1895" s="91" t="s">
        <v>6215</v>
      </c>
      <c r="D1895" s="91" t="s">
        <v>6216</v>
      </c>
      <c r="E1895" s="91">
        <v>2023</v>
      </c>
      <c r="F1895" s="91" t="s">
        <v>18</v>
      </c>
      <c r="G1895" s="91" t="s">
        <v>6311</v>
      </c>
      <c r="H1895" s="91" t="s">
        <v>6315</v>
      </c>
      <c r="I1895" s="91" t="s">
        <v>1064</v>
      </c>
      <c r="J1895" s="91">
        <v>6199</v>
      </c>
      <c r="K1895" s="91">
        <v>0</v>
      </c>
      <c r="L1895" s="91">
        <v>0</v>
      </c>
      <c r="M1895" s="91">
        <v>0</v>
      </c>
      <c r="N1895" s="91">
        <v>0</v>
      </c>
      <c r="O1895" s="91">
        <v>0</v>
      </c>
      <c r="P1895" s="91">
        <v>0</v>
      </c>
      <c r="Q1895" s="104">
        <f t="shared" si="58"/>
        <v>6199</v>
      </c>
      <c r="R1895" s="95">
        <f t="shared" si="59"/>
        <v>5269.15</v>
      </c>
    </row>
    <row r="1896" spans="1:18" ht="34.049999999999997" customHeight="1" x14ac:dyDescent="0.3">
      <c r="A1896" s="90">
        <v>1885</v>
      </c>
      <c r="B1896" s="91" t="s">
        <v>6165</v>
      </c>
      <c r="C1896" s="91" t="s">
        <v>6217</v>
      </c>
      <c r="D1896" s="91" t="s">
        <v>6218</v>
      </c>
      <c r="E1896" s="91">
        <v>2025</v>
      </c>
      <c r="F1896" s="91" t="s">
        <v>19</v>
      </c>
      <c r="G1896" s="91" t="s">
        <v>6312</v>
      </c>
      <c r="H1896" s="91" t="s">
        <v>6358</v>
      </c>
      <c r="I1896" s="91" t="s">
        <v>27</v>
      </c>
      <c r="J1896" s="91">
        <v>6199</v>
      </c>
      <c r="K1896" s="91">
        <f>6278+4484+2332+1346</f>
        <v>14440</v>
      </c>
      <c r="L1896" s="91">
        <v>0</v>
      </c>
      <c r="M1896" s="91">
        <v>0</v>
      </c>
      <c r="N1896" s="91">
        <v>3148</v>
      </c>
      <c r="O1896" s="91">
        <v>0</v>
      </c>
      <c r="P1896" s="91">
        <v>63</v>
      </c>
      <c r="Q1896" s="104">
        <f t="shared" si="58"/>
        <v>23850</v>
      </c>
      <c r="R1896" s="95">
        <f t="shared" si="59"/>
        <v>20272.5</v>
      </c>
    </row>
    <row r="1897" spans="1:18" ht="34.049999999999997" customHeight="1" x14ac:dyDescent="0.3">
      <c r="A1897" s="96">
        <v>1886</v>
      </c>
      <c r="B1897" s="91" t="s">
        <v>6165</v>
      </c>
      <c r="C1897" s="91" t="s">
        <v>6219</v>
      </c>
      <c r="D1897" s="91" t="s">
        <v>5265</v>
      </c>
      <c r="E1897" s="91">
        <v>1970</v>
      </c>
      <c r="F1897" s="91" t="s">
        <v>18</v>
      </c>
      <c r="G1897" s="91" t="s">
        <v>5344</v>
      </c>
      <c r="H1897" s="91" t="s">
        <v>5344</v>
      </c>
      <c r="I1897" s="91" t="s">
        <v>1280</v>
      </c>
      <c r="J1897" s="91">
        <v>6199</v>
      </c>
      <c r="K1897" s="91">
        <f>1346+6278+4484+2332+2332+2332</f>
        <v>19104</v>
      </c>
      <c r="L1897" s="91">
        <v>0</v>
      </c>
      <c r="M1897" s="91">
        <v>0</v>
      </c>
      <c r="N1897" s="91">
        <v>1793</v>
      </c>
      <c r="O1897" s="91">
        <v>0</v>
      </c>
      <c r="P1897" s="91">
        <v>0</v>
      </c>
      <c r="Q1897" s="104">
        <f t="shared" si="58"/>
        <v>27096</v>
      </c>
      <c r="R1897" s="95">
        <f t="shared" si="59"/>
        <v>23031.599999999999</v>
      </c>
    </row>
    <row r="1898" spans="1:18" ht="34.049999999999997" customHeight="1" x14ac:dyDescent="0.3">
      <c r="A1898" s="90">
        <v>1887</v>
      </c>
      <c r="B1898" s="91" t="s">
        <v>6165</v>
      </c>
      <c r="C1898" s="91" t="s">
        <v>6220</v>
      </c>
      <c r="D1898" s="91" t="s">
        <v>2636</v>
      </c>
      <c r="E1898" s="91">
        <v>2024</v>
      </c>
      <c r="F1898" s="91" t="s">
        <v>18</v>
      </c>
      <c r="G1898" s="91" t="s">
        <v>6313</v>
      </c>
      <c r="H1898" s="91" t="s">
        <v>6359</v>
      </c>
      <c r="I1898" s="91" t="s">
        <v>3684</v>
      </c>
      <c r="J1898" s="91">
        <v>6199</v>
      </c>
      <c r="K1898" s="91">
        <f>1346+6278+4484+4484+2332+2332+2332+2332+2332+2332+6995+6995+2332+6995</f>
        <v>53901</v>
      </c>
      <c r="L1898" s="91">
        <v>0</v>
      </c>
      <c r="M1898" s="91">
        <v>0</v>
      </c>
      <c r="N1898" s="91">
        <v>3148</v>
      </c>
      <c r="O1898" s="91">
        <v>0</v>
      </c>
      <c r="P1898" s="91">
        <v>63</v>
      </c>
      <c r="Q1898" s="104">
        <f t="shared" si="58"/>
        <v>63311</v>
      </c>
      <c r="R1898" s="95">
        <f t="shared" si="59"/>
        <v>53814.35</v>
      </c>
    </row>
    <row r="1899" spans="1:18" ht="34.049999999999997" customHeight="1" x14ac:dyDescent="0.3">
      <c r="A1899" s="90">
        <v>1888</v>
      </c>
      <c r="B1899" s="91" t="s">
        <v>6165</v>
      </c>
      <c r="C1899" s="91" t="s">
        <v>6221</v>
      </c>
      <c r="D1899" s="91" t="s">
        <v>6222</v>
      </c>
      <c r="E1899" s="91">
        <v>1991</v>
      </c>
      <c r="F1899" s="91" t="s">
        <v>18</v>
      </c>
      <c r="G1899" s="91" t="s">
        <v>6314</v>
      </c>
      <c r="H1899" s="91" t="s">
        <v>6314</v>
      </c>
      <c r="I1899" s="91" t="s">
        <v>297</v>
      </c>
      <c r="J1899" s="91">
        <v>6199</v>
      </c>
      <c r="K1899" s="91">
        <f>1346+6278+4484</f>
        <v>12108</v>
      </c>
      <c r="L1899" s="91">
        <v>0</v>
      </c>
      <c r="M1899" s="91">
        <v>0</v>
      </c>
      <c r="N1899" s="91">
        <v>1793</v>
      </c>
      <c r="O1899" s="91">
        <v>0</v>
      </c>
      <c r="P1899" s="91">
        <v>0</v>
      </c>
      <c r="Q1899" s="104">
        <f t="shared" si="58"/>
        <v>20100</v>
      </c>
      <c r="R1899" s="95">
        <f t="shared" si="59"/>
        <v>17085</v>
      </c>
    </row>
    <row r="1900" spans="1:18" ht="34.049999999999997" customHeight="1" x14ac:dyDescent="0.3">
      <c r="A1900" s="96">
        <v>1889</v>
      </c>
      <c r="B1900" s="91" t="s">
        <v>6165</v>
      </c>
      <c r="C1900" s="91" t="s">
        <v>6223</v>
      </c>
      <c r="D1900" s="91" t="s">
        <v>6224</v>
      </c>
      <c r="E1900" s="91">
        <v>1993</v>
      </c>
      <c r="F1900" s="91" t="s">
        <v>19</v>
      </c>
      <c r="G1900" s="91" t="s">
        <v>6315</v>
      </c>
      <c r="H1900" s="91" t="s">
        <v>6315</v>
      </c>
      <c r="I1900" s="91" t="s">
        <v>1064</v>
      </c>
      <c r="J1900" s="91">
        <v>6199</v>
      </c>
      <c r="K1900" s="91">
        <v>0</v>
      </c>
      <c r="L1900" s="91">
        <v>0</v>
      </c>
      <c r="M1900" s="91">
        <v>0</v>
      </c>
      <c r="N1900" s="91">
        <v>0</v>
      </c>
      <c r="O1900" s="91">
        <v>0</v>
      </c>
      <c r="P1900" s="91">
        <v>0</v>
      </c>
      <c r="Q1900" s="104">
        <f t="shared" si="58"/>
        <v>6199</v>
      </c>
      <c r="R1900" s="95">
        <f t="shared" si="59"/>
        <v>5269.15</v>
      </c>
    </row>
    <row r="1901" spans="1:18" ht="34.049999999999997" customHeight="1" x14ac:dyDescent="0.3">
      <c r="A1901" s="90">
        <v>1890</v>
      </c>
      <c r="B1901" s="91" t="s">
        <v>6165</v>
      </c>
      <c r="C1901" s="91" t="s">
        <v>6225</v>
      </c>
      <c r="D1901" s="91" t="s">
        <v>2892</v>
      </c>
      <c r="E1901" s="91">
        <v>1988</v>
      </c>
      <c r="F1901" s="91" t="s">
        <v>19</v>
      </c>
      <c r="G1901" s="91" t="s">
        <v>3001</v>
      </c>
      <c r="H1901" s="91" t="s">
        <v>2825</v>
      </c>
      <c r="I1901" s="91" t="s">
        <v>24</v>
      </c>
      <c r="J1901" s="91">
        <v>0</v>
      </c>
      <c r="K1901" s="91">
        <v>0</v>
      </c>
      <c r="L1901" s="91">
        <v>0</v>
      </c>
      <c r="M1901" s="91">
        <v>0</v>
      </c>
      <c r="N1901" s="91">
        <v>38478</v>
      </c>
      <c r="O1901" s="91">
        <v>0</v>
      </c>
      <c r="P1901" s="91">
        <v>0</v>
      </c>
      <c r="Q1901" s="104">
        <f t="shared" si="58"/>
        <v>38478</v>
      </c>
      <c r="R1901" s="95">
        <f t="shared" si="59"/>
        <v>32706.3</v>
      </c>
    </row>
    <row r="1902" spans="1:18" ht="34.049999999999997" customHeight="1" x14ac:dyDescent="0.3">
      <c r="A1902" s="90">
        <v>1891</v>
      </c>
      <c r="B1902" s="91" t="s">
        <v>6165</v>
      </c>
      <c r="C1902" s="91" t="s">
        <v>6226</v>
      </c>
      <c r="D1902" s="91" t="s">
        <v>6227</v>
      </c>
      <c r="E1902" s="91">
        <v>2023</v>
      </c>
      <c r="F1902" s="91" t="s">
        <v>18</v>
      </c>
      <c r="G1902" s="91" t="s">
        <v>6316</v>
      </c>
      <c r="H1902" s="91" t="s">
        <v>6360</v>
      </c>
      <c r="I1902" s="91" t="s">
        <v>6381</v>
      </c>
      <c r="J1902" s="91">
        <v>6199</v>
      </c>
      <c r="K1902" s="91">
        <f>1346+6278+4484+4484+2332+2332+2332+2332+2332+2332+6995+6995+2332+6995</f>
        <v>53901</v>
      </c>
      <c r="L1902" s="91">
        <v>0</v>
      </c>
      <c r="M1902" s="91">
        <v>0</v>
      </c>
      <c r="N1902" s="91">
        <v>3148</v>
      </c>
      <c r="O1902" s="91">
        <v>0</v>
      </c>
      <c r="P1902" s="91">
        <v>0</v>
      </c>
      <c r="Q1902" s="104">
        <f t="shared" si="58"/>
        <v>63248</v>
      </c>
      <c r="R1902" s="95">
        <f t="shared" si="59"/>
        <v>53760.800000000003</v>
      </c>
    </row>
    <row r="1903" spans="1:18" ht="34.049999999999997" customHeight="1" x14ac:dyDescent="0.3">
      <c r="A1903" s="96">
        <v>1892</v>
      </c>
      <c r="B1903" s="91" t="s">
        <v>6165</v>
      </c>
      <c r="C1903" s="91" t="s">
        <v>6228</v>
      </c>
      <c r="D1903" s="91" t="s">
        <v>6229</v>
      </c>
      <c r="E1903" s="91">
        <v>2005</v>
      </c>
      <c r="F1903" s="91" t="s">
        <v>19</v>
      </c>
      <c r="G1903" s="91" t="s">
        <v>6317</v>
      </c>
      <c r="H1903" s="91" t="s">
        <v>6361</v>
      </c>
      <c r="I1903" s="91" t="s">
        <v>6382</v>
      </c>
      <c r="J1903" s="91">
        <v>6199</v>
      </c>
      <c r="K1903" s="91">
        <f>1346+6278+4484+1166+2332+2332</f>
        <v>17938</v>
      </c>
      <c r="L1903" s="91">
        <v>0</v>
      </c>
      <c r="M1903" s="91">
        <v>0</v>
      </c>
      <c r="N1903" s="91">
        <v>1793</v>
      </c>
      <c r="O1903" s="91">
        <v>0</v>
      </c>
      <c r="P1903" s="91">
        <v>0</v>
      </c>
      <c r="Q1903" s="104">
        <f t="shared" si="58"/>
        <v>25930</v>
      </c>
      <c r="R1903" s="95">
        <f t="shared" si="59"/>
        <v>22040.5</v>
      </c>
    </row>
    <row r="1904" spans="1:18" ht="34.049999999999997" customHeight="1" x14ac:dyDescent="0.3">
      <c r="A1904" s="90">
        <v>1893</v>
      </c>
      <c r="B1904" s="91" t="s">
        <v>6165</v>
      </c>
      <c r="C1904" s="91" t="s">
        <v>6230</v>
      </c>
      <c r="D1904" s="91" t="s">
        <v>6231</v>
      </c>
      <c r="E1904" s="91">
        <v>1988</v>
      </c>
      <c r="F1904" s="91" t="s">
        <v>18</v>
      </c>
      <c r="G1904" s="91" t="s">
        <v>6318</v>
      </c>
      <c r="H1904" s="91" t="s">
        <v>6318</v>
      </c>
      <c r="I1904" s="91" t="s">
        <v>2141</v>
      </c>
      <c r="J1904" s="91">
        <v>6199</v>
      </c>
      <c r="K1904" s="91">
        <v>0</v>
      </c>
      <c r="L1904" s="91">
        <v>0</v>
      </c>
      <c r="M1904" s="91">
        <v>0</v>
      </c>
      <c r="N1904" s="91">
        <v>0</v>
      </c>
      <c r="O1904" s="91">
        <v>0</v>
      </c>
      <c r="P1904" s="91">
        <v>0</v>
      </c>
      <c r="Q1904" s="104">
        <f t="shared" si="58"/>
        <v>6199</v>
      </c>
      <c r="R1904" s="95">
        <f t="shared" si="59"/>
        <v>5269.15</v>
      </c>
    </row>
    <row r="1905" spans="1:18" ht="34.049999999999997" customHeight="1" x14ac:dyDescent="0.3">
      <c r="A1905" s="90">
        <v>1894</v>
      </c>
      <c r="B1905" s="91" t="s">
        <v>6165</v>
      </c>
      <c r="C1905" s="91" t="s">
        <v>6232</v>
      </c>
      <c r="D1905" s="91" t="s">
        <v>6233</v>
      </c>
      <c r="E1905" s="91">
        <v>1996</v>
      </c>
      <c r="F1905" s="91" t="s">
        <v>19</v>
      </c>
      <c r="G1905" s="91" t="s">
        <v>6319</v>
      </c>
      <c r="H1905" s="91" t="s">
        <v>6319</v>
      </c>
      <c r="I1905" s="91" t="s">
        <v>6383</v>
      </c>
      <c r="J1905" s="91">
        <v>3582</v>
      </c>
      <c r="K1905" s="91">
        <v>0</v>
      </c>
      <c r="L1905" s="91">
        <v>0</v>
      </c>
      <c r="M1905" s="91">
        <v>0</v>
      </c>
      <c r="N1905" s="91">
        <f>15443+20859+29964</f>
        <v>66266</v>
      </c>
      <c r="O1905" s="91">
        <v>0</v>
      </c>
      <c r="P1905" s="91">
        <v>0</v>
      </c>
      <c r="Q1905" s="104">
        <f t="shared" si="58"/>
        <v>69848</v>
      </c>
      <c r="R1905" s="95">
        <f t="shared" si="59"/>
        <v>59370.8</v>
      </c>
    </row>
    <row r="1906" spans="1:18" ht="34.049999999999997" customHeight="1" x14ac:dyDescent="0.3">
      <c r="A1906" s="96">
        <v>1895</v>
      </c>
      <c r="B1906" s="91" t="s">
        <v>6165</v>
      </c>
      <c r="C1906" s="91" t="s">
        <v>6234</v>
      </c>
      <c r="D1906" s="91" t="s">
        <v>6235</v>
      </c>
      <c r="E1906" s="91">
        <v>1990</v>
      </c>
      <c r="F1906" s="91" t="s">
        <v>18</v>
      </c>
      <c r="G1906" s="91" t="s">
        <v>6320</v>
      </c>
      <c r="H1906" s="91" t="s">
        <v>6362</v>
      </c>
      <c r="I1906" s="91" t="s">
        <v>1260</v>
      </c>
      <c r="J1906" s="91">
        <v>6199</v>
      </c>
      <c r="K1906" s="91">
        <f>1346+6278+4484</f>
        <v>12108</v>
      </c>
      <c r="L1906" s="91">
        <v>0</v>
      </c>
      <c r="M1906" s="91">
        <v>0</v>
      </c>
      <c r="N1906" s="91">
        <v>1793</v>
      </c>
      <c r="O1906" s="91">
        <v>0</v>
      </c>
      <c r="P1906" s="91">
        <v>0</v>
      </c>
      <c r="Q1906" s="104">
        <f t="shared" si="58"/>
        <v>20100</v>
      </c>
      <c r="R1906" s="95">
        <f t="shared" si="59"/>
        <v>17085</v>
      </c>
    </row>
    <row r="1907" spans="1:18" ht="34.049999999999997" customHeight="1" x14ac:dyDescent="0.3">
      <c r="A1907" s="90">
        <v>1896</v>
      </c>
      <c r="B1907" s="91" t="s">
        <v>6165</v>
      </c>
      <c r="C1907" s="91" t="s">
        <v>6236</v>
      </c>
      <c r="D1907" s="91" t="s">
        <v>1942</v>
      </c>
      <c r="E1907" s="91">
        <v>2025</v>
      </c>
      <c r="F1907" s="91" t="s">
        <v>18</v>
      </c>
      <c r="G1907" s="91" t="s">
        <v>6321</v>
      </c>
      <c r="H1907" s="91" t="s">
        <v>6363</v>
      </c>
      <c r="I1907" s="91" t="s">
        <v>5952</v>
      </c>
      <c r="J1907" s="91">
        <v>6199</v>
      </c>
      <c r="K1907" s="91">
        <v>0</v>
      </c>
      <c r="L1907" s="91">
        <v>0</v>
      </c>
      <c r="M1907" s="91">
        <v>0</v>
      </c>
      <c r="N1907" s="91">
        <v>0</v>
      </c>
      <c r="O1907" s="91">
        <v>0</v>
      </c>
      <c r="P1907" s="91">
        <v>0</v>
      </c>
      <c r="Q1907" s="104">
        <f t="shared" si="58"/>
        <v>6199</v>
      </c>
      <c r="R1907" s="95">
        <f t="shared" si="59"/>
        <v>5269.15</v>
      </c>
    </row>
    <row r="1908" spans="1:18" ht="34.049999999999997" customHeight="1" x14ac:dyDescent="0.3">
      <c r="A1908" s="90">
        <v>1897</v>
      </c>
      <c r="B1908" s="91" t="s">
        <v>6165</v>
      </c>
      <c r="C1908" s="91" t="s">
        <v>6237</v>
      </c>
      <c r="D1908" s="91" t="s">
        <v>6238</v>
      </c>
      <c r="E1908" s="91">
        <v>1996</v>
      </c>
      <c r="F1908" s="91" t="s">
        <v>19</v>
      </c>
      <c r="G1908" s="91" t="s">
        <v>6322</v>
      </c>
      <c r="H1908" s="91" t="s">
        <v>5935</v>
      </c>
      <c r="I1908" s="91" t="s">
        <v>1069</v>
      </c>
      <c r="J1908" s="91">
        <v>6199</v>
      </c>
      <c r="K1908" s="91">
        <f>6278+2332+4484+2332+2332+2243+3500+3000+3000+6995+3500+3228</f>
        <v>43224</v>
      </c>
      <c r="L1908" s="91">
        <v>18406</v>
      </c>
      <c r="M1908" s="91">
        <v>0</v>
      </c>
      <c r="N1908" s="91">
        <v>1793</v>
      </c>
      <c r="O1908" s="91">
        <v>0</v>
      </c>
      <c r="P1908" s="91">
        <v>0</v>
      </c>
      <c r="Q1908" s="104">
        <f t="shared" si="58"/>
        <v>69622</v>
      </c>
      <c r="R1908" s="95">
        <f t="shared" si="59"/>
        <v>59178.7</v>
      </c>
    </row>
    <row r="1909" spans="1:18" ht="34.049999999999997" customHeight="1" x14ac:dyDescent="0.3">
      <c r="A1909" s="96">
        <v>1898</v>
      </c>
      <c r="B1909" s="91" t="s">
        <v>6165</v>
      </c>
      <c r="C1909" s="91" t="s">
        <v>6239</v>
      </c>
      <c r="D1909" s="91" t="s">
        <v>6240</v>
      </c>
      <c r="E1909" s="91">
        <v>1997</v>
      </c>
      <c r="F1909" s="91" t="s">
        <v>19</v>
      </c>
      <c r="G1909" s="91" t="s">
        <v>6323</v>
      </c>
      <c r="H1909" s="91" t="s">
        <v>6323</v>
      </c>
      <c r="I1909" s="91" t="s">
        <v>6384</v>
      </c>
      <c r="J1909" s="91">
        <v>6199</v>
      </c>
      <c r="K1909" s="91">
        <f>2332+2332+2243</f>
        <v>6907</v>
      </c>
      <c r="L1909" s="91">
        <v>0</v>
      </c>
      <c r="M1909" s="91">
        <v>0</v>
      </c>
      <c r="N1909" s="91">
        <v>0</v>
      </c>
      <c r="O1909" s="91">
        <v>0</v>
      </c>
      <c r="P1909" s="91">
        <v>0</v>
      </c>
      <c r="Q1909" s="104">
        <f t="shared" si="58"/>
        <v>13106</v>
      </c>
      <c r="R1909" s="95">
        <f t="shared" si="59"/>
        <v>11140.1</v>
      </c>
    </row>
    <row r="1910" spans="1:18" ht="34.049999999999997" customHeight="1" x14ac:dyDescent="0.3">
      <c r="A1910" s="90">
        <v>1899</v>
      </c>
      <c r="B1910" s="91" t="s">
        <v>6165</v>
      </c>
      <c r="C1910" s="91" t="s">
        <v>6241</v>
      </c>
      <c r="D1910" s="91" t="s">
        <v>6242</v>
      </c>
      <c r="E1910" s="91">
        <v>1980</v>
      </c>
      <c r="F1910" s="91" t="s">
        <v>19</v>
      </c>
      <c r="G1910" s="91" t="s">
        <v>215</v>
      </c>
      <c r="H1910" s="91" t="s">
        <v>215</v>
      </c>
      <c r="I1910" s="91" t="s">
        <v>253</v>
      </c>
      <c r="J1910" s="91">
        <v>6199</v>
      </c>
      <c r="K1910" s="91">
        <v>0</v>
      </c>
      <c r="L1910" s="91">
        <v>13526</v>
      </c>
      <c r="M1910" s="91">
        <v>0</v>
      </c>
      <c r="N1910" s="91">
        <v>0</v>
      </c>
      <c r="O1910" s="91">
        <v>0</v>
      </c>
      <c r="P1910" s="91">
        <v>0</v>
      </c>
      <c r="Q1910" s="104">
        <f t="shared" si="58"/>
        <v>19725</v>
      </c>
      <c r="R1910" s="95">
        <f t="shared" si="59"/>
        <v>16766.25</v>
      </c>
    </row>
    <row r="1911" spans="1:18" ht="34.049999999999997" customHeight="1" x14ac:dyDescent="0.3">
      <c r="A1911" s="90">
        <v>1900</v>
      </c>
      <c r="B1911" s="91" t="s">
        <v>6165</v>
      </c>
      <c r="C1911" s="91" t="s">
        <v>6243</v>
      </c>
      <c r="D1911" s="91" t="s">
        <v>6244</v>
      </c>
      <c r="E1911" s="91">
        <v>1988</v>
      </c>
      <c r="F1911" s="91" t="s">
        <v>19</v>
      </c>
      <c r="G1911" s="91" t="s">
        <v>233</v>
      </c>
      <c r="H1911" s="91" t="s">
        <v>233</v>
      </c>
      <c r="I1911" s="91" t="s">
        <v>829</v>
      </c>
      <c r="J1911" s="91">
        <v>6199</v>
      </c>
      <c r="K1911" s="91">
        <v>0</v>
      </c>
      <c r="L1911" s="91">
        <v>0</v>
      </c>
      <c r="M1911" s="91">
        <v>0</v>
      </c>
      <c r="N1911" s="91">
        <v>0</v>
      </c>
      <c r="O1911" s="91">
        <v>0</v>
      </c>
      <c r="P1911" s="91">
        <v>0</v>
      </c>
      <c r="Q1911" s="104">
        <f t="shared" si="58"/>
        <v>6199</v>
      </c>
      <c r="R1911" s="95">
        <f t="shared" si="59"/>
        <v>5269.15</v>
      </c>
    </row>
    <row r="1912" spans="1:18" ht="34.049999999999997" customHeight="1" x14ac:dyDescent="0.3">
      <c r="A1912" s="96">
        <v>1901</v>
      </c>
      <c r="B1912" s="91" t="s">
        <v>6165</v>
      </c>
      <c r="C1912" s="91" t="s">
        <v>6245</v>
      </c>
      <c r="D1912" s="91" t="s">
        <v>6246</v>
      </c>
      <c r="E1912" s="91">
        <v>2016</v>
      </c>
      <c r="F1912" s="91" t="s">
        <v>19</v>
      </c>
      <c r="G1912" s="91" t="s">
        <v>6324</v>
      </c>
      <c r="H1912" s="91" t="s">
        <v>233</v>
      </c>
      <c r="I1912" s="91" t="s">
        <v>282</v>
      </c>
      <c r="J1912" s="91">
        <v>6199</v>
      </c>
      <c r="K1912" s="91">
        <v>0</v>
      </c>
      <c r="L1912" s="91">
        <v>0</v>
      </c>
      <c r="M1912" s="91">
        <v>0</v>
      </c>
      <c r="N1912" s="91">
        <v>0</v>
      </c>
      <c r="O1912" s="91">
        <v>0</v>
      </c>
      <c r="P1912" s="91">
        <v>0</v>
      </c>
      <c r="Q1912" s="104">
        <f t="shared" si="58"/>
        <v>6199</v>
      </c>
      <c r="R1912" s="95">
        <f t="shared" si="59"/>
        <v>5269.15</v>
      </c>
    </row>
    <row r="1913" spans="1:18" ht="34.049999999999997" customHeight="1" x14ac:dyDescent="0.3">
      <c r="A1913" s="90">
        <v>1902</v>
      </c>
      <c r="B1913" s="91" t="s">
        <v>6165</v>
      </c>
      <c r="C1913" s="91" t="s">
        <v>6247</v>
      </c>
      <c r="D1913" s="91" t="s">
        <v>3734</v>
      </c>
      <c r="E1913" s="91">
        <v>1990</v>
      </c>
      <c r="F1913" s="91" t="s">
        <v>19</v>
      </c>
      <c r="G1913" s="91" t="s">
        <v>5622</v>
      </c>
      <c r="H1913" s="91" t="s">
        <v>3618</v>
      </c>
      <c r="I1913" s="91" t="s">
        <v>28</v>
      </c>
      <c r="J1913" s="91">
        <v>3793</v>
      </c>
      <c r="K1913" s="91">
        <v>0</v>
      </c>
      <c r="L1913" s="91">
        <v>0</v>
      </c>
      <c r="M1913" s="91">
        <v>0</v>
      </c>
      <c r="N1913" s="91">
        <v>0</v>
      </c>
      <c r="O1913" s="91">
        <v>0</v>
      </c>
      <c r="P1913" s="91">
        <v>0</v>
      </c>
      <c r="Q1913" s="104">
        <f t="shared" si="58"/>
        <v>3793</v>
      </c>
      <c r="R1913" s="95">
        <f t="shared" si="59"/>
        <v>3224.05</v>
      </c>
    </row>
    <row r="1914" spans="1:18" ht="34.049999999999997" customHeight="1" x14ac:dyDescent="0.3">
      <c r="A1914" s="90">
        <v>1903</v>
      </c>
      <c r="B1914" s="91" t="s">
        <v>6165</v>
      </c>
      <c r="C1914" s="91" t="s">
        <v>6248</v>
      </c>
      <c r="D1914" s="91" t="s">
        <v>6249</v>
      </c>
      <c r="E1914" s="91">
        <v>1992</v>
      </c>
      <c r="F1914" s="91" t="s">
        <v>19</v>
      </c>
      <c r="G1914" s="91" t="s">
        <v>6325</v>
      </c>
      <c r="H1914" s="91" t="s">
        <v>6325</v>
      </c>
      <c r="I1914" s="91" t="s">
        <v>6385</v>
      </c>
      <c r="J1914" s="91">
        <v>6199</v>
      </c>
      <c r="K1914" s="91">
        <v>0</v>
      </c>
      <c r="L1914" s="91">
        <v>18406</v>
      </c>
      <c r="M1914" s="91">
        <v>0</v>
      </c>
      <c r="N1914" s="91">
        <v>0</v>
      </c>
      <c r="O1914" s="91">
        <v>0</v>
      </c>
      <c r="P1914" s="91">
        <v>0</v>
      </c>
      <c r="Q1914" s="104">
        <f t="shared" si="58"/>
        <v>24605</v>
      </c>
      <c r="R1914" s="95">
        <f t="shared" si="59"/>
        <v>20914.25</v>
      </c>
    </row>
    <row r="1915" spans="1:18" ht="34.049999999999997" customHeight="1" x14ac:dyDescent="0.3">
      <c r="A1915" s="96">
        <v>1904</v>
      </c>
      <c r="B1915" s="91" t="s">
        <v>6165</v>
      </c>
      <c r="C1915" s="91" t="s">
        <v>6250</v>
      </c>
      <c r="D1915" s="91" t="s">
        <v>6251</v>
      </c>
      <c r="E1915" s="91">
        <v>1985</v>
      </c>
      <c r="F1915" s="91" t="s">
        <v>18</v>
      </c>
      <c r="G1915" s="91" t="s">
        <v>6326</v>
      </c>
      <c r="H1915" s="91" t="s">
        <v>6326</v>
      </c>
      <c r="I1915" s="91" t="s">
        <v>32</v>
      </c>
      <c r="J1915" s="91">
        <v>6199</v>
      </c>
      <c r="K1915" s="91">
        <f>1346+6278+4484+1166</f>
        <v>13274</v>
      </c>
      <c r="L1915" s="91">
        <v>0</v>
      </c>
      <c r="M1915" s="91">
        <v>0</v>
      </c>
      <c r="N1915" s="91">
        <v>1793</v>
      </c>
      <c r="O1915" s="91">
        <v>0</v>
      </c>
      <c r="P1915" s="91">
        <v>0</v>
      </c>
      <c r="Q1915" s="104">
        <f t="shared" si="58"/>
        <v>21266</v>
      </c>
      <c r="R1915" s="95">
        <f t="shared" si="59"/>
        <v>18076.099999999999</v>
      </c>
    </row>
    <row r="1916" spans="1:18" ht="34.049999999999997" customHeight="1" x14ac:dyDescent="0.3">
      <c r="A1916" s="90">
        <v>1905</v>
      </c>
      <c r="B1916" s="91" t="s">
        <v>6165</v>
      </c>
      <c r="C1916" s="91" t="s">
        <v>6252</v>
      </c>
      <c r="D1916" s="91" t="s">
        <v>6253</v>
      </c>
      <c r="E1916" s="91">
        <v>2024</v>
      </c>
      <c r="F1916" s="91" t="s">
        <v>18</v>
      </c>
      <c r="G1916" s="91" t="s">
        <v>6327</v>
      </c>
      <c r="H1916" s="91" t="s">
        <v>6364</v>
      </c>
      <c r="I1916" s="91" t="s">
        <v>6386</v>
      </c>
      <c r="J1916" s="91">
        <v>6199</v>
      </c>
      <c r="K1916" s="91">
        <f>1346+6278+4484+4484+2332+2332+2332+2332+2332+2332+6995+6995+2332+6995+1166</f>
        <v>55067</v>
      </c>
      <c r="L1916" s="91">
        <v>0</v>
      </c>
      <c r="M1916" s="91">
        <v>0</v>
      </c>
      <c r="N1916" s="91">
        <v>3148</v>
      </c>
      <c r="O1916" s="91">
        <v>0</v>
      </c>
      <c r="P1916" s="91">
        <v>0</v>
      </c>
      <c r="Q1916" s="104">
        <f t="shared" si="58"/>
        <v>64414</v>
      </c>
      <c r="R1916" s="95">
        <f t="shared" si="59"/>
        <v>54751.9</v>
      </c>
    </row>
    <row r="1917" spans="1:18" ht="34.049999999999997" customHeight="1" x14ac:dyDescent="0.3">
      <c r="A1917" s="90">
        <v>1906</v>
      </c>
      <c r="B1917" s="91" t="s">
        <v>6165</v>
      </c>
      <c r="C1917" s="91" t="s">
        <v>6254</v>
      </c>
      <c r="D1917" s="91" t="s">
        <v>6255</v>
      </c>
      <c r="E1917" s="91">
        <v>2024</v>
      </c>
      <c r="F1917" s="91" t="s">
        <v>18</v>
      </c>
      <c r="G1917" s="91" t="s">
        <v>6328</v>
      </c>
      <c r="H1917" s="91" t="s">
        <v>6365</v>
      </c>
      <c r="I1917" s="91" t="s">
        <v>6387</v>
      </c>
      <c r="J1917" s="91">
        <v>6199</v>
      </c>
      <c r="K1917" s="91">
        <v>0</v>
      </c>
      <c r="L1917" s="91">
        <v>0</v>
      </c>
      <c r="M1917" s="91">
        <v>0</v>
      </c>
      <c r="N1917" s="91">
        <v>4053</v>
      </c>
      <c r="O1917" s="91">
        <v>0</v>
      </c>
      <c r="P1917" s="91">
        <v>1200</v>
      </c>
      <c r="Q1917" s="104">
        <f t="shared" si="58"/>
        <v>11452</v>
      </c>
      <c r="R1917" s="95">
        <f t="shared" si="59"/>
        <v>9734.2000000000007</v>
      </c>
    </row>
    <row r="1918" spans="1:18" ht="34.049999999999997" customHeight="1" x14ac:dyDescent="0.3">
      <c r="A1918" s="96">
        <v>1907</v>
      </c>
      <c r="B1918" s="91" t="s">
        <v>6165</v>
      </c>
      <c r="C1918" s="91" t="s">
        <v>6256</v>
      </c>
      <c r="D1918" s="91" t="s">
        <v>6257</v>
      </c>
      <c r="E1918" s="91">
        <v>1973</v>
      </c>
      <c r="F1918" s="91" t="s">
        <v>19</v>
      </c>
      <c r="G1918" s="91" t="s">
        <v>6329</v>
      </c>
      <c r="H1918" s="91" t="s">
        <v>4191</v>
      </c>
      <c r="I1918" s="91" t="s">
        <v>1460</v>
      </c>
      <c r="J1918" s="91">
        <v>6199</v>
      </c>
      <c r="K1918" s="91">
        <f>1346+6278+4484+2332+2332+2332+1166+2332+2332+6995+2332+2332+2332</f>
        <v>38925</v>
      </c>
      <c r="L1918" s="91">
        <v>0</v>
      </c>
      <c r="M1918" s="91">
        <v>0</v>
      </c>
      <c r="N1918" s="91">
        <v>1793</v>
      </c>
      <c r="O1918" s="91">
        <v>0</v>
      </c>
      <c r="P1918" s="91">
        <v>0</v>
      </c>
      <c r="Q1918" s="104">
        <f t="shared" si="58"/>
        <v>46917</v>
      </c>
      <c r="R1918" s="95">
        <f t="shared" si="59"/>
        <v>39879.449999999997</v>
      </c>
    </row>
    <row r="1919" spans="1:18" ht="34.049999999999997" customHeight="1" x14ac:dyDescent="0.3">
      <c r="A1919" s="90">
        <v>1908</v>
      </c>
      <c r="B1919" s="91" t="s">
        <v>6165</v>
      </c>
      <c r="C1919" s="91" t="s">
        <v>6258</v>
      </c>
      <c r="D1919" s="91" t="s">
        <v>1325</v>
      </c>
      <c r="E1919" s="91">
        <v>2022</v>
      </c>
      <c r="F1919" s="91" t="s">
        <v>19</v>
      </c>
      <c r="G1919" s="91" t="s">
        <v>1401</v>
      </c>
      <c r="H1919" s="91" t="s">
        <v>1443</v>
      </c>
      <c r="I1919" s="91" t="s">
        <v>1472</v>
      </c>
      <c r="J1919" s="91">
        <v>6199</v>
      </c>
      <c r="K1919" s="91">
        <v>0</v>
      </c>
      <c r="L1919" s="91">
        <v>0</v>
      </c>
      <c r="M1919" s="91">
        <v>0</v>
      </c>
      <c r="N1919" s="91">
        <v>0</v>
      </c>
      <c r="O1919" s="91">
        <v>0</v>
      </c>
      <c r="P1919" s="91">
        <v>0</v>
      </c>
      <c r="Q1919" s="104">
        <f t="shared" si="58"/>
        <v>6199</v>
      </c>
      <c r="R1919" s="95">
        <f t="shared" si="59"/>
        <v>5269.15</v>
      </c>
    </row>
    <row r="1920" spans="1:18" ht="34.049999999999997" customHeight="1" x14ac:dyDescent="0.3">
      <c r="A1920" s="90">
        <v>1909</v>
      </c>
      <c r="B1920" s="91" t="s">
        <v>6165</v>
      </c>
      <c r="C1920" s="91" t="s">
        <v>6259</v>
      </c>
      <c r="D1920" s="91" t="s">
        <v>6260</v>
      </c>
      <c r="E1920" s="91">
        <v>1989</v>
      </c>
      <c r="F1920" s="91" t="s">
        <v>18</v>
      </c>
      <c r="G1920" s="91" t="s">
        <v>6330</v>
      </c>
      <c r="H1920" s="91" t="s">
        <v>6330</v>
      </c>
      <c r="I1920" s="91" t="s">
        <v>3094</v>
      </c>
      <c r="J1920" s="91">
        <v>6199</v>
      </c>
      <c r="K1920" s="91">
        <v>0</v>
      </c>
      <c r="L1920" s="91">
        <v>0</v>
      </c>
      <c r="M1920" s="91">
        <v>0</v>
      </c>
      <c r="N1920" s="91">
        <v>0</v>
      </c>
      <c r="O1920" s="91">
        <v>0</v>
      </c>
      <c r="P1920" s="91">
        <v>0</v>
      </c>
      <c r="Q1920" s="104">
        <f t="shared" si="58"/>
        <v>6199</v>
      </c>
      <c r="R1920" s="95">
        <f t="shared" si="59"/>
        <v>5269.15</v>
      </c>
    </row>
    <row r="1921" spans="1:18" ht="34.049999999999997" customHeight="1" x14ac:dyDescent="0.3">
      <c r="A1921" s="96">
        <v>1910</v>
      </c>
      <c r="B1921" s="91" t="s">
        <v>6165</v>
      </c>
      <c r="C1921" s="91" t="s">
        <v>6261</v>
      </c>
      <c r="D1921" s="91" t="s">
        <v>6262</v>
      </c>
      <c r="E1921" s="91">
        <v>1994</v>
      </c>
      <c r="F1921" s="91" t="s">
        <v>19</v>
      </c>
      <c r="G1921" s="91" t="s">
        <v>6331</v>
      </c>
      <c r="H1921" s="91" t="s">
        <v>6366</v>
      </c>
      <c r="I1921" s="91" t="s">
        <v>6388</v>
      </c>
      <c r="J1921" s="91">
        <v>6199</v>
      </c>
      <c r="K1921" s="91">
        <f>1346+6278+4484+2332+2332+2332+2332+2332</f>
        <v>23768</v>
      </c>
      <c r="L1921" s="91">
        <v>9422</v>
      </c>
      <c r="M1921" s="91">
        <v>0</v>
      </c>
      <c r="N1921" s="91">
        <v>1793</v>
      </c>
      <c r="O1921" s="91">
        <v>0</v>
      </c>
      <c r="P1921" s="91">
        <v>0</v>
      </c>
      <c r="Q1921" s="104">
        <f t="shared" si="58"/>
        <v>41182</v>
      </c>
      <c r="R1921" s="95">
        <f t="shared" si="59"/>
        <v>35004.699999999997</v>
      </c>
    </row>
    <row r="1922" spans="1:18" ht="34.049999999999997" customHeight="1" x14ac:dyDescent="0.3">
      <c r="A1922" s="90">
        <v>1911</v>
      </c>
      <c r="B1922" s="91" t="s">
        <v>6165</v>
      </c>
      <c r="C1922" s="91" t="s">
        <v>6263</v>
      </c>
      <c r="D1922" s="91" t="s">
        <v>6264</v>
      </c>
      <c r="E1922" s="91">
        <v>2022</v>
      </c>
      <c r="F1922" s="91" t="s">
        <v>18</v>
      </c>
      <c r="G1922" s="91" t="s">
        <v>6332</v>
      </c>
      <c r="H1922" s="91" t="s">
        <v>6367</v>
      </c>
      <c r="I1922" s="91" t="s">
        <v>6389</v>
      </c>
      <c r="J1922" s="91">
        <v>6199</v>
      </c>
      <c r="K1922" s="91">
        <f>1346+6278+4484+2332+2332+2332+2332+2332+2332+6995+6995+2332+6995+4484+1166</f>
        <v>55067</v>
      </c>
      <c r="L1922" s="91">
        <v>0</v>
      </c>
      <c r="M1922" s="91">
        <v>0</v>
      </c>
      <c r="N1922" s="91">
        <v>3148</v>
      </c>
      <c r="O1922" s="91">
        <v>0</v>
      </c>
      <c r="P1922" s="91">
        <v>0</v>
      </c>
      <c r="Q1922" s="104">
        <f t="shared" si="58"/>
        <v>64414</v>
      </c>
      <c r="R1922" s="95">
        <f t="shared" si="59"/>
        <v>54751.9</v>
      </c>
    </row>
    <row r="1923" spans="1:18" ht="34.049999999999997" customHeight="1" x14ac:dyDescent="0.3">
      <c r="A1923" s="90">
        <v>1912</v>
      </c>
      <c r="B1923" s="91" t="s">
        <v>6165</v>
      </c>
      <c r="C1923" s="91" t="s">
        <v>6265</v>
      </c>
      <c r="D1923" s="91" t="s">
        <v>6266</v>
      </c>
      <c r="E1923" s="91">
        <v>1980</v>
      </c>
      <c r="F1923" s="91" t="s">
        <v>19</v>
      </c>
      <c r="G1923" s="91" t="s">
        <v>6333</v>
      </c>
      <c r="H1923" s="91" t="s">
        <v>6333</v>
      </c>
      <c r="I1923" s="91" t="s">
        <v>6390</v>
      </c>
      <c r="J1923" s="91">
        <v>6199</v>
      </c>
      <c r="K1923" s="91">
        <f>1346+6278+4484</f>
        <v>12108</v>
      </c>
      <c r="L1923" s="91">
        <v>0</v>
      </c>
      <c r="M1923" s="91">
        <v>0</v>
      </c>
      <c r="N1923" s="91">
        <v>1793</v>
      </c>
      <c r="O1923" s="91">
        <v>0</v>
      </c>
      <c r="P1923" s="91">
        <v>0</v>
      </c>
      <c r="Q1923" s="104">
        <f t="shared" si="58"/>
        <v>20100</v>
      </c>
      <c r="R1923" s="95">
        <f t="shared" si="59"/>
        <v>17085</v>
      </c>
    </row>
    <row r="1924" spans="1:18" ht="34.049999999999997" customHeight="1" x14ac:dyDescent="0.3">
      <c r="A1924" s="96">
        <v>1913</v>
      </c>
      <c r="B1924" s="91" t="s">
        <v>6165</v>
      </c>
      <c r="C1924" s="91" t="s">
        <v>6267</v>
      </c>
      <c r="D1924" s="91" t="s">
        <v>6268</v>
      </c>
      <c r="E1924" s="91">
        <v>2022</v>
      </c>
      <c r="F1924" s="91" t="s">
        <v>19</v>
      </c>
      <c r="G1924" s="91" t="s">
        <v>6334</v>
      </c>
      <c r="H1924" s="91" t="s">
        <v>6368</v>
      </c>
      <c r="I1924" s="91" t="s">
        <v>300</v>
      </c>
      <c r="J1924" s="91">
        <v>6199</v>
      </c>
      <c r="K1924" s="91">
        <f>6278+4484</f>
        <v>10762</v>
      </c>
      <c r="L1924" s="91">
        <v>0</v>
      </c>
      <c r="M1924" s="91">
        <v>0</v>
      </c>
      <c r="N1924" s="91">
        <v>3148</v>
      </c>
      <c r="O1924" s="91">
        <v>0</v>
      </c>
      <c r="P1924" s="91">
        <v>0</v>
      </c>
      <c r="Q1924" s="104">
        <f t="shared" si="58"/>
        <v>20109</v>
      </c>
      <c r="R1924" s="95">
        <f t="shared" si="59"/>
        <v>17092.650000000001</v>
      </c>
    </row>
    <row r="1925" spans="1:18" ht="34.049999999999997" customHeight="1" x14ac:dyDescent="0.3">
      <c r="A1925" s="90">
        <v>1914</v>
      </c>
      <c r="B1925" s="91" t="s">
        <v>6165</v>
      </c>
      <c r="C1925" s="91" t="s">
        <v>6269</v>
      </c>
      <c r="D1925" s="91" t="s">
        <v>6270</v>
      </c>
      <c r="E1925" s="91">
        <v>1983</v>
      </c>
      <c r="F1925" s="91" t="s">
        <v>19</v>
      </c>
      <c r="G1925" s="91" t="s">
        <v>6335</v>
      </c>
      <c r="H1925" s="91" t="s">
        <v>6369</v>
      </c>
      <c r="I1925" s="91" t="s">
        <v>35</v>
      </c>
      <c r="J1925" s="91">
        <v>6199</v>
      </c>
      <c r="K1925" s="91">
        <v>0</v>
      </c>
      <c r="L1925" s="91">
        <v>0</v>
      </c>
      <c r="M1925" s="91">
        <v>0</v>
      </c>
      <c r="N1925" s="91">
        <v>0</v>
      </c>
      <c r="O1925" s="91">
        <v>0</v>
      </c>
      <c r="P1925" s="91">
        <v>0</v>
      </c>
      <c r="Q1925" s="104">
        <f t="shared" si="58"/>
        <v>6199</v>
      </c>
      <c r="R1925" s="95">
        <f t="shared" si="59"/>
        <v>5269.15</v>
      </c>
    </row>
    <row r="1926" spans="1:18" ht="34.049999999999997" customHeight="1" x14ac:dyDescent="0.3">
      <c r="A1926" s="90">
        <v>1915</v>
      </c>
      <c r="B1926" s="91" t="s">
        <v>6165</v>
      </c>
      <c r="C1926" s="91" t="s">
        <v>6271</v>
      </c>
      <c r="D1926" s="91" t="s">
        <v>4968</v>
      </c>
      <c r="E1926" s="91">
        <v>1989</v>
      </c>
      <c r="F1926" s="91" t="s">
        <v>19</v>
      </c>
      <c r="G1926" s="91" t="s">
        <v>5057</v>
      </c>
      <c r="H1926" s="91" t="s">
        <v>5057</v>
      </c>
      <c r="I1926" s="91" t="s">
        <v>34</v>
      </c>
      <c r="J1926" s="91">
        <v>3793</v>
      </c>
      <c r="K1926" s="91">
        <f>1346+6278+4484+2332+2332+2332</f>
        <v>19104</v>
      </c>
      <c r="L1926" s="91">
        <v>0</v>
      </c>
      <c r="M1926" s="91">
        <v>0</v>
      </c>
      <c r="N1926" s="91">
        <v>1793</v>
      </c>
      <c r="O1926" s="91">
        <v>0</v>
      </c>
      <c r="P1926" s="91">
        <v>0</v>
      </c>
      <c r="Q1926" s="104">
        <f t="shared" si="58"/>
        <v>24690</v>
      </c>
      <c r="R1926" s="95">
        <f t="shared" si="59"/>
        <v>20986.5</v>
      </c>
    </row>
    <row r="1927" spans="1:18" ht="34.049999999999997" customHeight="1" x14ac:dyDescent="0.3">
      <c r="A1927" s="96">
        <v>1916</v>
      </c>
      <c r="B1927" s="91" t="s">
        <v>6165</v>
      </c>
      <c r="C1927" s="91" t="s">
        <v>6272</v>
      </c>
      <c r="D1927" s="93">
        <v>10215583</v>
      </c>
      <c r="E1927" s="91">
        <v>1979</v>
      </c>
      <c r="F1927" s="91" t="s">
        <v>19</v>
      </c>
      <c r="G1927" s="91" t="s">
        <v>6336</v>
      </c>
      <c r="H1927" s="91" t="s">
        <v>6336</v>
      </c>
      <c r="I1927" s="91" t="s">
        <v>2849</v>
      </c>
      <c r="J1927" s="91">
        <v>6199</v>
      </c>
      <c r="K1927" s="91">
        <f>2332+2332+1166+2801</f>
        <v>8631</v>
      </c>
      <c r="L1927" s="91">
        <v>0</v>
      </c>
      <c r="M1927" s="91">
        <v>0</v>
      </c>
      <c r="N1927" s="91">
        <v>0</v>
      </c>
      <c r="O1927" s="91">
        <v>0</v>
      </c>
      <c r="P1927" s="91">
        <v>0</v>
      </c>
      <c r="Q1927" s="104">
        <f t="shared" si="58"/>
        <v>14830</v>
      </c>
      <c r="R1927" s="95">
        <f t="shared" si="59"/>
        <v>12605.5</v>
      </c>
    </row>
    <row r="1928" spans="1:18" ht="34.049999999999997" customHeight="1" x14ac:dyDescent="0.3">
      <c r="A1928" s="90">
        <v>1917</v>
      </c>
      <c r="B1928" s="91" t="s">
        <v>6165</v>
      </c>
      <c r="C1928" s="91" t="s">
        <v>6273</v>
      </c>
      <c r="D1928" s="91" t="s">
        <v>6274</v>
      </c>
      <c r="E1928" s="91">
        <v>2015</v>
      </c>
      <c r="F1928" s="91" t="s">
        <v>19</v>
      </c>
      <c r="G1928" s="91" t="s">
        <v>6337</v>
      </c>
      <c r="H1928" s="91" t="s">
        <v>6370</v>
      </c>
      <c r="I1928" s="91" t="s">
        <v>567</v>
      </c>
      <c r="J1928" s="91">
        <v>6199</v>
      </c>
      <c r="K1928" s="91">
        <f>1346+6278+4484+4484</f>
        <v>16592</v>
      </c>
      <c r="L1928" s="91">
        <v>0</v>
      </c>
      <c r="M1928" s="91">
        <v>0</v>
      </c>
      <c r="N1928" s="91">
        <v>3148</v>
      </c>
      <c r="O1928" s="91">
        <v>0</v>
      </c>
      <c r="P1928" s="91">
        <v>0</v>
      </c>
      <c r="Q1928" s="104">
        <f t="shared" si="58"/>
        <v>25939</v>
      </c>
      <c r="R1928" s="95">
        <f t="shared" si="59"/>
        <v>22048.15</v>
      </c>
    </row>
    <row r="1929" spans="1:18" ht="34.049999999999997" customHeight="1" x14ac:dyDescent="0.3">
      <c r="A1929" s="90">
        <v>1918</v>
      </c>
      <c r="B1929" s="91" t="s">
        <v>6165</v>
      </c>
      <c r="C1929" s="91" t="s">
        <v>6275</v>
      </c>
      <c r="D1929" s="91" t="s">
        <v>6276</v>
      </c>
      <c r="E1929" s="91">
        <v>2024</v>
      </c>
      <c r="F1929" s="91" t="s">
        <v>19</v>
      </c>
      <c r="G1929" s="91" t="s">
        <v>6338</v>
      </c>
      <c r="H1929" s="91" t="s">
        <v>1217</v>
      </c>
      <c r="I1929" s="91" t="s">
        <v>300</v>
      </c>
      <c r="J1929" s="91">
        <v>6199</v>
      </c>
      <c r="K1929" s="91">
        <f>1346+6278+4484</f>
        <v>12108</v>
      </c>
      <c r="L1929" s="91">
        <v>0</v>
      </c>
      <c r="M1929" s="91">
        <v>0</v>
      </c>
      <c r="N1929" s="91">
        <v>3148</v>
      </c>
      <c r="O1929" s="91">
        <v>0</v>
      </c>
      <c r="P1929" s="91">
        <v>0</v>
      </c>
      <c r="Q1929" s="104">
        <f t="shared" si="58"/>
        <v>21455</v>
      </c>
      <c r="R1929" s="95">
        <f t="shared" si="59"/>
        <v>18236.75</v>
      </c>
    </row>
    <row r="1930" spans="1:18" ht="34.049999999999997" customHeight="1" x14ac:dyDescent="0.3">
      <c r="A1930" s="96">
        <v>1919</v>
      </c>
      <c r="B1930" s="91" t="s">
        <v>6165</v>
      </c>
      <c r="C1930" s="91" t="s">
        <v>6277</v>
      </c>
      <c r="D1930" s="91" t="s">
        <v>6278</v>
      </c>
      <c r="E1930" s="91">
        <v>2018</v>
      </c>
      <c r="F1930" s="91" t="s">
        <v>19</v>
      </c>
      <c r="G1930" s="91" t="s">
        <v>6339</v>
      </c>
      <c r="H1930" s="91" t="s">
        <v>5121</v>
      </c>
      <c r="I1930" s="91" t="s">
        <v>300</v>
      </c>
      <c r="J1930" s="91">
        <v>6199</v>
      </c>
      <c r="K1930" s="91">
        <v>0</v>
      </c>
      <c r="L1930" s="91">
        <v>0</v>
      </c>
      <c r="M1930" s="91">
        <v>0</v>
      </c>
      <c r="N1930" s="91">
        <v>0</v>
      </c>
      <c r="O1930" s="91">
        <v>0</v>
      </c>
      <c r="P1930" s="91">
        <v>0</v>
      </c>
      <c r="Q1930" s="104">
        <f t="shared" si="58"/>
        <v>6199</v>
      </c>
      <c r="R1930" s="95">
        <f t="shared" si="59"/>
        <v>5269.15</v>
      </c>
    </row>
    <row r="1931" spans="1:18" ht="34.049999999999997" customHeight="1" x14ac:dyDescent="0.3">
      <c r="A1931" s="90">
        <v>1920</v>
      </c>
      <c r="B1931" s="91" t="s">
        <v>6165</v>
      </c>
      <c r="C1931" s="91" t="s">
        <v>6279</v>
      </c>
      <c r="D1931" s="91" t="s">
        <v>6280</v>
      </c>
      <c r="E1931" s="91">
        <v>2003</v>
      </c>
      <c r="F1931" s="91" t="s">
        <v>19</v>
      </c>
      <c r="G1931" s="91" t="s">
        <v>6340</v>
      </c>
      <c r="H1931" s="91" t="s">
        <v>6371</v>
      </c>
      <c r="I1931" s="91" t="s">
        <v>6391</v>
      </c>
      <c r="J1931" s="91">
        <v>0</v>
      </c>
      <c r="K1931" s="91">
        <v>0</v>
      </c>
      <c r="L1931" s="91">
        <v>0</v>
      </c>
      <c r="M1931" s="91">
        <v>0</v>
      </c>
      <c r="N1931" s="91">
        <v>0</v>
      </c>
      <c r="O1931" s="91">
        <v>0</v>
      </c>
      <c r="P1931" s="91">
        <v>0</v>
      </c>
      <c r="Q1931" s="104">
        <f t="shared" si="58"/>
        <v>0</v>
      </c>
      <c r="R1931" s="95">
        <f t="shared" si="59"/>
        <v>0</v>
      </c>
    </row>
    <row r="1932" spans="1:18" ht="34.049999999999997" customHeight="1" x14ac:dyDescent="0.3">
      <c r="A1932" s="90">
        <v>1921</v>
      </c>
      <c r="B1932" s="91" t="s">
        <v>6165</v>
      </c>
      <c r="C1932" s="91" t="s">
        <v>6281</v>
      </c>
      <c r="D1932" s="91" t="s">
        <v>6282</v>
      </c>
      <c r="E1932" s="91">
        <v>2023</v>
      </c>
      <c r="F1932" s="91" t="s">
        <v>18</v>
      </c>
      <c r="G1932" s="91" t="s">
        <v>6341</v>
      </c>
      <c r="H1932" s="91" t="s">
        <v>6372</v>
      </c>
      <c r="I1932" s="91" t="s">
        <v>299</v>
      </c>
      <c r="J1932" s="91">
        <v>6199</v>
      </c>
      <c r="K1932" s="91">
        <f>1346+6278+4484</f>
        <v>12108</v>
      </c>
      <c r="L1932" s="91">
        <v>0</v>
      </c>
      <c r="M1932" s="91">
        <v>0</v>
      </c>
      <c r="N1932" s="91">
        <v>3148</v>
      </c>
      <c r="O1932" s="91">
        <v>0</v>
      </c>
      <c r="P1932" s="91">
        <v>0</v>
      </c>
      <c r="Q1932" s="104">
        <f t="shared" ref="Q1932:Q1995" si="60">SUM(J1932:P1932)</f>
        <v>21455</v>
      </c>
      <c r="R1932" s="95">
        <f t="shared" si="59"/>
        <v>18236.75</v>
      </c>
    </row>
    <row r="1933" spans="1:18" ht="34.049999999999997" customHeight="1" x14ac:dyDescent="0.3">
      <c r="A1933" s="96">
        <v>1922</v>
      </c>
      <c r="B1933" s="91" t="s">
        <v>6165</v>
      </c>
      <c r="C1933" s="91" t="s">
        <v>6283</v>
      </c>
      <c r="D1933" s="91" t="s">
        <v>6284</v>
      </c>
      <c r="E1933" s="91">
        <v>1994</v>
      </c>
      <c r="F1933" s="91" t="s">
        <v>19</v>
      </c>
      <c r="G1933" s="91" t="s">
        <v>3072</v>
      </c>
      <c r="H1933" s="91" t="s">
        <v>3072</v>
      </c>
      <c r="I1933" s="91" t="s">
        <v>6392</v>
      </c>
      <c r="J1933" s="91">
        <v>6199</v>
      </c>
      <c r="K1933" s="91">
        <v>0</v>
      </c>
      <c r="L1933" s="91">
        <v>0</v>
      </c>
      <c r="M1933" s="91">
        <v>0</v>
      </c>
      <c r="N1933" s="91">
        <v>0</v>
      </c>
      <c r="O1933" s="91">
        <v>0</v>
      </c>
      <c r="P1933" s="91">
        <v>0</v>
      </c>
      <c r="Q1933" s="104">
        <f t="shared" si="60"/>
        <v>6199</v>
      </c>
      <c r="R1933" s="95">
        <f t="shared" ref="R1933:R1996" si="61">Q1933*85/100</f>
        <v>5269.15</v>
      </c>
    </row>
    <row r="1934" spans="1:18" ht="34.049999999999997" customHeight="1" x14ac:dyDescent="0.3">
      <c r="A1934" s="90">
        <v>1923</v>
      </c>
      <c r="B1934" s="91" t="s">
        <v>6165</v>
      </c>
      <c r="C1934" s="91" t="s">
        <v>6285</v>
      </c>
      <c r="D1934" s="91" t="s">
        <v>2874</v>
      </c>
      <c r="E1934" s="91">
        <v>2023</v>
      </c>
      <c r="F1934" s="91" t="s">
        <v>18</v>
      </c>
      <c r="G1934" s="91" t="s">
        <v>2993</v>
      </c>
      <c r="H1934" s="91" t="s">
        <v>3048</v>
      </c>
      <c r="I1934" s="91" t="s">
        <v>3082</v>
      </c>
      <c r="J1934" s="91">
        <v>6199</v>
      </c>
      <c r="K1934" s="91">
        <v>0</v>
      </c>
      <c r="L1934" s="91">
        <v>0</v>
      </c>
      <c r="M1934" s="91">
        <v>0</v>
      </c>
      <c r="N1934" s="91">
        <v>0</v>
      </c>
      <c r="O1934" s="91">
        <v>0</v>
      </c>
      <c r="P1934" s="91">
        <v>0</v>
      </c>
      <c r="Q1934" s="104">
        <f t="shared" si="60"/>
        <v>6199</v>
      </c>
      <c r="R1934" s="95">
        <f t="shared" si="61"/>
        <v>5269.15</v>
      </c>
    </row>
    <row r="1935" spans="1:18" ht="34.049999999999997" customHeight="1" x14ac:dyDescent="0.3">
      <c r="A1935" s="90">
        <v>1924</v>
      </c>
      <c r="B1935" s="91" t="s">
        <v>6165</v>
      </c>
      <c r="C1935" s="91" t="s">
        <v>6286</v>
      </c>
      <c r="D1935" s="91" t="s">
        <v>5527</v>
      </c>
      <c r="E1935" s="91">
        <v>2024</v>
      </c>
      <c r="F1935" s="91" t="s">
        <v>19</v>
      </c>
      <c r="G1935" s="91" t="s">
        <v>5647</v>
      </c>
      <c r="H1935" s="91" t="s">
        <v>5711</v>
      </c>
      <c r="I1935" s="91" t="s">
        <v>5757</v>
      </c>
      <c r="J1935" s="91">
        <v>3793</v>
      </c>
      <c r="K1935" s="91">
        <v>0</v>
      </c>
      <c r="L1935" s="91">
        <v>0</v>
      </c>
      <c r="M1935" s="91">
        <v>0</v>
      </c>
      <c r="N1935" s="91">
        <v>0</v>
      </c>
      <c r="O1935" s="91">
        <v>0</v>
      </c>
      <c r="P1935" s="91">
        <v>0</v>
      </c>
      <c r="Q1935" s="104">
        <f t="shared" si="60"/>
        <v>3793</v>
      </c>
      <c r="R1935" s="95">
        <f t="shared" si="61"/>
        <v>3224.05</v>
      </c>
    </row>
    <row r="1936" spans="1:18" ht="34.049999999999997" customHeight="1" x14ac:dyDescent="0.3">
      <c r="A1936" s="96">
        <v>1925</v>
      </c>
      <c r="B1936" s="91" t="s">
        <v>6165</v>
      </c>
      <c r="C1936" s="91" t="s">
        <v>6287</v>
      </c>
      <c r="D1936" s="91" t="s">
        <v>6288</v>
      </c>
      <c r="E1936" s="91">
        <v>1992</v>
      </c>
      <c r="F1936" s="91" t="s">
        <v>18</v>
      </c>
      <c r="G1936" s="91" t="s">
        <v>6342</v>
      </c>
      <c r="H1936" s="91" t="s">
        <v>6342</v>
      </c>
      <c r="I1936" s="91" t="s">
        <v>3090</v>
      </c>
      <c r="J1936" s="91">
        <v>6199</v>
      </c>
      <c r="K1936" s="91">
        <f>1346+6278+4484</f>
        <v>12108</v>
      </c>
      <c r="L1936" s="91">
        <v>0</v>
      </c>
      <c r="M1936" s="91">
        <v>0</v>
      </c>
      <c r="N1936" s="91">
        <v>1793</v>
      </c>
      <c r="O1936" s="91">
        <v>0</v>
      </c>
      <c r="P1936" s="91">
        <v>0</v>
      </c>
      <c r="Q1936" s="104">
        <f t="shared" si="60"/>
        <v>20100</v>
      </c>
      <c r="R1936" s="95">
        <f t="shared" si="61"/>
        <v>17085</v>
      </c>
    </row>
    <row r="1937" spans="1:18" ht="34.049999999999997" customHeight="1" x14ac:dyDescent="0.3">
      <c r="A1937" s="90">
        <v>1926</v>
      </c>
      <c r="B1937" s="91" t="s">
        <v>6165</v>
      </c>
      <c r="C1937" s="91" t="s">
        <v>7302</v>
      </c>
      <c r="D1937" s="93" t="s">
        <v>3171</v>
      </c>
      <c r="E1937" s="91">
        <v>1999</v>
      </c>
      <c r="F1937" s="91" t="s">
        <v>19</v>
      </c>
      <c r="G1937" s="91" t="s">
        <v>3252</v>
      </c>
      <c r="H1937" s="91" t="s">
        <v>3252</v>
      </c>
      <c r="I1937" s="91" t="s">
        <v>254</v>
      </c>
      <c r="J1937" s="91">
        <v>3793</v>
      </c>
      <c r="K1937" s="91">
        <f>1346+6278+4484+6995+2332+2332+2332+2332+2332+2332+6995+6995+2332+6995</f>
        <v>56412</v>
      </c>
      <c r="L1937" s="91">
        <v>0</v>
      </c>
      <c r="M1937" s="91">
        <v>0</v>
      </c>
      <c r="N1937" s="91">
        <f>3148+3179+1178</f>
        <v>7505</v>
      </c>
      <c r="O1937" s="91">
        <v>0</v>
      </c>
      <c r="P1937" s="91">
        <f>720+720+144+374</f>
        <v>1958</v>
      </c>
      <c r="Q1937" s="104">
        <f t="shared" si="60"/>
        <v>69668</v>
      </c>
      <c r="R1937" s="95">
        <f t="shared" si="61"/>
        <v>59217.8</v>
      </c>
    </row>
    <row r="1938" spans="1:18" ht="34.049999999999997" customHeight="1" x14ac:dyDescent="0.3">
      <c r="A1938" s="90">
        <v>1927</v>
      </c>
      <c r="B1938" s="91" t="s">
        <v>6165</v>
      </c>
      <c r="C1938" s="91" t="s">
        <v>7302</v>
      </c>
      <c r="D1938" s="93" t="s">
        <v>3171</v>
      </c>
      <c r="E1938" s="91">
        <v>1999</v>
      </c>
      <c r="F1938" s="91" t="s">
        <v>19</v>
      </c>
      <c r="G1938" s="91" t="s">
        <v>3252</v>
      </c>
      <c r="H1938" s="91" t="s">
        <v>3252</v>
      </c>
      <c r="I1938" s="91" t="s">
        <v>254</v>
      </c>
      <c r="J1938" s="91">
        <v>0</v>
      </c>
      <c r="K1938" s="91">
        <v>0</v>
      </c>
      <c r="L1938" s="91">
        <v>0</v>
      </c>
      <c r="M1938" s="91">
        <v>17688</v>
      </c>
      <c r="N1938" s="91">
        <v>0</v>
      </c>
      <c r="O1938" s="91">
        <v>0</v>
      </c>
      <c r="P1938" s="91">
        <v>0</v>
      </c>
      <c r="Q1938" s="104">
        <f t="shared" si="60"/>
        <v>17688</v>
      </c>
      <c r="R1938" s="95">
        <f t="shared" si="61"/>
        <v>15034.8</v>
      </c>
    </row>
    <row r="1939" spans="1:18" ht="34.049999999999997" customHeight="1" x14ac:dyDescent="0.3">
      <c r="A1939" s="96">
        <v>1928</v>
      </c>
      <c r="B1939" s="91" t="s">
        <v>6165</v>
      </c>
      <c r="C1939" s="91" t="s">
        <v>7303</v>
      </c>
      <c r="D1939" s="93" t="s">
        <v>4911</v>
      </c>
      <c r="E1939" s="91">
        <v>2024</v>
      </c>
      <c r="F1939" s="91" t="s">
        <v>18</v>
      </c>
      <c r="G1939" s="91" t="s">
        <v>5029</v>
      </c>
      <c r="H1939" s="91" t="s">
        <v>1044</v>
      </c>
      <c r="I1939" s="91" t="s">
        <v>5128</v>
      </c>
      <c r="J1939" s="91">
        <v>3793</v>
      </c>
      <c r="K1939" s="91">
        <f>1346+6278+4484+4484+2332+2332+2332+6995+6995+2332+6995+2332+2332+2332+1166</f>
        <v>55067</v>
      </c>
      <c r="L1939" s="91">
        <v>0</v>
      </c>
      <c r="M1939" s="91">
        <v>0</v>
      </c>
      <c r="N1939" s="91">
        <f>3148+4053+2088</f>
        <v>9289</v>
      </c>
      <c r="O1939" s="91">
        <v>0</v>
      </c>
      <c r="P1939" s="91">
        <f>63+720+1080+120+1200</f>
        <v>3183</v>
      </c>
      <c r="Q1939" s="104">
        <f t="shared" si="60"/>
        <v>71332</v>
      </c>
      <c r="R1939" s="95">
        <f t="shared" si="61"/>
        <v>60632.2</v>
      </c>
    </row>
    <row r="1940" spans="1:18" ht="34.049999999999997" customHeight="1" x14ac:dyDescent="0.3">
      <c r="A1940" s="90">
        <v>1929</v>
      </c>
      <c r="B1940" s="91" t="s">
        <v>6165</v>
      </c>
      <c r="C1940" s="91" t="s">
        <v>7303</v>
      </c>
      <c r="D1940" s="93" t="s">
        <v>4911</v>
      </c>
      <c r="E1940" s="91">
        <v>2024</v>
      </c>
      <c r="F1940" s="91" t="s">
        <v>18</v>
      </c>
      <c r="G1940" s="91" t="s">
        <v>5029</v>
      </c>
      <c r="H1940" s="91" t="s">
        <v>1044</v>
      </c>
      <c r="I1940" s="91" t="s">
        <v>5128</v>
      </c>
      <c r="J1940" s="91">
        <v>0</v>
      </c>
      <c r="K1940" s="91">
        <v>0</v>
      </c>
      <c r="L1940" s="91">
        <v>0</v>
      </c>
      <c r="M1940" s="91">
        <v>17688</v>
      </c>
      <c r="N1940" s="91">
        <v>0</v>
      </c>
      <c r="O1940" s="91">
        <v>0</v>
      </c>
      <c r="P1940" s="91">
        <f>360+56</f>
        <v>416</v>
      </c>
      <c r="Q1940" s="104">
        <f t="shared" si="60"/>
        <v>18104</v>
      </c>
      <c r="R1940" s="95">
        <f t="shared" si="61"/>
        <v>15388.4</v>
      </c>
    </row>
    <row r="1941" spans="1:18" ht="34.049999999999997" customHeight="1" x14ac:dyDescent="0.3">
      <c r="A1941" s="90">
        <v>1930</v>
      </c>
      <c r="B1941" s="91" t="s">
        <v>6165</v>
      </c>
      <c r="C1941" s="91" t="s">
        <v>7304</v>
      </c>
      <c r="D1941" s="93" t="s">
        <v>6946</v>
      </c>
      <c r="E1941" s="91">
        <v>2016</v>
      </c>
      <c r="F1941" s="91" t="s">
        <v>19</v>
      </c>
      <c r="G1941" s="91" t="s">
        <v>6947</v>
      </c>
      <c r="H1941" s="91" t="s">
        <v>6828</v>
      </c>
      <c r="I1941" s="91" t="s">
        <v>1702</v>
      </c>
      <c r="J1941" s="91">
        <v>2900</v>
      </c>
      <c r="K1941" s="91">
        <v>0</v>
      </c>
      <c r="L1941" s="91">
        <v>0</v>
      </c>
      <c r="M1941" s="91">
        <v>17688</v>
      </c>
      <c r="N1941" s="91">
        <v>2088</v>
      </c>
      <c r="O1941" s="91">
        <v>0</v>
      </c>
      <c r="P1941" s="91">
        <f>1080+168</f>
        <v>1248</v>
      </c>
      <c r="Q1941" s="104">
        <f t="shared" si="60"/>
        <v>23924</v>
      </c>
      <c r="R1941" s="95">
        <f t="shared" si="61"/>
        <v>20335.400000000001</v>
      </c>
    </row>
    <row r="1942" spans="1:18" ht="34.049999999999997" customHeight="1" x14ac:dyDescent="0.3">
      <c r="A1942" s="96">
        <v>1931</v>
      </c>
      <c r="B1942" s="91" t="s">
        <v>6165</v>
      </c>
      <c r="C1942" s="91" t="s">
        <v>7305</v>
      </c>
      <c r="D1942" s="93" t="s">
        <v>6942</v>
      </c>
      <c r="E1942" s="91">
        <v>2024</v>
      </c>
      <c r="F1942" s="91" t="s">
        <v>18</v>
      </c>
      <c r="G1942" s="91" t="s">
        <v>6944</v>
      </c>
      <c r="H1942" s="91" t="s">
        <v>3466</v>
      </c>
      <c r="I1942" s="91" t="s">
        <v>4208</v>
      </c>
      <c r="J1942" s="91">
        <v>2900</v>
      </c>
      <c r="K1942" s="91">
        <v>0</v>
      </c>
      <c r="L1942" s="91">
        <v>0</v>
      </c>
      <c r="M1942" s="91">
        <v>17688</v>
      </c>
      <c r="N1942" s="91">
        <v>2088</v>
      </c>
      <c r="O1942" s="91">
        <v>0</v>
      </c>
      <c r="P1942" s="91">
        <f>1080+168</f>
        <v>1248</v>
      </c>
      <c r="Q1942" s="104">
        <f t="shared" si="60"/>
        <v>23924</v>
      </c>
      <c r="R1942" s="95">
        <f t="shared" si="61"/>
        <v>20335.400000000001</v>
      </c>
    </row>
    <row r="1943" spans="1:18" ht="34.049999999999997" customHeight="1" x14ac:dyDescent="0.3">
      <c r="A1943" s="90">
        <v>1932</v>
      </c>
      <c r="B1943" s="91" t="s">
        <v>6165</v>
      </c>
      <c r="C1943" s="91" t="s">
        <v>7306</v>
      </c>
      <c r="D1943" s="93" t="s">
        <v>6011</v>
      </c>
      <c r="E1943" s="91">
        <v>1996</v>
      </c>
      <c r="F1943" s="91" t="s">
        <v>19</v>
      </c>
      <c r="G1943" s="91" t="s">
        <v>6090</v>
      </c>
      <c r="H1943" s="91" t="s">
        <v>6129</v>
      </c>
      <c r="I1943" s="91" t="s">
        <v>6154</v>
      </c>
      <c r="J1943" s="91">
        <v>2900</v>
      </c>
      <c r="K1943" s="91">
        <v>0</v>
      </c>
      <c r="L1943" s="91">
        <v>0</v>
      </c>
      <c r="M1943" s="91">
        <v>0</v>
      </c>
      <c r="N1943" s="91">
        <v>1178</v>
      </c>
      <c r="O1943" s="91">
        <v>0</v>
      </c>
      <c r="P1943" s="91">
        <v>660</v>
      </c>
      <c r="Q1943" s="104">
        <f t="shared" si="60"/>
        <v>4738</v>
      </c>
      <c r="R1943" s="95">
        <f t="shared" si="61"/>
        <v>4027.3</v>
      </c>
    </row>
    <row r="1944" spans="1:18" ht="34.049999999999997" customHeight="1" x14ac:dyDescent="0.3">
      <c r="A1944" s="90">
        <v>1933</v>
      </c>
      <c r="B1944" s="91" t="s">
        <v>6165</v>
      </c>
      <c r="C1944" s="91" t="s">
        <v>7307</v>
      </c>
      <c r="D1944" s="93" t="s">
        <v>5981</v>
      </c>
      <c r="E1944" s="91">
        <v>2024</v>
      </c>
      <c r="F1944" s="91" t="s">
        <v>18</v>
      </c>
      <c r="G1944" s="91" t="s">
        <v>6078</v>
      </c>
      <c r="H1944" s="91" t="s">
        <v>6122</v>
      </c>
      <c r="I1944" s="91" t="s">
        <v>1695</v>
      </c>
      <c r="J1944" s="91">
        <v>2900</v>
      </c>
      <c r="K1944" s="91">
        <v>0</v>
      </c>
      <c r="L1944" s="91">
        <v>0</v>
      </c>
      <c r="M1944" s="91">
        <v>0</v>
      </c>
      <c r="N1944" s="91">
        <v>2088</v>
      </c>
      <c r="O1944" s="91">
        <v>0</v>
      </c>
      <c r="P1944" s="91">
        <f>336+112</f>
        <v>448</v>
      </c>
      <c r="Q1944" s="104">
        <f t="shared" si="60"/>
        <v>5436</v>
      </c>
      <c r="R1944" s="95">
        <f t="shared" si="61"/>
        <v>4620.6000000000004</v>
      </c>
    </row>
    <row r="1945" spans="1:18" ht="34.049999999999997" customHeight="1" x14ac:dyDescent="0.3">
      <c r="A1945" s="96">
        <v>1934</v>
      </c>
      <c r="B1945" s="91" t="s">
        <v>6165</v>
      </c>
      <c r="C1945" s="91" t="s">
        <v>7308</v>
      </c>
      <c r="D1945" s="93" t="s">
        <v>5552</v>
      </c>
      <c r="E1945" s="91">
        <v>2023</v>
      </c>
      <c r="F1945" s="91" t="s">
        <v>18</v>
      </c>
      <c r="G1945" s="91" t="s">
        <v>5659</v>
      </c>
      <c r="H1945" s="91" t="s">
        <v>5717</v>
      </c>
      <c r="I1945" s="91" t="s">
        <v>1890</v>
      </c>
      <c r="J1945" s="91">
        <v>2900</v>
      </c>
      <c r="K1945" s="91">
        <v>0</v>
      </c>
      <c r="L1945" s="91">
        <v>0</v>
      </c>
      <c r="M1945" s="91">
        <v>0</v>
      </c>
      <c r="N1945" s="91">
        <v>2088</v>
      </c>
      <c r="O1945" s="91">
        <v>0</v>
      </c>
      <c r="P1945" s="91">
        <f>720+112</f>
        <v>832</v>
      </c>
      <c r="Q1945" s="104">
        <f t="shared" si="60"/>
        <v>5820</v>
      </c>
      <c r="R1945" s="95">
        <f t="shared" si="61"/>
        <v>4947</v>
      </c>
    </row>
    <row r="1946" spans="1:18" ht="34.049999999999997" customHeight="1" x14ac:dyDescent="0.3">
      <c r="A1946" s="90">
        <v>1935</v>
      </c>
      <c r="B1946" s="91" t="s">
        <v>6165</v>
      </c>
      <c r="C1946" s="91" t="s">
        <v>7309</v>
      </c>
      <c r="D1946" s="93" t="s">
        <v>7174</v>
      </c>
      <c r="E1946" s="91">
        <v>2023</v>
      </c>
      <c r="F1946" s="91" t="s">
        <v>19</v>
      </c>
      <c r="G1946" s="91" t="s">
        <v>7175</v>
      </c>
      <c r="H1946" s="91" t="s">
        <v>6828</v>
      </c>
      <c r="I1946" s="91" t="s">
        <v>1702</v>
      </c>
      <c r="J1946" s="91">
        <v>2900</v>
      </c>
      <c r="K1946" s="91">
        <v>0</v>
      </c>
      <c r="L1946" s="91">
        <v>0</v>
      </c>
      <c r="M1946" s="91">
        <v>17688</v>
      </c>
      <c r="N1946" s="91">
        <v>2088</v>
      </c>
      <c r="O1946" s="91">
        <v>0</v>
      </c>
      <c r="P1946" s="91">
        <f>1080+168+720+1080+120+1200</f>
        <v>4368</v>
      </c>
      <c r="Q1946" s="104">
        <f t="shared" si="60"/>
        <v>27044</v>
      </c>
      <c r="R1946" s="95">
        <f t="shared" si="61"/>
        <v>22987.4</v>
      </c>
    </row>
    <row r="1947" spans="1:18" ht="34.049999999999997" customHeight="1" x14ac:dyDescent="0.3">
      <c r="A1947" s="90">
        <v>1936</v>
      </c>
      <c r="B1947" s="91" t="s">
        <v>6165</v>
      </c>
      <c r="C1947" s="91" t="s">
        <v>7310</v>
      </c>
      <c r="D1947" s="93" t="s">
        <v>5420</v>
      </c>
      <c r="E1947" s="91">
        <v>2020</v>
      </c>
      <c r="F1947" s="91" t="s">
        <v>19</v>
      </c>
      <c r="G1947" s="91" t="s">
        <v>5596</v>
      </c>
      <c r="H1947" s="91" t="s">
        <v>5680</v>
      </c>
      <c r="I1947" s="91" t="s">
        <v>1702</v>
      </c>
      <c r="J1947" s="91">
        <v>2900</v>
      </c>
      <c r="K1947" s="91">
        <v>0</v>
      </c>
      <c r="L1947" s="91">
        <v>0</v>
      </c>
      <c r="M1947" s="91">
        <v>17688</v>
      </c>
      <c r="N1947" s="91">
        <v>2088</v>
      </c>
      <c r="O1947" s="91">
        <v>0</v>
      </c>
      <c r="P1947" s="91">
        <f>1080+168</f>
        <v>1248</v>
      </c>
      <c r="Q1947" s="104">
        <f t="shared" si="60"/>
        <v>23924</v>
      </c>
      <c r="R1947" s="95">
        <f t="shared" si="61"/>
        <v>20335.400000000001</v>
      </c>
    </row>
    <row r="1948" spans="1:18" ht="34.049999999999997" customHeight="1" x14ac:dyDescent="0.3">
      <c r="A1948" s="96">
        <v>1937</v>
      </c>
      <c r="B1948" s="91" t="s">
        <v>6165</v>
      </c>
      <c r="C1948" s="91" t="s">
        <v>7311</v>
      </c>
      <c r="D1948" s="93" t="s">
        <v>7286</v>
      </c>
      <c r="E1948" s="91">
        <v>1967</v>
      </c>
      <c r="F1948" s="91" t="s">
        <v>18</v>
      </c>
      <c r="G1948" s="91" t="s">
        <v>7287</v>
      </c>
      <c r="H1948" s="91" t="s">
        <v>7287</v>
      </c>
      <c r="I1948" s="91" t="s">
        <v>7288</v>
      </c>
      <c r="J1948" s="91">
        <v>2900</v>
      </c>
      <c r="K1948" s="91">
        <v>0</v>
      </c>
      <c r="L1948" s="91">
        <v>0</v>
      </c>
      <c r="M1948" s="91">
        <v>17688</v>
      </c>
      <c r="N1948" s="91">
        <v>1681</v>
      </c>
      <c r="O1948" s="91">
        <v>0</v>
      </c>
      <c r="P1948" s="91">
        <f>624+112+60+1320+240+1200+288+720+720+396</f>
        <v>5680</v>
      </c>
      <c r="Q1948" s="104">
        <f t="shared" si="60"/>
        <v>27949</v>
      </c>
      <c r="R1948" s="95">
        <f t="shared" si="61"/>
        <v>23756.65</v>
      </c>
    </row>
    <row r="1949" spans="1:18" ht="34.049999999999997" customHeight="1" x14ac:dyDescent="0.3">
      <c r="A1949" s="90">
        <v>1938</v>
      </c>
      <c r="B1949" s="91" t="s">
        <v>6397</v>
      </c>
      <c r="C1949" s="91" t="s">
        <v>6398</v>
      </c>
      <c r="D1949" s="91" t="s">
        <v>6399</v>
      </c>
      <c r="E1949" s="91">
        <v>2025</v>
      </c>
      <c r="F1949" s="91" t="s">
        <v>18</v>
      </c>
      <c r="G1949" s="91" t="s">
        <v>6550</v>
      </c>
      <c r="H1949" s="91" t="s">
        <v>6621</v>
      </c>
      <c r="I1949" s="91" t="s">
        <v>6661</v>
      </c>
      <c r="J1949" s="91">
        <v>6199</v>
      </c>
      <c r="K1949" s="91">
        <v>0</v>
      </c>
      <c r="L1949" s="91">
        <v>0</v>
      </c>
      <c r="M1949" s="91">
        <v>0</v>
      </c>
      <c r="N1949" s="91">
        <v>0</v>
      </c>
      <c r="O1949" s="91">
        <v>0</v>
      </c>
      <c r="P1949" s="91">
        <v>0</v>
      </c>
      <c r="Q1949" s="104">
        <f t="shared" si="60"/>
        <v>6199</v>
      </c>
      <c r="R1949" s="95">
        <f t="shared" si="61"/>
        <v>5269.15</v>
      </c>
    </row>
    <row r="1950" spans="1:18" ht="34.049999999999997" customHeight="1" x14ac:dyDescent="0.3">
      <c r="A1950" s="90">
        <v>1939</v>
      </c>
      <c r="B1950" s="91" t="s">
        <v>6397</v>
      </c>
      <c r="C1950" s="91" t="s">
        <v>6400</v>
      </c>
      <c r="D1950" s="91" t="s">
        <v>2938</v>
      </c>
      <c r="E1950" s="91">
        <v>1979</v>
      </c>
      <c r="F1950" s="91" t="s">
        <v>18</v>
      </c>
      <c r="G1950" s="91" t="s">
        <v>3023</v>
      </c>
      <c r="H1950" s="91" t="s">
        <v>3023</v>
      </c>
      <c r="I1950" s="91" t="s">
        <v>3096</v>
      </c>
      <c r="J1950" s="91">
        <v>6199</v>
      </c>
      <c r="K1950" s="91">
        <f>1166+2801</f>
        <v>3967</v>
      </c>
      <c r="L1950" s="91">
        <v>0</v>
      </c>
      <c r="M1950" s="91">
        <v>0</v>
      </c>
      <c r="N1950" s="91">
        <v>0</v>
      </c>
      <c r="O1950" s="91">
        <v>0</v>
      </c>
      <c r="P1950" s="91">
        <v>0</v>
      </c>
      <c r="Q1950" s="104">
        <f t="shared" si="60"/>
        <v>10166</v>
      </c>
      <c r="R1950" s="95">
        <f t="shared" si="61"/>
        <v>8641.1</v>
      </c>
    </row>
    <row r="1951" spans="1:18" ht="34.049999999999997" customHeight="1" x14ac:dyDescent="0.3">
      <c r="A1951" s="96">
        <v>1940</v>
      </c>
      <c r="B1951" s="91" t="s">
        <v>6397</v>
      </c>
      <c r="C1951" s="91" t="s">
        <v>6401</v>
      </c>
      <c r="D1951" s="91" t="s">
        <v>6402</v>
      </c>
      <c r="E1951" s="91">
        <v>2023</v>
      </c>
      <c r="F1951" s="91" t="s">
        <v>19</v>
      </c>
      <c r="G1951" s="91" t="s">
        <v>6551</v>
      </c>
      <c r="H1951" s="91" t="s">
        <v>6622</v>
      </c>
      <c r="I1951" s="91" t="s">
        <v>6662</v>
      </c>
      <c r="J1951" s="91">
        <v>6199</v>
      </c>
      <c r="K1951" s="91">
        <f>6278+4484</f>
        <v>10762</v>
      </c>
      <c r="L1951" s="91">
        <v>0</v>
      </c>
      <c r="M1951" s="91">
        <v>0</v>
      </c>
      <c r="N1951" s="91">
        <v>3148</v>
      </c>
      <c r="O1951" s="91">
        <v>0</v>
      </c>
      <c r="P1951" s="91">
        <v>0</v>
      </c>
      <c r="Q1951" s="104">
        <f t="shared" si="60"/>
        <v>20109</v>
      </c>
      <c r="R1951" s="95">
        <f t="shared" si="61"/>
        <v>17092.650000000001</v>
      </c>
    </row>
    <row r="1952" spans="1:18" ht="34.049999999999997" customHeight="1" x14ac:dyDescent="0.3">
      <c r="A1952" s="90">
        <v>1941</v>
      </c>
      <c r="B1952" s="91" t="s">
        <v>6397</v>
      </c>
      <c r="C1952" s="91" t="s">
        <v>6403</v>
      </c>
      <c r="D1952" s="91" t="s">
        <v>6404</v>
      </c>
      <c r="E1952" s="91">
        <v>2014</v>
      </c>
      <c r="F1952" s="91" t="s">
        <v>19</v>
      </c>
      <c r="G1952" s="91" t="s">
        <v>6552</v>
      </c>
      <c r="H1952" s="91" t="s">
        <v>6623</v>
      </c>
      <c r="I1952" s="91" t="s">
        <v>6663</v>
      </c>
      <c r="J1952" s="91">
        <v>6199</v>
      </c>
      <c r="K1952" s="91">
        <v>0</v>
      </c>
      <c r="L1952" s="91">
        <v>0</v>
      </c>
      <c r="M1952" s="91">
        <v>0</v>
      </c>
      <c r="N1952" s="91">
        <v>1681</v>
      </c>
      <c r="O1952" s="91">
        <v>0</v>
      </c>
      <c r="P1952" s="91">
        <v>540</v>
      </c>
      <c r="Q1952" s="105">
        <f t="shared" si="60"/>
        <v>8420</v>
      </c>
      <c r="R1952" s="95">
        <f t="shared" si="61"/>
        <v>7157</v>
      </c>
    </row>
    <row r="1953" spans="1:22" ht="34.049999999999997" customHeight="1" x14ac:dyDescent="0.3">
      <c r="A1953" s="90">
        <v>1942</v>
      </c>
      <c r="B1953" s="91" t="s">
        <v>6397</v>
      </c>
      <c r="C1953" s="91" t="s">
        <v>6405</v>
      </c>
      <c r="D1953" s="91" t="s">
        <v>4499</v>
      </c>
      <c r="E1953" s="91">
        <v>2025</v>
      </c>
      <c r="F1953" s="91" t="s">
        <v>19</v>
      </c>
      <c r="G1953" s="91" t="s">
        <v>4565</v>
      </c>
      <c r="H1953" s="91" t="s">
        <v>4601</v>
      </c>
      <c r="I1953" s="91" t="s">
        <v>1709</v>
      </c>
      <c r="J1953" s="91">
        <v>0</v>
      </c>
      <c r="K1953" s="91">
        <v>0</v>
      </c>
      <c r="L1953" s="91">
        <v>0</v>
      </c>
      <c r="M1953" s="91">
        <v>0</v>
      </c>
      <c r="N1953" s="91">
        <v>0</v>
      </c>
      <c r="O1953" s="91">
        <v>0</v>
      </c>
      <c r="P1953" s="91">
        <v>0</v>
      </c>
      <c r="Q1953" s="104">
        <f t="shared" si="60"/>
        <v>0</v>
      </c>
      <c r="R1953" s="95">
        <f t="shared" si="61"/>
        <v>0</v>
      </c>
      <c r="S1953" s="119"/>
      <c r="V1953" s="119"/>
    </row>
    <row r="1954" spans="1:22" ht="34.049999999999997" customHeight="1" x14ac:dyDescent="0.3">
      <c r="A1954" s="96">
        <v>1943</v>
      </c>
      <c r="B1954" s="91" t="s">
        <v>6397</v>
      </c>
      <c r="C1954" s="91" t="s">
        <v>6406</v>
      </c>
      <c r="D1954" s="91" t="s">
        <v>6407</v>
      </c>
      <c r="E1954" s="91">
        <v>2025</v>
      </c>
      <c r="F1954" s="91" t="s">
        <v>18</v>
      </c>
      <c r="G1954" s="91" t="s">
        <v>6553</v>
      </c>
      <c r="H1954" s="91" t="s">
        <v>6624</v>
      </c>
      <c r="I1954" s="91" t="s">
        <v>6664</v>
      </c>
      <c r="J1954" s="91">
        <v>6199</v>
      </c>
      <c r="K1954" s="91">
        <f>6278+4484+2332+1346+2332+2332+2332+2332+6995+6995+2332+6995+2332+4484</f>
        <v>53901</v>
      </c>
      <c r="L1954" s="91">
        <v>0</v>
      </c>
      <c r="M1954" s="91">
        <v>0</v>
      </c>
      <c r="N1954" s="91">
        <v>3148</v>
      </c>
      <c r="O1954" s="91">
        <v>0</v>
      </c>
      <c r="P1954" s="91">
        <v>0</v>
      </c>
      <c r="Q1954" s="104">
        <f t="shared" si="60"/>
        <v>63248</v>
      </c>
      <c r="R1954" s="95">
        <f t="shared" si="61"/>
        <v>53760.800000000003</v>
      </c>
    </row>
    <row r="1955" spans="1:22" ht="34.049999999999997" customHeight="1" x14ac:dyDescent="0.3">
      <c r="A1955" s="90">
        <v>1944</v>
      </c>
      <c r="B1955" s="91" t="s">
        <v>6397</v>
      </c>
      <c r="C1955" s="91" t="s">
        <v>6408</v>
      </c>
      <c r="D1955" s="91" t="s">
        <v>6409</v>
      </c>
      <c r="E1955" s="91">
        <v>1984</v>
      </c>
      <c r="F1955" s="91" t="s">
        <v>19</v>
      </c>
      <c r="G1955" s="91" t="s">
        <v>6554</v>
      </c>
      <c r="H1955" s="91" t="s">
        <v>6554</v>
      </c>
      <c r="I1955" s="91" t="s">
        <v>300</v>
      </c>
      <c r="J1955" s="91">
        <v>6199</v>
      </c>
      <c r="K1955" s="91">
        <v>0</v>
      </c>
      <c r="L1955" s="91">
        <v>0</v>
      </c>
      <c r="M1955" s="91">
        <v>0</v>
      </c>
      <c r="N1955" s="91">
        <v>0</v>
      </c>
      <c r="O1955" s="91">
        <v>0</v>
      </c>
      <c r="P1955" s="91">
        <v>0</v>
      </c>
      <c r="Q1955" s="104">
        <f t="shared" si="60"/>
        <v>6199</v>
      </c>
      <c r="R1955" s="95">
        <f t="shared" si="61"/>
        <v>5269.15</v>
      </c>
    </row>
    <row r="1956" spans="1:22" ht="34.049999999999997" customHeight="1" x14ac:dyDescent="0.3">
      <c r="A1956" s="90">
        <v>1945</v>
      </c>
      <c r="B1956" s="91" t="s">
        <v>6397</v>
      </c>
      <c r="C1956" s="91" t="s">
        <v>6410</v>
      </c>
      <c r="D1956" s="91" t="s">
        <v>6411</v>
      </c>
      <c r="E1956" s="91">
        <v>2024</v>
      </c>
      <c r="F1956" s="91" t="s">
        <v>18</v>
      </c>
      <c r="G1956" s="91" t="s">
        <v>6555</v>
      </c>
      <c r="H1956" s="91" t="s">
        <v>5657</v>
      </c>
      <c r="I1956" s="91" t="s">
        <v>6665</v>
      </c>
      <c r="J1956" s="91">
        <v>6199</v>
      </c>
      <c r="K1956" s="91">
        <f>6278+4484+1346+4484+2332+2332+2332+2332+6995+6995+2332+6995+2332+2332</f>
        <v>53901</v>
      </c>
      <c r="L1956" s="91">
        <v>0</v>
      </c>
      <c r="M1956" s="91">
        <v>0</v>
      </c>
      <c r="N1956" s="91">
        <v>3148</v>
      </c>
      <c r="O1956" s="91">
        <v>0</v>
      </c>
      <c r="P1956" s="91">
        <v>0</v>
      </c>
      <c r="Q1956" s="105">
        <f t="shared" si="60"/>
        <v>63248</v>
      </c>
      <c r="R1956" s="95">
        <f t="shared" si="61"/>
        <v>53760.800000000003</v>
      </c>
    </row>
    <row r="1957" spans="1:22" ht="34.049999999999997" customHeight="1" x14ac:dyDescent="0.3">
      <c r="A1957" s="96">
        <v>1946</v>
      </c>
      <c r="B1957" s="91" t="s">
        <v>6397</v>
      </c>
      <c r="C1957" s="91" t="s">
        <v>6412</v>
      </c>
      <c r="D1957" s="91" t="s">
        <v>6413</v>
      </c>
      <c r="E1957" s="91">
        <v>1954</v>
      </c>
      <c r="F1957" s="91" t="s">
        <v>19</v>
      </c>
      <c r="G1957" s="91" t="s">
        <v>6556</v>
      </c>
      <c r="H1957" s="91" t="s">
        <v>6556</v>
      </c>
      <c r="I1957" s="91" t="s">
        <v>253</v>
      </c>
      <c r="J1957" s="91">
        <v>6199</v>
      </c>
      <c r="K1957" s="91">
        <f>6278+13452+1166+2801+2332+2332+2332</f>
        <v>30693</v>
      </c>
      <c r="L1957" s="91">
        <v>0</v>
      </c>
      <c r="M1957" s="91">
        <v>0</v>
      </c>
      <c r="N1957" s="91">
        <v>1793</v>
      </c>
      <c r="O1957" s="91">
        <v>0</v>
      </c>
      <c r="P1957" s="91">
        <v>0</v>
      </c>
      <c r="Q1957" s="104">
        <f t="shared" si="60"/>
        <v>38685</v>
      </c>
      <c r="R1957" s="95">
        <f t="shared" si="61"/>
        <v>32882.25</v>
      </c>
    </row>
    <row r="1958" spans="1:22" ht="34.049999999999997" customHeight="1" x14ac:dyDescent="0.3">
      <c r="A1958" s="90">
        <v>1947</v>
      </c>
      <c r="B1958" s="91" t="s">
        <v>6397</v>
      </c>
      <c r="C1958" s="91" t="s">
        <v>6414</v>
      </c>
      <c r="D1958" s="91" t="s">
        <v>6415</v>
      </c>
      <c r="E1958" s="91">
        <v>1948</v>
      </c>
      <c r="F1958" s="91" t="s">
        <v>18</v>
      </c>
      <c r="G1958" s="91" t="s">
        <v>6557</v>
      </c>
      <c r="H1958" s="91" t="s">
        <v>6557</v>
      </c>
      <c r="I1958" s="91" t="s">
        <v>276</v>
      </c>
      <c r="J1958" s="91">
        <v>6199</v>
      </c>
      <c r="K1958" s="91">
        <v>0</v>
      </c>
      <c r="L1958" s="91">
        <v>0</v>
      </c>
      <c r="M1958" s="91">
        <v>0</v>
      </c>
      <c r="N1958" s="91">
        <v>0</v>
      </c>
      <c r="O1958" s="91">
        <v>0</v>
      </c>
      <c r="P1958" s="91">
        <v>0</v>
      </c>
      <c r="Q1958" s="104">
        <f t="shared" si="60"/>
        <v>6199</v>
      </c>
      <c r="R1958" s="95">
        <f t="shared" si="61"/>
        <v>5269.15</v>
      </c>
    </row>
    <row r="1959" spans="1:22" ht="34.049999999999997" customHeight="1" x14ac:dyDescent="0.3">
      <c r="A1959" s="90">
        <v>1948</v>
      </c>
      <c r="B1959" s="91" t="s">
        <v>6397</v>
      </c>
      <c r="C1959" s="91" t="s">
        <v>6416</v>
      </c>
      <c r="D1959" s="91" t="s">
        <v>6417</v>
      </c>
      <c r="E1959" s="91">
        <v>1989</v>
      </c>
      <c r="F1959" s="91" t="s">
        <v>19</v>
      </c>
      <c r="G1959" s="91" t="s">
        <v>6558</v>
      </c>
      <c r="H1959" s="91" t="s">
        <v>6558</v>
      </c>
      <c r="I1959" s="91" t="s">
        <v>6666</v>
      </c>
      <c r="J1959" s="91">
        <v>6199</v>
      </c>
      <c r="K1959" s="91">
        <v>0</v>
      </c>
      <c r="L1959" s="91">
        <v>0</v>
      </c>
      <c r="M1959" s="91">
        <v>0</v>
      </c>
      <c r="N1959" s="91">
        <v>0</v>
      </c>
      <c r="O1959" s="91">
        <v>0</v>
      </c>
      <c r="P1959" s="91">
        <v>0</v>
      </c>
      <c r="Q1959" s="104">
        <f t="shared" si="60"/>
        <v>6199</v>
      </c>
      <c r="R1959" s="95">
        <f t="shared" si="61"/>
        <v>5269.15</v>
      </c>
    </row>
    <row r="1960" spans="1:22" ht="34.049999999999997" customHeight="1" x14ac:dyDescent="0.3">
      <c r="A1960" s="96">
        <v>1949</v>
      </c>
      <c r="B1960" s="91" t="s">
        <v>6397</v>
      </c>
      <c r="C1960" s="91" t="s">
        <v>6418</v>
      </c>
      <c r="D1960" s="91" t="s">
        <v>6419</v>
      </c>
      <c r="E1960" s="91">
        <v>2019</v>
      </c>
      <c r="F1960" s="91" t="s">
        <v>19</v>
      </c>
      <c r="G1960" s="91" t="s">
        <v>6559</v>
      </c>
      <c r="H1960" s="91" t="s">
        <v>6625</v>
      </c>
      <c r="I1960" s="91" t="s">
        <v>24</v>
      </c>
      <c r="J1960" s="91">
        <v>6199</v>
      </c>
      <c r="K1960" s="91">
        <f>6278+4484+1346+4484+2332+2332+2332+2332+2332+2332+6995+6995+2332+6995</f>
        <v>53901</v>
      </c>
      <c r="L1960" s="91">
        <v>0</v>
      </c>
      <c r="M1960" s="91">
        <v>0</v>
      </c>
      <c r="N1960" s="91">
        <v>3148</v>
      </c>
      <c r="O1960" s="91">
        <v>0</v>
      </c>
      <c r="P1960" s="91">
        <v>0</v>
      </c>
      <c r="Q1960" s="104">
        <f t="shared" si="60"/>
        <v>63248</v>
      </c>
      <c r="R1960" s="95">
        <f t="shared" si="61"/>
        <v>53760.800000000003</v>
      </c>
    </row>
    <row r="1961" spans="1:22" ht="34.049999999999997" customHeight="1" x14ac:dyDescent="0.3">
      <c r="A1961" s="90">
        <v>1950</v>
      </c>
      <c r="B1961" s="91" t="s">
        <v>6397</v>
      </c>
      <c r="C1961" s="91" t="s">
        <v>6420</v>
      </c>
      <c r="D1961" s="91" t="s">
        <v>6421</v>
      </c>
      <c r="E1961" s="91">
        <v>2013</v>
      </c>
      <c r="F1961" s="91" t="s">
        <v>19</v>
      </c>
      <c r="G1961" s="91" t="s">
        <v>6560</v>
      </c>
      <c r="H1961" s="91" t="s">
        <v>6626</v>
      </c>
      <c r="I1961" s="91" t="s">
        <v>6667</v>
      </c>
      <c r="J1961" s="91">
        <v>3582</v>
      </c>
      <c r="K1961" s="91">
        <v>0</v>
      </c>
      <c r="L1961" s="91">
        <v>0</v>
      </c>
      <c r="M1961" s="91">
        <v>0</v>
      </c>
      <c r="N1961" s="91">
        <f>15443+19239</f>
        <v>34682</v>
      </c>
      <c r="O1961" s="91">
        <v>0</v>
      </c>
      <c r="P1961" s="91">
        <v>0</v>
      </c>
      <c r="Q1961" s="104">
        <f t="shared" si="60"/>
        <v>38264</v>
      </c>
      <c r="R1961" s="95">
        <f t="shared" si="61"/>
        <v>32524.400000000001</v>
      </c>
    </row>
    <row r="1962" spans="1:22" ht="34.049999999999997" customHeight="1" x14ac:dyDescent="0.3">
      <c r="A1962" s="90">
        <v>1951</v>
      </c>
      <c r="B1962" s="91" t="s">
        <v>6397</v>
      </c>
      <c r="C1962" s="91" t="s">
        <v>6422</v>
      </c>
      <c r="D1962" s="91" t="s">
        <v>6423</v>
      </c>
      <c r="E1962" s="91">
        <v>1990</v>
      </c>
      <c r="F1962" s="91" t="s">
        <v>19</v>
      </c>
      <c r="G1962" s="91" t="s">
        <v>6561</v>
      </c>
      <c r="H1962" s="91" t="s">
        <v>6561</v>
      </c>
      <c r="I1962" s="91" t="s">
        <v>1261</v>
      </c>
      <c r="J1962" s="91">
        <v>6199</v>
      </c>
      <c r="K1962" s="91">
        <v>0</v>
      </c>
      <c r="L1962" s="91">
        <v>0</v>
      </c>
      <c r="M1962" s="91">
        <v>0</v>
      </c>
      <c r="N1962" s="91">
        <v>0</v>
      </c>
      <c r="O1962" s="91">
        <v>0</v>
      </c>
      <c r="P1962" s="91">
        <v>0</v>
      </c>
      <c r="Q1962" s="104">
        <f t="shared" si="60"/>
        <v>6199</v>
      </c>
      <c r="R1962" s="95">
        <f t="shared" si="61"/>
        <v>5269.15</v>
      </c>
    </row>
    <row r="1963" spans="1:22" ht="34.049999999999997" customHeight="1" x14ac:dyDescent="0.3">
      <c r="A1963" s="96">
        <v>1952</v>
      </c>
      <c r="B1963" s="91" t="s">
        <v>6397</v>
      </c>
      <c r="C1963" s="91" t="s">
        <v>6424</v>
      </c>
      <c r="D1963" s="91" t="s">
        <v>6425</v>
      </c>
      <c r="E1963" s="91">
        <v>2001</v>
      </c>
      <c r="F1963" s="91" t="s">
        <v>19</v>
      </c>
      <c r="G1963" s="91" t="s">
        <v>6562</v>
      </c>
      <c r="H1963" s="91" t="s">
        <v>6627</v>
      </c>
      <c r="I1963" s="91" t="s">
        <v>2141</v>
      </c>
      <c r="J1963" s="91">
        <v>6199</v>
      </c>
      <c r="K1963" s="91">
        <v>0</v>
      </c>
      <c r="L1963" s="91">
        <v>18406</v>
      </c>
      <c r="M1963" s="91">
        <v>0</v>
      </c>
      <c r="N1963" s="91">
        <v>0</v>
      </c>
      <c r="O1963" s="91">
        <v>0</v>
      </c>
      <c r="P1963" s="91">
        <v>0</v>
      </c>
      <c r="Q1963" s="104">
        <f t="shared" si="60"/>
        <v>24605</v>
      </c>
      <c r="R1963" s="95">
        <f t="shared" si="61"/>
        <v>20914.25</v>
      </c>
    </row>
    <row r="1964" spans="1:22" ht="34.049999999999997" customHeight="1" x14ac:dyDescent="0.3">
      <c r="A1964" s="90">
        <v>1953</v>
      </c>
      <c r="B1964" s="91" t="s">
        <v>6397</v>
      </c>
      <c r="C1964" s="91" t="s">
        <v>6426</v>
      </c>
      <c r="D1964" s="91" t="s">
        <v>6427</v>
      </c>
      <c r="E1964" s="91">
        <v>1994</v>
      </c>
      <c r="F1964" s="91" t="s">
        <v>18</v>
      </c>
      <c r="G1964" s="91" t="s">
        <v>6563</v>
      </c>
      <c r="H1964" s="91" t="s">
        <v>6563</v>
      </c>
      <c r="I1964" s="91" t="s">
        <v>6668</v>
      </c>
      <c r="J1964" s="91">
        <v>6199</v>
      </c>
      <c r="K1964" s="91">
        <f>6278+4484+2332+2332+2332+2332+2332+6995+3000+3000+1166+2801+2332+2332+3228</f>
        <v>47276</v>
      </c>
      <c r="L1964" s="91">
        <v>0</v>
      </c>
      <c r="M1964" s="91">
        <v>0</v>
      </c>
      <c r="N1964" s="91">
        <v>1793</v>
      </c>
      <c r="O1964" s="91">
        <v>0</v>
      </c>
      <c r="P1964" s="91">
        <v>0</v>
      </c>
      <c r="Q1964" s="105">
        <f t="shared" si="60"/>
        <v>55268</v>
      </c>
      <c r="R1964" s="95">
        <f t="shared" si="61"/>
        <v>46977.8</v>
      </c>
    </row>
    <row r="1965" spans="1:22" ht="34.049999999999997" customHeight="1" x14ac:dyDescent="0.3">
      <c r="A1965" s="90">
        <v>1954</v>
      </c>
      <c r="B1965" s="91" t="s">
        <v>6397</v>
      </c>
      <c r="C1965" s="91" t="s">
        <v>6428</v>
      </c>
      <c r="D1965" s="91" t="s">
        <v>4719</v>
      </c>
      <c r="E1965" s="91">
        <v>2006</v>
      </c>
      <c r="F1965" s="91" t="s">
        <v>19</v>
      </c>
      <c r="G1965" s="91" t="s">
        <v>4812</v>
      </c>
      <c r="H1965" s="91" t="s">
        <v>4850</v>
      </c>
      <c r="I1965" s="91" t="s">
        <v>4875</v>
      </c>
      <c r="J1965" s="91">
        <v>3793</v>
      </c>
      <c r="K1965" s="91">
        <f>1166+2801</f>
        <v>3967</v>
      </c>
      <c r="L1965" s="91">
        <v>0</v>
      </c>
      <c r="M1965" s="91">
        <v>0</v>
      </c>
      <c r="N1965" s="91">
        <v>0</v>
      </c>
      <c r="O1965" s="91">
        <v>0</v>
      </c>
      <c r="P1965" s="91">
        <v>0</v>
      </c>
      <c r="Q1965" s="104">
        <f t="shared" si="60"/>
        <v>7760</v>
      </c>
      <c r="R1965" s="95">
        <f t="shared" si="61"/>
        <v>6596</v>
      </c>
    </row>
    <row r="1966" spans="1:22" ht="34.049999999999997" customHeight="1" x14ac:dyDescent="0.3">
      <c r="A1966" s="96">
        <v>1955</v>
      </c>
      <c r="B1966" s="91" t="s">
        <v>6397</v>
      </c>
      <c r="C1966" s="91" t="s">
        <v>6429</v>
      </c>
      <c r="D1966" s="91" t="s">
        <v>6430</v>
      </c>
      <c r="E1966" s="91">
        <v>1962</v>
      </c>
      <c r="F1966" s="91" t="s">
        <v>18</v>
      </c>
      <c r="G1966" s="91" t="s">
        <v>2824</v>
      </c>
      <c r="H1966" s="91" t="s">
        <v>2824</v>
      </c>
      <c r="I1966" s="91" t="s">
        <v>2455</v>
      </c>
      <c r="J1966" s="91">
        <v>6199</v>
      </c>
      <c r="K1966" s="91">
        <f>6995+2801+1166+6278+2332+2332+2332+2332</f>
        <v>26568</v>
      </c>
      <c r="L1966" s="91">
        <v>17620</v>
      </c>
      <c r="M1966" s="91">
        <v>0</v>
      </c>
      <c r="N1966" s="91">
        <v>1793</v>
      </c>
      <c r="O1966" s="91">
        <v>0</v>
      </c>
      <c r="P1966" s="91">
        <v>0</v>
      </c>
      <c r="Q1966" s="104">
        <f t="shared" si="60"/>
        <v>52180</v>
      </c>
      <c r="R1966" s="95">
        <f t="shared" si="61"/>
        <v>44353</v>
      </c>
    </row>
    <row r="1967" spans="1:22" ht="34.049999999999997" customHeight="1" x14ac:dyDescent="0.3">
      <c r="A1967" s="90">
        <v>1956</v>
      </c>
      <c r="B1967" s="91" t="s">
        <v>6397</v>
      </c>
      <c r="C1967" s="91" t="s">
        <v>6431</v>
      </c>
      <c r="D1967" s="91" t="s">
        <v>6432</v>
      </c>
      <c r="E1967" s="91">
        <v>1996</v>
      </c>
      <c r="F1967" s="91" t="s">
        <v>19</v>
      </c>
      <c r="G1967" s="91" t="s">
        <v>6564</v>
      </c>
      <c r="H1967" s="91" t="s">
        <v>6564</v>
      </c>
      <c r="I1967" s="91" t="s">
        <v>288</v>
      </c>
      <c r="J1967" s="91">
        <v>6199</v>
      </c>
      <c r="K1967" s="91">
        <v>0</v>
      </c>
      <c r="L1967" s="91">
        <v>0</v>
      </c>
      <c r="M1967" s="91">
        <v>0</v>
      </c>
      <c r="N1967" s="91">
        <v>0</v>
      </c>
      <c r="O1967" s="91">
        <v>0</v>
      </c>
      <c r="P1967" s="91">
        <v>0</v>
      </c>
      <c r="Q1967" s="104">
        <f t="shared" si="60"/>
        <v>6199</v>
      </c>
      <c r="R1967" s="95">
        <f t="shared" si="61"/>
        <v>5269.15</v>
      </c>
    </row>
    <row r="1968" spans="1:22" ht="34.049999999999997" customHeight="1" x14ac:dyDescent="0.3">
      <c r="A1968" s="90">
        <v>1957</v>
      </c>
      <c r="B1968" s="91" t="s">
        <v>6397</v>
      </c>
      <c r="C1968" s="91" t="s">
        <v>6433</v>
      </c>
      <c r="D1968" s="91" t="s">
        <v>6434</v>
      </c>
      <c r="E1968" s="91">
        <v>2010</v>
      </c>
      <c r="F1968" s="91" t="s">
        <v>19</v>
      </c>
      <c r="G1968" s="91" t="s">
        <v>6565</v>
      </c>
      <c r="H1968" s="91" t="s">
        <v>6628</v>
      </c>
      <c r="I1968" s="91" t="s">
        <v>288</v>
      </c>
      <c r="J1968" s="91">
        <v>6199</v>
      </c>
      <c r="K1968" s="91">
        <v>0</v>
      </c>
      <c r="L1968" s="91">
        <v>0</v>
      </c>
      <c r="M1968" s="91">
        <v>0</v>
      </c>
      <c r="N1968" s="91">
        <v>0</v>
      </c>
      <c r="O1968" s="91">
        <v>0</v>
      </c>
      <c r="P1968" s="91">
        <v>0</v>
      </c>
      <c r="Q1968" s="104">
        <f t="shared" si="60"/>
        <v>6199</v>
      </c>
      <c r="R1968" s="95">
        <f t="shared" si="61"/>
        <v>5269.15</v>
      </c>
    </row>
    <row r="1969" spans="1:23" ht="34.049999999999997" customHeight="1" x14ac:dyDescent="0.3">
      <c r="A1969" s="96">
        <v>1958</v>
      </c>
      <c r="B1969" s="91" t="s">
        <v>6397</v>
      </c>
      <c r="C1969" s="91" t="s">
        <v>6435</v>
      </c>
      <c r="D1969" s="91" t="s">
        <v>6436</v>
      </c>
      <c r="E1969" s="91">
        <v>2020</v>
      </c>
      <c r="F1969" s="91" t="s">
        <v>19</v>
      </c>
      <c r="G1969" s="91" t="s">
        <v>6566</v>
      </c>
      <c r="H1969" s="91" t="s">
        <v>6629</v>
      </c>
      <c r="I1969" s="91" t="s">
        <v>4205</v>
      </c>
      <c r="J1969" s="91">
        <v>6199</v>
      </c>
      <c r="K1969" s="91">
        <v>0</v>
      </c>
      <c r="L1969" s="91">
        <v>0</v>
      </c>
      <c r="M1969" s="91">
        <v>0</v>
      </c>
      <c r="N1969" s="91">
        <v>0</v>
      </c>
      <c r="O1969" s="91">
        <v>0</v>
      </c>
      <c r="P1969" s="91">
        <v>0</v>
      </c>
      <c r="Q1969" s="105">
        <f t="shared" si="60"/>
        <v>6199</v>
      </c>
      <c r="R1969" s="95">
        <f t="shared" si="61"/>
        <v>5269.15</v>
      </c>
    </row>
    <row r="1970" spans="1:23" ht="34.049999999999997" customHeight="1" x14ac:dyDescent="0.3">
      <c r="A1970" s="90">
        <v>1959</v>
      </c>
      <c r="B1970" s="91" t="s">
        <v>6397</v>
      </c>
      <c r="C1970" s="91" t="s">
        <v>6437</v>
      </c>
      <c r="D1970" s="91" t="s">
        <v>6438</v>
      </c>
      <c r="E1970" s="91">
        <v>2019</v>
      </c>
      <c r="F1970" s="91" t="s">
        <v>18</v>
      </c>
      <c r="G1970" s="91" t="s">
        <v>6567</v>
      </c>
      <c r="H1970" s="91" t="s">
        <v>6630</v>
      </c>
      <c r="I1970" s="91" t="s">
        <v>5762</v>
      </c>
      <c r="J1970" s="91">
        <v>6199</v>
      </c>
      <c r="K1970" s="91">
        <f>6278+4484+2332</f>
        <v>13094</v>
      </c>
      <c r="L1970" s="91">
        <v>0</v>
      </c>
      <c r="M1970" s="91">
        <v>0</v>
      </c>
      <c r="N1970" s="91">
        <v>3148</v>
      </c>
      <c r="O1970" s="91">
        <v>0</v>
      </c>
      <c r="P1970" s="91">
        <v>0</v>
      </c>
      <c r="Q1970" s="104">
        <f t="shared" si="60"/>
        <v>22441</v>
      </c>
      <c r="R1970" s="95">
        <f t="shared" si="61"/>
        <v>19074.849999999999</v>
      </c>
    </row>
    <row r="1971" spans="1:23" ht="34.049999999999997" customHeight="1" x14ac:dyDescent="0.3">
      <c r="A1971" s="90">
        <v>1960</v>
      </c>
      <c r="B1971" s="91" t="s">
        <v>6397</v>
      </c>
      <c r="C1971" s="91" t="s">
        <v>6439</v>
      </c>
      <c r="D1971" s="91" t="s">
        <v>6440</v>
      </c>
      <c r="E1971" s="91">
        <v>2022</v>
      </c>
      <c r="F1971" s="91" t="s">
        <v>18</v>
      </c>
      <c r="G1971" s="91" t="s">
        <v>6568</v>
      </c>
      <c r="H1971" s="91" t="s">
        <v>6629</v>
      </c>
      <c r="I1971" s="91" t="s">
        <v>4205</v>
      </c>
      <c r="J1971" s="91">
        <v>6199</v>
      </c>
      <c r="K1971" s="91">
        <v>0</v>
      </c>
      <c r="L1971" s="91">
        <v>0</v>
      </c>
      <c r="M1971" s="91">
        <v>0</v>
      </c>
      <c r="N1971" s="91">
        <v>0</v>
      </c>
      <c r="O1971" s="91">
        <v>0</v>
      </c>
      <c r="P1971" s="91">
        <v>0</v>
      </c>
      <c r="Q1971" s="104">
        <f t="shared" si="60"/>
        <v>6199</v>
      </c>
      <c r="R1971" s="95">
        <f t="shared" si="61"/>
        <v>5269.15</v>
      </c>
    </row>
    <row r="1972" spans="1:23" ht="34.049999999999997" customHeight="1" x14ac:dyDescent="0.3">
      <c r="A1972" s="96">
        <v>1961</v>
      </c>
      <c r="B1972" s="98" t="s">
        <v>6397</v>
      </c>
      <c r="C1972" s="98" t="s">
        <v>6441</v>
      </c>
      <c r="D1972" s="98" t="s">
        <v>6442</v>
      </c>
      <c r="E1972" s="98">
        <v>1990</v>
      </c>
      <c r="F1972" s="98" t="s">
        <v>19</v>
      </c>
      <c r="G1972" s="98" t="s">
        <v>6569</v>
      </c>
      <c r="H1972" s="98" t="s">
        <v>6569</v>
      </c>
      <c r="I1972" s="98" t="s">
        <v>6669</v>
      </c>
      <c r="J1972" s="98">
        <v>6199</v>
      </c>
      <c r="K1972" s="98">
        <f>2332+2332+2243+1166</f>
        <v>8073</v>
      </c>
      <c r="L1972" s="98">
        <v>0</v>
      </c>
      <c r="M1972" s="98">
        <v>0</v>
      </c>
      <c r="N1972" s="98">
        <v>0</v>
      </c>
      <c r="O1972" s="98">
        <v>0</v>
      </c>
      <c r="P1972" s="98">
        <v>0</v>
      </c>
      <c r="Q1972" s="104">
        <f t="shared" si="60"/>
        <v>14272</v>
      </c>
      <c r="R1972" s="95">
        <f t="shared" si="61"/>
        <v>12131.2</v>
      </c>
      <c r="S1972" s="41"/>
      <c r="T1972" s="41"/>
      <c r="U1972" s="41"/>
      <c r="V1972" s="41"/>
      <c r="W1972" s="41"/>
    </row>
    <row r="1973" spans="1:23" ht="34.049999999999997" customHeight="1" x14ac:dyDescent="0.3">
      <c r="A1973" s="90">
        <v>1962</v>
      </c>
      <c r="B1973" s="98" t="s">
        <v>6397</v>
      </c>
      <c r="C1973" s="98" t="s">
        <v>6443</v>
      </c>
      <c r="D1973" s="98" t="s">
        <v>6444</v>
      </c>
      <c r="E1973" s="98">
        <v>2019</v>
      </c>
      <c r="F1973" s="98" t="s">
        <v>19</v>
      </c>
      <c r="G1973" s="98" t="s">
        <v>6570</v>
      </c>
      <c r="H1973" s="98" t="s">
        <v>6631</v>
      </c>
      <c r="I1973" s="98" t="s">
        <v>6669</v>
      </c>
      <c r="J1973" s="98">
        <v>6199</v>
      </c>
      <c r="K1973" s="98">
        <f>6278+4484+1346+4484+2332+2332+2332+2332+3000+3000+2332+2332+1166+2332</f>
        <v>40082</v>
      </c>
      <c r="L1973" s="98">
        <v>0</v>
      </c>
      <c r="M1973" s="98">
        <v>0</v>
      </c>
      <c r="N1973" s="98">
        <v>3148</v>
      </c>
      <c r="O1973" s="98">
        <v>0</v>
      </c>
      <c r="P1973" s="98">
        <v>0</v>
      </c>
      <c r="Q1973" s="106">
        <f t="shared" si="60"/>
        <v>49429</v>
      </c>
      <c r="R1973" s="95">
        <f t="shared" si="61"/>
        <v>42014.65</v>
      </c>
      <c r="S1973" s="41"/>
      <c r="T1973" s="41"/>
      <c r="U1973" s="41"/>
      <c r="V1973" s="41"/>
      <c r="W1973" s="41"/>
    </row>
    <row r="1974" spans="1:23" ht="34.049999999999997" customHeight="1" x14ac:dyDescent="0.3">
      <c r="A1974" s="90">
        <v>1963</v>
      </c>
      <c r="B1974" s="91" t="s">
        <v>6397</v>
      </c>
      <c r="C1974" s="91" t="s">
        <v>6445</v>
      </c>
      <c r="D1974" s="91" t="s">
        <v>6446</v>
      </c>
      <c r="E1974" s="91">
        <v>2023</v>
      </c>
      <c r="F1974" s="91" t="s">
        <v>18</v>
      </c>
      <c r="G1974" s="91" t="s">
        <v>6571</v>
      </c>
      <c r="H1974" s="91" t="s">
        <v>6569</v>
      </c>
      <c r="I1974" s="91" t="s">
        <v>6669</v>
      </c>
      <c r="J1974" s="91">
        <v>6199</v>
      </c>
      <c r="K1974" s="91">
        <v>1166</v>
      </c>
      <c r="L1974" s="91">
        <v>0</v>
      </c>
      <c r="M1974" s="91">
        <v>0</v>
      </c>
      <c r="N1974" s="91">
        <v>0</v>
      </c>
      <c r="O1974" s="91">
        <v>0</v>
      </c>
      <c r="P1974" s="91">
        <v>0</v>
      </c>
      <c r="Q1974" s="104">
        <f t="shared" si="60"/>
        <v>7365</v>
      </c>
      <c r="R1974" s="95">
        <f t="shared" si="61"/>
        <v>6260.25</v>
      </c>
    </row>
    <row r="1975" spans="1:23" ht="34.049999999999997" customHeight="1" x14ac:dyDescent="0.3">
      <c r="A1975" s="96">
        <v>1964</v>
      </c>
      <c r="B1975" s="91" t="s">
        <v>6397</v>
      </c>
      <c r="C1975" s="91" t="s">
        <v>6447</v>
      </c>
      <c r="D1975" s="91" t="s">
        <v>6448</v>
      </c>
      <c r="E1975" s="91">
        <v>2017</v>
      </c>
      <c r="F1975" s="91" t="s">
        <v>18</v>
      </c>
      <c r="G1975" s="91" t="s">
        <v>6572</v>
      </c>
      <c r="H1975" s="91" t="s">
        <v>6632</v>
      </c>
      <c r="I1975" s="91" t="s">
        <v>6670</v>
      </c>
      <c r="J1975" s="91">
        <v>6199</v>
      </c>
      <c r="K1975" s="91">
        <v>0</v>
      </c>
      <c r="L1975" s="91">
        <v>0</v>
      </c>
      <c r="M1975" s="91">
        <v>0</v>
      </c>
      <c r="N1975" s="91">
        <v>0</v>
      </c>
      <c r="O1975" s="91">
        <v>0</v>
      </c>
      <c r="P1975" s="91">
        <v>0</v>
      </c>
      <c r="Q1975" s="104">
        <f t="shared" si="60"/>
        <v>6199</v>
      </c>
      <c r="R1975" s="95">
        <f t="shared" si="61"/>
        <v>5269.15</v>
      </c>
    </row>
    <row r="1976" spans="1:23" ht="34.049999999999997" customHeight="1" x14ac:dyDescent="0.3">
      <c r="A1976" s="90">
        <v>1965</v>
      </c>
      <c r="B1976" s="91" t="s">
        <v>6397</v>
      </c>
      <c r="C1976" s="91" t="s">
        <v>6449</v>
      </c>
      <c r="D1976" s="91" t="s">
        <v>6450</v>
      </c>
      <c r="E1976" s="91">
        <v>2025</v>
      </c>
      <c r="F1976" s="91" t="s">
        <v>18</v>
      </c>
      <c r="G1976" s="91" t="s">
        <v>6573</v>
      </c>
      <c r="H1976" s="91" t="s">
        <v>6633</v>
      </c>
      <c r="I1976" s="91" t="s">
        <v>6671</v>
      </c>
      <c r="J1976" s="91">
        <v>6199</v>
      </c>
      <c r="K1976" s="91">
        <v>0</v>
      </c>
      <c r="L1976" s="91">
        <v>0</v>
      </c>
      <c r="M1976" s="91">
        <v>0</v>
      </c>
      <c r="N1976" s="91">
        <v>61829</v>
      </c>
      <c r="O1976" s="91">
        <v>0</v>
      </c>
      <c r="P1976" s="91">
        <v>0</v>
      </c>
      <c r="Q1976" s="104">
        <f t="shared" si="60"/>
        <v>68028</v>
      </c>
      <c r="R1976" s="95">
        <f t="shared" si="61"/>
        <v>57823.8</v>
      </c>
    </row>
    <row r="1977" spans="1:23" ht="34.049999999999997" customHeight="1" x14ac:dyDescent="0.3">
      <c r="A1977" s="90">
        <v>1966</v>
      </c>
      <c r="B1977" s="91" t="s">
        <v>6397</v>
      </c>
      <c r="C1977" s="91" t="s">
        <v>6451</v>
      </c>
      <c r="D1977" s="91" t="s">
        <v>6452</v>
      </c>
      <c r="E1977" s="91">
        <v>2011</v>
      </c>
      <c r="F1977" s="91" t="s">
        <v>18</v>
      </c>
      <c r="G1977" s="91" t="s">
        <v>6574</v>
      </c>
      <c r="H1977" s="91" t="s">
        <v>6634</v>
      </c>
      <c r="I1977" s="91" t="s">
        <v>6672</v>
      </c>
      <c r="J1977" s="91">
        <v>6199</v>
      </c>
      <c r="K1977" s="91">
        <f>6278+4484+1346+2332+2332+2332+2332+2332+1166+6995+6995+2332+6995</f>
        <v>48251</v>
      </c>
      <c r="L1977" s="91">
        <v>0</v>
      </c>
      <c r="M1977" s="91">
        <v>0</v>
      </c>
      <c r="N1977" s="91">
        <f>4053+3148</f>
        <v>7201</v>
      </c>
      <c r="O1977" s="91">
        <v>0</v>
      </c>
      <c r="P1977" s="91">
        <f>720+360+120+360+56+1200+396</f>
        <v>3212</v>
      </c>
      <c r="Q1977" s="105">
        <f t="shared" si="60"/>
        <v>64863</v>
      </c>
      <c r="R1977" s="95">
        <f t="shared" si="61"/>
        <v>55133.55</v>
      </c>
    </row>
    <row r="1978" spans="1:23" ht="34.049999999999997" customHeight="1" x14ac:dyDescent="0.3">
      <c r="A1978" s="96">
        <v>1967</v>
      </c>
      <c r="B1978" s="91" t="s">
        <v>6397</v>
      </c>
      <c r="C1978" s="91" t="s">
        <v>6453</v>
      </c>
      <c r="D1978" s="91" t="s">
        <v>6454</v>
      </c>
      <c r="E1978" s="91">
        <v>2020</v>
      </c>
      <c r="F1978" s="91" t="s">
        <v>19</v>
      </c>
      <c r="G1978" s="91" t="s">
        <v>6575</v>
      </c>
      <c r="H1978" s="91" t="s">
        <v>6635</v>
      </c>
      <c r="I1978" s="91" t="s">
        <v>2645</v>
      </c>
      <c r="J1978" s="91">
        <v>6199</v>
      </c>
      <c r="K1978" s="91">
        <v>0</v>
      </c>
      <c r="L1978" s="91">
        <v>13298</v>
      </c>
      <c r="M1978" s="91">
        <v>0</v>
      </c>
      <c r="N1978" s="91">
        <v>0</v>
      </c>
      <c r="O1978" s="91">
        <v>0</v>
      </c>
      <c r="P1978" s="91">
        <v>0</v>
      </c>
      <c r="Q1978" s="104">
        <f t="shared" si="60"/>
        <v>19497</v>
      </c>
      <c r="R1978" s="95">
        <f t="shared" si="61"/>
        <v>16572.45</v>
      </c>
    </row>
    <row r="1979" spans="1:23" ht="34.049999999999997" customHeight="1" x14ac:dyDescent="0.3">
      <c r="A1979" s="90">
        <v>1968</v>
      </c>
      <c r="B1979" s="91" t="s">
        <v>6397</v>
      </c>
      <c r="C1979" s="91" t="s">
        <v>6455</v>
      </c>
      <c r="D1979" s="91" t="s">
        <v>6456</v>
      </c>
      <c r="E1979" s="91">
        <v>2000</v>
      </c>
      <c r="F1979" s="91" t="s">
        <v>19</v>
      </c>
      <c r="G1979" s="91" t="s">
        <v>6576</v>
      </c>
      <c r="H1979" s="91" t="s">
        <v>6636</v>
      </c>
      <c r="I1979" s="91" t="s">
        <v>6673</v>
      </c>
      <c r="J1979" s="91">
        <v>6199</v>
      </c>
      <c r="K1979" s="91">
        <v>0</v>
      </c>
      <c r="L1979" s="91">
        <v>0</v>
      </c>
      <c r="M1979" s="91">
        <v>0</v>
      </c>
      <c r="N1979" s="91">
        <v>0</v>
      </c>
      <c r="O1979" s="91">
        <v>0</v>
      </c>
      <c r="P1979" s="91">
        <v>0</v>
      </c>
      <c r="Q1979" s="104">
        <f t="shared" si="60"/>
        <v>6199</v>
      </c>
      <c r="R1979" s="95">
        <f t="shared" si="61"/>
        <v>5269.15</v>
      </c>
    </row>
    <row r="1980" spans="1:23" ht="34.049999999999997" customHeight="1" x14ac:dyDescent="0.3">
      <c r="A1980" s="90">
        <v>1969</v>
      </c>
      <c r="B1980" s="91" t="s">
        <v>6397</v>
      </c>
      <c r="C1980" s="91" t="s">
        <v>6457</v>
      </c>
      <c r="D1980" s="91" t="s">
        <v>6458</v>
      </c>
      <c r="E1980" s="91">
        <v>1995</v>
      </c>
      <c r="F1980" s="91" t="s">
        <v>19</v>
      </c>
      <c r="G1980" s="91" t="s">
        <v>6577</v>
      </c>
      <c r="H1980" s="91" t="s">
        <v>6577</v>
      </c>
      <c r="I1980" s="91" t="s">
        <v>1699</v>
      </c>
      <c r="J1980" s="91">
        <v>6199</v>
      </c>
      <c r="K1980" s="91">
        <v>0</v>
      </c>
      <c r="L1980" s="91">
        <v>0</v>
      </c>
      <c r="M1980" s="91">
        <v>0</v>
      </c>
      <c r="N1980" s="91">
        <v>0</v>
      </c>
      <c r="O1980" s="91">
        <v>0</v>
      </c>
      <c r="P1980" s="91">
        <v>0</v>
      </c>
      <c r="Q1980" s="104">
        <f t="shared" si="60"/>
        <v>6199</v>
      </c>
      <c r="R1980" s="95">
        <f t="shared" si="61"/>
        <v>5269.15</v>
      </c>
    </row>
    <row r="1981" spans="1:23" ht="34.049999999999997" customHeight="1" x14ac:dyDescent="0.3">
      <c r="A1981" s="96">
        <v>1970</v>
      </c>
      <c r="B1981" s="91" t="s">
        <v>6397</v>
      </c>
      <c r="C1981" s="91" t="s">
        <v>6459</v>
      </c>
      <c r="D1981" s="91" t="s">
        <v>6460</v>
      </c>
      <c r="E1981" s="91">
        <v>1999</v>
      </c>
      <c r="F1981" s="91" t="s">
        <v>19</v>
      </c>
      <c r="G1981" s="91" t="s">
        <v>6578</v>
      </c>
      <c r="H1981" s="91" t="s">
        <v>6578</v>
      </c>
      <c r="I1981" s="91" t="s">
        <v>840</v>
      </c>
      <c r="J1981" s="91">
        <v>6199</v>
      </c>
      <c r="K1981" s="91">
        <v>0</v>
      </c>
      <c r="L1981" s="91">
        <v>0</v>
      </c>
      <c r="M1981" s="91">
        <v>0</v>
      </c>
      <c r="N1981" s="91">
        <v>0</v>
      </c>
      <c r="O1981" s="91">
        <v>0</v>
      </c>
      <c r="P1981" s="91">
        <v>0</v>
      </c>
      <c r="Q1981" s="104">
        <f t="shared" si="60"/>
        <v>6199</v>
      </c>
      <c r="R1981" s="95">
        <f t="shared" si="61"/>
        <v>5269.15</v>
      </c>
    </row>
    <row r="1982" spans="1:23" ht="34.049999999999997" customHeight="1" x14ac:dyDescent="0.3">
      <c r="A1982" s="90">
        <v>1971</v>
      </c>
      <c r="B1982" s="91" t="s">
        <v>6397</v>
      </c>
      <c r="C1982" s="91" t="s">
        <v>6461</v>
      </c>
      <c r="D1982" s="91" t="s">
        <v>6462</v>
      </c>
      <c r="E1982" s="91">
        <v>1954</v>
      </c>
      <c r="F1982" s="91" t="s">
        <v>19</v>
      </c>
      <c r="G1982" s="91" t="s">
        <v>6579</v>
      </c>
      <c r="H1982" s="91" t="s">
        <v>6579</v>
      </c>
      <c r="I1982" s="91" t="s">
        <v>824</v>
      </c>
      <c r="J1982" s="91">
        <v>6199</v>
      </c>
      <c r="K1982" s="91">
        <v>2332</v>
      </c>
      <c r="L1982" s="91">
        <v>0</v>
      </c>
      <c r="M1982" s="91">
        <v>0</v>
      </c>
      <c r="N1982" s="91">
        <v>1793</v>
      </c>
      <c r="O1982" s="91">
        <v>0</v>
      </c>
      <c r="P1982" s="91">
        <v>0</v>
      </c>
      <c r="Q1982" s="104">
        <f t="shared" si="60"/>
        <v>10324</v>
      </c>
      <c r="R1982" s="95">
        <f t="shared" si="61"/>
        <v>8775.4</v>
      </c>
    </row>
    <row r="1983" spans="1:23" ht="34.049999999999997" customHeight="1" x14ac:dyDescent="0.3">
      <c r="A1983" s="90">
        <v>1972</v>
      </c>
      <c r="B1983" s="91" t="s">
        <v>6397</v>
      </c>
      <c r="C1983" s="91" t="s">
        <v>6463</v>
      </c>
      <c r="D1983" s="91" t="s">
        <v>6464</v>
      </c>
      <c r="E1983" s="91">
        <v>1986</v>
      </c>
      <c r="F1983" s="91" t="s">
        <v>19</v>
      </c>
      <c r="G1983" s="91" t="s">
        <v>6580</v>
      </c>
      <c r="H1983" s="91" t="s">
        <v>6580</v>
      </c>
      <c r="I1983" s="91" t="s">
        <v>5952</v>
      </c>
      <c r="J1983" s="91">
        <v>6199</v>
      </c>
      <c r="K1983" s="91">
        <f>1166+2332+2332+2243</f>
        <v>8073</v>
      </c>
      <c r="L1983" s="91">
        <v>0</v>
      </c>
      <c r="M1983" s="91">
        <v>0</v>
      </c>
      <c r="N1983" s="91">
        <v>0</v>
      </c>
      <c r="O1983" s="91">
        <v>0</v>
      </c>
      <c r="P1983" s="91">
        <v>0</v>
      </c>
      <c r="Q1983" s="104">
        <f t="shared" si="60"/>
        <v>14272</v>
      </c>
      <c r="R1983" s="95">
        <f t="shared" si="61"/>
        <v>12131.2</v>
      </c>
    </row>
    <row r="1984" spans="1:23" ht="34.049999999999997" customHeight="1" x14ac:dyDescent="0.3">
      <c r="A1984" s="96">
        <v>1973</v>
      </c>
      <c r="B1984" s="91" t="s">
        <v>6397</v>
      </c>
      <c r="C1984" s="91" t="s">
        <v>6465</v>
      </c>
      <c r="D1984" s="91" t="s">
        <v>6466</v>
      </c>
      <c r="E1984" s="91">
        <v>2022</v>
      </c>
      <c r="F1984" s="91" t="s">
        <v>18</v>
      </c>
      <c r="G1984" s="91" t="s">
        <v>6581</v>
      </c>
      <c r="H1984" s="91" t="s">
        <v>6637</v>
      </c>
      <c r="I1984" s="91" t="s">
        <v>5952</v>
      </c>
      <c r="J1984" s="91">
        <v>6199</v>
      </c>
      <c r="K1984" s="91">
        <f>6278+4484+1346+2332+2332+2332+2332+2332+6995+6995+2332+6995+2332+4484</f>
        <v>53901</v>
      </c>
      <c r="L1984" s="91">
        <v>0</v>
      </c>
      <c r="M1984" s="91">
        <v>0</v>
      </c>
      <c r="N1984" s="91">
        <v>3148</v>
      </c>
      <c r="O1984" s="91">
        <v>0</v>
      </c>
      <c r="P1984" s="91">
        <v>0</v>
      </c>
      <c r="Q1984" s="104">
        <f t="shared" si="60"/>
        <v>63248</v>
      </c>
      <c r="R1984" s="95">
        <f t="shared" si="61"/>
        <v>53760.800000000003</v>
      </c>
    </row>
    <row r="1985" spans="1:23" ht="34.049999999999997" customHeight="1" x14ac:dyDescent="0.3">
      <c r="A1985" s="90">
        <v>1974</v>
      </c>
      <c r="B1985" s="91" t="s">
        <v>6397</v>
      </c>
      <c r="C1985" s="91" t="s">
        <v>6467</v>
      </c>
      <c r="D1985" s="91" t="s">
        <v>6468</v>
      </c>
      <c r="E1985" s="91">
        <v>1997</v>
      </c>
      <c r="F1985" s="91" t="s">
        <v>19</v>
      </c>
      <c r="G1985" s="91" t="s">
        <v>6582</v>
      </c>
      <c r="H1985" s="91" t="s">
        <v>6582</v>
      </c>
      <c r="I1985" s="91" t="s">
        <v>1282</v>
      </c>
      <c r="J1985" s="91">
        <v>6199</v>
      </c>
      <c r="K1985" s="91">
        <v>0</v>
      </c>
      <c r="L1985" s="91">
        <v>18406</v>
      </c>
      <c r="M1985" s="91">
        <v>0</v>
      </c>
      <c r="N1985" s="91">
        <v>0</v>
      </c>
      <c r="O1985" s="91">
        <v>0</v>
      </c>
      <c r="P1985" s="91">
        <v>0</v>
      </c>
      <c r="Q1985" s="104">
        <f t="shared" si="60"/>
        <v>24605</v>
      </c>
      <c r="R1985" s="95">
        <f t="shared" si="61"/>
        <v>20914.25</v>
      </c>
    </row>
    <row r="1986" spans="1:23" ht="34.049999999999997" customHeight="1" x14ac:dyDescent="0.3">
      <c r="A1986" s="90">
        <v>1975</v>
      </c>
      <c r="B1986" s="91" t="s">
        <v>6397</v>
      </c>
      <c r="C1986" s="91" t="s">
        <v>6469</v>
      </c>
      <c r="D1986" s="91" t="s">
        <v>6470</v>
      </c>
      <c r="E1986" s="91">
        <v>1982</v>
      </c>
      <c r="F1986" s="91" t="s">
        <v>19</v>
      </c>
      <c r="G1986" s="91" t="s">
        <v>6583</v>
      </c>
      <c r="H1986" s="91" t="s">
        <v>6583</v>
      </c>
      <c r="I1986" s="91" t="s">
        <v>560</v>
      </c>
      <c r="J1986" s="91">
        <v>3582</v>
      </c>
      <c r="K1986" s="91">
        <v>0</v>
      </c>
      <c r="L1986" s="91">
        <v>0</v>
      </c>
      <c r="M1986" s="91">
        <v>0</v>
      </c>
      <c r="N1986" s="91">
        <f>15443+21194+13563</f>
        <v>50200</v>
      </c>
      <c r="O1986" s="91">
        <v>0</v>
      </c>
      <c r="P1986" s="91">
        <v>0</v>
      </c>
      <c r="Q1986" s="104">
        <f t="shared" si="60"/>
        <v>53782</v>
      </c>
      <c r="R1986" s="95">
        <f t="shared" si="61"/>
        <v>45714.7</v>
      </c>
    </row>
    <row r="1987" spans="1:23" ht="34.049999999999997" customHeight="1" x14ac:dyDescent="0.3">
      <c r="A1987" s="96">
        <v>1976</v>
      </c>
      <c r="B1987" s="91" t="s">
        <v>6397</v>
      </c>
      <c r="C1987" s="91" t="s">
        <v>6471</v>
      </c>
      <c r="D1987" s="91" t="s">
        <v>6472</v>
      </c>
      <c r="E1987" s="91">
        <v>2022</v>
      </c>
      <c r="F1987" s="91" t="s">
        <v>19</v>
      </c>
      <c r="G1987" s="91" t="s">
        <v>6584</v>
      </c>
      <c r="H1987" s="91" t="s">
        <v>6638</v>
      </c>
      <c r="I1987" s="91" t="s">
        <v>1070</v>
      </c>
      <c r="J1987" s="91">
        <v>6199</v>
      </c>
      <c r="K1987" s="91">
        <f>6278+4484+1346+2332+2332+2332+2332+2332+6995+6995+2332+6995+2332+4484</f>
        <v>53901</v>
      </c>
      <c r="L1987" s="91">
        <v>0</v>
      </c>
      <c r="M1987" s="91">
        <v>0</v>
      </c>
      <c r="N1987" s="91">
        <v>3148</v>
      </c>
      <c r="O1987" s="91">
        <v>0</v>
      </c>
      <c r="P1987" s="91">
        <v>0</v>
      </c>
      <c r="Q1987" s="104">
        <f t="shared" si="60"/>
        <v>63248</v>
      </c>
      <c r="R1987" s="95">
        <f t="shared" si="61"/>
        <v>53760.800000000003</v>
      </c>
    </row>
    <row r="1988" spans="1:23" ht="34.049999999999997" customHeight="1" x14ac:dyDescent="0.3">
      <c r="A1988" s="90">
        <v>1977</v>
      </c>
      <c r="B1988" s="91" t="s">
        <v>6397</v>
      </c>
      <c r="C1988" s="91" t="s">
        <v>6473</v>
      </c>
      <c r="D1988" s="91" t="s">
        <v>6474</v>
      </c>
      <c r="E1988" s="91">
        <v>2013</v>
      </c>
      <c r="F1988" s="91" t="s">
        <v>18</v>
      </c>
      <c r="G1988" s="91" t="s">
        <v>6585</v>
      </c>
      <c r="H1988" s="91" t="s">
        <v>6639</v>
      </c>
      <c r="I1988" s="91" t="s">
        <v>6674</v>
      </c>
      <c r="J1988" s="91">
        <v>6199</v>
      </c>
      <c r="K1988" s="91">
        <v>0</v>
      </c>
      <c r="L1988" s="91">
        <v>0</v>
      </c>
      <c r="M1988" s="91">
        <v>0</v>
      </c>
      <c r="N1988" s="91">
        <v>0</v>
      </c>
      <c r="O1988" s="91">
        <v>0</v>
      </c>
      <c r="P1988" s="91">
        <v>0</v>
      </c>
      <c r="Q1988" s="104">
        <f t="shared" si="60"/>
        <v>6199</v>
      </c>
      <c r="R1988" s="95">
        <f t="shared" si="61"/>
        <v>5269.15</v>
      </c>
    </row>
    <row r="1989" spans="1:23" ht="34.049999999999997" customHeight="1" x14ac:dyDescent="0.3">
      <c r="A1989" s="90">
        <v>1978</v>
      </c>
      <c r="B1989" s="91" t="s">
        <v>6397</v>
      </c>
      <c r="C1989" s="91" t="s">
        <v>6475</v>
      </c>
      <c r="D1989" s="91" t="s">
        <v>6476</v>
      </c>
      <c r="E1989" s="91">
        <v>1999</v>
      </c>
      <c r="F1989" s="91" t="s">
        <v>19</v>
      </c>
      <c r="G1989" s="91" t="s">
        <v>6586</v>
      </c>
      <c r="H1989" s="91" t="s">
        <v>6586</v>
      </c>
      <c r="I1989" s="91" t="s">
        <v>4208</v>
      </c>
      <c r="J1989" s="91">
        <v>6199</v>
      </c>
      <c r="K1989" s="91">
        <f>2332+2332+2243+3587</f>
        <v>10494</v>
      </c>
      <c r="L1989" s="91">
        <v>0</v>
      </c>
      <c r="M1989" s="91">
        <v>0</v>
      </c>
      <c r="N1989" s="91">
        <v>9871</v>
      </c>
      <c r="O1989" s="91">
        <v>0</v>
      </c>
      <c r="P1989" s="91">
        <v>0</v>
      </c>
      <c r="Q1989" s="104">
        <f t="shared" si="60"/>
        <v>26564</v>
      </c>
      <c r="R1989" s="95">
        <f t="shared" si="61"/>
        <v>22579.4</v>
      </c>
    </row>
    <row r="1990" spans="1:23" ht="34.049999999999997" customHeight="1" x14ac:dyDescent="0.3">
      <c r="A1990" s="96">
        <v>1979</v>
      </c>
      <c r="B1990" s="91" t="s">
        <v>6397</v>
      </c>
      <c r="C1990" s="91" t="s">
        <v>6477</v>
      </c>
      <c r="D1990" s="91" t="s">
        <v>6478</v>
      </c>
      <c r="E1990" s="91">
        <v>1989</v>
      </c>
      <c r="F1990" s="91" t="s">
        <v>18</v>
      </c>
      <c r="G1990" s="91" t="s">
        <v>6587</v>
      </c>
      <c r="H1990" s="91" t="s">
        <v>6587</v>
      </c>
      <c r="I1990" s="91" t="s">
        <v>6675</v>
      </c>
      <c r="J1990" s="91">
        <v>6199</v>
      </c>
      <c r="K1990" s="91">
        <f>6278+13452+2332+4484+4484+2332+6995+6995+2332+2332+2332+2332+2332</f>
        <v>59012</v>
      </c>
      <c r="L1990" s="91">
        <v>0</v>
      </c>
      <c r="M1990" s="91">
        <v>0</v>
      </c>
      <c r="N1990" s="91">
        <f>1793+1178+3179</f>
        <v>6150</v>
      </c>
      <c r="O1990" s="91">
        <v>0</v>
      </c>
      <c r="P1990" s="91">
        <v>1320</v>
      </c>
      <c r="Q1990" s="104">
        <f t="shared" si="60"/>
        <v>72681</v>
      </c>
      <c r="R1990" s="95">
        <f t="shared" si="61"/>
        <v>61778.85</v>
      </c>
    </row>
    <row r="1991" spans="1:23" ht="34.049999999999997" customHeight="1" x14ac:dyDescent="0.3">
      <c r="A1991" s="90">
        <v>1980</v>
      </c>
      <c r="B1991" s="91" t="s">
        <v>6397</v>
      </c>
      <c r="C1991" s="91" t="s">
        <v>6479</v>
      </c>
      <c r="D1991" s="91" t="s">
        <v>6480</v>
      </c>
      <c r="E1991" s="91">
        <v>2022</v>
      </c>
      <c r="F1991" s="91" t="s">
        <v>19</v>
      </c>
      <c r="G1991" s="91" t="s">
        <v>6588</v>
      </c>
      <c r="H1991" s="91" t="s">
        <v>6640</v>
      </c>
      <c r="I1991" s="91" t="s">
        <v>2622</v>
      </c>
      <c r="J1991" s="91">
        <v>6199</v>
      </c>
      <c r="K1991" s="91">
        <f>6278+4484+1346+4484+2332+2332+2332+2332+2332+6995+6995+2332+6995</f>
        <v>51569</v>
      </c>
      <c r="L1991" s="91">
        <v>0</v>
      </c>
      <c r="M1991" s="91">
        <v>0</v>
      </c>
      <c r="N1991" s="91">
        <v>3148</v>
      </c>
      <c r="O1991" s="91">
        <v>0</v>
      </c>
      <c r="P1991" s="91">
        <v>0</v>
      </c>
      <c r="Q1991" s="105">
        <f t="shared" si="60"/>
        <v>60916</v>
      </c>
      <c r="R1991" s="95">
        <f t="shared" si="61"/>
        <v>51778.6</v>
      </c>
    </row>
    <row r="1992" spans="1:23" ht="34.049999999999997" customHeight="1" x14ac:dyDescent="0.3">
      <c r="A1992" s="90">
        <v>1981</v>
      </c>
      <c r="B1992" s="91" t="s">
        <v>6397</v>
      </c>
      <c r="C1992" s="91" t="s">
        <v>6479</v>
      </c>
      <c r="D1992" s="91" t="s">
        <v>6480</v>
      </c>
      <c r="E1992" s="91">
        <v>2022</v>
      </c>
      <c r="F1992" s="91" t="s">
        <v>19</v>
      </c>
      <c r="G1992" s="91" t="s">
        <v>6588</v>
      </c>
      <c r="H1992" s="91" t="s">
        <v>6640</v>
      </c>
      <c r="I1992" s="91" t="s">
        <v>2622</v>
      </c>
      <c r="J1992" s="91">
        <v>0</v>
      </c>
      <c r="K1992" s="91">
        <v>0</v>
      </c>
      <c r="L1992" s="91">
        <v>0</v>
      </c>
      <c r="M1992" s="91">
        <v>17688</v>
      </c>
      <c r="N1992" s="91">
        <v>1681</v>
      </c>
      <c r="O1992" s="91">
        <v>0</v>
      </c>
      <c r="P1992" s="91">
        <f>360+56</f>
        <v>416</v>
      </c>
      <c r="Q1992" s="105">
        <f t="shared" si="60"/>
        <v>19785</v>
      </c>
      <c r="R1992" s="95">
        <f t="shared" si="61"/>
        <v>16817.25</v>
      </c>
    </row>
    <row r="1993" spans="1:23" ht="34.049999999999997" customHeight="1" x14ac:dyDescent="0.3">
      <c r="A1993" s="96">
        <v>1982</v>
      </c>
      <c r="B1993" s="91" t="s">
        <v>6397</v>
      </c>
      <c r="C1993" s="91" t="s">
        <v>6481</v>
      </c>
      <c r="D1993" s="91" t="s">
        <v>6482</v>
      </c>
      <c r="E1993" s="91">
        <v>1994</v>
      </c>
      <c r="F1993" s="91" t="s">
        <v>19</v>
      </c>
      <c r="G1993" s="91" t="s">
        <v>6589</v>
      </c>
      <c r="H1993" s="91" t="s">
        <v>6641</v>
      </c>
      <c r="I1993" s="91" t="s">
        <v>1282</v>
      </c>
      <c r="J1993" s="91">
        <v>6199</v>
      </c>
      <c r="K1993" s="91">
        <f>6278+4484+1346+2332+2332+2332+2332+2332+2332+3000</f>
        <v>29100</v>
      </c>
      <c r="L1993" s="91">
        <v>0</v>
      </c>
      <c r="M1993" s="91">
        <v>0</v>
      </c>
      <c r="N1993" s="91">
        <v>1793</v>
      </c>
      <c r="O1993" s="91">
        <v>0</v>
      </c>
      <c r="P1993" s="91">
        <v>0</v>
      </c>
      <c r="Q1993" s="104">
        <f t="shared" si="60"/>
        <v>37092</v>
      </c>
      <c r="R1993" s="95">
        <f t="shared" si="61"/>
        <v>31528.2</v>
      </c>
    </row>
    <row r="1994" spans="1:23" ht="34.049999999999997" customHeight="1" x14ac:dyDescent="0.3">
      <c r="A1994" s="90">
        <v>1983</v>
      </c>
      <c r="B1994" s="98" t="s">
        <v>6397</v>
      </c>
      <c r="C1994" s="98" t="s">
        <v>6483</v>
      </c>
      <c r="D1994" s="98" t="s">
        <v>923</v>
      </c>
      <c r="E1994" s="98">
        <v>2019</v>
      </c>
      <c r="F1994" s="98" t="s">
        <v>19</v>
      </c>
      <c r="G1994" s="98" t="s">
        <v>993</v>
      </c>
      <c r="H1994" s="98" t="s">
        <v>1033</v>
      </c>
      <c r="I1994" s="98" t="s">
        <v>1065</v>
      </c>
      <c r="J1994" s="98">
        <v>6199</v>
      </c>
      <c r="K1994" s="98">
        <f>6278+4484</f>
        <v>10762</v>
      </c>
      <c r="L1994" s="98">
        <v>0</v>
      </c>
      <c r="M1994" s="98">
        <v>0</v>
      </c>
      <c r="N1994" s="98">
        <v>3148</v>
      </c>
      <c r="O1994" s="98">
        <v>0</v>
      </c>
      <c r="P1994" s="98">
        <v>0</v>
      </c>
      <c r="Q1994" s="104">
        <f t="shared" si="60"/>
        <v>20109</v>
      </c>
      <c r="R1994" s="95">
        <f t="shared" si="61"/>
        <v>17092.650000000001</v>
      </c>
      <c r="S1994" s="41"/>
      <c r="T1994" s="41"/>
      <c r="U1994" s="41"/>
      <c r="V1994" s="41"/>
      <c r="W1994" s="41"/>
    </row>
    <row r="1995" spans="1:23" ht="34.049999999999997" customHeight="1" x14ac:dyDescent="0.3">
      <c r="A1995" s="90">
        <v>1984</v>
      </c>
      <c r="B1995" s="91" t="s">
        <v>6397</v>
      </c>
      <c r="C1995" s="91" t="s">
        <v>6484</v>
      </c>
      <c r="D1995" s="91" t="s">
        <v>6485</v>
      </c>
      <c r="E1995" s="91">
        <v>1992</v>
      </c>
      <c r="F1995" s="91" t="s">
        <v>19</v>
      </c>
      <c r="G1995" s="91" t="s">
        <v>6590</v>
      </c>
      <c r="H1995" s="91" t="s">
        <v>6642</v>
      </c>
      <c r="I1995" s="91" t="s">
        <v>35</v>
      </c>
      <c r="J1995" s="91">
        <v>6199</v>
      </c>
      <c r="K1995" s="91">
        <f>2332+2332+2243</f>
        <v>6907</v>
      </c>
      <c r="L1995" s="91">
        <v>0</v>
      </c>
      <c r="M1995" s="91">
        <v>0</v>
      </c>
      <c r="N1995" s="91">
        <v>0</v>
      </c>
      <c r="O1995" s="91">
        <v>0</v>
      </c>
      <c r="P1995" s="91">
        <v>0</v>
      </c>
      <c r="Q1995" s="104">
        <f t="shared" si="60"/>
        <v>13106</v>
      </c>
      <c r="R1995" s="95">
        <f t="shared" si="61"/>
        <v>11140.1</v>
      </c>
    </row>
    <row r="1996" spans="1:23" ht="34.049999999999997" customHeight="1" x14ac:dyDescent="0.3">
      <c r="A1996" s="96">
        <v>1985</v>
      </c>
      <c r="B1996" s="91" t="s">
        <v>6397</v>
      </c>
      <c r="C1996" s="91" t="s">
        <v>6486</v>
      </c>
      <c r="D1996" s="91" t="s">
        <v>6487</v>
      </c>
      <c r="E1996" s="91">
        <v>2025</v>
      </c>
      <c r="F1996" s="91" t="s">
        <v>19</v>
      </c>
      <c r="G1996" s="91" t="s">
        <v>6591</v>
      </c>
      <c r="H1996" s="91" t="s">
        <v>6643</v>
      </c>
      <c r="I1996" s="91" t="s">
        <v>5123</v>
      </c>
      <c r="J1996" s="91">
        <v>6199</v>
      </c>
      <c r="K1996" s="91">
        <f>6278+4484</f>
        <v>10762</v>
      </c>
      <c r="L1996" s="91">
        <v>0</v>
      </c>
      <c r="M1996" s="91">
        <v>0</v>
      </c>
      <c r="N1996" s="91">
        <v>3148</v>
      </c>
      <c r="O1996" s="91">
        <v>0</v>
      </c>
      <c r="P1996" s="91">
        <v>0</v>
      </c>
      <c r="Q1996" s="104">
        <f t="shared" ref="Q1996:Q2059" si="62">SUM(J1996:P1996)</f>
        <v>20109</v>
      </c>
      <c r="R1996" s="95">
        <f t="shared" si="61"/>
        <v>17092.650000000001</v>
      </c>
    </row>
    <row r="1997" spans="1:23" ht="34.049999999999997" customHeight="1" x14ac:dyDescent="0.3">
      <c r="A1997" s="90">
        <v>1986</v>
      </c>
      <c r="B1997" s="91" t="s">
        <v>6397</v>
      </c>
      <c r="C1997" s="91" t="s">
        <v>6488</v>
      </c>
      <c r="D1997" s="91" t="s">
        <v>5833</v>
      </c>
      <c r="E1997" s="91">
        <v>1972</v>
      </c>
      <c r="F1997" s="91" t="s">
        <v>18</v>
      </c>
      <c r="G1997" s="91" t="s">
        <v>232</v>
      </c>
      <c r="H1997" s="91" t="s">
        <v>232</v>
      </c>
      <c r="I1997" s="91" t="s">
        <v>5954</v>
      </c>
      <c r="J1997" s="91">
        <v>6199</v>
      </c>
      <c r="K1997" s="91">
        <v>0</v>
      </c>
      <c r="L1997" s="91">
        <v>0</v>
      </c>
      <c r="M1997" s="91">
        <v>0</v>
      </c>
      <c r="N1997" s="91">
        <v>0</v>
      </c>
      <c r="O1997" s="91">
        <v>0</v>
      </c>
      <c r="P1997" s="91">
        <v>0</v>
      </c>
      <c r="Q1997" s="104">
        <f t="shared" si="62"/>
        <v>6199</v>
      </c>
      <c r="R1997" s="95">
        <f t="shared" ref="R1997:R2060" si="63">Q1997*85/100</f>
        <v>5269.15</v>
      </c>
    </row>
    <row r="1998" spans="1:23" ht="34.049999999999997" customHeight="1" x14ac:dyDescent="0.3">
      <c r="A1998" s="90">
        <v>1987</v>
      </c>
      <c r="B1998" s="91" t="s">
        <v>6397</v>
      </c>
      <c r="C1998" s="91" t="s">
        <v>6489</v>
      </c>
      <c r="D1998" s="91" t="s">
        <v>6490</v>
      </c>
      <c r="E1998" s="91">
        <v>2025</v>
      </c>
      <c r="F1998" s="91" t="s">
        <v>19</v>
      </c>
      <c r="G1998" s="91" t="s">
        <v>6592</v>
      </c>
      <c r="H1998" s="91" t="s">
        <v>6644</v>
      </c>
      <c r="I1998" s="91" t="s">
        <v>570</v>
      </c>
      <c r="J1998" s="91">
        <v>6199</v>
      </c>
      <c r="K1998" s="91">
        <v>0</v>
      </c>
      <c r="L1998" s="91">
        <v>0</v>
      </c>
      <c r="M1998" s="91">
        <v>0</v>
      </c>
      <c r="N1998" s="91">
        <v>0</v>
      </c>
      <c r="O1998" s="91">
        <v>0</v>
      </c>
      <c r="P1998" s="91">
        <v>0</v>
      </c>
      <c r="Q1998" s="104">
        <f t="shared" si="62"/>
        <v>6199</v>
      </c>
      <c r="R1998" s="95">
        <f t="shared" si="63"/>
        <v>5269.15</v>
      </c>
    </row>
    <row r="1999" spans="1:23" ht="34.049999999999997" customHeight="1" x14ac:dyDescent="0.3">
      <c r="A1999" s="96">
        <v>1988</v>
      </c>
      <c r="B1999" s="91" t="s">
        <v>6397</v>
      </c>
      <c r="C1999" s="91" t="s">
        <v>6491</v>
      </c>
      <c r="D1999" s="91" t="s">
        <v>6492</v>
      </c>
      <c r="E1999" s="91">
        <v>1965</v>
      </c>
      <c r="F1999" s="91" t="s">
        <v>18</v>
      </c>
      <c r="G1999" s="91" t="s">
        <v>6593</v>
      </c>
      <c r="H1999" s="91" t="s">
        <v>6593</v>
      </c>
      <c r="I1999" s="91" t="s">
        <v>1460</v>
      </c>
      <c r="J1999" s="91">
        <v>6199</v>
      </c>
      <c r="K1999" s="91">
        <v>0</v>
      </c>
      <c r="L1999" s="91">
        <v>0</v>
      </c>
      <c r="M1999" s="91">
        <v>0</v>
      </c>
      <c r="N1999" s="91">
        <v>0</v>
      </c>
      <c r="O1999" s="91">
        <v>0</v>
      </c>
      <c r="P1999" s="91">
        <v>0</v>
      </c>
      <c r="Q1999" s="104">
        <f t="shared" si="62"/>
        <v>6199</v>
      </c>
      <c r="R1999" s="95">
        <f t="shared" si="63"/>
        <v>5269.15</v>
      </c>
    </row>
    <row r="2000" spans="1:23" ht="34.049999999999997" customHeight="1" x14ac:dyDescent="0.3">
      <c r="A2000" s="90">
        <v>1989</v>
      </c>
      <c r="B2000" s="91" t="s">
        <v>6397</v>
      </c>
      <c r="C2000" s="91" t="s">
        <v>6493</v>
      </c>
      <c r="D2000" s="91" t="s">
        <v>6494</v>
      </c>
      <c r="E2000" s="91">
        <v>1995</v>
      </c>
      <c r="F2000" s="91" t="s">
        <v>19</v>
      </c>
      <c r="G2000" s="91" t="s">
        <v>6594</v>
      </c>
      <c r="H2000" s="91" t="s">
        <v>6645</v>
      </c>
      <c r="I2000" s="91" t="s">
        <v>6676</v>
      </c>
      <c r="J2000" s="91">
        <v>6199</v>
      </c>
      <c r="K2000" s="91">
        <v>0</v>
      </c>
      <c r="L2000" s="91">
        <v>0</v>
      </c>
      <c r="M2000" s="91">
        <v>0</v>
      </c>
      <c r="N2000" s="91">
        <v>0</v>
      </c>
      <c r="O2000" s="91">
        <v>0</v>
      </c>
      <c r="P2000" s="91">
        <v>0</v>
      </c>
      <c r="Q2000" s="104">
        <f t="shared" si="62"/>
        <v>6199</v>
      </c>
      <c r="R2000" s="95">
        <f t="shared" si="63"/>
        <v>5269.15</v>
      </c>
    </row>
    <row r="2001" spans="1:18" ht="34.049999999999997" customHeight="1" x14ac:dyDescent="0.3">
      <c r="A2001" s="90">
        <v>1990</v>
      </c>
      <c r="B2001" s="91" t="s">
        <v>6397</v>
      </c>
      <c r="C2001" s="91" t="s">
        <v>6495</v>
      </c>
      <c r="D2001" s="91" t="s">
        <v>6496</v>
      </c>
      <c r="E2001" s="91">
        <v>2014</v>
      </c>
      <c r="F2001" s="91" t="s">
        <v>18</v>
      </c>
      <c r="G2001" s="91" t="s">
        <v>6595</v>
      </c>
      <c r="H2001" s="91" t="s">
        <v>6646</v>
      </c>
      <c r="I2001" s="91" t="s">
        <v>4211</v>
      </c>
      <c r="J2001" s="91">
        <v>6199</v>
      </c>
      <c r="K2001" s="91">
        <v>0</v>
      </c>
      <c r="L2001" s="91">
        <v>0</v>
      </c>
      <c r="M2001" s="91">
        <v>0</v>
      </c>
      <c r="N2001" s="91">
        <v>27916</v>
      </c>
      <c r="O2001" s="91">
        <v>0</v>
      </c>
      <c r="P2001" s="91">
        <v>0</v>
      </c>
      <c r="Q2001" s="104">
        <f t="shared" si="62"/>
        <v>34115</v>
      </c>
      <c r="R2001" s="95">
        <f t="shared" si="63"/>
        <v>28997.75</v>
      </c>
    </row>
    <row r="2002" spans="1:18" ht="34.049999999999997" customHeight="1" x14ac:dyDescent="0.3">
      <c r="A2002" s="96">
        <v>1991</v>
      </c>
      <c r="B2002" s="91" t="s">
        <v>6397</v>
      </c>
      <c r="C2002" s="91" t="s">
        <v>6497</v>
      </c>
      <c r="D2002" s="91" t="s">
        <v>4743</v>
      </c>
      <c r="E2002" s="91">
        <v>2008</v>
      </c>
      <c r="F2002" s="91" t="s">
        <v>18</v>
      </c>
      <c r="G2002" s="91" t="s">
        <v>6596</v>
      </c>
      <c r="H2002" s="91" t="s">
        <v>4855</v>
      </c>
      <c r="I2002" s="91" t="s">
        <v>1267</v>
      </c>
      <c r="J2002" s="91">
        <v>3793</v>
      </c>
      <c r="K2002" s="91">
        <v>0</v>
      </c>
      <c r="L2002" s="91">
        <v>0</v>
      </c>
      <c r="M2002" s="91">
        <v>0</v>
      </c>
      <c r="N2002" s="91">
        <f>27380+34016</f>
        <v>61396</v>
      </c>
      <c r="O2002" s="91">
        <v>0</v>
      </c>
      <c r="P2002" s="91">
        <v>0</v>
      </c>
      <c r="Q2002" s="104">
        <f t="shared" si="62"/>
        <v>65189</v>
      </c>
      <c r="R2002" s="95">
        <f t="shared" si="63"/>
        <v>55410.65</v>
      </c>
    </row>
    <row r="2003" spans="1:18" ht="34.049999999999997" customHeight="1" x14ac:dyDescent="0.3">
      <c r="A2003" s="90">
        <v>1992</v>
      </c>
      <c r="B2003" s="91" t="s">
        <v>6397</v>
      </c>
      <c r="C2003" s="91" t="s">
        <v>6498</v>
      </c>
      <c r="D2003" s="91" t="s">
        <v>6499</v>
      </c>
      <c r="E2003" s="91">
        <v>1986</v>
      </c>
      <c r="F2003" s="91" t="s">
        <v>19</v>
      </c>
      <c r="G2003" s="91" t="s">
        <v>6597</v>
      </c>
      <c r="H2003" s="91" t="s">
        <v>6647</v>
      </c>
      <c r="I2003" s="91" t="s">
        <v>34</v>
      </c>
      <c r="J2003" s="91">
        <v>6199</v>
      </c>
      <c r="K2003" s="91">
        <v>0</v>
      </c>
      <c r="L2003" s="91">
        <v>0</v>
      </c>
      <c r="M2003" s="91">
        <v>0</v>
      </c>
      <c r="N2003" s="91">
        <v>0</v>
      </c>
      <c r="O2003" s="91">
        <v>0</v>
      </c>
      <c r="P2003" s="91">
        <v>0</v>
      </c>
      <c r="Q2003" s="104">
        <f t="shared" si="62"/>
        <v>6199</v>
      </c>
      <c r="R2003" s="95">
        <f t="shared" si="63"/>
        <v>5269.15</v>
      </c>
    </row>
    <row r="2004" spans="1:18" ht="34.049999999999997" customHeight="1" x14ac:dyDescent="0.3">
      <c r="A2004" s="90">
        <v>1993</v>
      </c>
      <c r="B2004" s="91" t="s">
        <v>6397</v>
      </c>
      <c r="C2004" s="91" t="s">
        <v>6500</v>
      </c>
      <c r="D2004" s="91" t="s">
        <v>3388</v>
      </c>
      <c r="E2004" s="91">
        <v>1988</v>
      </c>
      <c r="F2004" s="91" t="s">
        <v>19</v>
      </c>
      <c r="G2004" s="91" t="s">
        <v>3448</v>
      </c>
      <c r="H2004" s="91" t="s">
        <v>3448</v>
      </c>
      <c r="I2004" s="91" t="s">
        <v>1263</v>
      </c>
      <c r="J2004" s="91">
        <v>3793</v>
      </c>
      <c r="K2004" s="91">
        <v>0</v>
      </c>
      <c r="L2004" s="91">
        <v>0</v>
      </c>
      <c r="M2004" s="91">
        <v>0</v>
      </c>
      <c r="N2004" s="91">
        <v>0</v>
      </c>
      <c r="O2004" s="91">
        <v>0</v>
      </c>
      <c r="P2004" s="91">
        <v>0</v>
      </c>
      <c r="Q2004" s="104">
        <f t="shared" si="62"/>
        <v>3793</v>
      </c>
      <c r="R2004" s="95">
        <f t="shared" si="63"/>
        <v>3224.05</v>
      </c>
    </row>
    <row r="2005" spans="1:18" ht="34.049999999999997" customHeight="1" x14ac:dyDescent="0.3">
      <c r="A2005" s="96">
        <v>1994</v>
      </c>
      <c r="B2005" s="91" t="s">
        <v>6397</v>
      </c>
      <c r="C2005" s="91" t="s">
        <v>6501</v>
      </c>
      <c r="D2005" s="91" t="s">
        <v>6502</v>
      </c>
      <c r="E2005" s="91">
        <v>2022</v>
      </c>
      <c r="F2005" s="91" t="s">
        <v>19</v>
      </c>
      <c r="G2005" s="91" t="s">
        <v>6598</v>
      </c>
      <c r="H2005" s="91" t="s">
        <v>6648</v>
      </c>
      <c r="I2005" s="91" t="s">
        <v>1263</v>
      </c>
      <c r="J2005" s="91">
        <v>6199</v>
      </c>
      <c r="K2005" s="91">
        <f>6278+4484+1346</f>
        <v>12108</v>
      </c>
      <c r="L2005" s="91">
        <v>0</v>
      </c>
      <c r="M2005" s="91">
        <v>0</v>
      </c>
      <c r="N2005" s="91">
        <v>3148</v>
      </c>
      <c r="O2005" s="91">
        <v>0</v>
      </c>
      <c r="P2005" s="91">
        <v>0</v>
      </c>
      <c r="Q2005" s="104">
        <f t="shared" si="62"/>
        <v>21455</v>
      </c>
      <c r="R2005" s="95">
        <f t="shared" si="63"/>
        <v>18236.75</v>
      </c>
    </row>
    <row r="2006" spans="1:18" ht="34.049999999999997" customHeight="1" x14ac:dyDescent="0.3">
      <c r="A2006" s="90">
        <v>1995</v>
      </c>
      <c r="B2006" s="91" t="s">
        <v>6397</v>
      </c>
      <c r="C2006" s="91" t="s">
        <v>6503</v>
      </c>
      <c r="D2006" s="91" t="s">
        <v>6504</v>
      </c>
      <c r="E2006" s="91">
        <v>1973</v>
      </c>
      <c r="F2006" s="91" t="s">
        <v>19</v>
      </c>
      <c r="G2006" s="91" t="s">
        <v>6599</v>
      </c>
      <c r="H2006" s="91" t="s">
        <v>6649</v>
      </c>
      <c r="I2006" s="91" t="s">
        <v>824</v>
      </c>
      <c r="J2006" s="91">
        <v>6199</v>
      </c>
      <c r="K2006" s="91">
        <v>0</v>
      </c>
      <c r="L2006" s="91">
        <v>0</v>
      </c>
      <c r="M2006" s="91">
        <v>0</v>
      </c>
      <c r="N2006" s="91">
        <v>0</v>
      </c>
      <c r="O2006" s="91">
        <v>0</v>
      </c>
      <c r="P2006" s="91">
        <v>0</v>
      </c>
      <c r="Q2006" s="104">
        <f t="shared" si="62"/>
        <v>6199</v>
      </c>
      <c r="R2006" s="95">
        <f t="shared" si="63"/>
        <v>5269.15</v>
      </c>
    </row>
    <row r="2007" spans="1:18" ht="34.049999999999997" customHeight="1" x14ac:dyDescent="0.3">
      <c r="A2007" s="90">
        <v>1996</v>
      </c>
      <c r="B2007" s="91" t="s">
        <v>6397</v>
      </c>
      <c r="C2007" s="91" t="s">
        <v>6505</v>
      </c>
      <c r="D2007" s="91" t="s">
        <v>6506</v>
      </c>
      <c r="E2007" s="91">
        <v>1998</v>
      </c>
      <c r="F2007" s="91" t="s">
        <v>19</v>
      </c>
      <c r="G2007" s="91" t="s">
        <v>6600</v>
      </c>
      <c r="H2007" s="91" t="s">
        <v>6600</v>
      </c>
      <c r="I2007" s="91" t="s">
        <v>6677</v>
      </c>
      <c r="J2007" s="91">
        <v>6199</v>
      </c>
      <c r="K2007" s="91">
        <f>6278+4484+1346+2332</f>
        <v>14440</v>
      </c>
      <c r="L2007" s="91">
        <v>0</v>
      </c>
      <c r="M2007" s="91">
        <v>0</v>
      </c>
      <c r="N2007" s="91">
        <v>1793</v>
      </c>
      <c r="O2007" s="91">
        <v>0</v>
      </c>
      <c r="P2007" s="91">
        <v>0</v>
      </c>
      <c r="Q2007" s="104">
        <f t="shared" si="62"/>
        <v>22432</v>
      </c>
      <c r="R2007" s="95">
        <f t="shared" si="63"/>
        <v>19067.2</v>
      </c>
    </row>
    <row r="2008" spans="1:18" ht="34.049999999999997" customHeight="1" x14ac:dyDescent="0.3">
      <c r="A2008" s="96">
        <v>1997</v>
      </c>
      <c r="B2008" s="91" t="s">
        <v>6397</v>
      </c>
      <c r="C2008" s="91" t="s">
        <v>6507</v>
      </c>
      <c r="D2008" s="91" t="s">
        <v>6508</v>
      </c>
      <c r="E2008" s="91">
        <v>2025</v>
      </c>
      <c r="F2008" s="91" t="s">
        <v>18</v>
      </c>
      <c r="G2008" s="91" t="s">
        <v>6601</v>
      </c>
      <c r="H2008" s="91" t="s">
        <v>6650</v>
      </c>
      <c r="I2008" s="91" t="s">
        <v>6678</v>
      </c>
      <c r="J2008" s="91">
        <v>6199</v>
      </c>
      <c r="K2008" s="91">
        <f>6278+4484+1346+4484+2332+2332+2332+2332+2332+2332+6995+6995+2332+6995</f>
        <v>53901</v>
      </c>
      <c r="L2008" s="91">
        <v>0</v>
      </c>
      <c r="M2008" s="91">
        <v>0</v>
      </c>
      <c r="N2008" s="91">
        <v>3148</v>
      </c>
      <c r="O2008" s="91">
        <v>0</v>
      </c>
      <c r="P2008" s="91">
        <v>0</v>
      </c>
      <c r="Q2008" s="104">
        <f t="shared" si="62"/>
        <v>63248</v>
      </c>
      <c r="R2008" s="95">
        <f t="shared" si="63"/>
        <v>53760.800000000003</v>
      </c>
    </row>
    <row r="2009" spans="1:18" ht="34.049999999999997" customHeight="1" x14ac:dyDescent="0.3">
      <c r="A2009" s="90">
        <v>1998</v>
      </c>
      <c r="B2009" s="91" t="s">
        <v>6397</v>
      </c>
      <c r="C2009" s="91" t="s">
        <v>6509</v>
      </c>
      <c r="D2009" s="91" t="s">
        <v>6510</v>
      </c>
      <c r="E2009" s="91">
        <v>2000</v>
      </c>
      <c r="F2009" s="91" t="s">
        <v>19</v>
      </c>
      <c r="G2009" s="91" t="s">
        <v>6602</v>
      </c>
      <c r="H2009" s="91" t="s">
        <v>6602</v>
      </c>
      <c r="I2009" s="91" t="s">
        <v>3935</v>
      </c>
      <c r="J2009" s="91">
        <v>6199</v>
      </c>
      <c r="K2009" s="91">
        <v>0</v>
      </c>
      <c r="L2009" s="91">
        <v>0</v>
      </c>
      <c r="M2009" s="91">
        <v>0</v>
      </c>
      <c r="N2009" s="91">
        <f>15443+20859</f>
        <v>36302</v>
      </c>
      <c r="O2009" s="91">
        <v>0</v>
      </c>
      <c r="P2009" s="91">
        <v>0</v>
      </c>
      <c r="Q2009" s="104">
        <f t="shared" si="62"/>
        <v>42501</v>
      </c>
      <c r="R2009" s="95">
        <f t="shared" si="63"/>
        <v>36125.85</v>
      </c>
    </row>
    <row r="2010" spans="1:18" ht="34.049999999999997" customHeight="1" x14ac:dyDescent="0.3">
      <c r="A2010" s="90">
        <v>1999</v>
      </c>
      <c r="B2010" s="91" t="s">
        <v>6397</v>
      </c>
      <c r="C2010" s="91" t="s">
        <v>6511</v>
      </c>
      <c r="D2010" s="91" t="s">
        <v>6512</v>
      </c>
      <c r="E2010" s="91">
        <v>1999</v>
      </c>
      <c r="F2010" s="91" t="s">
        <v>19</v>
      </c>
      <c r="G2010" s="91" t="s">
        <v>6603</v>
      </c>
      <c r="H2010" s="91" t="s">
        <v>6603</v>
      </c>
      <c r="I2010" s="91" t="s">
        <v>1055</v>
      </c>
      <c r="J2010" s="91">
        <v>6199</v>
      </c>
      <c r="K2010" s="91">
        <v>0</v>
      </c>
      <c r="L2010" s="91">
        <v>0</v>
      </c>
      <c r="M2010" s="91">
        <v>0</v>
      </c>
      <c r="N2010" s="91">
        <v>0</v>
      </c>
      <c r="O2010" s="91">
        <v>0</v>
      </c>
      <c r="P2010" s="91">
        <v>0</v>
      </c>
      <c r="Q2010" s="104">
        <f t="shared" si="62"/>
        <v>6199</v>
      </c>
      <c r="R2010" s="95">
        <f t="shared" si="63"/>
        <v>5269.15</v>
      </c>
    </row>
    <row r="2011" spans="1:18" ht="34.049999999999997" customHeight="1" x14ac:dyDescent="0.3">
      <c r="A2011" s="96">
        <v>2000</v>
      </c>
      <c r="B2011" s="91" t="s">
        <v>6397</v>
      </c>
      <c r="C2011" s="91" t="s">
        <v>6513</v>
      </c>
      <c r="D2011" s="91" t="s">
        <v>6514</v>
      </c>
      <c r="E2011" s="91">
        <v>2024</v>
      </c>
      <c r="F2011" s="91" t="s">
        <v>19</v>
      </c>
      <c r="G2011" s="91" t="s">
        <v>6604</v>
      </c>
      <c r="H2011" s="91" t="s">
        <v>6651</v>
      </c>
      <c r="I2011" s="91" t="s">
        <v>6679</v>
      </c>
      <c r="J2011" s="91">
        <v>6199</v>
      </c>
      <c r="K2011" s="91">
        <f>6278+4484+1346</f>
        <v>12108</v>
      </c>
      <c r="L2011" s="91">
        <v>0</v>
      </c>
      <c r="M2011" s="91">
        <v>0</v>
      </c>
      <c r="N2011" s="91">
        <v>3148</v>
      </c>
      <c r="O2011" s="91">
        <v>0</v>
      </c>
      <c r="P2011" s="91">
        <v>0</v>
      </c>
      <c r="Q2011" s="105">
        <f t="shared" si="62"/>
        <v>21455</v>
      </c>
      <c r="R2011" s="95">
        <f t="shared" si="63"/>
        <v>18236.75</v>
      </c>
    </row>
    <row r="2012" spans="1:18" ht="34.049999999999997" customHeight="1" x14ac:dyDescent="0.3">
      <c r="A2012" s="90">
        <v>2001</v>
      </c>
      <c r="B2012" s="91" t="s">
        <v>6397</v>
      </c>
      <c r="C2012" s="91" t="s">
        <v>6515</v>
      </c>
      <c r="D2012" s="91" t="s">
        <v>5453</v>
      </c>
      <c r="E2012" s="91">
        <v>1999</v>
      </c>
      <c r="F2012" s="91" t="s">
        <v>19</v>
      </c>
      <c r="G2012" s="91" t="s">
        <v>5612</v>
      </c>
      <c r="H2012" s="91" t="s">
        <v>5692</v>
      </c>
      <c r="I2012" s="91" t="s">
        <v>5736</v>
      </c>
      <c r="J2012" s="91">
        <v>3793</v>
      </c>
      <c r="K2012" s="91">
        <v>0</v>
      </c>
      <c r="L2012" s="91">
        <v>0</v>
      </c>
      <c r="M2012" s="91">
        <v>0</v>
      </c>
      <c r="N2012" s="91">
        <v>0</v>
      </c>
      <c r="O2012" s="91">
        <v>0</v>
      </c>
      <c r="P2012" s="91">
        <v>0</v>
      </c>
      <c r="Q2012" s="105">
        <f t="shared" si="62"/>
        <v>3793</v>
      </c>
      <c r="R2012" s="95">
        <f t="shared" si="63"/>
        <v>3224.05</v>
      </c>
    </row>
    <row r="2013" spans="1:18" ht="34.049999999999997" customHeight="1" x14ac:dyDescent="0.3">
      <c r="A2013" s="90">
        <v>2002</v>
      </c>
      <c r="B2013" s="91" t="s">
        <v>6397</v>
      </c>
      <c r="C2013" s="91" t="s">
        <v>6516</v>
      </c>
      <c r="D2013" s="91" t="s">
        <v>6517</v>
      </c>
      <c r="E2013" s="91">
        <v>2009</v>
      </c>
      <c r="F2013" s="91" t="s">
        <v>19</v>
      </c>
      <c r="G2013" s="91" t="s">
        <v>6605</v>
      </c>
      <c r="H2013" s="91" t="s">
        <v>6652</v>
      </c>
      <c r="I2013" s="91" t="s">
        <v>27</v>
      </c>
      <c r="J2013" s="91">
        <v>6199</v>
      </c>
      <c r="K2013" s="91">
        <v>0</v>
      </c>
      <c r="L2013" s="91">
        <v>0</v>
      </c>
      <c r="M2013" s="91">
        <v>0</v>
      </c>
      <c r="N2013" s="91">
        <v>0</v>
      </c>
      <c r="O2013" s="91">
        <v>0</v>
      </c>
      <c r="P2013" s="91">
        <v>0</v>
      </c>
      <c r="Q2013" s="105">
        <f t="shared" si="62"/>
        <v>6199</v>
      </c>
      <c r="R2013" s="95">
        <f t="shared" si="63"/>
        <v>5269.15</v>
      </c>
    </row>
    <row r="2014" spans="1:18" ht="34.049999999999997" customHeight="1" x14ac:dyDescent="0.3">
      <c r="A2014" s="96">
        <v>2003</v>
      </c>
      <c r="B2014" s="91" t="s">
        <v>6397</v>
      </c>
      <c r="C2014" s="91" t="s">
        <v>6518</v>
      </c>
      <c r="D2014" s="91" t="s">
        <v>6519</v>
      </c>
      <c r="E2014" s="91">
        <v>2009</v>
      </c>
      <c r="F2014" s="91" t="s">
        <v>18</v>
      </c>
      <c r="G2014" s="91" t="s">
        <v>6606</v>
      </c>
      <c r="H2014" s="91" t="s">
        <v>6653</v>
      </c>
      <c r="I2014" s="91" t="s">
        <v>1067</v>
      </c>
      <c r="J2014" s="91">
        <v>6199</v>
      </c>
      <c r="K2014" s="91">
        <v>0</v>
      </c>
      <c r="L2014" s="91">
        <v>0</v>
      </c>
      <c r="M2014" s="91">
        <v>0</v>
      </c>
      <c r="N2014" s="91">
        <v>0</v>
      </c>
      <c r="O2014" s="91">
        <v>0</v>
      </c>
      <c r="P2014" s="91">
        <v>0</v>
      </c>
      <c r="Q2014" s="105">
        <f t="shared" si="62"/>
        <v>6199</v>
      </c>
      <c r="R2014" s="95">
        <f t="shared" si="63"/>
        <v>5269.15</v>
      </c>
    </row>
    <row r="2015" spans="1:18" ht="34.049999999999997" customHeight="1" x14ac:dyDescent="0.3">
      <c r="A2015" s="90">
        <v>2004</v>
      </c>
      <c r="B2015" s="91" t="s">
        <v>6397</v>
      </c>
      <c r="C2015" s="91" t="s">
        <v>6520</v>
      </c>
      <c r="D2015" s="91" t="s">
        <v>6521</v>
      </c>
      <c r="E2015" s="91">
        <v>2025</v>
      </c>
      <c r="F2015" s="91" t="s">
        <v>18</v>
      </c>
      <c r="G2015" s="91" t="s">
        <v>6607</v>
      </c>
      <c r="H2015" s="91" t="s">
        <v>6654</v>
      </c>
      <c r="I2015" s="91" t="s">
        <v>1067</v>
      </c>
      <c r="J2015" s="91">
        <v>6199</v>
      </c>
      <c r="K2015" s="91">
        <v>0</v>
      </c>
      <c r="L2015" s="91">
        <v>0</v>
      </c>
      <c r="M2015" s="91">
        <v>0</v>
      </c>
      <c r="N2015" s="91">
        <v>0</v>
      </c>
      <c r="O2015" s="91">
        <v>0</v>
      </c>
      <c r="P2015" s="91">
        <v>0</v>
      </c>
      <c r="Q2015" s="105">
        <f t="shared" si="62"/>
        <v>6199</v>
      </c>
      <c r="R2015" s="95">
        <f t="shared" si="63"/>
        <v>5269.15</v>
      </c>
    </row>
    <row r="2016" spans="1:18" ht="34.049999999999997" customHeight="1" x14ac:dyDescent="0.3">
      <c r="A2016" s="90">
        <v>2005</v>
      </c>
      <c r="B2016" s="91" t="s">
        <v>6397</v>
      </c>
      <c r="C2016" s="91" t="s">
        <v>6522</v>
      </c>
      <c r="D2016" s="91" t="s">
        <v>6523</v>
      </c>
      <c r="E2016" s="91">
        <v>1984</v>
      </c>
      <c r="F2016" s="91" t="s">
        <v>19</v>
      </c>
      <c r="G2016" s="91" t="s">
        <v>6608</v>
      </c>
      <c r="H2016" s="91" t="s">
        <v>6655</v>
      </c>
      <c r="I2016" s="91" t="s">
        <v>6680</v>
      </c>
      <c r="J2016" s="91">
        <v>6199</v>
      </c>
      <c r="K2016" s="91">
        <f>2332+2332+1166</f>
        <v>5830</v>
      </c>
      <c r="L2016" s="91">
        <v>0</v>
      </c>
      <c r="M2016" s="91">
        <v>0</v>
      </c>
      <c r="N2016" s="91">
        <v>0</v>
      </c>
      <c r="O2016" s="91">
        <v>0</v>
      </c>
      <c r="P2016" s="91">
        <v>0</v>
      </c>
      <c r="Q2016" s="105">
        <f t="shared" si="62"/>
        <v>12029</v>
      </c>
      <c r="R2016" s="95">
        <f t="shared" si="63"/>
        <v>10224.65</v>
      </c>
    </row>
    <row r="2017" spans="1:23" ht="34.049999999999997" customHeight="1" x14ac:dyDescent="0.3">
      <c r="A2017" s="96">
        <v>2006</v>
      </c>
      <c r="B2017" s="91" t="s">
        <v>6397</v>
      </c>
      <c r="C2017" s="91" t="s">
        <v>6524</v>
      </c>
      <c r="D2017" s="91" t="s">
        <v>6525</v>
      </c>
      <c r="E2017" s="91">
        <v>2015</v>
      </c>
      <c r="F2017" s="91" t="s">
        <v>18</v>
      </c>
      <c r="G2017" s="91" t="s">
        <v>6609</v>
      </c>
      <c r="H2017" s="91" t="s">
        <v>6656</v>
      </c>
      <c r="I2017" s="91" t="s">
        <v>5751</v>
      </c>
      <c r="J2017" s="91">
        <v>6199</v>
      </c>
      <c r="K2017" s="91">
        <f>6278+4484+1346+4484+2332+3000+3000+2332+2332+2332+2332+2332+2332+1166+6995+6995+2332+6995+6995</f>
        <v>70394</v>
      </c>
      <c r="L2017" s="91">
        <v>0</v>
      </c>
      <c r="M2017" s="91">
        <v>0</v>
      </c>
      <c r="N2017" s="91">
        <v>3148</v>
      </c>
      <c r="O2017" s="91">
        <v>0</v>
      </c>
      <c r="P2017" s="91">
        <v>0</v>
      </c>
      <c r="Q2017" s="105">
        <f t="shared" si="62"/>
        <v>79741</v>
      </c>
      <c r="R2017" s="95">
        <f t="shared" si="63"/>
        <v>67779.850000000006</v>
      </c>
    </row>
    <row r="2018" spans="1:23" ht="34.049999999999997" customHeight="1" x14ac:dyDescent="0.3">
      <c r="A2018" s="90">
        <v>2007</v>
      </c>
      <c r="B2018" s="91" t="s">
        <v>6397</v>
      </c>
      <c r="C2018" s="91" t="s">
        <v>6526</v>
      </c>
      <c r="D2018" s="91" t="s">
        <v>6527</v>
      </c>
      <c r="E2018" s="91">
        <v>2023</v>
      </c>
      <c r="F2018" s="91" t="s">
        <v>19</v>
      </c>
      <c r="G2018" s="91" t="s">
        <v>6610</v>
      </c>
      <c r="H2018" s="91" t="s">
        <v>6657</v>
      </c>
      <c r="I2018" s="91" t="s">
        <v>6681</v>
      </c>
      <c r="J2018" s="91">
        <v>6199</v>
      </c>
      <c r="K2018" s="91">
        <v>0</v>
      </c>
      <c r="L2018" s="91">
        <v>0</v>
      </c>
      <c r="M2018" s="91">
        <v>0</v>
      </c>
      <c r="N2018" s="91">
        <v>0</v>
      </c>
      <c r="O2018" s="91">
        <v>0</v>
      </c>
      <c r="P2018" s="91">
        <v>0</v>
      </c>
      <c r="Q2018" s="105">
        <f t="shared" si="62"/>
        <v>6199</v>
      </c>
      <c r="R2018" s="95">
        <f t="shared" si="63"/>
        <v>5269.15</v>
      </c>
    </row>
    <row r="2019" spans="1:23" ht="34.049999999999997" customHeight="1" x14ac:dyDescent="0.3">
      <c r="A2019" s="90">
        <v>2008</v>
      </c>
      <c r="B2019" s="91" t="s">
        <v>6397</v>
      </c>
      <c r="C2019" s="91" t="s">
        <v>6528</v>
      </c>
      <c r="D2019" s="91" t="s">
        <v>6529</v>
      </c>
      <c r="E2019" s="91">
        <v>2022</v>
      </c>
      <c r="F2019" s="91" t="s">
        <v>18</v>
      </c>
      <c r="G2019" s="91" t="s">
        <v>6611</v>
      </c>
      <c r="H2019" s="91" t="s">
        <v>5114</v>
      </c>
      <c r="I2019" s="91" t="s">
        <v>6682</v>
      </c>
      <c r="J2019" s="91">
        <v>6199</v>
      </c>
      <c r="K2019" s="91">
        <v>0</v>
      </c>
      <c r="L2019" s="91">
        <v>0</v>
      </c>
      <c r="M2019" s="91">
        <v>0</v>
      </c>
      <c r="N2019" s="91">
        <v>0</v>
      </c>
      <c r="O2019" s="91">
        <v>0</v>
      </c>
      <c r="P2019" s="91">
        <v>0</v>
      </c>
      <c r="Q2019" s="105">
        <f t="shared" si="62"/>
        <v>6199</v>
      </c>
      <c r="R2019" s="95">
        <f t="shared" si="63"/>
        <v>5269.15</v>
      </c>
    </row>
    <row r="2020" spans="1:23" ht="34.049999999999997" customHeight="1" x14ac:dyDescent="0.3">
      <c r="A2020" s="96">
        <v>2009</v>
      </c>
      <c r="B2020" s="91" t="s">
        <v>6397</v>
      </c>
      <c r="C2020" s="91" t="s">
        <v>6530</v>
      </c>
      <c r="D2020" s="91" t="s">
        <v>6531</v>
      </c>
      <c r="E2020" s="91">
        <v>2023</v>
      </c>
      <c r="F2020" s="91" t="s">
        <v>18</v>
      </c>
      <c r="G2020" s="91" t="s">
        <v>6612</v>
      </c>
      <c r="H2020" s="91" t="s">
        <v>6658</v>
      </c>
      <c r="I2020" s="91" t="s">
        <v>6683</v>
      </c>
      <c r="J2020" s="91">
        <v>6199</v>
      </c>
      <c r="K2020" s="91">
        <f>6278+4484+1346</f>
        <v>12108</v>
      </c>
      <c r="L2020" s="91">
        <v>0</v>
      </c>
      <c r="M2020" s="91">
        <v>0</v>
      </c>
      <c r="N2020" s="91">
        <v>3148</v>
      </c>
      <c r="O2020" s="91">
        <v>0</v>
      </c>
      <c r="P2020" s="91">
        <v>0</v>
      </c>
      <c r="Q2020" s="105">
        <f t="shared" si="62"/>
        <v>21455</v>
      </c>
      <c r="R2020" s="95">
        <f t="shared" si="63"/>
        <v>18236.75</v>
      </c>
    </row>
    <row r="2021" spans="1:23" ht="34.049999999999997" customHeight="1" x14ac:dyDescent="0.3">
      <c r="A2021" s="90">
        <v>2010</v>
      </c>
      <c r="B2021" s="91" t="s">
        <v>6397</v>
      </c>
      <c r="C2021" s="91" t="s">
        <v>6532</v>
      </c>
      <c r="D2021" s="91" t="s">
        <v>6533</v>
      </c>
      <c r="E2021" s="91">
        <v>2024</v>
      </c>
      <c r="F2021" s="91" t="s">
        <v>19</v>
      </c>
      <c r="G2021" s="91" t="s">
        <v>6613</v>
      </c>
      <c r="H2021" s="91" t="s">
        <v>6143</v>
      </c>
      <c r="I2021" s="91" t="s">
        <v>4879</v>
      </c>
      <c r="J2021" s="91">
        <v>6199</v>
      </c>
      <c r="K2021" s="91">
        <v>0</v>
      </c>
      <c r="L2021" s="91">
        <v>0</v>
      </c>
      <c r="M2021" s="91">
        <v>0</v>
      </c>
      <c r="N2021" s="91">
        <v>0</v>
      </c>
      <c r="O2021" s="91">
        <v>0</v>
      </c>
      <c r="P2021" s="91">
        <v>0</v>
      </c>
      <c r="Q2021" s="104">
        <f t="shared" si="62"/>
        <v>6199</v>
      </c>
      <c r="R2021" s="95">
        <f t="shared" si="63"/>
        <v>5269.15</v>
      </c>
    </row>
    <row r="2022" spans="1:23" ht="34.049999999999997" customHeight="1" x14ac:dyDescent="0.3">
      <c r="A2022" s="90">
        <v>2011</v>
      </c>
      <c r="B2022" s="91" t="s">
        <v>6397</v>
      </c>
      <c r="C2022" s="91" t="s">
        <v>6534</v>
      </c>
      <c r="D2022" s="91" t="s">
        <v>1358</v>
      </c>
      <c r="E2022" s="91">
        <v>1992</v>
      </c>
      <c r="F2022" s="91" t="s">
        <v>19</v>
      </c>
      <c r="G2022" s="91" t="s">
        <v>1417</v>
      </c>
      <c r="H2022" s="91" t="s">
        <v>1452</v>
      </c>
      <c r="I2022" s="91" t="s">
        <v>282</v>
      </c>
      <c r="J2022" s="91">
        <v>3793</v>
      </c>
      <c r="K2022" s="91">
        <v>0</v>
      </c>
      <c r="L2022" s="91">
        <v>0</v>
      </c>
      <c r="M2022" s="91">
        <v>0</v>
      </c>
      <c r="N2022" s="91">
        <v>0</v>
      </c>
      <c r="O2022" s="91">
        <v>0</v>
      </c>
      <c r="P2022" s="91">
        <v>0</v>
      </c>
      <c r="Q2022" s="104">
        <f t="shared" si="62"/>
        <v>3793</v>
      </c>
      <c r="R2022" s="95">
        <f t="shared" si="63"/>
        <v>3224.05</v>
      </c>
    </row>
    <row r="2023" spans="1:23" ht="34.049999999999997" customHeight="1" x14ac:dyDescent="0.3">
      <c r="A2023" s="96">
        <v>2012</v>
      </c>
      <c r="B2023" s="91" t="s">
        <v>6397</v>
      </c>
      <c r="C2023" s="91" t="s">
        <v>6535</v>
      </c>
      <c r="D2023" s="91" t="s">
        <v>6536</v>
      </c>
      <c r="E2023" s="91">
        <v>1992</v>
      </c>
      <c r="F2023" s="91" t="s">
        <v>18</v>
      </c>
      <c r="G2023" s="91" t="s">
        <v>6614</v>
      </c>
      <c r="H2023" s="91" t="s">
        <v>6614</v>
      </c>
      <c r="I2023" s="91" t="s">
        <v>1277</v>
      </c>
      <c r="J2023" s="91">
        <v>6199</v>
      </c>
      <c r="K2023" s="91">
        <v>0</v>
      </c>
      <c r="L2023" s="91">
        <v>0</v>
      </c>
      <c r="M2023" s="91">
        <v>0</v>
      </c>
      <c r="N2023" s="91">
        <v>0</v>
      </c>
      <c r="O2023" s="91">
        <v>0</v>
      </c>
      <c r="P2023" s="91">
        <v>0</v>
      </c>
      <c r="Q2023" s="104">
        <f t="shared" si="62"/>
        <v>6199</v>
      </c>
      <c r="R2023" s="95">
        <f t="shared" si="63"/>
        <v>5269.15</v>
      </c>
    </row>
    <row r="2024" spans="1:23" ht="34.049999999999997" customHeight="1" x14ac:dyDescent="0.3">
      <c r="A2024" s="90">
        <v>2013</v>
      </c>
      <c r="B2024" s="91" t="s">
        <v>6397</v>
      </c>
      <c r="C2024" s="91" t="s">
        <v>6537</v>
      </c>
      <c r="D2024" s="91" t="s">
        <v>6538</v>
      </c>
      <c r="E2024" s="91">
        <v>1995</v>
      </c>
      <c r="F2024" s="91" t="s">
        <v>19</v>
      </c>
      <c r="G2024" s="91" t="s">
        <v>6615</v>
      </c>
      <c r="H2024" s="91" t="s">
        <v>3042</v>
      </c>
      <c r="I2024" s="91" t="s">
        <v>27</v>
      </c>
      <c r="J2024" s="91">
        <v>6199</v>
      </c>
      <c r="K2024" s="91">
        <v>0</v>
      </c>
      <c r="L2024" s="91">
        <v>0</v>
      </c>
      <c r="M2024" s="91">
        <v>0</v>
      </c>
      <c r="N2024" s="91">
        <v>0</v>
      </c>
      <c r="O2024" s="91">
        <v>0</v>
      </c>
      <c r="P2024" s="91">
        <v>0</v>
      </c>
      <c r="Q2024" s="104">
        <f t="shared" si="62"/>
        <v>6199</v>
      </c>
      <c r="R2024" s="95">
        <f t="shared" si="63"/>
        <v>5269.15</v>
      </c>
    </row>
    <row r="2025" spans="1:23" ht="34.049999999999997" customHeight="1" x14ac:dyDescent="0.3">
      <c r="A2025" s="90">
        <v>2014</v>
      </c>
      <c r="B2025" s="98" t="s">
        <v>6397</v>
      </c>
      <c r="C2025" s="98" t="s">
        <v>6539</v>
      </c>
      <c r="D2025" s="98" t="s">
        <v>6540</v>
      </c>
      <c r="E2025" s="98">
        <v>2024</v>
      </c>
      <c r="F2025" s="98" t="s">
        <v>19</v>
      </c>
      <c r="G2025" s="98" t="s">
        <v>6616</v>
      </c>
      <c r="H2025" s="98" t="s">
        <v>6659</v>
      </c>
      <c r="I2025" s="98" t="s">
        <v>6684</v>
      </c>
      <c r="J2025" s="98">
        <v>6199</v>
      </c>
      <c r="K2025" s="98">
        <v>0</v>
      </c>
      <c r="L2025" s="98">
        <v>0</v>
      </c>
      <c r="M2025" s="98">
        <v>0</v>
      </c>
      <c r="N2025" s="98">
        <v>0</v>
      </c>
      <c r="O2025" s="98">
        <v>0</v>
      </c>
      <c r="P2025" s="98">
        <v>0</v>
      </c>
      <c r="Q2025" s="106">
        <f t="shared" si="62"/>
        <v>6199</v>
      </c>
      <c r="R2025" s="95">
        <f t="shared" si="63"/>
        <v>5269.15</v>
      </c>
      <c r="S2025" s="41"/>
      <c r="T2025" s="41"/>
      <c r="U2025" s="41"/>
      <c r="V2025" s="41"/>
      <c r="W2025" s="41"/>
    </row>
    <row r="2026" spans="1:23" ht="34.049999999999997" customHeight="1" x14ac:dyDescent="0.3">
      <c r="A2026" s="96">
        <v>2015</v>
      </c>
      <c r="B2026" s="91" t="s">
        <v>6397</v>
      </c>
      <c r="C2026" s="91" t="s">
        <v>6541</v>
      </c>
      <c r="D2026" s="91" t="s">
        <v>6542</v>
      </c>
      <c r="E2026" s="91">
        <v>1992</v>
      </c>
      <c r="F2026" s="91" t="s">
        <v>19</v>
      </c>
      <c r="G2026" s="91" t="s">
        <v>6617</v>
      </c>
      <c r="H2026" s="91" t="s">
        <v>6143</v>
      </c>
      <c r="I2026" s="91" t="s">
        <v>4879</v>
      </c>
      <c r="J2026" s="91">
        <v>6199</v>
      </c>
      <c r="K2026" s="91">
        <v>0</v>
      </c>
      <c r="L2026" s="91">
        <v>0</v>
      </c>
      <c r="M2026" s="91">
        <v>0</v>
      </c>
      <c r="N2026" s="91">
        <v>0</v>
      </c>
      <c r="O2026" s="91">
        <v>0</v>
      </c>
      <c r="P2026" s="91">
        <v>0</v>
      </c>
      <c r="Q2026" s="104">
        <f t="shared" si="62"/>
        <v>6199</v>
      </c>
      <c r="R2026" s="95">
        <f t="shared" si="63"/>
        <v>5269.15</v>
      </c>
    </row>
    <row r="2027" spans="1:23" ht="34.049999999999997" customHeight="1" x14ac:dyDescent="0.3">
      <c r="A2027" s="90">
        <v>2016</v>
      </c>
      <c r="B2027" s="91" t="s">
        <v>6397</v>
      </c>
      <c r="C2027" s="91" t="s">
        <v>6543</v>
      </c>
      <c r="D2027" s="91" t="s">
        <v>6544</v>
      </c>
      <c r="E2027" s="91">
        <v>2018</v>
      </c>
      <c r="F2027" s="91" t="s">
        <v>19</v>
      </c>
      <c r="G2027" s="91" t="s">
        <v>6618</v>
      </c>
      <c r="H2027" s="91" t="s">
        <v>2832</v>
      </c>
      <c r="I2027" s="91" t="s">
        <v>300</v>
      </c>
      <c r="J2027" s="91">
        <v>6199</v>
      </c>
      <c r="K2027" s="91">
        <v>0</v>
      </c>
      <c r="L2027" s="91">
        <v>0</v>
      </c>
      <c r="M2027" s="91">
        <v>0</v>
      </c>
      <c r="N2027" s="91">
        <v>0</v>
      </c>
      <c r="O2027" s="91">
        <v>0</v>
      </c>
      <c r="P2027" s="91">
        <v>0</v>
      </c>
      <c r="Q2027" s="104">
        <f t="shared" si="62"/>
        <v>6199</v>
      </c>
      <c r="R2027" s="95">
        <f t="shared" si="63"/>
        <v>5269.15</v>
      </c>
    </row>
    <row r="2028" spans="1:23" ht="34.049999999999997" customHeight="1" x14ac:dyDescent="0.3">
      <c r="A2028" s="90">
        <v>2017</v>
      </c>
      <c r="B2028" s="91" t="s">
        <v>6397</v>
      </c>
      <c r="C2028" s="91" t="s">
        <v>6545</v>
      </c>
      <c r="D2028" s="91" t="s">
        <v>6546</v>
      </c>
      <c r="E2028" s="91">
        <v>2022</v>
      </c>
      <c r="F2028" s="91" t="s">
        <v>19</v>
      </c>
      <c r="G2028" s="91" t="s">
        <v>6619</v>
      </c>
      <c r="H2028" s="91" t="s">
        <v>2832</v>
      </c>
      <c r="I2028" s="91" t="s">
        <v>300</v>
      </c>
      <c r="J2028" s="91">
        <v>6199</v>
      </c>
      <c r="K2028" s="91">
        <v>0</v>
      </c>
      <c r="L2028" s="91">
        <v>0</v>
      </c>
      <c r="M2028" s="91">
        <v>0</v>
      </c>
      <c r="N2028" s="91">
        <v>0</v>
      </c>
      <c r="O2028" s="91">
        <v>0</v>
      </c>
      <c r="P2028" s="91">
        <v>0</v>
      </c>
      <c r="Q2028" s="104">
        <f t="shared" si="62"/>
        <v>6199</v>
      </c>
      <c r="R2028" s="95">
        <f t="shared" si="63"/>
        <v>5269.15</v>
      </c>
    </row>
    <row r="2029" spans="1:23" ht="34.049999999999997" customHeight="1" x14ac:dyDescent="0.3">
      <c r="A2029" s="96">
        <v>2018</v>
      </c>
      <c r="B2029" s="91" t="s">
        <v>6397</v>
      </c>
      <c r="C2029" s="91" t="s">
        <v>6547</v>
      </c>
      <c r="D2029" s="91" t="s">
        <v>2730</v>
      </c>
      <c r="E2029" s="91">
        <v>2015</v>
      </c>
      <c r="F2029" s="91" t="s">
        <v>18</v>
      </c>
      <c r="G2029" s="91" t="s">
        <v>2792</v>
      </c>
      <c r="H2029" s="91" t="s">
        <v>2832</v>
      </c>
      <c r="I2029" s="91" t="s">
        <v>300</v>
      </c>
      <c r="J2029" s="91">
        <v>3793</v>
      </c>
      <c r="K2029" s="91">
        <v>0</v>
      </c>
      <c r="L2029" s="91">
        <v>0</v>
      </c>
      <c r="M2029" s="91">
        <v>0</v>
      </c>
      <c r="N2029" s="91">
        <v>0</v>
      </c>
      <c r="O2029" s="91">
        <v>0</v>
      </c>
      <c r="P2029" s="91">
        <v>0</v>
      </c>
      <c r="Q2029" s="104">
        <f t="shared" si="62"/>
        <v>3793</v>
      </c>
      <c r="R2029" s="95">
        <f t="shared" si="63"/>
        <v>3224.05</v>
      </c>
    </row>
    <row r="2030" spans="1:23" ht="34.049999999999997" customHeight="1" x14ac:dyDescent="0.3">
      <c r="A2030" s="90">
        <v>2019</v>
      </c>
      <c r="B2030" s="91" t="s">
        <v>6397</v>
      </c>
      <c r="C2030" s="91" t="s">
        <v>6548</v>
      </c>
      <c r="D2030" s="91" t="s">
        <v>6549</v>
      </c>
      <c r="E2030" s="91">
        <v>2021</v>
      </c>
      <c r="F2030" s="91" t="s">
        <v>19</v>
      </c>
      <c r="G2030" s="91" t="s">
        <v>6620</v>
      </c>
      <c r="H2030" s="91" t="s">
        <v>6660</v>
      </c>
      <c r="I2030" s="91" t="s">
        <v>1267</v>
      </c>
      <c r="J2030" s="91">
        <v>6199</v>
      </c>
      <c r="K2030" s="91">
        <v>0</v>
      </c>
      <c r="L2030" s="91">
        <v>0</v>
      </c>
      <c r="M2030" s="91">
        <v>0</v>
      </c>
      <c r="N2030" s="91">
        <v>0</v>
      </c>
      <c r="O2030" s="91">
        <v>0</v>
      </c>
      <c r="P2030" s="91">
        <v>0</v>
      </c>
      <c r="Q2030" s="105">
        <f t="shared" si="62"/>
        <v>6199</v>
      </c>
      <c r="R2030" s="95">
        <f t="shared" si="63"/>
        <v>5269.15</v>
      </c>
    </row>
    <row r="2031" spans="1:23" ht="34.049999999999997" customHeight="1" x14ac:dyDescent="0.3">
      <c r="A2031" s="90">
        <v>2020</v>
      </c>
      <c r="B2031" s="91" t="s">
        <v>6397</v>
      </c>
      <c r="C2031" s="91" t="s">
        <v>7312</v>
      </c>
      <c r="D2031" s="93" t="s">
        <v>5850</v>
      </c>
      <c r="E2031" s="91">
        <v>2024</v>
      </c>
      <c r="F2031" s="91" t="s">
        <v>19</v>
      </c>
      <c r="G2031" s="91" t="s">
        <v>5898</v>
      </c>
      <c r="H2031" s="91" t="s">
        <v>5937</v>
      </c>
      <c r="I2031" s="91" t="s">
        <v>3675</v>
      </c>
      <c r="J2031" s="91">
        <v>0</v>
      </c>
      <c r="K2031" s="91">
        <v>0</v>
      </c>
      <c r="L2031" s="91">
        <v>0</v>
      </c>
      <c r="M2031" s="91">
        <v>17688</v>
      </c>
      <c r="N2031" s="91">
        <v>0</v>
      </c>
      <c r="O2031" s="91">
        <v>0</v>
      </c>
      <c r="P2031" s="91">
        <f>360+56</f>
        <v>416</v>
      </c>
      <c r="Q2031" s="105">
        <f t="shared" si="62"/>
        <v>18104</v>
      </c>
      <c r="R2031" s="95">
        <f t="shared" si="63"/>
        <v>15388.4</v>
      </c>
    </row>
    <row r="2032" spans="1:23" ht="34.049999999999997" customHeight="1" x14ac:dyDescent="0.3">
      <c r="A2032" s="96">
        <v>2021</v>
      </c>
      <c r="B2032" s="91" t="s">
        <v>6397</v>
      </c>
      <c r="C2032" s="91" t="s">
        <v>7313</v>
      </c>
      <c r="D2032" s="93" t="s">
        <v>3171</v>
      </c>
      <c r="E2032" s="91">
        <v>1999</v>
      </c>
      <c r="F2032" s="91" t="s">
        <v>19</v>
      </c>
      <c r="G2032" s="91" t="s">
        <v>3252</v>
      </c>
      <c r="H2032" s="91" t="s">
        <v>3252</v>
      </c>
      <c r="I2032" s="91" t="s">
        <v>254</v>
      </c>
      <c r="J2032" s="91">
        <v>2900</v>
      </c>
      <c r="K2032" s="91">
        <v>0</v>
      </c>
      <c r="L2032" s="91">
        <v>0</v>
      </c>
      <c r="M2032" s="91">
        <v>0</v>
      </c>
      <c r="N2032" s="91">
        <v>2088</v>
      </c>
      <c r="O2032" s="91">
        <v>0</v>
      </c>
      <c r="P2032" s="91">
        <f>720+144+374</f>
        <v>1238</v>
      </c>
      <c r="Q2032" s="105">
        <f t="shared" si="62"/>
        <v>6226</v>
      </c>
      <c r="R2032" s="95">
        <f t="shared" si="63"/>
        <v>5292.1</v>
      </c>
    </row>
    <row r="2033" spans="1:23" ht="34.049999999999997" customHeight="1" x14ac:dyDescent="0.3">
      <c r="A2033" s="90">
        <v>2022</v>
      </c>
      <c r="B2033" s="91" t="s">
        <v>6397</v>
      </c>
      <c r="C2033" s="91" t="s">
        <v>7314</v>
      </c>
      <c r="D2033" s="93" t="s">
        <v>6946</v>
      </c>
      <c r="E2033" s="91">
        <v>2016</v>
      </c>
      <c r="F2033" s="91" t="s">
        <v>19</v>
      </c>
      <c r="G2033" s="91" t="s">
        <v>6947</v>
      </c>
      <c r="H2033" s="91" t="s">
        <v>6828</v>
      </c>
      <c r="I2033" s="91" t="s">
        <v>1702</v>
      </c>
      <c r="J2033" s="91">
        <v>2900</v>
      </c>
      <c r="K2033" s="91">
        <v>0</v>
      </c>
      <c r="L2033" s="91">
        <v>0</v>
      </c>
      <c r="M2033" s="91">
        <v>0</v>
      </c>
      <c r="N2033" s="91">
        <v>2088</v>
      </c>
      <c r="O2033" s="91">
        <v>0</v>
      </c>
      <c r="P2033" s="91">
        <f>720+112</f>
        <v>832</v>
      </c>
      <c r="Q2033" s="105">
        <f t="shared" si="62"/>
        <v>5820</v>
      </c>
      <c r="R2033" s="95">
        <f t="shared" si="63"/>
        <v>4947</v>
      </c>
    </row>
    <row r="2034" spans="1:23" ht="34.049999999999997" customHeight="1" x14ac:dyDescent="0.3">
      <c r="A2034" s="90">
        <v>2023</v>
      </c>
      <c r="B2034" s="91" t="s">
        <v>6397</v>
      </c>
      <c r="C2034" s="91" t="s">
        <v>7315</v>
      </c>
      <c r="D2034" s="93" t="s">
        <v>6942</v>
      </c>
      <c r="E2034" s="91">
        <v>2024</v>
      </c>
      <c r="F2034" s="91" t="s">
        <v>18</v>
      </c>
      <c r="G2034" s="91" t="s">
        <v>6944</v>
      </c>
      <c r="H2034" s="91" t="s">
        <v>3466</v>
      </c>
      <c r="I2034" s="91" t="s">
        <v>4208</v>
      </c>
      <c r="J2034" s="91">
        <v>2900</v>
      </c>
      <c r="K2034" s="91">
        <v>0</v>
      </c>
      <c r="L2034" s="91">
        <v>0</v>
      </c>
      <c r="M2034" s="91">
        <v>17688</v>
      </c>
      <c r="N2034" s="91">
        <v>2088</v>
      </c>
      <c r="O2034" s="91">
        <v>0</v>
      </c>
      <c r="P2034" s="91">
        <f>1080+168</f>
        <v>1248</v>
      </c>
      <c r="Q2034" s="105">
        <f t="shared" si="62"/>
        <v>23924</v>
      </c>
      <c r="R2034" s="95">
        <f t="shared" si="63"/>
        <v>20335.400000000001</v>
      </c>
    </row>
    <row r="2035" spans="1:23" ht="34.049999999999997" customHeight="1" x14ac:dyDescent="0.3">
      <c r="A2035" s="96">
        <v>2024</v>
      </c>
      <c r="B2035" s="91" t="s">
        <v>6397</v>
      </c>
      <c r="C2035" s="91" t="s">
        <v>7316</v>
      </c>
      <c r="D2035" s="93" t="s">
        <v>5420</v>
      </c>
      <c r="E2035" s="91">
        <v>2020</v>
      </c>
      <c r="F2035" s="91" t="s">
        <v>19</v>
      </c>
      <c r="G2035" s="91" t="s">
        <v>5596</v>
      </c>
      <c r="H2035" s="91" t="s">
        <v>5680</v>
      </c>
      <c r="I2035" s="91" t="s">
        <v>1702</v>
      </c>
      <c r="J2035" s="91">
        <v>2900</v>
      </c>
      <c r="K2035" s="91">
        <v>0</v>
      </c>
      <c r="L2035" s="91">
        <v>0</v>
      </c>
      <c r="M2035" s="91">
        <v>0</v>
      </c>
      <c r="N2035" s="91">
        <v>2088</v>
      </c>
      <c r="O2035" s="91">
        <v>0</v>
      </c>
      <c r="P2035" s="91">
        <f>720+112</f>
        <v>832</v>
      </c>
      <c r="Q2035" s="105">
        <f t="shared" si="62"/>
        <v>5820</v>
      </c>
      <c r="R2035" s="95">
        <f t="shared" si="63"/>
        <v>4947</v>
      </c>
    </row>
    <row r="2036" spans="1:23" ht="34.049999999999997" customHeight="1" x14ac:dyDescent="0.3">
      <c r="A2036" s="90">
        <v>2025</v>
      </c>
      <c r="B2036" s="91" t="s">
        <v>6397</v>
      </c>
      <c r="C2036" s="91" t="s">
        <v>7317</v>
      </c>
      <c r="D2036" s="93" t="s">
        <v>7286</v>
      </c>
      <c r="E2036" s="91">
        <v>1967</v>
      </c>
      <c r="F2036" s="91" t="s">
        <v>18</v>
      </c>
      <c r="G2036" s="91" t="s">
        <v>7287</v>
      </c>
      <c r="H2036" s="91" t="s">
        <v>7287</v>
      </c>
      <c r="I2036" s="91" t="s">
        <v>7288</v>
      </c>
      <c r="J2036" s="91">
        <v>2900</v>
      </c>
      <c r="K2036" s="91">
        <v>0</v>
      </c>
      <c r="L2036" s="91">
        <v>0</v>
      </c>
      <c r="M2036" s="91">
        <v>0</v>
      </c>
      <c r="N2036" s="91">
        <f>1681+1178</f>
        <v>2859</v>
      </c>
      <c r="O2036" s="91">
        <v>0</v>
      </c>
      <c r="P2036" s="91">
        <f>660+312+56+792+720+720</f>
        <v>3260</v>
      </c>
      <c r="Q2036" s="105">
        <f t="shared" si="62"/>
        <v>9019</v>
      </c>
      <c r="R2036" s="95">
        <f t="shared" si="63"/>
        <v>7666.15</v>
      </c>
    </row>
    <row r="2037" spans="1:23" ht="34.049999999999997" customHeight="1" x14ac:dyDescent="0.3">
      <c r="A2037" s="90">
        <v>2026</v>
      </c>
      <c r="B2037" s="91" t="s">
        <v>6397</v>
      </c>
      <c r="C2037" s="91" t="s">
        <v>7318</v>
      </c>
      <c r="D2037" s="93" t="s">
        <v>7174</v>
      </c>
      <c r="E2037" s="91">
        <v>2023</v>
      </c>
      <c r="F2037" s="91" t="s">
        <v>19</v>
      </c>
      <c r="G2037" s="91" t="s">
        <v>7175</v>
      </c>
      <c r="H2037" s="91" t="s">
        <v>5680</v>
      </c>
      <c r="I2037" s="91" t="s">
        <v>1702</v>
      </c>
      <c r="J2037" s="91">
        <v>2900</v>
      </c>
      <c r="K2037" s="91">
        <v>0</v>
      </c>
      <c r="L2037" s="91">
        <v>0</v>
      </c>
      <c r="M2037" s="91">
        <v>17688</v>
      </c>
      <c r="N2037" s="91">
        <v>2088</v>
      </c>
      <c r="O2037" s="91">
        <v>0</v>
      </c>
      <c r="P2037" s="91">
        <f>1080+168</f>
        <v>1248</v>
      </c>
      <c r="Q2037" s="105">
        <f t="shared" si="62"/>
        <v>23924</v>
      </c>
      <c r="R2037" s="95">
        <f t="shared" si="63"/>
        <v>20335.400000000001</v>
      </c>
    </row>
    <row r="2038" spans="1:23" ht="34.049999999999997" customHeight="1" x14ac:dyDescent="0.3">
      <c r="A2038" s="96">
        <v>2027</v>
      </c>
      <c r="B2038" s="91" t="s">
        <v>6397</v>
      </c>
      <c r="C2038" s="91" t="s">
        <v>7319</v>
      </c>
      <c r="D2038" s="93" t="s">
        <v>4911</v>
      </c>
      <c r="E2038" s="91">
        <v>2024</v>
      </c>
      <c r="F2038" s="91" t="s">
        <v>18</v>
      </c>
      <c r="G2038" s="91" t="s">
        <v>5029</v>
      </c>
      <c r="H2038" s="91" t="s">
        <v>1044</v>
      </c>
      <c r="I2038" s="91" t="s">
        <v>5128</v>
      </c>
      <c r="J2038" s="91">
        <v>2900</v>
      </c>
      <c r="K2038" s="91">
        <v>0</v>
      </c>
      <c r="L2038" s="91">
        <v>0</v>
      </c>
      <c r="M2038" s="91">
        <v>17688</v>
      </c>
      <c r="N2038" s="91">
        <v>2088</v>
      </c>
      <c r="O2038" s="91">
        <v>0</v>
      </c>
      <c r="P2038" s="91">
        <f>168+1080</f>
        <v>1248</v>
      </c>
      <c r="Q2038" s="105">
        <f t="shared" si="62"/>
        <v>23924</v>
      </c>
      <c r="R2038" s="95">
        <f t="shared" si="63"/>
        <v>20335.400000000001</v>
      </c>
      <c r="S2038" s="119"/>
      <c r="T2038" s="119"/>
    </row>
    <row r="2039" spans="1:23" ht="34.049999999999997" customHeight="1" x14ac:dyDescent="0.3">
      <c r="A2039" s="90">
        <v>2028</v>
      </c>
      <c r="B2039" s="91" t="s">
        <v>6685</v>
      </c>
      <c r="C2039" s="91" t="s">
        <v>6686</v>
      </c>
      <c r="D2039" s="91" t="s">
        <v>6687</v>
      </c>
      <c r="E2039" s="91">
        <v>2018</v>
      </c>
      <c r="F2039" s="91" t="s">
        <v>19</v>
      </c>
      <c r="G2039" s="91" t="s">
        <v>6826</v>
      </c>
      <c r="H2039" s="91" t="s">
        <v>6885</v>
      </c>
      <c r="I2039" s="91" t="s">
        <v>300</v>
      </c>
      <c r="J2039" s="91">
        <v>3582</v>
      </c>
      <c r="K2039" s="91">
        <v>0</v>
      </c>
      <c r="L2039" s="91">
        <v>0</v>
      </c>
      <c r="M2039" s="91">
        <v>0</v>
      </c>
      <c r="N2039" s="91">
        <v>35836</v>
      </c>
      <c r="O2039" s="91">
        <v>0</v>
      </c>
      <c r="P2039" s="91">
        <v>0</v>
      </c>
      <c r="Q2039" s="104">
        <f t="shared" si="62"/>
        <v>39418</v>
      </c>
      <c r="R2039" s="95">
        <f t="shared" si="63"/>
        <v>33505.300000000003</v>
      </c>
    </row>
    <row r="2040" spans="1:23" ht="34.049999999999997" customHeight="1" x14ac:dyDescent="0.3">
      <c r="A2040" s="90">
        <v>2029</v>
      </c>
      <c r="B2040" s="91" t="s">
        <v>6685</v>
      </c>
      <c r="C2040" s="91" t="s">
        <v>6688</v>
      </c>
      <c r="D2040" s="91" t="s">
        <v>6689</v>
      </c>
      <c r="E2040" s="91">
        <v>2023</v>
      </c>
      <c r="F2040" s="91" t="s">
        <v>19</v>
      </c>
      <c r="G2040" s="91" t="s">
        <v>6827</v>
      </c>
      <c r="H2040" s="91" t="s">
        <v>6886</v>
      </c>
      <c r="I2040" s="91" t="s">
        <v>6917</v>
      </c>
      <c r="J2040" s="91">
        <v>6199</v>
      </c>
      <c r="K2040" s="91">
        <f>6278+4484+2332+1346+2332+2332+2332+2332+2332+4484+6995+6995+2332+6995</f>
        <v>53901</v>
      </c>
      <c r="L2040" s="91">
        <v>0</v>
      </c>
      <c r="M2040" s="91">
        <v>0</v>
      </c>
      <c r="N2040" s="91">
        <v>3148</v>
      </c>
      <c r="O2040" s="91">
        <v>0</v>
      </c>
      <c r="P2040" s="91">
        <v>0</v>
      </c>
      <c r="Q2040" s="104">
        <f t="shared" si="62"/>
        <v>63248</v>
      </c>
      <c r="R2040" s="95">
        <f t="shared" si="63"/>
        <v>53760.800000000003</v>
      </c>
    </row>
    <row r="2041" spans="1:23" ht="34.049999999999997" customHeight="1" x14ac:dyDescent="0.3">
      <c r="A2041" s="96">
        <v>2030</v>
      </c>
      <c r="B2041" s="91" t="s">
        <v>6685</v>
      </c>
      <c r="C2041" s="91" t="s">
        <v>6690</v>
      </c>
      <c r="D2041" s="91" t="s">
        <v>62</v>
      </c>
      <c r="E2041" s="91">
        <v>1988</v>
      </c>
      <c r="F2041" s="91" t="s">
        <v>18</v>
      </c>
      <c r="G2041" s="91" t="s">
        <v>160</v>
      </c>
      <c r="H2041" s="91" t="s">
        <v>160</v>
      </c>
      <c r="I2041" s="91" t="s">
        <v>259</v>
      </c>
      <c r="J2041" s="91">
        <v>3582</v>
      </c>
      <c r="K2041" s="91">
        <v>0</v>
      </c>
      <c r="L2041" s="91">
        <v>0</v>
      </c>
      <c r="M2041" s="91">
        <v>0</v>
      </c>
      <c r="N2041" s="91">
        <f>34016+27380+19239</f>
        <v>80635</v>
      </c>
      <c r="O2041" s="91">
        <v>0</v>
      </c>
      <c r="P2041" s="91">
        <v>0</v>
      </c>
      <c r="Q2041" s="104">
        <f t="shared" si="62"/>
        <v>84217</v>
      </c>
      <c r="R2041" s="95">
        <f t="shared" si="63"/>
        <v>71584.45</v>
      </c>
    </row>
    <row r="2042" spans="1:23" ht="34.049999999999997" customHeight="1" x14ac:dyDescent="0.3">
      <c r="A2042" s="90">
        <v>2031</v>
      </c>
      <c r="B2042" s="91" t="s">
        <v>6685</v>
      </c>
      <c r="C2042" s="91" t="s">
        <v>6691</v>
      </c>
      <c r="D2042" s="91" t="s">
        <v>6692</v>
      </c>
      <c r="E2042" s="91">
        <v>1986</v>
      </c>
      <c r="F2042" s="91" t="s">
        <v>18</v>
      </c>
      <c r="G2042" s="91" t="s">
        <v>6828</v>
      </c>
      <c r="H2042" s="91" t="s">
        <v>6828</v>
      </c>
      <c r="I2042" s="91" t="s">
        <v>1702</v>
      </c>
      <c r="J2042" s="91">
        <v>6199</v>
      </c>
      <c r="K2042" s="91">
        <f>1166+2801</f>
        <v>3967</v>
      </c>
      <c r="L2042" s="91">
        <v>0</v>
      </c>
      <c r="M2042" s="91">
        <v>0</v>
      </c>
      <c r="N2042" s="91">
        <v>0</v>
      </c>
      <c r="O2042" s="91">
        <v>0</v>
      </c>
      <c r="P2042" s="91">
        <v>0</v>
      </c>
      <c r="Q2042" s="104">
        <f t="shared" si="62"/>
        <v>10166</v>
      </c>
      <c r="R2042" s="95">
        <f t="shared" si="63"/>
        <v>8641.1</v>
      </c>
    </row>
    <row r="2043" spans="1:23" ht="34.049999999999997" customHeight="1" x14ac:dyDescent="0.3">
      <c r="A2043" s="90">
        <v>2032</v>
      </c>
      <c r="B2043" s="98" t="s">
        <v>6685</v>
      </c>
      <c r="C2043" s="98" t="s">
        <v>6693</v>
      </c>
      <c r="D2043" s="98" t="s">
        <v>6694</v>
      </c>
      <c r="E2043" s="98">
        <v>2020</v>
      </c>
      <c r="F2043" s="98" t="s">
        <v>18</v>
      </c>
      <c r="G2043" s="98" t="s">
        <v>6829</v>
      </c>
      <c r="H2043" s="98" t="s">
        <v>6887</v>
      </c>
      <c r="I2043" s="98" t="s">
        <v>1896</v>
      </c>
      <c r="J2043" s="98">
        <v>6199</v>
      </c>
      <c r="K2043" s="98">
        <v>0</v>
      </c>
      <c r="L2043" s="98">
        <v>0</v>
      </c>
      <c r="M2043" s="98">
        <v>0</v>
      </c>
      <c r="N2043" s="98">
        <v>0</v>
      </c>
      <c r="O2043" s="98">
        <v>0</v>
      </c>
      <c r="P2043" s="98">
        <v>0</v>
      </c>
      <c r="Q2043" s="104">
        <f t="shared" si="62"/>
        <v>6199</v>
      </c>
      <c r="R2043" s="95">
        <f t="shared" si="63"/>
        <v>5269.15</v>
      </c>
      <c r="S2043" s="41"/>
      <c r="T2043" s="41"/>
      <c r="U2043" s="41"/>
      <c r="V2043" s="41"/>
      <c r="W2043" s="41"/>
    </row>
    <row r="2044" spans="1:23" ht="34.049999999999997" customHeight="1" x14ac:dyDescent="0.3">
      <c r="A2044" s="96">
        <v>2033</v>
      </c>
      <c r="B2044" s="91" t="s">
        <v>6685</v>
      </c>
      <c r="C2044" s="91" t="s">
        <v>6695</v>
      </c>
      <c r="D2044" s="91" t="s">
        <v>6696</v>
      </c>
      <c r="E2044" s="91">
        <v>2021</v>
      </c>
      <c r="F2044" s="91" t="s">
        <v>18</v>
      </c>
      <c r="G2044" s="91" t="s">
        <v>6830</v>
      </c>
      <c r="H2044" s="91" t="s">
        <v>6885</v>
      </c>
      <c r="I2044" s="91" t="s">
        <v>300</v>
      </c>
      <c r="J2044" s="91">
        <v>3582</v>
      </c>
      <c r="K2044" s="91">
        <v>0</v>
      </c>
      <c r="L2044" s="91">
        <v>0</v>
      </c>
      <c r="M2044" s="91">
        <v>0</v>
      </c>
      <c r="N2044" s="91">
        <v>0</v>
      </c>
      <c r="O2044" s="91">
        <v>0</v>
      </c>
      <c r="P2044" s="91">
        <v>0</v>
      </c>
      <c r="Q2044" s="104">
        <f t="shared" si="62"/>
        <v>3582</v>
      </c>
      <c r="R2044" s="95">
        <f t="shared" si="63"/>
        <v>3044.7</v>
      </c>
    </row>
    <row r="2045" spans="1:23" ht="34.049999999999997" customHeight="1" x14ac:dyDescent="0.3">
      <c r="A2045" s="90">
        <v>2034</v>
      </c>
      <c r="B2045" s="91" t="s">
        <v>6685</v>
      </c>
      <c r="C2045" s="91" t="s">
        <v>6697</v>
      </c>
      <c r="D2045" s="93" t="s">
        <v>6698</v>
      </c>
      <c r="E2045" s="91">
        <v>2025</v>
      </c>
      <c r="F2045" s="91" t="s">
        <v>18</v>
      </c>
      <c r="G2045" s="91" t="s">
        <v>6831</v>
      </c>
      <c r="H2045" s="91" t="s">
        <v>6888</v>
      </c>
      <c r="I2045" s="91" t="s">
        <v>6918</v>
      </c>
      <c r="J2045" s="91">
        <v>6199</v>
      </c>
      <c r="K2045" s="91">
        <v>0</v>
      </c>
      <c r="L2045" s="91">
        <v>0</v>
      </c>
      <c r="M2045" s="91">
        <v>0</v>
      </c>
      <c r="N2045" s="91">
        <v>0</v>
      </c>
      <c r="O2045" s="91">
        <v>0</v>
      </c>
      <c r="P2045" s="91">
        <v>0</v>
      </c>
      <c r="Q2045" s="104">
        <f t="shared" si="62"/>
        <v>6199</v>
      </c>
      <c r="R2045" s="95">
        <f t="shared" si="63"/>
        <v>5269.15</v>
      </c>
    </row>
    <row r="2046" spans="1:23" ht="34.049999999999997" customHeight="1" x14ac:dyDescent="0.3">
      <c r="A2046" s="90">
        <v>2035</v>
      </c>
      <c r="B2046" s="91" t="s">
        <v>6685</v>
      </c>
      <c r="C2046" s="91" t="s">
        <v>6699</v>
      </c>
      <c r="D2046" s="91" t="s">
        <v>4891</v>
      </c>
      <c r="E2046" s="91">
        <v>1981</v>
      </c>
      <c r="F2046" s="91" t="s">
        <v>19</v>
      </c>
      <c r="G2046" s="91" t="s">
        <v>5020</v>
      </c>
      <c r="H2046" s="91" t="s">
        <v>5020</v>
      </c>
      <c r="I2046" s="91" t="s">
        <v>5123</v>
      </c>
      <c r="J2046" s="91">
        <v>6199</v>
      </c>
      <c r="K2046" s="91">
        <f>6278+4484+2332+1346+2332+2332+2332+2332+6995+6995+2332+6995+6995+3228+6995+2332+3000</f>
        <v>69635</v>
      </c>
      <c r="L2046" s="91">
        <v>0</v>
      </c>
      <c r="M2046" s="91">
        <v>0</v>
      </c>
      <c r="N2046" s="91">
        <v>1793</v>
      </c>
      <c r="O2046" s="91">
        <v>0</v>
      </c>
      <c r="P2046" s="91">
        <v>0</v>
      </c>
      <c r="Q2046" s="104">
        <f t="shared" si="62"/>
        <v>77627</v>
      </c>
      <c r="R2046" s="95">
        <f t="shared" si="63"/>
        <v>65982.95</v>
      </c>
    </row>
    <row r="2047" spans="1:23" ht="34.049999999999997" customHeight="1" x14ac:dyDescent="0.3">
      <c r="A2047" s="96">
        <v>2036</v>
      </c>
      <c r="B2047" s="91" t="s">
        <v>6685</v>
      </c>
      <c r="C2047" s="91" t="s">
        <v>6700</v>
      </c>
      <c r="D2047" s="91" t="s">
        <v>4937</v>
      </c>
      <c r="E2047" s="91">
        <v>1982</v>
      </c>
      <c r="F2047" s="91" t="s">
        <v>18</v>
      </c>
      <c r="G2047" s="91" t="s">
        <v>5041</v>
      </c>
      <c r="H2047" s="91" t="s">
        <v>5041</v>
      </c>
      <c r="I2047" s="91" t="s">
        <v>853</v>
      </c>
      <c r="J2047" s="91">
        <v>3793</v>
      </c>
      <c r="K2047" s="91">
        <v>0</v>
      </c>
      <c r="L2047" s="91">
        <v>0</v>
      </c>
      <c r="M2047" s="91">
        <v>0</v>
      </c>
      <c r="N2047" s="91">
        <f>34016+27380</f>
        <v>61396</v>
      </c>
      <c r="O2047" s="91">
        <v>0</v>
      </c>
      <c r="P2047" s="91">
        <v>0</v>
      </c>
      <c r="Q2047" s="104">
        <f t="shared" si="62"/>
        <v>65189</v>
      </c>
      <c r="R2047" s="95">
        <f t="shared" si="63"/>
        <v>55410.65</v>
      </c>
    </row>
    <row r="2048" spans="1:23" ht="34.049999999999997" customHeight="1" x14ac:dyDescent="0.3">
      <c r="A2048" s="90">
        <v>2037</v>
      </c>
      <c r="B2048" s="98" t="s">
        <v>6685</v>
      </c>
      <c r="C2048" s="98" t="s">
        <v>6701</v>
      </c>
      <c r="D2048" s="98" t="s">
        <v>6702</v>
      </c>
      <c r="E2048" s="98">
        <v>2025</v>
      </c>
      <c r="F2048" s="98" t="s">
        <v>19</v>
      </c>
      <c r="G2048" s="98" t="s">
        <v>6832</v>
      </c>
      <c r="H2048" s="98" t="s">
        <v>6889</v>
      </c>
      <c r="I2048" s="98" t="s">
        <v>6919</v>
      </c>
      <c r="J2048" s="98">
        <v>6199</v>
      </c>
      <c r="K2048" s="98">
        <f>6278+4484+1346+2332+2332+2332+2332+2332+6995+6995+6995+2332+4484+2332</f>
        <v>53901</v>
      </c>
      <c r="L2048" s="98">
        <v>0</v>
      </c>
      <c r="M2048" s="98">
        <v>0</v>
      </c>
      <c r="N2048" s="98">
        <v>3148</v>
      </c>
      <c r="O2048" s="98">
        <v>0</v>
      </c>
      <c r="P2048" s="98">
        <v>0</v>
      </c>
      <c r="Q2048" s="106">
        <f t="shared" si="62"/>
        <v>63248</v>
      </c>
      <c r="R2048" s="95">
        <f t="shared" si="63"/>
        <v>53760.800000000003</v>
      </c>
      <c r="S2048" s="41"/>
      <c r="T2048" s="41"/>
      <c r="U2048" s="41"/>
      <c r="V2048" s="41"/>
      <c r="W2048" s="41"/>
    </row>
    <row r="2049" spans="1:23" ht="34.049999999999997" customHeight="1" x14ac:dyDescent="0.3">
      <c r="A2049" s="90">
        <v>2038</v>
      </c>
      <c r="B2049" s="91" t="s">
        <v>6685</v>
      </c>
      <c r="C2049" s="91" t="s">
        <v>6703</v>
      </c>
      <c r="D2049" s="91" t="s">
        <v>6704</v>
      </c>
      <c r="E2049" s="91">
        <v>2023</v>
      </c>
      <c r="F2049" s="91" t="s">
        <v>19</v>
      </c>
      <c r="G2049" s="91" t="s">
        <v>6833</v>
      </c>
      <c r="H2049" s="91" t="s">
        <v>6890</v>
      </c>
      <c r="I2049" s="91" t="s">
        <v>2457</v>
      </c>
      <c r="J2049" s="91">
        <v>6199</v>
      </c>
      <c r="K2049" s="91">
        <f>6278+4484+2332+1346+2332+2332+2332+2332+6995+6995+2332+6995+4484+2332</f>
        <v>53901</v>
      </c>
      <c r="L2049" s="91">
        <v>0</v>
      </c>
      <c r="M2049" s="91">
        <v>0</v>
      </c>
      <c r="N2049" s="91">
        <v>3148</v>
      </c>
      <c r="O2049" s="91">
        <v>0</v>
      </c>
      <c r="P2049" s="91">
        <v>0</v>
      </c>
      <c r="Q2049" s="104">
        <f t="shared" si="62"/>
        <v>63248</v>
      </c>
      <c r="R2049" s="95">
        <f t="shared" si="63"/>
        <v>53760.800000000003</v>
      </c>
    </row>
    <row r="2050" spans="1:23" ht="34.049999999999997" customHeight="1" x14ac:dyDescent="0.3">
      <c r="A2050" s="96">
        <v>2039</v>
      </c>
      <c r="B2050" s="98" t="s">
        <v>6685</v>
      </c>
      <c r="C2050" s="98" t="s">
        <v>6705</v>
      </c>
      <c r="D2050" s="98" t="s">
        <v>6706</v>
      </c>
      <c r="E2050" s="98">
        <v>1997</v>
      </c>
      <c r="F2050" s="98" t="s">
        <v>19</v>
      </c>
      <c r="G2050" s="98" t="s">
        <v>6834</v>
      </c>
      <c r="H2050" s="98" t="s">
        <v>6834</v>
      </c>
      <c r="I2050" s="98" t="s">
        <v>2457</v>
      </c>
      <c r="J2050" s="98">
        <v>6199</v>
      </c>
      <c r="K2050" s="98">
        <v>0</v>
      </c>
      <c r="L2050" s="98">
        <v>0</v>
      </c>
      <c r="M2050" s="98">
        <v>0</v>
      </c>
      <c r="N2050" s="98">
        <f>15443+303362</f>
        <v>318805</v>
      </c>
      <c r="O2050" s="98">
        <v>0</v>
      </c>
      <c r="P2050" s="98">
        <v>0</v>
      </c>
      <c r="Q2050" s="106">
        <f t="shared" si="62"/>
        <v>325004</v>
      </c>
      <c r="R2050" s="95">
        <f t="shared" si="63"/>
        <v>276253.40000000002</v>
      </c>
      <c r="S2050" s="41"/>
      <c r="T2050" s="41"/>
      <c r="U2050" s="41"/>
      <c r="V2050" s="41"/>
      <c r="W2050" s="41"/>
    </row>
    <row r="2051" spans="1:23" ht="34.049999999999997" customHeight="1" x14ac:dyDescent="0.3">
      <c r="A2051" s="90">
        <v>2040</v>
      </c>
      <c r="B2051" s="91" t="s">
        <v>6685</v>
      </c>
      <c r="C2051" s="91" t="s">
        <v>6707</v>
      </c>
      <c r="D2051" s="91" t="s">
        <v>3774</v>
      </c>
      <c r="E2051" s="91">
        <v>2005</v>
      </c>
      <c r="F2051" s="91" t="s">
        <v>18</v>
      </c>
      <c r="G2051" s="91" t="s">
        <v>3860</v>
      </c>
      <c r="H2051" s="91" t="s">
        <v>3907</v>
      </c>
      <c r="I2051" s="91" t="s">
        <v>569</v>
      </c>
      <c r="J2051" s="91">
        <v>0</v>
      </c>
      <c r="K2051" s="91">
        <v>0</v>
      </c>
      <c r="L2051" s="91">
        <v>0</v>
      </c>
      <c r="M2051" s="91">
        <v>0</v>
      </c>
      <c r="N2051" s="91">
        <f>34016+27380+19239</f>
        <v>80635</v>
      </c>
      <c r="O2051" s="91">
        <v>0</v>
      </c>
      <c r="P2051" s="91">
        <v>0</v>
      </c>
      <c r="Q2051" s="104">
        <f t="shared" si="62"/>
        <v>80635</v>
      </c>
      <c r="R2051" s="95">
        <f t="shared" si="63"/>
        <v>68539.75</v>
      </c>
    </row>
    <row r="2052" spans="1:23" ht="34.049999999999997" customHeight="1" x14ac:dyDescent="0.3">
      <c r="A2052" s="90">
        <v>2041</v>
      </c>
      <c r="B2052" s="91" t="s">
        <v>6685</v>
      </c>
      <c r="C2052" s="91" t="s">
        <v>6708</v>
      </c>
      <c r="D2052" s="91" t="s">
        <v>6709</v>
      </c>
      <c r="E2052" s="91">
        <v>2023</v>
      </c>
      <c r="F2052" s="91" t="s">
        <v>18</v>
      </c>
      <c r="G2052" s="91" t="s">
        <v>6835</v>
      </c>
      <c r="H2052" s="91" t="s">
        <v>6891</v>
      </c>
      <c r="I2052" s="91" t="s">
        <v>552</v>
      </c>
      <c r="J2052" s="91">
        <v>6199</v>
      </c>
      <c r="K2052" s="91">
        <f>6278+4484+1346+4484+2332+2332+1166+2332+2332+2332+2332+6995+6995+2332+6995</f>
        <v>55067</v>
      </c>
      <c r="L2052" s="91">
        <v>0</v>
      </c>
      <c r="M2052" s="91">
        <v>0</v>
      </c>
      <c r="N2052" s="91">
        <v>3148</v>
      </c>
      <c r="O2052" s="91">
        <v>0</v>
      </c>
      <c r="P2052" s="91">
        <v>0</v>
      </c>
      <c r="Q2052" s="104">
        <f t="shared" si="62"/>
        <v>64414</v>
      </c>
      <c r="R2052" s="95">
        <f t="shared" si="63"/>
        <v>54751.9</v>
      </c>
    </row>
    <row r="2053" spans="1:23" ht="34.049999999999997" customHeight="1" x14ac:dyDescent="0.3">
      <c r="A2053" s="96">
        <v>2042</v>
      </c>
      <c r="B2053" s="91" t="s">
        <v>6685</v>
      </c>
      <c r="C2053" s="91" t="s">
        <v>6710</v>
      </c>
      <c r="D2053" s="91" t="s">
        <v>6711</v>
      </c>
      <c r="E2053" s="91">
        <v>2002</v>
      </c>
      <c r="F2053" s="91" t="s">
        <v>19</v>
      </c>
      <c r="G2053" s="91" t="s">
        <v>6836</v>
      </c>
      <c r="H2053" s="91" t="s">
        <v>6836</v>
      </c>
      <c r="I2053" s="91" t="s">
        <v>6920</v>
      </c>
      <c r="J2053" s="91">
        <v>6199</v>
      </c>
      <c r="K2053" s="91">
        <f>2332+2243</f>
        <v>4575</v>
      </c>
      <c r="L2053" s="91">
        <v>0</v>
      </c>
      <c r="M2053" s="91">
        <v>0</v>
      </c>
      <c r="N2053" s="91">
        <v>0</v>
      </c>
      <c r="O2053" s="91">
        <v>0</v>
      </c>
      <c r="P2053" s="91">
        <v>0</v>
      </c>
      <c r="Q2053" s="104">
        <f t="shared" si="62"/>
        <v>10774</v>
      </c>
      <c r="R2053" s="95">
        <f t="shared" si="63"/>
        <v>9157.9</v>
      </c>
    </row>
    <row r="2054" spans="1:23" ht="34.049999999999997" customHeight="1" x14ac:dyDescent="0.3">
      <c r="A2054" s="90">
        <v>2043</v>
      </c>
      <c r="B2054" s="91" t="s">
        <v>6685</v>
      </c>
      <c r="C2054" s="91" t="s">
        <v>6712</v>
      </c>
      <c r="D2054" s="91" t="s">
        <v>6713</v>
      </c>
      <c r="E2054" s="91">
        <v>1995</v>
      </c>
      <c r="F2054" s="91" t="s">
        <v>19</v>
      </c>
      <c r="G2054" s="91" t="s">
        <v>6837</v>
      </c>
      <c r="H2054" s="91" t="s">
        <v>503</v>
      </c>
      <c r="I2054" s="91" t="s">
        <v>25</v>
      </c>
      <c r="J2054" s="91">
        <v>6199</v>
      </c>
      <c r="K2054" s="91">
        <f>6278+4484+1346+2332+2332+6995+2332+2332+2332+2332+3000+3000</f>
        <v>39095</v>
      </c>
      <c r="L2054" s="91">
        <v>0</v>
      </c>
      <c r="M2054" s="91">
        <v>0</v>
      </c>
      <c r="N2054" s="91">
        <v>1793</v>
      </c>
      <c r="O2054" s="91">
        <v>0</v>
      </c>
      <c r="P2054" s="91">
        <v>0</v>
      </c>
      <c r="Q2054" s="104">
        <f t="shared" si="62"/>
        <v>47087</v>
      </c>
      <c r="R2054" s="95">
        <f t="shared" si="63"/>
        <v>40023.949999999997</v>
      </c>
    </row>
    <row r="2055" spans="1:23" ht="34.049999999999997" customHeight="1" x14ac:dyDescent="0.3">
      <c r="A2055" s="90">
        <v>2044</v>
      </c>
      <c r="B2055" s="91" t="s">
        <v>6685</v>
      </c>
      <c r="C2055" s="91" t="s">
        <v>6714</v>
      </c>
      <c r="D2055" s="91" t="s">
        <v>1918</v>
      </c>
      <c r="E2055" s="91">
        <v>2017</v>
      </c>
      <c r="F2055" s="91" t="s">
        <v>19</v>
      </c>
      <c r="G2055" s="91" t="s">
        <v>2030</v>
      </c>
      <c r="H2055" s="91" t="s">
        <v>2086</v>
      </c>
      <c r="I2055" s="91" t="s">
        <v>540</v>
      </c>
      <c r="J2055" s="91">
        <v>3582</v>
      </c>
      <c r="K2055" s="91">
        <v>0</v>
      </c>
      <c r="L2055" s="91">
        <v>0</v>
      </c>
      <c r="M2055" s="91">
        <v>0</v>
      </c>
      <c r="N2055" s="91">
        <f>42388+27126</f>
        <v>69514</v>
      </c>
      <c r="O2055" s="91">
        <v>0</v>
      </c>
      <c r="P2055" s="91">
        <v>0</v>
      </c>
      <c r="Q2055" s="104">
        <f t="shared" si="62"/>
        <v>73096</v>
      </c>
      <c r="R2055" s="95">
        <f t="shared" si="63"/>
        <v>62131.6</v>
      </c>
    </row>
    <row r="2056" spans="1:23" ht="34.049999999999997" customHeight="1" x14ac:dyDescent="0.3">
      <c r="A2056" s="96">
        <v>2045</v>
      </c>
      <c r="B2056" s="91" t="s">
        <v>6685</v>
      </c>
      <c r="C2056" s="91" t="s">
        <v>6715</v>
      </c>
      <c r="D2056" s="91" t="s">
        <v>1916</v>
      </c>
      <c r="E2056" s="91">
        <v>2017</v>
      </c>
      <c r="F2056" s="91" t="s">
        <v>18</v>
      </c>
      <c r="G2056" s="91" t="s">
        <v>6838</v>
      </c>
      <c r="H2056" s="91" t="s">
        <v>2085</v>
      </c>
      <c r="I2056" s="91" t="s">
        <v>540</v>
      </c>
      <c r="J2056" s="91">
        <v>3582</v>
      </c>
      <c r="K2056" s="91">
        <v>0</v>
      </c>
      <c r="L2056" s="91">
        <v>0</v>
      </c>
      <c r="M2056" s="91">
        <v>0</v>
      </c>
      <c r="N2056" s="91">
        <f>52172+27126</f>
        <v>79298</v>
      </c>
      <c r="O2056" s="91">
        <v>0</v>
      </c>
      <c r="P2056" s="91">
        <v>0</v>
      </c>
      <c r="Q2056" s="104">
        <f t="shared" si="62"/>
        <v>82880</v>
      </c>
      <c r="R2056" s="95">
        <f t="shared" si="63"/>
        <v>70448</v>
      </c>
    </row>
    <row r="2057" spans="1:23" ht="34.049999999999997" customHeight="1" x14ac:dyDescent="0.3">
      <c r="A2057" s="90">
        <v>2046</v>
      </c>
      <c r="B2057" s="98" t="s">
        <v>6685</v>
      </c>
      <c r="C2057" s="98" t="s">
        <v>6716</v>
      </c>
      <c r="D2057" s="98" t="s">
        <v>6717</v>
      </c>
      <c r="E2057" s="98">
        <v>2019</v>
      </c>
      <c r="F2057" s="98" t="s">
        <v>18</v>
      </c>
      <c r="G2057" s="98" t="s">
        <v>6839</v>
      </c>
      <c r="H2057" s="98" t="s">
        <v>6892</v>
      </c>
      <c r="I2057" s="98" t="s">
        <v>2864</v>
      </c>
      <c r="J2057" s="98">
        <v>6199</v>
      </c>
      <c r="K2057" s="98">
        <v>0</v>
      </c>
      <c r="L2057" s="98">
        <v>0</v>
      </c>
      <c r="M2057" s="98">
        <v>0</v>
      </c>
      <c r="N2057" s="98">
        <f>30886+35836</f>
        <v>66722</v>
      </c>
      <c r="O2057" s="98">
        <v>0</v>
      </c>
      <c r="P2057" s="98">
        <v>0</v>
      </c>
      <c r="Q2057" s="104">
        <f t="shared" si="62"/>
        <v>72921</v>
      </c>
      <c r="R2057" s="95">
        <f t="shared" si="63"/>
        <v>61982.85</v>
      </c>
      <c r="S2057" s="41"/>
      <c r="T2057" s="41"/>
      <c r="U2057" s="41"/>
      <c r="V2057" s="41"/>
      <c r="W2057" s="41"/>
    </row>
    <row r="2058" spans="1:23" ht="34.049999999999997" customHeight="1" x14ac:dyDescent="0.3">
      <c r="A2058" s="90">
        <v>2047</v>
      </c>
      <c r="B2058" s="91" t="s">
        <v>6685</v>
      </c>
      <c r="C2058" s="91" t="s">
        <v>6718</v>
      </c>
      <c r="D2058" s="91" t="s">
        <v>6719</v>
      </c>
      <c r="E2058" s="91">
        <v>1999</v>
      </c>
      <c r="F2058" s="91" t="s">
        <v>19</v>
      </c>
      <c r="G2058" s="91" t="s">
        <v>6840</v>
      </c>
      <c r="H2058" s="91" t="s">
        <v>6840</v>
      </c>
      <c r="I2058" s="91" t="s">
        <v>275</v>
      </c>
      <c r="J2058" s="91">
        <v>6199</v>
      </c>
      <c r="K2058" s="91">
        <f>6278+4484+3252</f>
        <v>14014</v>
      </c>
      <c r="L2058" s="91">
        <v>18406</v>
      </c>
      <c r="M2058" s="91">
        <v>0</v>
      </c>
      <c r="N2058" s="91">
        <v>1793</v>
      </c>
      <c r="O2058" s="91">
        <v>0</v>
      </c>
      <c r="P2058" s="91">
        <v>0</v>
      </c>
      <c r="Q2058" s="104">
        <f t="shared" si="62"/>
        <v>40412</v>
      </c>
      <c r="R2058" s="95">
        <f t="shared" si="63"/>
        <v>34350.199999999997</v>
      </c>
    </row>
    <row r="2059" spans="1:23" ht="34.049999999999997" customHeight="1" x14ac:dyDescent="0.3">
      <c r="A2059" s="96">
        <v>2048</v>
      </c>
      <c r="B2059" s="91" t="s">
        <v>6685</v>
      </c>
      <c r="C2059" s="91" t="s">
        <v>6720</v>
      </c>
      <c r="D2059" s="91" t="s">
        <v>6721</v>
      </c>
      <c r="E2059" s="91">
        <v>2020</v>
      </c>
      <c r="F2059" s="91" t="s">
        <v>18</v>
      </c>
      <c r="G2059" s="91" t="s">
        <v>6841</v>
      </c>
      <c r="H2059" s="91" t="s">
        <v>6893</v>
      </c>
      <c r="I2059" s="91" t="s">
        <v>6921</v>
      </c>
      <c r="J2059" s="91">
        <v>6199</v>
      </c>
      <c r="K2059" s="91">
        <f>1166+2801+6278+4484+2332+1346+2332+2332+2332+2332+6995+6995+2332+6995+2332+4484</f>
        <v>57868</v>
      </c>
      <c r="L2059" s="91">
        <v>0</v>
      </c>
      <c r="M2059" s="91">
        <v>0</v>
      </c>
      <c r="N2059" s="91">
        <v>3148</v>
      </c>
      <c r="O2059" s="91">
        <v>0</v>
      </c>
      <c r="P2059" s="91">
        <v>0</v>
      </c>
      <c r="Q2059" s="104">
        <f t="shared" si="62"/>
        <v>67215</v>
      </c>
      <c r="R2059" s="95">
        <f t="shared" si="63"/>
        <v>57132.75</v>
      </c>
    </row>
    <row r="2060" spans="1:23" ht="34.049999999999997" customHeight="1" x14ac:dyDescent="0.3">
      <c r="A2060" s="90">
        <v>2049</v>
      </c>
      <c r="B2060" s="91" t="s">
        <v>6685</v>
      </c>
      <c r="C2060" s="91" t="s">
        <v>6722</v>
      </c>
      <c r="D2060" s="91" t="s">
        <v>871</v>
      </c>
      <c r="E2060" s="91">
        <v>1990</v>
      </c>
      <c r="F2060" s="91" t="s">
        <v>19</v>
      </c>
      <c r="G2060" s="91" t="s">
        <v>969</v>
      </c>
      <c r="H2060" s="91" t="s">
        <v>1017</v>
      </c>
      <c r="I2060" s="91" t="s">
        <v>1048</v>
      </c>
      <c r="J2060" s="91">
        <v>6199</v>
      </c>
      <c r="K2060" s="91">
        <f>6278+4484+2332</f>
        <v>13094</v>
      </c>
      <c r="L2060" s="91">
        <v>17279</v>
      </c>
      <c r="M2060" s="91">
        <v>0</v>
      </c>
      <c r="N2060" s="91">
        <v>1793</v>
      </c>
      <c r="O2060" s="91">
        <v>0</v>
      </c>
      <c r="P2060" s="91">
        <v>0</v>
      </c>
      <c r="Q2060" s="104">
        <f t="shared" ref="Q2060:Q2123" si="64">SUM(J2060:P2060)</f>
        <v>38365</v>
      </c>
      <c r="R2060" s="95">
        <f t="shared" si="63"/>
        <v>32610.25</v>
      </c>
    </row>
    <row r="2061" spans="1:23" ht="34.049999999999997" customHeight="1" x14ac:dyDescent="0.3">
      <c r="A2061" s="90">
        <v>2050</v>
      </c>
      <c r="B2061" s="91" t="s">
        <v>6685</v>
      </c>
      <c r="C2061" s="91" t="s">
        <v>6723</v>
      </c>
      <c r="D2061" s="91" t="s">
        <v>6724</v>
      </c>
      <c r="E2061" s="91">
        <v>1995</v>
      </c>
      <c r="F2061" s="91" t="s">
        <v>19</v>
      </c>
      <c r="G2061" s="91" t="s">
        <v>6842</v>
      </c>
      <c r="H2061" s="91" t="s">
        <v>6894</v>
      </c>
      <c r="I2061" s="91" t="s">
        <v>3935</v>
      </c>
      <c r="J2061" s="91">
        <v>6199</v>
      </c>
      <c r="K2061" s="91">
        <v>0</v>
      </c>
      <c r="L2061" s="91">
        <v>0</v>
      </c>
      <c r="M2061" s="91">
        <v>0</v>
      </c>
      <c r="N2061" s="91">
        <v>0</v>
      </c>
      <c r="O2061" s="91">
        <v>0</v>
      </c>
      <c r="P2061" s="91">
        <v>0</v>
      </c>
      <c r="Q2061" s="104">
        <f t="shared" si="64"/>
        <v>6199</v>
      </c>
      <c r="R2061" s="95">
        <f t="shared" ref="R2061:R2124" si="65">Q2061*85/100</f>
        <v>5269.15</v>
      </c>
    </row>
    <row r="2062" spans="1:23" ht="34.049999999999997" customHeight="1" x14ac:dyDescent="0.3">
      <c r="A2062" s="96">
        <v>2051</v>
      </c>
      <c r="B2062" s="91" t="s">
        <v>6685</v>
      </c>
      <c r="C2062" s="91" t="s">
        <v>6725</v>
      </c>
      <c r="D2062" s="91" t="s">
        <v>6726</v>
      </c>
      <c r="E2062" s="91">
        <v>1999</v>
      </c>
      <c r="F2062" s="91" t="s">
        <v>19</v>
      </c>
      <c r="G2062" s="91" t="s">
        <v>6843</v>
      </c>
      <c r="H2062" s="91" t="s">
        <v>6843</v>
      </c>
      <c r="I2062" s="91" t="s">
        <v>272</v>
      </c>
      <c r="J2062" s="91">
        <v>6199</v>
      </c>
      <c r="K2062" s="91">
        <f>2243+2332</f>
        <v>4575</v>
      </c>
      <c r="L2062" s="91">
        <v>17279</v>
      </c>
      <c r="M2062" s="91">
        <v>0</v>
      </c>
      <c r="N2062" s="91">
        <v>0</v>
      </c>
      <c r="O2062" s="91">
        <v>0</v>
      </c>
      <c r="P2062" s="91">
        <v>0</v>
      </c>
      <c r="Q2062" s="104">
        <f t="shared" si="64"/>
        <v>28053</v>
      </c>
      <c r="R2062" s="95">
        <f t="shared" si="65"/>
        <v>23845.05</v>
      </c>
    </row>
    <row r="2063" spans="1:23" ht="34.049999999999997" customHeight="1" x14ac:dyDescent="0.3">
      <c r="A2063" s="90">
        <v>2052</v>
      </c>
      <c r="B2063" s="91" t="s">
        <v>6685</v>
      </c>
      <c r="C2063" s="91" t="s">
        <v>6727</v>
      </c>
      <c r="D2063" s="91" t="s">
        <v>6728</v>
      </c>
      <c r="E2063" s="91">
        <v>1998</v>
      </c>
      <c r="F2063" s="91" t="s">
        <v>19</v>
      </c>
      <c r="G2063" s="91" t="s">
        <v>6844</v>
      </c>
      <c r="H2063" s="91" t="s">
        <v>6844</v>
      </c>
      <c r="I2063" s="91" t="s">
        <v>1280</v>
      </c>
      <c r="J2063" s="91">
        <v>6199</v>
      </c>
      <c r="K2063" s="91">
        <f>6278+4484+2332+2332+3228+3000+6995+2243</f>
        <v>30892</v>
      </c>
      <c r="L2063" s="91">
        <v>18406</v>
      </c>
      <c r="M2063" s="91">
        <v>0</v>
      </c>
      <c r="N2063" s="91">
        <v>1793</v>
      </c>
      <c r="O2063" s="91">
        <v>0</v>
      </c>
      <c r="P2063" s="91">
        <v>0</v>
      </c>
      <c r="Q2063" s="104">
        <f t="shared" si="64"/>
        <v>57290</v>
      </c>
      <c r="R2063" s="95">
        <f t="shared" si="65"/>
        <v>48696.5</v>
      </c>
    </row>
    <row r="2064" spans="1:23" ht="34.049999999999997" customHeight="1" x14ac:dyDescent="0.3">
      <c r="A2064" s="90">
        <v>2053</v>
      </c>
      <c r="B2064" s="91" t="s">
        <v>6685</v>
      </c>
      <c r="C2064" s="91" t="s">
        <v>6729</v>
      </c>
      <c r="D2064" s="91" t="s">
        <v>4891</v>
      </c>
      <c r="E2064" s="91">
        <v>1981</v>
      </c>
      <c r="F2064" s="91" t="s">
        <v>19</v>
      </c>
      <c r="G2064" s="91" t="s">
        <v>5053</v>
      </c>
      <c r="H2064" s="91" t="s">
        <v>5053</v>
      </c>
      <c r="I2064" s="91" t="s">
        <v>2850</v>
      </c>
      <c r="J2064" s="91">
        <v>3793</v>
      </c>
      <c r="K2064" s="91">
        <v>0</v>
      </c>
      <c r="L2064" s="91">
        <v>0</v>
      </c>
      <c r="M2064" s="91">
        <v>0</v>
      </c>
      <c r="N2064" s="91">
        <f>34016+27380</f>
        <v>61396</v>
      </c>
      <c r="O2064" s="91">
        <v>0</v>
      </c>
      <c r="P2064" s="91">
        <v>0</v>
      </c>
      <c r="Q2064" s="104">
        <f t="shared" si="64"/>
        <v>65189</v>
      </c>
      <c r="R2064" s="95">
        <f t="shared" si="65"/>
        <v>55410.65</v>
      </c>
    </row>
    <row r="2065" spans="1:18" ht="34.049999999999997" customHeight="1" x14ac:dyDescent="0.3">
      <c r="A2065" s="96">
        <v>2054</v>
      </c>
      <c r="B2065" s="91" t="s">
        <v>6685</v>
      </c>
      <c r="C2065" s="91" t="s">
        <v>6730</v>
      </c>
      <c r="D2065" s="91" t="s">
        <v>396</v>
      </c>
      <c r="E2065" s="91">
        <v>1998</v>
      </c>
      <c r="F2065" s="91" t="s">
        <v>19</v>
      </c>
      <c r="G2065" s="91" t="s">
        <v>477</v>
      </c>
      <c r="H2065" s="91" t="s">
        <v>477</v>
      </c>
      <c r="I2065" s="91" t="s">
        <v>32</v>
      </c>
      <c r="J2065" s="91">
        <v>6199</v>
      </c>
      <c r="K2065" s="91">
        <f>6278+1346</f>
        <v>7624</v>
      </c>
      <c r="L2065" s="91">
        <v>0</v>
      </c>
      <c r="M2065" s="91">
        <v>0</v>
      </c>
      <c r="N2065" s="91">
        <v>1793</v>
      </c>
      <c r="O2065" s="91">
        <v>0</v>
      </c>
      <c r="P2065" s="91">
        <v>0</v>
      </c>
      <c r="Q2065" s="104">
        <f t="shared" si="64"/>
        <v>15616</v>
      </c>
      <c r="R2065" s="95">
        <f t="shared" si="65"/>
        <v>13273.6</v>
      </c>
    </row>
    <row r="2066" spans="1:18" ht="34.049999999999997" customHeight="1" x14ac:dyDescent="0.3">
      <c r="A2066" s="90">
        <v>2055</v>
      </c>
      <c r="B2066" s="91" t="s">
        <v>6685</v>
      </c>
      <c r="C2066" s="91" t="s">
        <v>6731</v>
      </c>
      <c r="D2066" s="91" t="s">
        <v>6732</v>
      </c>
      <c r="E2066" s="91">
        <v>1992</v>
      </c>
      <c r="F2066" s="91" t="s">
        <v>19</v>
      </c>
      <c r="G2066" s="91" t="s">
        <v>6845</v>
      </c>
      <c r="H2066" s="91" t="s">
        <v>530</v>
      </c>
      <c r="I2066" s="91" t="s">
        <v>578</v>
      </c>
      <c r="J2066" s="91">
        <v>6199</v>
      </c>
      <c r="K2066" s="91">
        <v>0</v>
      </c>
      <c r="L2066" s="91">
        <v>0</v>
      </c>
      <c r="M2066" s="91">
        <v>0</v>
      </c>
      <c r="N2066" s="91">
        <v>0</v>
      </c>
      <c r="O2066" s="91">
        <v>0</v>
      </c>
      <c r="P2066" s="91">
        <v>0</v>
      </c>
      <c r="Q2066" s="104">
        <f t="shared" si="64"/>
        <v>6199</v>
      </c>
      <c r="R2066" s="95">
        <f t="shared" si="65"/>
        <v>5269.15</v>
      </c>
    </row>
    <row r="2067" spans="1:18" ht="34.049999999999997" customHeight="1" x14ac:dyDescent="0.3">
      <c r="A2067" s="90">
        <v>2056</v>
      </c>
      <c r="B2067" s="91" t="s">
        <v>6685</v>
      </c>
      <c r="C2067" s="91" t="s">
        <v>6733</v>
      </c>
      <c r="D2067" s="91" t="s">
        <v>2870</v>
      </c>
      <c r="E2067" s="91">
        <v>2010</v>
      </c>
      <c r="F2067" s="91" t="s">
        <v>18</v>
      </c>
      <c r="G2067" s="91" t="s">
        <v>2991</v>
      </c>
      <c r="H2067" s="91" t="s">
        <v>3047</v>
      </c>
      <c r="I2067" s="91" t="s">
        <v>1257</v>
      </c>
      <c r="J2067" s="91">
        <v>6199</v>
      </c>
      <c r="K2067" s="91">
        <v>0</v>
      </c>
      <c r="L2067" s="91">
        <v>0</v>
      </c>
      <c r="M2067" s="91">
        <v>0</v>
      </c>
      <c r="N2067" s="91">
        <v>0</v>
      </c>
      <c r="O2067" s="91">
        <v>0</v>
      </c>
      <c r="P2067" s="91">
        <v>0</v>
      </c>
      <c r="Q2067" s="104">
        <f t="shared" si="64"/>
        <v>6199</v>
      </c>
      <c r="R2067" s="95">
        <f t="shared" si="65"/>
        <v>5269.15</v>
      </c>
    </row>
    <row r="2068" spans="1:18" ht="34.049999999999997" customHeight="1" x14ac:dyDescent="0.3">
      <c r="A2068" s="96">
        <v>2057</v>
      </c>
      <c r="B2068" s="91" t="s">
        <v>6685</v>
      </c>
      <c r="C2068" s="91" t="s">
        <v>6734</v>
      </c>
      <c r="D2068" s="91" t="s">
        <v>2868</v>
      </c>
      <c r="E2068" s="91">
        <v>1960</v>
      </c>
      <c r="F2068" s="91" t="s">
        <v>18</v>
      </c>
      <c r="G2068" s="91" t="s">
        <v>2990</v>
      </c>
      <c r="H2068" s="91" t="s">
        <v>1403</v>
      </c>
      <c r="I2068" s="91" t="s">
        <v>1257</v>
      </c>
      <c r="J2068" s="91">
        <v>3793</v>
      </c>
      <c r="K2068" s="91">
        <v>0</v>
      </c>
      <c r="L2068" s="91">
        <v>0</v>
      </c>
      <c r="M2068" s="91">
        <v>0</v>
      </c>
      <c r="N2068" s="91">
        <v>0</v>
      </c>
      <c r="O2068" s="91">
        <v>0</v>
      </c>
      <c r="P2068" s="91">
        <v>0</v>
      </c>
      <c r="Q2068" s="104">
        <f t="shared" si="64"/>
        <v>3793</v>
      </c>
      <c r="R2068" s="95">
        <f t="shared" si="65"/>
        <v>3224.05</v>
      </c>
    </row>
    <row r="2069" spans="1:18" ht="34.049999999999997" customHeight="1" x14ac:dyDescent="0.3">
      <c r="A2069" s="90">
        <v>2058</v>
      </c>
      <c r="B2069" s="91" t="s">
        <v>6685</v>
      </c>
      <c r="C2069" s="91" t="s">
        <v>6735</v>
      </c>
      <c r="D2069" s="91" t="s">
        <v>6736</v>
      </c>
      <c r="E2069" s="91">
        <v>1985</v>
      </c>
      <c r="F2069" s="91" t="s">
        <v>19</v>
      </c>
      <c r="G2069" s="91" t="s">
        <v>6846</v>
      </c>
      <c r="H2069" s="91" t="s">
        <v>6846</v>
      </c>
      <c r="I2069" s="91" t="s">
        <v>540</v>
      </c>
      <c r="J2069" s="91">
        <v>6199</v>
      </c>
      <c r="K2069" s="91">
        <v>2332</v>
      </c>
      <c r="L2069" s="91">
        <v>18406</v>
      </c>
      <c r="M2069" s="91">
        <v>0</v>
      </c>
      <c r="N2069" s="91">
        <v>0</v>
      </c>
      <c r="O2069" s="91">
        <v>0</v>
      </c>
      <c r="P2069" s="91">
        <v>0</v>
      </c>
      <c r="Q2069" s="104">
        <f t="shared" si="64"/>
        <v>26937</v>
      </c>
      <c r="R2069" s="95">
        <f t="shared" si="65"/>
        <v>22896.45</v>
      </c>
    </row>
    <row r="2070" spans="1:18" ht="34.049999999999997" customHeight="1" x14ac:dyDescent="0.3">
      <c r="A2070" s="90">
        <v>2059</v>
      </c>
      <c r="B2070" s="91" t="s">
        <v>6685</v>
      </c>
      <c r="C2070" s="91" t="s">
        <v>6737</v>
      </c>
      <c r="D2070" s="91" t="s">
        <v>5217</v>
      </c>
      <c r="E2070" s="91">
        <v>2025</v>
      </c>
      <c r="F2070" s="91" t="s">
        <v>18</v>
      </c>
      <c r="G2070" s="91" t="s">
        <v>5320</v>
      </c>
      <c r="H2070" s="91" t="s">
        <v>5370</v>
      </c>
      <c r="I2070" s="91" t="s">
        <v>5399</v>
      </c>
      <c r="J2070" s="91">
        <v>3793</v>
      </c>
      <c r="K2070" s="91">
        <f>6278+4484+1346</f>
        <v>12108</v>
      </c>
      <c r="L2070" s="91">
        <v>0</v>
      </c>
      <c r="M2070" s="91">
        <v>0</v>
      </c>
      <c r="N2070" s="91">
        <v>3148</v>
      </c>
      <c r="O2070" s="91">
        <v>0</v>
      </c>
      <c r="P2070" s="91">
        <v>0</v>
      </c>
      <c r="Q2070" s="104">
        <f t="shared" si="64"/>
        <v>19049</v>
      </c>
      <c r="R2070" s="95">
        <f t="shared" si="65"/>
        <v>16191.65</v>
      </c>
    </row>
    <row r="2071" spans="1:18" ht="34.049999999999997" customHeight="1" x14ac:dyDescent="0.3">
      <c r="A2071" s="96">
        <v>2060</v>
      </c>
      <c r="B2071" s="91" t="s">
        <v>6685</v>
      </c>
      <c r="C2071" s="91" t="s">
        <v>6738</v>
      </c>
      <c r="D2071" s="91" t="s">
        <v>6739</v>
      </c>
      <c r="E2071" s="91">
        <v>2024</v>
      </c>
      <c r="F2071" s="91" t="s">
        <v>18</v>
      </c>
      <c r="G2071" s="91" t="s">
        <v>6847</v>
      </c>
      <c r="H2071" s="91" t="s">
        <v>6895</v>
      </c>
      <c r="I2071" s="91" t="s">
        <v>826</v>
      </c>
      <c r="J2071" s="91">
        <v>6199</v>
      </c>
      <c r="K2071" s="91">
        <v>0</v>
      </c>
      <c r="L2071" s="91">
        <v>0</v>
      </c>
      <c r="M2071" s="91">
        <v>0</v>
      </c>
      <c r="N2071" s="91">
        <v>0</v>
      </c>
      <c r="O2071" s="91">
        <v>0</v>
      </c>
      <c r="P2071" s="91">
        <v>0</v>
      </c>
      <c r="Q2071" s="104">
        <f t="shared" si="64"/>
        <v>6199</v>
      </c>
      <c r="R2071" s="95">
        <f t="shared" si="65"/>
        <v>5269.15</v>
      </c>
    </row>
    <row r="2072" spans="1:18" ht="34.049999999999997" customHeight="1" x14ac:dyDescent="0.3">
      <c r="A2072" s="90">
        <v>2061</v>
      </c>
      <c r="B2072" s="91" t="s">
        <v>6685</v>
      </c>
      <c r="C2072" s="91" t="s">
        <v>6740</v>
      </c>
      <c r="D2072" s="91" t="s">
        <v>6741</v>
      </c>
      <c r="E2072" s="91">
        <v>1995</v>
      </c>
      <c r="F2072" s="91" t="s">
        <v>19</v>
      </c>
      <c r="G2072" s="91" t="s">
        <v>6848</v>
      </c>
      <c r="H2072" s="91" t="s">
        <v>6848</v>
      </c>
      <c r="I2072" s="91" t="s">
        <v>6922</v>
      </c>
      <c r="J2072" s="91">
        <v>6199</v>
      </c>
      <c r="K2072" s="91">
        <v>0</v>
      </c>
      <c r="L2072" s="91">
        <v>0</v>
      </c>
      <c r="M2072" s="91">
        <v>0</v>
      </c>
      <c r="N2072" s="91">
        <v>0</v>
      </c>
      <c r="O2072" s="91">
        <v>0</v>
      </c>
      <c r="P2072" s="91">
        <v>0</v>
      </c>
      <c r="Q2072" s="104">
        <f t="shared" si="64"/>
        <v>6199</v>
      </c>
      <c r="R2072" s="95">
        <f t="shared" si="65"/>
        <v>5269.15</v>
      </c>
    </row>
    <row r="2073" spans="1:18" ht="34.049999999999997" customHeight="1" x14ac:dyDescent="0.3">
      <c r="A2073" s="90">
        <v>2062</v>
      </c>
      <c r="B2073" s="91" t="s">
        <v>6685</v>
      </c>
      <c r="C2073" s="91" t="s">
        <v>6742</v>
      </c>
      <c r="D2073" s="91" t="s">
        <v>6743</v>
      </c>
      <c r="E2073" s="91">
        <v>1994</v>
      </c>
      <c r="F2073" s="91" t="s">
        <v>19</v>
      </c>
      <c r="G2073" s="91" t="s">
        <v>6849</v>
      </c>
      <c r="H2073" s="91" t="s">
        <v>6849</v>
      </c>
      <c r="I2073" s="91" t="s">
        <v>293</v>
      </c>
      <c r="J2073" s="91">
        <v>6199</v>
      </c>
      <c r="K2073" s="91">
        <v>0</v>
      </c>
      <c r="L2073" s="91">
        <v>0</v>
      </c>
      <c r="M2073" s="91">
        <v>0</v>
      </c>
      <c r="N2073" s="91">
        <v>0</v>
      </c>
      <c r="O2073" s="91">
        <v>0</v>
      </c>
      <c r="P2073" s="91">
        <v>0</v>
      </c>
      <c r="Q2073" s="104">
        <f t="shared" si="64"/>
        <v>6199</v>
      </c>
      <c r="R2073" s="95">
        <f t="shared" si="65"/>
        <v>5269.15</v>
      </c>
    </row>
    <row r="2074" spans="1:18" ht="34.049999999999997" customHeight="1" x14ac:dyDescent="0.3">
      <c r="A2074" s="96">
        <v>2063</v>
      </c>
      <c r="B2074" s="91" t="s">
        <v>6685</v>
      </c>
      <c r="C2074" s="91" t="s">
        <v>6744</v>
      </c>
      <c r="D2074" s="91" t="s">
        <v>6745</v>
      </c>
      <c r="E2074" s="91">
        <v>2014</v>
      </c>
      <c r="F2074" s="91" t="s">
        <v>19</v>
      </c>
      <c r="G2074" s="91" t="s">
        <v>6850</v>
      </c>
      <c r="H2074" s="91" t="s">
        <v>6896</v>
      </c>
      <c r="I2074" s="91" t="s">
        <v>300</v>
      </c>
      <c r="J2074" s="91">
        <v>6199</v>
      </c>
      <c r="K2074" s="91">
        <f>6278+4484+1346</f>
        <v>12108</v>
      </c>
      <c r="L2074" s="91">
        <v>0</v>
      </c>
      <c r="M2074" s="91">
        <v>0</v>
      </c>
      <c r="N2074" s="91">
        <v>3148</v>
      </c>
      <c r="O2074" s="91">
        <v>0</v>
      </c>
      <c r="P2074" s="91">
        <v>0</v>
      </c>
      <c r="Q2074" s="104">
        <f t="shared" si="64"/>
        <v>21455</v>
      </c>
      <c r="R2074" s="95">
        <f t="shared" si="65"/>
        <v>18236.75</v>
      </c>
    </row>
    <row r="2075" spans="1:18" ht="34.049999999999997" customHeight="1" x14ac:dyDescent="0.3">
      <c r="A2075" s="90">
        <v>2064</v>
      </c>
      <c r="B2075" s="91" t="s">
        <v>6685</v>
      </c>
      <c r="C2075" s="91" t="s">
        <v>6746</v>
      </c>
      <c r="D2075" s="91" t="s">
        <v>6747</v>
      </c>
      <c r="E2075" s="91">
        <v>1978</v>
      </c>
      <c r="F2075" s="91" t="s">
        <v>18</v>
      </c>
      <c r="G2075" s="91" t="s">
        <v>6851</v>
      </c>
      <c r="H2075" s="91" t="s">
        <v>6851</v>
      </c>
      <c r="I2075" s="91" t="s">
        <v>1279</v>
      </c>
      <c r="J2075" s="91">
        <v>6199</v>
      </c>
      <c r="K2075" s="91">
        <f>6278+4484+1346+2332+2332+2332+2332+2332+2332+4484+6995+3000+6995+6995+6995+6995+2332</f>
        <v>70891</v>
      </c>
      <c r="L2075" s="91">
        <v>0</v>
      </c>
      <c r="M2075" s="91">
        <v>0</v>
      </c>
      <c r="N2075" s="91">
        <v>1793</v>
      </c>
      <c r="O2075" s="91">
        <v>0</v>
      </c>
      <c r="P2075" s="91">
        <v>0</v>
      </c>
      <c r="Q2075" s="104">
        <f t="shared" si="64"/>
        <v>78883</v>
      </c>
      <c r="R2075" s="95">
        <f t="shared" si="65"/>
        <v>67050.55</v>
      </c>
    </row>
    <row r="2076" spans="1:18" ht="34.049999999999997" customHeight="1" x14ac:dyDescent="0.3">
      <c r="A2076" s="90">
        <v>2065</v>
      </c>
      <c r="B2076" s="91" t="s">
        <v>6685</v>
      </c>
      <c r="C2076" s="91" t="s">
        <v>6748</v>
      </c>
      <c r="D2076" s="91" t="s">
        <v>6749</v>
      </c>
      <c r="E2076" s="91">
        <v>2024</v>
      </c>
      <c r="F2076" s="91" t="s">
        <v>18</v>
      </c>
      <c r="G2076" s="91" t="s">
        <v>6852</v>
      </c>
      <c r="H2076" s="91" t="s">
        <v>6897</v>
      </c>
      <c r="I2076" s="91" t="s">
        <v>6923</v>
      </c>
      <c r="J2076" s="91">
        <v>6199</v>
      </c>
      <c r="K2076" s="91">
        <v>0</v>
      </c>
      <c r="L2076" s="91">
        <v>0</v>
      </c>
      <c r="M2076" s="91">
        <v>0</v>
      </c>
      <c r="N2076" s="91">
        <v>0</v>
      </c>
      <c r="O2076" s="91">
        <v>0</v>
      </c>
      <c r="P2076" s="91">
        <v>0</v>
      </c>
      <c r="Q2076" s="104">
        <f t="shared" si="64"/>
        <v>6199</v>
      </c>
      <c r="R2076" s="95">
        <f t="shared" si="65"/>
        <v>5269.15</v>
      </c>
    </row>
    <row r="2077" spans="1:18" ht="34.049999999999997" customHeight="1" x14ac:dyDescent="0.3">
      <c r="A2077" s="96">
        <v>2066</v>
      </c>
      <c r="B2077" s="91" t="s">
        <v>6685</v>
      </c>
      <c r="C2077" s="91" t="s">
        <v>6750</v>
      </c>
      <c r="D2077" s="91" t="s">
        <v>6751</v>
      </c>
      <c r="E2077" s="91">
        <v>2012</v>
      </c>
      <c r="F2077" s="91" t="s">
        <v>18</v>
      </c>
      <c r="G2077" s="91" t="s">
        <v>6853</v>
      </c>
      <c r="H2077" s="91" t="s">
        <v>6898</v>
      </c>
      <c r="I2077" s="91" t="s">
        <v>6924</v>
      </c>
      <c r="J2077" s="91">
        <v>6199</v>
      </c>
      <c r="K2077" s="91">
        <f>6278+4484+1346+2332+2332+2332+2332+2332+6995+6995+2332+6995+4484+2332</f>
        <v>53901</v>
      </c>
      <c r="L2077" s="91">
        <v>0</v>
      </c>
      <c r="M2077" s="91">
        <v>0</v>
      </c>
      <c r="N2077" s="91">
        <f>3148+4053+1178+2088</f>
        <v>10467</v>
      </c>
      <c r="O2077" s="91">
        <v>0</v>
      </c>
      <c r="P2077" s="91">
        <f>60+1080+720+660</f>
        <v>2520</v>
      </c>
      <c r="Q2077" s="104">
        <f t="shared" si="64"/>
        <v>73087</v>
      </c>
      <c r="R2077" s="95">
        <f t="shared" si="65"/>
        <v>62123.95</v>
      </c>
    </row>
    <row r="2078" spans="1:18" ht="34.049999999999997" customHeight="1" x14ac:dyDescent="0.3">
      <c r="A2078" s="90">
        <v>2067</v>
      </c>
      <c r="B2078" s="91" t="s">
        <v>6685</v>
      </c>
      <c r="C2078" s="91" t="s">
        <v>6752</v>
      </c>
      <c r="D2078" s="91" t="s">
        <v>6753</v>
      </c>
      <c r="E2078" s="91">
        <v>2023</v>
      </c>
      <c r="F2078" s="91" t="s">
        <v>19</v>
      </c>
      <c r="G2078" s="91" t="s">
        <v>6854</v>
      </c>
      <c r="H2078" s="91" t="s">
        <v>6899</v>
      </c>
      <c r="I2078" s="91" t="s">
        <v>6925</v>
      </c>
      <c r="J2078" s="91">
        <v>6199</v>
      </c>
      <c r="K2078" s="91">
        <v>0</v>
      </c>
      <c r="L2078" s="91">
        <v>0</v>
      </c>
      <c r="M2078" s="91">
        <v>0</v>
      </c>
      <c r="N2078" s="91">
        <v>0</v>
      </c>
      <c r="O2078" s="91">
        <v>0</v>
      </c>
      <c r="P2078" s="91">
        <v>0</v>
      </c>
      <c r="Q2078" s="104">
        <f t="shared" si="64"/>
        <v>6199</v>
      </c>
      <c r="R2078" s="95">
        <f t="shared" si="65"/>
        <v>5269.15</v>
      </c>
    </row>
    <row r="2079" spans="1:18" ht="34.049999999999997" customHeight="1" x14ac:dyDescent="0.3">
      <c r="A2079" s="90">
        <v>2068</v>
      </c>
      <c r="B2079" s="91" t="s">
        <v>6685</v>
      </c>
      <c r="C2079" s="91" t="s">
        <v>6754</v>
      </c>
      <c r="D2079" s="91" t="s">
        <v>6755</v>
      </c>
      <c r="E2079" s="91">
        <v>2022</v>
      </c>
      <c r="F2079" s="91" t="s">
        <v>18</v>
      </c>
      <c r="G2079" s="91" t="s">
        <v>6855</v>
      </c>
      <c r="H2079" s="91" t="s">
        <v>6900</v>
      </c>
      <c r="I2079" s="91" t="s">
        <v>6926</v>
      </c>
      <c r="J2079" s="91">
        <v>6199</v>
      </c>
      <c r="K2079" s="91">
        <f>6278+4484+1346+4484+2332+2332+2332+2332+2332+6995+6995+2332+6995+2332</f>
        <v>53901</v>
      </c>
      <c r="L2079" s="91">
        <v>0</v>
      </c>
      <c r="M2079" s="91">
        <v>0</v>
      </c>
      <c r="N2079" s="91">
        <f>3148+4053+2088+1178+2222</f>
        <v>12689</v>
      </c>
      <c r="O2079" s="91">
        <v>0</v>
      </c>
      <c r="P2079" s="91">
        <f>540+720+1080+1200</f>
        <v>3540</v>
      </c>
      <c r="Q2079" s="104">
        <f t="shared" si="64"/>
        <v>76329</v>
      </c>
      <c r="R2079" s="95">
        <f t="shared" si="65"/>
        <v>64879.65</v>
      </c>
    </row>
    <row r="2080" spans="1:18" ht="34.049999999999997" customHeight="1" x14ac:dyDescent="0.3">
      <c r="A2080" s="96">
        <v>2069</v>
      </c>
      <c r="B2080" s="91" t="s">
        <v>6685</v>
      </c>
      <c r="C2080" s="91" t="s">
        <v>6756</v>
      </c>
      <c r="D2080" s="91" t="s">
        <v>6757</v>
      </c>
      <c r="E2080" s="91">
        <v>1990</v>
      </c>
      <c r="F2080" s="91" t="s">
        <v>19</v>
      </c>
      <c r="G2080" s="91" t="s">
        <v>6856</v>
      </c>
      <c r="H2080" s="91" t="s">
        <v>6856</v>
      </c>
      <c r="I2080" s="91" t="s">
        <v>293</v>
      </c>
      <c r="J2080" s="91">
        <v>6199</v>
      </c>
      <c r="K2080" s="91">
        <f>2243+2332</f>
        <v>4575</v>
      </c>
      <c r="L2080" s="91">
        <v>17279</v>
      </c>
      <c r="M2080" s="91">
        <v>0</v>
      </c>
      <c r="N2080" s="91">
        <v>0</v>
      </c>
      <c r="O2080" s="91">
        <v>0</v>
      </c>
      <c r="P2080" s="91">
        <v>0</v>
      </c>
      <c r="Q2080" s="104">
        <f t="shared" si="64"/>
        <v>28053</v>
      </c>
      <c r="R2080" s="95">
        <f t="shared" si="65"/>
        <v>23845.05</v>
      </c>
    </row>
    <row r="2081" spans="1:23" ht="34.049999999999997" customHeight="1" x14ac:dyDescent="0.3">
      <c r="A2081" s="90">
        <v>2070</v>
      </c>
      <c r="B2081" s="91" t="s">
        <v>6685</v>
      </c>
      <c r="C2081" s="91" t="s">
        <v>6758</v>
      </c>
      <c r="D2081" s="91" t="s">
        <v>6759</v>
      </c>
      <c r="E2081" s="91">
        <v>2021</v>
      </c>
      <c r="F2081" s="91" t="s">
        <v>18</v>
      </c>
      <c r="G2081" s="91" t="s">
        <v>6857</v>
      </c>
      <c r="H2081" s="91" t="s">
        <v>6901</v>
      </c>
      <c r="I2081" s="91" t="s">
        <v>6927</v>
      </c>
      <c r="J2081" s="91">
        <v>6199</v>
      </c>
      <c r="K2081" s="91">
        <v>0</v>
      </c>
      <c r="L2081" s="91">
        <v>0</v>
      </c>
      <c r="M2081" s="91">
        <v>0</v>
      </c>
      <c r="N2081" s="91">
        <v>0</v>
      </c>
      <c r="O2081" s="91">
        <v>0</v>
      </c>
      <c r="P2081" s="91">
        <v>0</v>
      </c>
      <c r="Q2081" s="104">
        <f t="shared" si="64"/>
        <v>6199</v>
      </c>
      <c r="R2081" s="95">
        <f t="shared" si="65"/>
        <v>5269.15</v>
      </c>
    </row>
    <row r="2082" spans="1:23" ht="34.049999999999997" customHeight="1" x14ac:dyDescent="0.3">
      <c r="A2082" s="90">
        <v>2071</v>
      </c>
      <c r="B2082" s="91" t="s">
        <v>6685</v>
      </c>
      <c r="C2082" s="91" t="s">
        <v>6760</v>
      </c>
      <c r="D2082" s="91" t="s">
        <v>6761</v>
      </c>
      <c r="E2082" s="91">
        <v>1979</v>
      </c>
      <c r="F2082" s="91" t="s">
        <v>18</v>
      </c>
      <c r="G2082" s="91" t="s">
        <v>6858</v>
      </c>
      <c r="H2082" s="91" t="s">
        <v>6858</v>
      </c>
      <c r="I2082" s="91" t="s">
        <v>1050</v>
      </c>
      <c r="J2082" s="91">
        <v>6199</v>
      </c>
      <c r="K2082" s="91">
        <v>0</v>
      </c>
      <c r="L2082" s="91">
        <v>0</v>
      </c>
      <c r="M2082" s="91">
        <v>0</v>
      </c>
      <c r="N2082" s="91">
        <v>15443</v>
      </c>
      <c r="O2082" s="91">
        <v>0</v>
      </c>
      <c r="P2082" s="91">
        <v>0</v>
      </c>
      <c r="Q2082" s="104">
        <f t="shared" si="64"/>
        <v>21642</v>
      </c>
      <c r="R2082" s="95">
        <f t="shared" si="65"/>
        <v>18395.7</v>
      </c>
    </row>
    <row r="2083" spans="1:23" ht="34.049999999999997" customHeight="1" x14ac:dyDescent="0.3">
      <c r="A2083" s="96">
        <v>2072</v>
      </c>
      <c r="B2083" s="91" t="s">
        <v>6685</v>
      </c>
      <c r="C2083" s="91" t="s">
        <v>6762</v>
      </c>
      <c r="D2083" s="93">
        <v>10096752</v>
      </c>
      <c r="E2083" s="91">
        <v>1968</v>
      </c>
      <c r="F2083" s="91" t="s">
        <v>19</v>
      </c>
      <c r="G2083" s="91" t="s">
        <v>4781</v>
      </c>
      <c r="H2083" s="91" t="s">
        <v>4781</v>
      </c>
      <c r="I2083" s="91" t="s">
        <v>268</v>
      </c>
      <c r="J2083" s="91">
        <v>3582</v>
      </c>
      <c r="K2083" s="91">
        <v>0</v>
      </c>
      <c r="L2083" s="91">
        <v>0</v>
      </c>
      <c r="M2083" s="91">
        <v>0</v>
      </c>
      <c r="N2083" s="91">
        <v>0</v>
      </c>
      <c r="O2083" s="91">
        <v>0</v>
      </c>
      <c r="P2083" s="91">
        <v>0</v>
      </c>
      <c r="Q2083" s="104">
        <f t="shared" si="64"/>
        <v>3582</v>
      </c>
      <c r="R2083" s="95">
        <f t="shared" si="65"/>
        <v>3044.7</v>
      </c>
    </row>
    <row r="2084" spans="1:23" ht="34.049999999999997" customHeight="1" x14ac:dyDescent="0.3">
      <c r="A2084" s="90">
        <v>2073</v>
      </c>
      <c r="B2084" s="98" t="s">
        <v>6685</v>
      </c>
      <c r="C2084" s="98" t="s">
        <v>6763</v>
      </c>
      <c r="D2084" s="98" t="s">
        <v>6764</v>
      </c>
      <c r="E2084" s="98">
        <v>1987</v>
      </c>
      <c r="F2084" s="98" t="s">
        <v>19</v>
      </c>
      <c r="G2084" s="98" t="s">
        <v>6859</v>
      </c>
      <c r="H2084" s="98" t="s">
        <v>6859</v>
      </c>
      <c r="I2084" s="98" t="s">
        <v>1702</v>
      </c>
      <c r="J2084" s="98">
        <v>6199</v>
      </c>
      <c r="K2084" s="98">
        <v>0</v>
      </c>
      <c r="L2084" s="98">
        <v>0</v>
      </c>
      <c r="M2084" s="98">
        <v>0</v>
      </c>
      <c r="N2084" s="98">
        <v>0</v>
      </c>
      <c r="O2084" s="98">
        <v>0</v>
      </c>
      <c r="P2084" s="98">
        <v>0</v>
      </c>
      <c r="Q2084" s="106">
        <f t="shared" si="64"/>
        <v>6199</v>
      </c>
      <c r="R2084" s="95">
        <f t="shared" si="65"/>
        <v>5269.15</v>
      </c>
      <c r="S2084" s="41"/>
      <c r="T2084" s="41"/>
      <c r="U2084" s="41"/>
      <c r="V2084" s="41"/>
      <c r="W2084" s="41"/>
    </row>
    <row r="2085" spans="1:23" ht="34.049999999999997" customHeight="1" x14ac:dyDescent="0.3">
      <c r="A2085" s="90">
        <v>2074</v>
      </c>
      <c r="B2085" s="91" t="s">
        <v>6685</v>
      </c>
      <c r="C2085" s="91" t="s">
        <v>6765</v>
      </c>
      <c r="D2085" s="91" t="s">
        <v>6766</v>
      </c>
      <c r="E2085" s="91">
        <v>2016</v>
      </c>
      <c r="F2085" s="91" t="s">
        <v>18</v>
      </c>
      <c r="G2085" s="91" t="s">
        <v>6860</v>
      </c>
      <c r="H2085" s="91" t="s">
        <v>2098</v>
      </c>
      <c r="I2085" s="91" t="s">
        <v>6928</v>
      </c>
      <c r="J2085" s="91">
        <v>6199</v>
      </c>
      <c r="K2085" s="91">
        <v>0</v>
      </c>
      <c r="L2085" s="91">
        <v>0</v>
      </c>
      <c r="M2085" s="91">
        <v>0</v>
      </c>
      <c r="N2085" s="91">
        <v>0</v>
      </c>
      <c r="O2085" s="91">
        <v>0</v>
      </c>
      <c r="P2085" s="91">
        <v>0</v>
      </c>
      <c r="Q2085" s="104">
        <f t="shared" si="64"/>
        <v>6199</v>
      </c>
      <c r="R2085" s="95">
        <f t="shared" si="65"/>
        <v>5269.15</v>
      </c>
    </row>
    <row r="2086" spans="1:23" ht="34.049999999999997" customHeight="1" x14ac:dyDescent="0.3">
      <c r="A2086" s="96">
        <v>2075</v>
      </c>
      <c r="B2086" s="91" t="s">
        <v>6685</v>
      </c>
      <c r="C2086" s="91" t="s">
        <v>6767</v>
      </c>
      <c r="D2086" s="93">
        <v>10096752</v>
      </c>
      <c r="E2086" s="91">
        <v>1968</v>
      </c>
      <c r="F2086" s="91" t="s">
        <v>19</v>
      </c>
      <c r="G2086" s="91" t="s">
        <v>4781</v>
      </c>
      <c r="H2086" s="91" t="s">
        <v>4781</v>
      </c>
      <c r="I2086" s="91" t="s">
        <v>268</v>
      </c>
      <c r="J2086" s="91">
        <v>3793</v>
      </c>
      <c r="K2086" s="91">
        <v>0</v>
      </c>
      <c r="L2086" s="91">
        <v>0</v>
      </c>
      <c r="M2086" s="91">
        <v>0</v>
      </c>
      <c r="N2086" s="91">
        <v>0</v>
      </c>
      <c r="O2086" s="91">
        <v>0</v>
      </c>
      <c r="P2086" s="91">
        <v>0</v>
      </c>
      <c r="Q2086" s="104">
        <f t="shared" si="64"/>
        <v>3793</v>
      </c>
      <c r="R2086" s="95">
        <f t="shared" si="65"/>
        <v>3224.05</v>
      </c>
    </row>
    <row r="2087" spans="1:23" ht="34.049999999999997" customHeight="1" x14ac:dyDescent="0.3">
      <c r="A2087" s="90">
        <v>2076</v>
      </c>
      <c r="B2087" s="98" t="s">
        <v>6685</v>
      </c>
      <c r="C2087" s="98" t="s">
        <v>6768</v>
      </c>
      <c r="D2087" s="98" t="s">
        <v>6769</v>
      </c>
      <c r="E2087" s="98">
        <v>1989</v>
      </c>
      <c r="F2087" s="98" t="s">
        <v>19</v>
      </c>
      <c r="G2087" s="98" t="s">
        <v>6861</v>
      </c>
      <c r="H2087" s="98" t="s">
        <v>6902</v>
      </c>
      <c r="I2087" s="98" t="s">
        <v>6929</v>
      </c>
      <c r="J2087" s="98">
        <v>6199</v>
      </c>
      <c r="K2087" s="98">
        <v>0</v>
      </c>
      <c r="L2087" s="98">
        <v>0</v>
      </c>
      <c r="M2087" s="98">
        <v>0</v>
      </c>
      <c r="N2087" s="98">
        <v>0</v>
      </c>
      <c r="O2087" s="98">
        <v>0</v>
      </c>
      <c r="P2087" s="98">
        <v>0</v>
      </c>
      <c r="Q2087" s="104">
        <f t="shared" si="64"/>
        <v>6199</v>
      </c>
      <c r="R2087" s="95">
        <f t="shared" si="65"/>
        <v>5269.15</v>
      </c>
      <c r="S2087" s="41"/>
      <c r="T2087" s="41"/>
      <c r="U2087" s="41"/>
      <c r="V2087" s="41"/>
      <c r="W2087" s="41"/>
    </row>
    <row r="2088" spans="1:23" ht="34.049999999999997" customHeight="1" x14ac:dyDescent="0.3">
      <c r="A2088" s="90">
        <v>2077</v>
      </c>
      <c r="B2088" s="91" t="s">
        <v>6685</v>
      </c>
      <c r="C2088" s="91" t="s">
        <v>6770</v>
      </c>
      <c r="D2088" s="91" t="s">
        <v>6771</v>
      </c>
      <c r="E2088" s="91">
        <v>2013</v>
      </c>
      <c r="F2088" s="91" t="s">
        <v>18</v>
      </c>
      <c r="G2088" s="91" t="s">
        <v>6862</v>
      </c>
      <c r="H2088" s="91" t="s">
        <v>6903</v>
      </c>
      <c r="I2088" s="91" t="s">
        <v>1050</v>
      </c>
      <c r="J2088" s="91">
        <v>6199</v>
      </c>
      <c r="K2088" s="91">
        <f>6278+4484+1346+4484+2332+2332+1166+3000+3000+2332+2332+2332+2332+6995+6995+2332+6995</f>
        <v>61067</v>
      </c>
      <c r="L2088" s="91">
        <v>0</v>
      </c>
      <c r="M2088" s="91">
        <v>0</v>
      </c>
      <c r="N2088" s="91">
        <v>3148</v>
      </c>
      <c r="O2088" s="91">
        <v>0</v>
      </c>
      <c r="P2088" s="91">
        <v>0</v>
      </c>
      <c r="Q2088" s="104">
        <f t="shared" si="64"/>
        <v>70414</v>
      </c>
      <c r="R2088" s="95">
        <f t="shared" si="65"/>
        <v>59851.9</v>
      </c>
    </row>
    <row r="2089" spans="1:23" ht="34.049999999999997" customHeight="1" x14ac:dyDescent="0.3">
      <c r="A2089" s="96">
        <v>2078</v>
      </c>
      <c r="B2089" s="91" t="s">
        <v>6685</v>
      </c>
      <c r="C2089" s="91" t="s">
        <v>6772</v>
      </c>
      <c r="D2089" s="91" t="s">
        <v>6773</v>
      </c>
      <c r="E2089" s="91">
        <v>1981</v>
      </c>
      <c r="F2089" s="91" t="s">
        <v>19</v>
      </c>
      <c r="G2089" s="91" t="s">
        <v>6863</v>
      </c>
      <c r="H2089" s="91" t="s">
        <v>6863</v>
      </c>
      <c r="I2089" s="91" t="s">
        <v>6930</v>
      </c>
      <c r="J2089" s="91">
        <v>6199</v>
      </c>
      <c r="K2089" s="91">
        <v>0</v>
      </c>
      <c r="L2089" s="91">
        <v>0</v>
      </c>
      <c r="M2089" s="91">
        <v>0</v>
      </c>
      <c r="N2089" s="91">
        <v>0</v>
      </c>
      <c r="O2089" s="91">
        <v>0</v>
      </c>
      <c r="P2089" s="91">
        <v>0</v>
      </c>
      <c r="Q2089" s="104">
        <f t="shared" si="64"/>
        <v>6199</v>
      </c>
      <c r="R2089" s="95">
        <f t="shared" si="65"/>
        <v>5269.15</v>
      </c>
    </row>
    <row r="2090" spans="1:23" ht="34.049999999999997" customHeight="1" x14ac:dyDescent="0.3">
      <c r="A2090" s="90">
        <v>2079</v>
      </c>
      <c r="B2090" s="91" t="s">
        <v>6685</v>
      </c>
      <c r="C2090" s="91" t="s">
        <v>6774</v>
      </c>
      <c r="D2090" s="91" t="s">
        <v>6775</v>
      </c>
      <c r="E2090" s="91">
        <v>1987</v>
      </c>
      <c r="F2090" s="91" t="s">
        <v>18</v>
      </c>
      <c r="G2090" s="91" t="s">
        <v>6864</v>
      </c>
      <c r="H2090" s="91" t="s">
        <v>6864</v>
      </c>
      <c r="I2090" s="91" t="s">
        <v>6931</v>
      </c>
      <c r="J2090" s="91">
        <v>6199</v>
      </c>
      <c r="K2090" s="91">
        <v>0</v>
      </c>
      <c r="L2090" s="91">
        <v>0</v>
      </c>
      <c r="M2090" s="91">
        <v>0</v>
      </c>
      <c r="N2090" s="91">
        <v>0</v>
      </c>
      <c r="O2090" s="91">
        <v>0</v>
      </c>
      <c r="P2090" s="91">
        <v>0</v>
      </c>
      <c r="Q2090" s="104">
        <f t="shared" si="64"/>
        <v>6199</v>
      </c>
      <c r="R2090" s="95">
        <f t="shared" si="65"/>
        <v>5269.15</v>
      </c>
    </row>
    <row r="2091" spans="1:23" ht="34.049999999999997" customHeight="1" x14ac:dyDescent="0.3">
      <c r="A2091" s="90">
        <v>2080</v>
      </c>
      <c r="B2091" s="91" t="s">
        <v>6685</v>
      </c>
      <c r="C2091" s="91" t="s">
        <v>6776</v>
      </c>
      <c r="D2091" s="91" t="s">
        <v>6777</v>
      </c>
      <c r="E2091" s="91">
        <v>1970</v>
      </c>
      <c r="F2091" s="91" t="s">
        <v>19</v>
      </c>
      <c r="G2091" s="91" t="s">
        <v>6865</v>
      </c>
      <c r="H2091" s="91" t="s">
        <v>6904</v>
      </c>
      <c r="I2091" s="91" t="s">
        <v>6932</v>
      </c>
      <c r="J2091" s="91">
        <v>6199</v>
      </c>
      <c r="K2091" s="91">
        <v>0</v>
      </c>
      <c r="L2091" s="91">
        <v>0</v>
      </c>
      <c r="M2091" s="91">
        <v>0</v>
      </c>
      <c r="N2091" s="91">
        <v>0</v>
      </c>
      <c r="O2091" s="91">
        <v>0</v>
      </c>
      <c r="P2091" s="91">
        <v>0</v>
      </c>
      <c r="Q2091" s="104">
        <f t="shared" si="64"/>
        <v>6199</v>
      </c>
      <c r="R2091" s="95">
        <f t="shared" si="65"/>
        <v>5269.15</v>
      </c>
    </row>
    <row r="2092" spans="1:23" ht="34.049999999999997" customHeight="1" x14ac:dyDescent="0.3">
      <c r="A2092" s="96">
        <v>2081</v>
      </c>
      <c r="B2092" s="91" t="s">
        <v>6685</v>
      </c>
      <c r="C2092" s="91" t="s">
        <v>6778</v>
      </c>
      <c r="D2092" s="91" t="s">
        <v>6779</v>
      </c>
      <c r="E2092" s="91">
        <v>2000</v>
      </c>
      <c r="F2092" s="91" t="s">
        <v>19</v>
      </c>
      <c r="G2092" s="91" t="s">
        <v>6866</v>
      </c>
      <c r="H2092" s="91" t="s">
        <v>6866</v>
      </c>
      <c r="I2092" s="91" t="s">
        <v>1261</v>
      </c>
      <c r="J2092" s="91">
        <v>6199</v>
      </c>
      <c r="K2092" s="91">
        <f>3252+6278+4484</f>
        <v>14014</v>
      </c>
      <c r="L2092" s="91">
        <v>17279</v>
      </c>
      <c r="M2092" s="91">
        <v>0</v>
      </c>
      <c r="N2092" s="91">
        <v>1793</v>
      </c>
      <c r="O2092" s="91">
        <v>0</v>
      </c>
      <c r="P2092" s="91">
        <v>0</v>
      </c>
      <c r="Q2092" s="104">
        <f t="shared" si="64"/>
        <v>39285</v>
      </c>
      <c r="R2092" s="95">
        <f t="shared" si="65"/>
        <v>33392.25</v>
      </c>
    </row>
    <row r="2093" spans="1:23" ht="34.049999999999997" customHeight="1" x14ac:dyDescent="0.3">
      <c r="A2093" s="90">
        <v>2082</v>
      </c>
      <c r="B2093" s="98" t="s">
        <v>6685</v>
      </c>
      <c r="C2093" s="98" t="s">
        <v>6780</v>
      </c>
      <c r="D2093" s="98" t="s">
        <v>4313</v>
      </c>
      <c r="E2093" s="98">
        <v>1994</v>
      </c>
      <c r="F2093" s="98" t="s">
        <v>19</v>
      </c>
      <c r="G2093" s="98" t="s">
        <v>4370</v>
      </c>
      <c r="H2093" s="98" t="s">
        <v>4391</v>
      </c>
      <c r="I2093" s="98" t="s">
        <v>300</v>
      </c>
      <c r="J2093" s="98">
        <v>3793</v>
      </c>
      <c r="K2093" s="98">
        <v>0</v>
      </c>
      <c r="L2093" s="98">
        <v>0</v>
      </c>
      <c r="M2093" s="98">
        <v>0</v>
      </c>
      <c r="N2093" s="98">
        <v>0</v>
      </c>
      <c r="O2093" s="98">
        <v>0</v>
      </c>
      <c r="P2093" s="98">
        <v>0</v>
      </c>
      <c r="Q2093" s="106">
        <f t="shared" si="64"/>
        <v>3793</v>
      </c>
      <c r="R2093" s="95">
        <f t="shared" si="65"/>
        <v>3224.05</v>
      </c>
      <c r="S2093" s="41"/>
      <c r="T2093" s="41"/>
      <c r="U2093" s="41"/>
      <c r="V2093" s="41"/>
      <c r="W2093" s="41"/>
    </row>
    <row r="2094" spans="1:23" ht="34.049999999999997" customHeight="1" x14ac:dyDescent="0.3">
      <c r="A2094" s="90">
        <v>2083</v>
      </c>
      <c r="B2094" s="91" t="s">
        <v>6685</v>
      </c>
      <c r="C2094" s="91" t="s">
        <v>6781</v>
      </c>
      <c r="D2094" s="91" t="s">
        <v>1137</v>
      </c>
      <c r="E2094" s="91">
        <v>2021</v>
      </c>
      <c r="F2094" s="91" t="s">
        <v>18</v>
      </c>
      <c r="G2094" s="91" t="s">
        <v>1195</v>
      </c>
      <c r="H2094" s="91" t="s">
        <v>1237</v>
      </c>
      <c r="I2094" s="91" t="s">
        <v>1271</v>
      </c>
      <c r="J2094" s="91">
        <v>6199</v>
      </c>
      <c r="K2094" s="91">
        <f>6278+4484+1346</f>
        <v>12108</v>
      </c>
      <c r="L2094" s="91">
        <v>0</v>
      </c>
      <c r="M2094" s="91">
        <v>0</v>
      </c>
      <c r="N2094" s="91">
        <v>3148</v>
      </c>
      <c r="O2094" s="91">
        <v>0</v>
      </c>
      <c r="P2094" s="91">
        <v>0</v>
      </c>
      <c r="Q2094" s="104">
        <f t="shared" si="64"/>
        <v>21455</v>
      </c>
      <c r="R2094" s="95">
        <f t="shared" si="65"/>
        <v>18236.75</v>
      </c>
    </row>
    <row r="2095" spans="1:23" ht="34.049999999999997" customHeight="1" x14ac:dyDescent="0.3">
      <c r="A2095" s="96">
        <v>2084</v>
      </c>
      <c r="B2095" s="91" t="s">
        <v>6685</v>
      </c>
      <c r="C2095" s="91" t="s">
        <v>6782</v>
      </c>
      <c r="D2095" s="91" t="s">
        <v>6783</v>
      </c>
      <c r="E2095" s="91">
        <v>1985</v>
      </c>
      <c r="F2095" s="91" t="s">
        <v>19</v>
      </c>
      <c r="G2095" s="91" t="s">
        <v>6867</v>
      </c>
      <c r="H2095" s="91" t="s">
        <v>6905</v>
      </c>
      <c r="I2095" s="91" t="s">
        <v>6933</v>
      </c>
      <c r="J2095" s="91">
        <v>6199</v>
      </c>
      <c r="K2095" s="91">
        <v>0</v>
      </c>
      <c r="L2095" s="91">
        <v>0</v>
      </c>
      <c r="M2095" s="91">
        <v>0</v>
      </c>
      <c r="N2095" s="91">
        <v>0</v>
      </c>
      <c r="O2095" s="91">
        <v>0</v>
      </c>
      <c r="P2095" s="91">
        <v>0</v>
      </c>
      <c r="Q2095" s="104">
        <f t="shared" si="64"/>
        <v>6199</v>
      </c>
      <c r="R2095" s="95">
        <f t="shared" si="65"/>
        <v>5269.15</v>
      </c>
    </row>
    <row r="2096" spans="1:23" ht="34.049999999999997" customHeight="1" x14ac:dyDescent="0.3">
      <c r="A2096" s="90">
        <v>2085</v>
      </c>
      <c r="B2096" s="91" t="s">
        <v>6685</v>
      </c>
      <c r="C2096" s="91" t="s">
        <v>6784</v>
      </c>
      <c r="D2096" s="91" t="s">
        <v>6785</v>
      </c>
      <c r="E2096" s="91">
        <v>2024</v>
      </c>
      <c r="F2096" s="91" t="s">
        <v>19</v>
      </c>
      <c r="G2096" s="91" t="s">
        <v>6868</v>
      </c>
      <c r="H2096" s="91" t="s">
        <v>6906</v>
      </c>
      <c r="I2096" s="91" t="s">
        <v>6934</v>
      </c>
      <c r="J2096" s="91">
        <v>6199</v>
      </c>
      <c r="K2096" s="91">
        <v>0</v>
      </c>
      <c r="L2096" s="91">
        <v>0</v>
      </c>
      <c r="M2096" s="91">
        <v>0</v>
      </c>
      <c r="N2096" s="91">
        <v>0</v>
      </c>
      <c r="O2096" s="91">
        <v>0</v>
      </c>
      <c r="P2096" s="91">
        <v>0</v>
      </c>
      <c r="Q2096" s="104">
        <f t="shared" si="64"/>
        <v>6199</v>
      </c>
      <c r="R2096" s="95">
        <f t="shared" si="65"/>
        <v>5269.15</v>
      </c>
    </row>
    <row r="2097" spans="1:18" ht="34.049999999999997" customHeight="1" x14ac:dyDescent="0.3">
      <c r="A2097" s="90">
        <v>2086</v>
      </c>
      <c r="B2097" s="91" t="s">
        <v>6685</v>
      </c>
      <c r="C2097" s="91" t="s">
        <v>6786</v>
      </c>
      <c r="D2097" s="91" t="s">
        <v>6787</v>
      </c>
      <c r="E2097" s="91">
        <v>2022</v>
      </c>
      <c r="F2097" s="91" t="s">
        <v>19</v>
      </c>
      <c r="G2097" s="91" t="s">
        <v>6869</v>
      </c>
      <c r="H2097" s="91" t="s">
        <v>6907</v>
      </c>
      <c r="I2097" s="91" t="s">
        <v>6935</v>
      </c>
      <c r="J2097" s="91">
        <v>6199</v>
      </c>
      <c r="K2097" s="91">
        <f>6278+4484+2332+1346+2332+2332+2332+2332+6995+6995+2332+6995+2332+4484</f>
        <v>53901</v>
      </c>
      <c r="L2097" s="91">
        <v>0</v>
      </c>
      <c r="M2097" s="91">
        <v>0</v>
      </c>
      <c r="N2097" s="91">
        <v>3148</v>
      </c>
      <c r="O2097" s="91">
        <v>0</v>
      </c>
      <c r="P2097" s="91">
        <v>0</v>
      </c>
      <c r="Q2097" s="104">
        <f t="shared" si="64"/>
        <v>63248</v>
      </c>
      <c r="R2097" s="95">
        <f t="shared" si="65"/>
        <v>53760.800000000003</v>
      </c>
    </row>
    <row r="2098" spans="1:18" ht="34.049999999999997" customHeight="1" x14ac:dyDescent="0.3">
      <c r="A2098" s="96">
        <v>2087</v>
      </c>
      <c r="B2098" s="91" t="s">
        <v>6685</v>
      </c>
      <c r="C2098" s="91" t="s">
        <v>6788</v>
      </c>
      <c r="D2098" s="91" t="s">
        <v>6789</v>
      </c>
      <c r="E2098" s="91">
        <v>2022</v>
      </c>
      <c r="F2098" s="91" t="s">
        <v>18</v>
      </c>
      <c r="G2098" s="91" t="s">
        <v>6870</v>
      </c>
      <c r="H2098" s="91" t="s">
        <v>6908</v>
      </c>
      <c r="I2098" s="91" t="s">
        <v>6936</v>
      </c>
      <c r="J2098" s="91">
        <v>6199</v>
      </c>
      <c r="K2098" s="91">
        <f>6278+4484+1346+4484+2332+2332+2332+2332+2332+2332+6995+6995+2332+6995</f>
        <v>53901</v>
      </c>
      <c r="L2098" s="91">
        <v>0</v>
      </c>
      <c r="M2098" s="91">
        <v>0</v>
      </c>
      <c r="N2098" s="91">
        <v>3148</v>
      </c>
      <c r="O2098" s="91">
        <v>0</v>
      </c>
      <c r="P2098" s="91">
        <v>63</v>
      </c>
      <c r="Q2098" s="104">
        <f t="shared" si="64"/>
        <v>63311</v>
      </c>
      <c r="R2098" s="95">
        <f t="shared" si="65"/>
        <v>53814.35</v>
      </c>
    </row>
    <row r="2099" spans="1:18" ht="34.049999999999997" customHeight="1" x14ac:dyDescent="0.3">
      <c r="A2099" s="90">
        <v>2088</v>
      </c>
      <c r="B2099" s="91" t="s">
        <v>6685</v>
      </c>
      <c r="C2099" s="91" t="s">
        <v>6790</v>
      </c>
      <c r="D2099" s="91" t="s">
        <v>6791</v>
      </c>
      <c r="E2099" s="91">
        <v>1992</v>
      </c>
      <c r="F2099" s="91" t="s">
        <v>19</v>
      </c>
      <c r="G2099" s="91" t="s">
        <v>6871</v>
      </c>
      <c r="H2099" s="91" t="s">
        <v>6871</v>
      </c>
      <c r="I2099" s="91" t="s">
        <v>6937</v>
      </c>
      <c r="J2099" s="91">
        <v>6199</v>
      </c>
      <c r="K2099" s="91">
        <v>0</v>
      </c>
      <c r="L2099" s="91">
        <v>0</v>
      </c>
      <c r="M2099" s="91">
        <v>0</v>
      </c>
      <c r="N2099" s="91">
        <v>9871</v>
      </c>
      <c r="O2099" s="91">
        <v>0</v>
      </c>
      <c r="P2099" s="91">
        <v>0</v>
      </c>
      <c r="Q2099" s="104">
        <f t="shared" si="64"/>
        <v>16070</v>
      </c>
      <c r="R2099" s="95">
        <f t="shared" si="65"/>
        <v>13659.5</v>
      </c>
    </row>
    <row r="2100" spans="1:18" ht="34.049999999999997" customHeight="1" x14ac:dyDescent="0.3">
      <c r="A2100" s="90">
        <v>2089</v>
      </c>
      <c r="B2100" s="91" t="s">
        <v>6685</v>
      </c>
      <c r="C2100" s="91" t="s">
        <v>6792</v>
      </c>
      <c r="D2100" s="91" t="s">
        <v>6793</v>
      </c>
      <c r="E2100" s="91">
        <v>2013</v>
      </c>
      <c r="F2100" s="91" t="s">
        <v>18</v>
      </c>
      <c r="G2100" s="91" t="s">
        <v>6872</v>
      </c>
      <c r="H2100" s="91" t="s">
        <v>6909</v>
      </c>
      <c r="I2100" s="91" t="s">
        <v>1483</v>
      </c>
      <c r="J2100" s="91">
        <v>6199</v>
      </c>
      <c r="K2100" s="91">
        <v>0</v>
      </c>
      <c r="L2100" s="91">
        <v>0</v>
      </c>
      <c r="M2100" s="91">
        <v>0</v>
      </c>
      <c r="N2100" s="91">
        <f>15443+303362</f>
        <v>318805</v>
      </c>
      <c r="O2100" s="91">
        <v>0</v>
      </c>
      <c r="P2100" s="91">
        <v>0</v>
      </c>
      <c r="Q2100" s="104">
        <f t="shared" si="64"/>
        <v>325004</v>
      </c>
      <c r="R2100" s="95">
        <f t="shared" si="65"/>
        <v>276253.40000000002</v>
      </c>
    </row>
    <row r="2101" spans="1:18" ht="34.049999999999997" customHeight="1" x14ac:dyDescent="0.3">
      <c r="A2101" s="96">
        <v>2090</v>
      </c>
      <c r="B2101" s="91" t="s">
        <v>6685</v>
      </c>
      <c r="C2101" s="91" t="s">
        <v>6794</v>
      </c>
      <c r="D2101" s="91" t="s">
        <v>6795</v>
      </c>
      <c r="E2101" s="91">
        <v>2022</v>
      </c>
      <c r="F2101" s="91" t="s">
        <v>18</v>
      </c>
      <c r="G2101" s="91" t="s">
        <v>6873</v>
      </c>
      <c r="H2101" s="91" t="s">
        <v>6910</v>
      </c>
      <c r="I2101" s="91" t="s">
        <v>2466</v>
      </c>
      <c r="J2101" s="91">
        <v>6199</v>
      </c>
      <c r="K2101" s="91">
        <f>6278+4484+1346</f>
        <v>12108</v>
      </c>
      <c r="L2101" s="91">
        <v>0</v>
      </c>
      <c r="M2101" s="91">
        <v>0</v>
      </c>
      <c r="N2101" s="91">
        <v>3148</v>
      </c>
      <c r="O2101" s="91">
        <v>0</v>
      </c>
      <c r="P2101" s="91">
        <v>63</v>
      </c>
      <c r="Q2101" s="104">
        <f t="shared" si="64"/>
        <v>21518</v>
      </c>
      <c r="R2101" s="95">
        <f t="shared" si="65"/>
        <v>18290.3</v>
      </c>
    </row>
    <row r="2102" spans="1:18" ht="34.049999999999997" customHeight="1" x14ac:dyDescent="0.3">
      <c r="A2102" s="90">
        <v>2091</v>
      </c>
      <c r="B2102" s="91" t="s">
        <v>6685</v>
      </c>
      <c r="C2102" s="91" t="s">
        <v>6796</v>
      </c>
      <c r="D2102" s="91" t="s">
        <v>6797</v>
      </c>
      <c r="E2102" s="91">
        <v>1982</v>
      </c>
      <c r="F2102" s="91" t="s">
        <v>18</v>
      </c>
      <c r="G2102" s="91" t="s">
        <v>3491</v>
      </c>
      <c r="H2102" s="91" t="s">
        <v>3491</v>
      </c>
      <c r="I2102" s="91" t="s">
        <v>1046</v>
      </c>
      <c r="J2102" s="91">
        <v>6199</v>
      </c>
      <c r="K2102" s="91">
        <f>3228+6995+6278+4484+2332+3000+3000+2332+2332+2332+2332+2332+1346+6995</f>
        <v>49318</v>
      </c>
      <c r="L2102" s="91">
        <v>0</v>
      </c>
      <c r="M2102" s="91">
        <v>0</v>
      </c>
      <c r="N2102" s="91">
        <v>1793</v>
      </c>
      <c r="O2102" s="91">
        <v>0</v>
      </c>
      <c r="P2102" s="91">
        <v>0</v>
      </c>
      <c r="Q2102" s="104">
        <f t="shared" si="64"/>
        <v>57310</v>
      </c>
      <c r="R2102" s="95">
        <f t="shared" si="65"/>
        <v>48713.5</v>
      </c>
    </row>
    <row r="2103" spans="1:18" ht="34.049999999999997" customHeight="1" x14ac:dyDescent="0.3">
      <c r="A2103" s="90">
        <v>2092</v>
      </c>
      <c r="B2103" s="91" t="s">
        <v>6685</v>
      </c>
      <c r="C2103" s="91" t="s">
        <v>6798</v>
      </c>
      <c r="D2103" s="91" t="s">
        <v>6799</v>
      </c>
      <c r="E2103" s="91">
        <v>1986</v>
      </c>
      <c r="F2103" s="91" t="s">
        <v>19</v>
      </c>
      <c r="G2103" s="91" t="s">
        <v>6874</v>
      </c>
      <c r="H2103" s="91" t="s">
        <v>6874</v>
      </c>
      <c r="I2103" s="91" t="s">
        <v>6938</v>
      </c>
      <c r="J2103" s="91">
        <v>6199</v>
      </c>
      <c r="K2103" s="91">
        <v>0</v>
      </c>
      <c r="L2103" s="91">
        <v>0</v>
      </c>
      <c r="M2103" s="91">
        <v>0</v>
      </c>
      <c r="N2103" s="91">
        <v>0</v>
      </c>
      <c r="O2103" s="91">
        <v>0</v>
      </c>
      <c r="P2103" s="91">
        <v>0</v>
      </c>
      <c r="Q2103" s="104">
        <f t="shared" si="64"/>
        <v>6199</v>
      </c>
      <c r="R2103" s="95">
        <f t="shared" si="65"/>
        <v>5269.15</v>
      </c>
    </row>
    <row r="2104" spans="1:18" ht="34.049999999999997" customHeight="1" x14ac:dyDescent="0.3">
      <c r="A2104" s="96">
        <v>2093</v>
      </c>
      <c r="B2104" s="91" t="s">
        <v>6685</v>
      </c>
      <c r="C2104" s="91" t="s">
        <v>6800</v>
      </c>
      <c r="D2104" s="91" t="s">
        <v>6801</v>
      </c>
      <c r="E2104" s="91">
        <v>1985</v>
      </c>
      <c r="F2104" s="91" t="s">
        <v>18</v>
      </c>
      <c r="G2104" s="91" t="s">
        <v>6875</v>
      </c>
      <c r="H2104" s="91" t="s">
        <v>6875</v>
      </c>
      <c r="I2104" s="91" t="s">
        <v>251</v>
      </c>
      <c r="J2104" s="91">
        <v>6199</v>
      </c>
      <c r="K2104" s="91">
        <f>3228+6995+2332</f>
        <v>12555</v>
      </c>
      <c r="L2104" s="91">
        <v>0</v>
      </c>
      <c r="M2104" s="91">
        <v>0</v>
      </c>
      <c r="N2104" s="91">
        <v>1793</v>
      </c>
      <c r="O2104" s="91">
        <v>0</v>
      </c>
      <c r="P2104" s="91">
        <v>0</v>
      </c>
      <c r="Q2104" s="104">
        <f t="shared" si="64"/>
        <v>20547</v>
      </c>
      <c r="R2104" s="95">
        <f t="shared" si="65"/>
        <v>17464.95</v>
      </c>
    </row>
    <row r="2105" spans="1:18" ht="34.049999999999997" customHeight="1" x14ac:dyDescent="0.3">
      <c r="A2105" s="90">
        <v>2094</v>
      </c>
      <c r="B2105" s="91" t="s">
        <v>6685</v>
      </c>
      <c r="C2105" s="91" t="s">
        <v>6802</v>
      </c>
      <c r="D2105" s="91" t="s">
        <v>6803</v>
      </c>
      <c r="E2105" s="91">
        <v>1984</v>
      </c>
      <c r="F2105" s="91" t="s">
        <v>18</v>
      </c>
      <c r="G2105" s="91" t="s">
        <v>6876</v>
      </c>
      <c r="H2105" s="91" t="s">
        <v>6876</v>
      </c>
      <c r="I2105" s="91" t="s">
        <v>32</v>
      </c>
      <c r="J2105" s="91">
        <v>6199</v>
      </c>
      <c r="K2105" s="91">
        <v>0</v>
      </c>
      <c r="L2105" s="91">
        <v>0</v>
      </c>
      <c r="M2105" s="91">
        <v>0</v>
      </c>
      <c r="N2105" s="91">
        <v>0</v>
      </c>
      <c r="O2105" s="91">
        <v>0</v>
      </c>
      <c r="P2105" s="91">
        <v>0</v>
      </c>
      <c r="Q2105" s="104">
        <f t="shared" si="64"/>
        <v>6199</v>
      </c>
      <c r="R2105" s="95">
        <f t="shared" si="65"/>
        <v>5269.15</v>
      </c>
    </row>
    <row r="2106" spans="1:18" ht="34.049999999999997" customHeight="1" x14ac:dyDescent="0.3">
      <c r="A2106" s="90">
        <v>2095</v>
      </c>
      <c r="B2106" s="91" t="s">
        <v>6685</v>
      </c>
      <c r="C2106" s="91" t="s">
        <v>6804</v>
      </c>
      <c r="D2106" s="91" t="s">
        <v>6805</v>
      </c>
      <c r="E2106" s="91">
        <v>2023</v>
      </c>
      <c r="F2106" s="91" t="s">
        <v>18</v>
      </c>
      <c r="G2106" s="91" t="s">
        <v>6877</v>
      </c>
      <c r="H2106" s="91" t="s">
        <v>6876</v>
      </c>
      <c r="I2106" s="91" t="s">
        <v>32</v>
      </c>
      <c r="J2106" s="91">
        <v>6199</v>
      </c>
      <c r="K2106" s="91">
        <v>0</v>
      </c>
      <c r="L2106" s="91">
        <v>0</v>
      </c>
      <c r="M2106" s="91">
        <v>0</v>
      </c>
      <c r="N2106" s="91">
        <v>0</v>
      </c>
      <c r="O2106" s="91">
        <v>0</v>
      </c>
      <c r="P2106" s="91">
        <v>0</v>
      </c>
      <c r="Q2106" s="104">
        <f t="shared" si="64"/>
        <v>6199</v>
      </c>
      <c r="R2106" s="95">
        <f t="shared" si="65"/>
        <v>5269.15</v>
      </c>
    </row>
    <row r="2107" spans="1:18" ht="34.049999999999997" customHeight="1" x14ac:dyDescent="0.3">
      <c r="A2107" s="96">
        <v>2096</v>
      </c>
      <c r="B2107" s="91" t="s">
        <v>6685</v>
      </c>
      <c r="C2107" s="91" t="s">
        <v>6806</v>
      </c>
      <c r="D2107" s="91" t="s">
        <v>2734</v>
      </c>
      <c r="E2107" s="91">
        <v>2014</v>
      </c>
      <c r="F2107" s="91" t="s">
        <v>18</v>
      </c>
      <c r="G2107" s="91" t="s">
        <v>2794</v>
      </c>
      <c r="H2107" s="91" t="s">
        <v>2834</v>
      </c>
      <c r="I2107" s="91" t="s">
        <v>2860</v>
      </c>
      <c r="J2107" s="91">
        <v>6199</v>
      </c>
      <c r="K2107" s="91">
        <v>0</v>
      </c>
      <c r="L2107" s="91">
        <v>0</v>
      </c>
      <c r="M2107" s="91">
        <v>0</v>
      </c>
      <c r="N2107" s="91">
        <v>0</v>
      </c>
      <c r="O2107" s="91">
        <v>0</v>
      </c>
      <c r="P2107" s="91">
        <v>0</v>
      </c>
      <c r="Q2107" s="104">
        <f t="shared" si="64"/>
        <v>6199</v>
      </c>
      <c r="R2107" s="95">
        <f t="shared" si="65"/>
        <v>5269.15</v>
      </c>
    </row>
    <row r="2108" spans="1:18" ht="34.049999999999997" customHeight="1" x14ac:dyDescent="0.3">
      <c r="A2108" s="90">
        <v>2097</v>
      </c>
      <c r="B2108" s="91" t="s">
        <v>6685</v>
      </c>
      <c r="C2108" s="91" t="s">
        <v>6807</v>
      </c>
      <c r="D2108" s="91" t="s">
        <v>3185</v>
      </c>
      <c r="E2108" s="91">
        <v>1983</v>
      </c>
      <c r="F2108" s="91" t="s">
        <v>18</v>
      </c>
      <c r="G2108" s="91" t="s">
        <v>3258</v>
      </c>
      <c r="H2108" s="91" t="s">
        <v>3258</v>
      </c>
      <c r="I2108" s="91" t="s">
        <v>565</v>
      </c>
      <c r="J2108" s="91">
        <v>6199</v>
      </c>
      <c r="K2108" s="91">
        <f>6278+4484+2332+2332+2332+2332+3000+3000+3228+2332+2332+2332+6995</f>
        <v>43309</v>
      </c>
      <c r="L2108" s="91">
        <v>0</v>
      </c>
      <c r="M2108" s="91">
        <v>0</v>
      </c>
      <c r="N2108" s="91">
        <v>1793</v>
      </c>
      <c r="O2108" s="91">
        <v>0</v>
      </c>
      <c r="P2108" s="91">
        <v>0</v>
      </c>
      <c r="Q2108" s="104">
        <f t="shared" si="64"/>
        <v>51301</v>
      </c>
      <c r="R2108" s="95">
        <f t="shared" si="65"/>
        <v>43605.85</v>
      </c>
    </row>
    <row r="2109" spans="1:18" ht="34.049999999999997" customHeight="1" x14ac:dyDescent="0.3">
      <c r="A2109" s="90">
        <v>2098</v>
      </c>
      <c r="B2109" s="91" t="s">
        <v>6685</v>
      </c>
      <c r="C2109" s="91" t="s">
        <v>6808</v>
      </c>
      <c r="D2109" s="91" t="s">
        <v>6809</v>
      </c>
      <c r="E2109" s="91">
        <v>2023</v>
      </c>
      <c r="F2109" s="91" t="s">
        <v>19</v>
      </c>
      <c r="G2109" s="91" t="s">
        <v>6878</v>
      </c>
      <c r="H2109" s="91" t="s">
        <v>6911</v>
      </c>
      <c r="I2109" s="91" t="s">
        <v>5956</v>
      </c>
      <c r="J2109" s="91">
        <v>6199</v>
      </c>
      <c r="K2109" s="91">
        <v>0</v>
      </c>
      <c r="L2109" s="91">
        <v>0</v>
      </c>
      <c r="M2109" s="91">
        <v>0</v>
      </c>
      <c r="N2109" s="91">
        <v>0</v>
      </c>
      <c r="O2109" s="91">
        <v>0</v>
      </c>
      <c r="P2109" s="91">
        <v>0</v>
      </c>
      <c r="Q2109" s="104">
        <f t="shared" si="64"/>
        <v>6199</v>
      </c>
      <c r="R2109" s="95">
        <f t="shared" si="65"/>
        <v>5269.15</v>
      </c>
    </row>
    <row r="2110" spans="1:18" ht="34.049999999999997" customHeight="1" x14ac:dyDescent="0.3">
      <c r="A2110" s="96">
        <v>2099</v>
      </c>
      <c r="B2110" s="91" t="s">
        <v>6685</v>
      </c>
      <c r="C2110" s="91" t="s">
        <v>6810</v>
      </c>
      <c r="D2110" s="91" t="s">
        <v>6811</v>
      </c>
      <c r="E2110" s="91">
        <v>2022</v>
      </c>
      <c r="F2110" s="91" t="s">
        <v>18</v>
      </c>
      <c r="G2110" s="91" t="s">
        <v>6879</v>
      </c>
      <c r="H2110" s="91" t="s">
        <v>6912</v>
      </c>
      <c r="I2110" s="91" t="s">
        <v>1280</v>
      </c>
      <c r="J2110" s="91">
        <v>6199</v>
      </c>
      <c r="K2110" s="91">
        <f>6278+4484+2332+1346+2332+2332+2332+2332+6995+6995+2332+6995+4484+2332</f>
        <v>53901</v>
      </c>
      <c r="L2110" s="91">
        <v>0</v>
      </c>
      <c r="M2110" s="91">
        <v>0</v>
      </c>
      <c r="N2110" s="91">
        <v>3148</v>
      </c>
      <c r="O2110" s="91">
        <v>0</v>
      </c>
      <c r="P2110" s="91">
        <v>0</v>
      </c>
      <c r="Q2110" s="104">
        <f t="shared" si="64"/>
        <v>63248</v>
      </c>
      <c r="R2110" s="95">
        <f t="shared" si="65"/>
        <v>53760.800000000003</v>
      </c>
    </row>
    <row r="2111" spans="1:18" ht="34.049999999999997" customHeight="1" x14ac:dyDescent="0.3">
      <c r="A2111" s="90">
        <v>2100</v>
      </c>
      <c r="B2111" s="91" t="s">
        <v>6685</v>
      </c>
      <c r="C2111" s="91" t="s">
        <v>6810</v>
      </c>
      <c r="D2111" s="91" t="s">
        <v>6811</v>
      </c>
      <c r="E2111" s="91">
        <v>2022</v>
      </c>
      <c r="F2111" s="91" t="s">
        <v>18</v>
      </c>
      <c r="G2111" s="91" t="s">
        <v>6879</v>
      </c>
      <c r="H2111" s="91" t="s">
        <v>6912</v>
      </c>
      <c r="I2111" s="91" t="s">
        <v>1280</v>
      </c>
      <c r="J2111" s="91">
        <v>0</v>
      </c>
      <c r="K2111" s="91">
        <v>0</v>
      </c>
      <c r="L2111" s="91">
        <v>0</v>
      </c>
      <c r="M2111" s="91">
        <v>0</v>
      </c>
      <c r="N2111" s="91">
        <f>1178+2088+4053</f>
        <v>7319</v>
      </c>
      <c r="O2111" s="91">
        <v>0</v>
      </c>
      <c r="P2111" s="91">
        <f>360+56+720+1080+1200</f>
        <v>3416</v>
      </c>
      <c r="Q2111" s="104">
        <f t="shared" si="64"/>
        <v>10735</v>
      </c>
      <c r="R2111" s="95">
        <f t="shared" si="65"/>
        <v>9124.75</v>
      </c>
    </row>
    <row r="2112" spans="1:18" ht="34.049999999999997" customHeight="1" x14ac:dyDescent="0.3">
      <c r="A2112" s="90">
        <v>2101</v>
      </c>
      <c r="B2112" s="91" t="s">
        <v>6685</v>
      </c>
      <c r="C2112" s="91" t="s">
        <v>6810</v>
      </c>
      <c r="D2112" s="91" t="s">
        <v>6811</v>
      </c>
      <c r="E2112" s="91">
        <v>2022</v>
      </c>
      <c r="F2112" s="91" t="s">
        <v>18</v>
      </c>
      <c r="G2112" s="91" t="s">
        <v>6879</v>
      </c>
      <c r="H2112" s="91" t="s">
        <v>6912</v>
      </c>
      <c r="I2112" s="91" t="s">
        <v>1280</v>
      </c>
      <c r="J2112" s="91"/>
      <c r="K2112" s="91">
        <v>0</v>
      </c>
      <c r="L2112" s="91">
        <v>0</v>
      </c>
      <c r="M2112" s="91">
        <v>17688</v>
      </c>
      <c r="N2112" s="91">
        <v>0</v>
      </c>
      <c r="O2112" s="91">
        <v>0</v>
      </c>
      <c r="P2112" s="91">
        <v>0</v>
      </c>
      <c r="Q2112" s="104">
        <f t="shared" si="64"/>
        <v>17688</v>
      </c>
      <c r="R2112" s="95">
        <f t="shared" si="65"/>
        <v>15034.8</v>
      </c>
    </row>
    <row r="2113" spans="1:18" ht="34.049999999999997" customHeight="1" x14ac:dyDescent="0.3">
      <c r="A2113" s="96">
        <v>2102</v>
      </c>
      <c r="B2113" s="91" t="s">
        <v>6685</v>
      </c>
      <c r="C2113" s="91" t="s">
        <v>6812</v>
      </c>
      <c r="D2113" s="91" t="s">
        <v>4645</v>
      </c>
      <c r="E2113" s="91">
        <v>2023</v>
      </c>
      <c r="F2113" s="91" t="s">
        <v>19</v>
      </c>
      <c r="G2113" s="91" t="s">
        <v>4777</v>
      </c>
      <c r="H2113" s="91" t="s">
        <v>4833</v>
      </c>
      <c r="I2113" s="91" t="s">
        <v>4863</v>
      </c>
      <c r="J2113" s="91">
        <v>3793</v>
      </c>
      <c r="K2113" s="91">
        <v>0</v>
      </c>
      <c r="L2113" s="91">
        <v>0</v>
      </c>
      <c r="M2113" s="91">
        <v>0</v>
      </c>
      <c r="N2113" s="91">
        <v>0</v>
      </c>
      <c r="O2113" s="91">
        <v>0</v>
      </c>
      <c r="P2113" s="91">
        <v>0</v>
      </c>
      <c r="Q2113" s="104">
        <f t="shared" si="64"/>
        <v>3793</v>
      </c>
      <c r="R2113" s="95">
        <f t="shared" si="65"/>
        <v>3224.05</v>
      </c>
    </row>
    <row r="2114" spans="1:18" ht="34.049999999999997" customHeight="1" x14ac:dyDescent="0.3">
      <c r="A2114" s="90">
        <v>2103</v>
      </c>
      <c r="B2114" s="91" t="s">
        <v>6685</v>
      </c>
      <c r="C2114" s="91" t="s">
        <v>6813</v>
      </c>
      <c r="D2114" s="91" t="s">
        <v>6814</v>
      </c>
      <c r="E2114" s="91">
        <v>2021</v>
      </c>
      <c r="F2114" s="91" t="s">
        <v>19</v>
      </c>
      <c r="G2114" s="91" t="s">
        <v>6880</v>
      </c>
      <c r="H2114" s="91" t="s">
        <v>6913</v>
      </c>
      <c r="I2114" s="91" t="s">
        <v>1280</v>
      </c>
      <c r="J2114" s="91">
        <v>6199</v>
      </c>
      <c r="K2114" s="91">
        <v>0</v>
      </c>
      <c r="L2114" s="91">
        <v>0</v>
      </c>
      <c r="M2114" s="91">
        <v>0</v>
      </c>
      <c r="N2114" s="91">
        <v>0</v>
      </c>
      <c r="O2114" s="91">
        <v>0</v>
      </c>
      <c r="P2114" s="91">
        <v>0</v>
      </c>
      <c r="Q2114" s="104">
        <f t="shared" si="64"/>
        <v>6199</v>
      </c>
      <c r="R2114" s="95">
        <f t="shared" si="65"/>
        <v>5269.15</v>
      </c>
    </row>
    <row r="2115" spans="1:18" ht="34.049999999999997" customHeight="1" x14ac:dyDescent="0.3">
      <c r="A2115" s="90">
        <v>2104</v>
      </c>
      <c r="B2115" s="91" t="s">
        <v>6685</v>
      </c>
      <c r="C2115" s="91" t="s">
        <v>6815</v>
      </c>
      <c r="D2115" s="91" t="s">
        <v>6816</v>
      </c>
      <c r="E2115" s="91">
        <v>2024</v>
      </c>
      <c r="F2115" s="91" t="s">
        <v>18</v>
      </c>
      <c r="G2115" s="91" t="s">
        <v>6881</v>
      </c>
      <c r="H2115" s="91" t="s">
        <v>6914</v>
      </c>
      <c r="I2115" s="91" t="s">
        <v>2466</v>
      </c>
      <c r="J2115" s="91">
        <v>6199</v>
      </c>
      <c r="K2115" s="91">
        <f>6278+4484+2332+1346+2332+2332+2332+2332+6995+6995+6995+2332+2332+4484</f>
        <v>53901</v>
      </c>
      <c r="L2115" s="91">
        <v>0</v>
      </c>
      <c r="M2115" s="91">
        <v>0</v>
      </c>
      <c r="N2115" s="91">
        <v>3148</v>
      </c>
      <c r="O2115" s="91">
        <v>0</v>
      </c>
      <c r="P2115" s="91">
        <v>0</v>
      </c>
      <c r="Q2115" s="104">
        <f t="shared" si="64"/>
        <v>63248</v>
      </c>
      <c r="R2115" s="95">
        <f t="shared" si="65"/>
        <v>53760.800000000003</v>
      </c>
    </row>
    <row r="2116" spans="1:18" ht="34.049999999999997" customHeight="1" x14ac:dyDescent="0.3">
      <c r="A2116" s="96">
        <v>2105</v>
      </c>
      <c r="B2116" s="91" t="s">
        <v>6685</v>
      </c>
      <c r="C2116" s="91" t="s">
        <v>6815</v>
      </c>
      <c r="D2116" s="91" t="s">
        <v>6816</v>
      </c>
      <c r="E2116" s="91">
        <v>2024</v>
      </c>
      <c r="F2116" s="91" t="s">
        <v>18</v>
      </c>
      <c r="G2116" s="91" t="s">
        <v>6881</v>
      </c>
      <c r="H2116" s="91" t="s">
        <v>6914</v>
      </c>
      <c r="I2116" s="91" t="s">
        <v>2466</v>
      </c>
      <c r="J2116" s="91">
        <v>0</v>
      </c>
      <c r="K2116" s="91">
        <v>0</v>
      </c>
      <c r="L2116" s="91">
        <v>0</v>
      </c>
      <c r="M2116" s="91">
        <v>0</v>
      </c>
      <c r="N2116" s="91">
        <f>1178+2088+4053</f>
        <v>7319</v>
      </c>
      <c r="O2116" s="91">
        <v>0</v>
      </c>
      <c r="P2116" s="91">
        <f>720+1080+360+56</f>
        <v>2216</v>
      </c>
      <c r="Q2116" s="104">
        <f t="shared" si="64"/>
        <v>9535</v>
      </c>
      <c r="R2116" s="95">
        <f t="shared" si="65"/>
        <v>8104.75</v>
      </c>
    </row>
    <row r="2117" spans="1:18" ht="34.049999999999997" customHeight="1" x14ac:dyDescent="0.3">
      <c r="A2117" s="90">
        <v>2106</v>
      </c>
      <c r="B2117" s="91" t="s">
        <v>6685</v>
      </c>
      <c r="C2117" s="91" t="s">
        <v>6815</v>
      </c>
      <c r="D2117" s="91" t="s">
        <v>6816</v>
      </c>
      <c r="E2117" s="91">
        <v>2024</v>
      </c>
      <c r="F2117" s="91" t="s">
        <v>18</v>
      </c>
      <c r="G2117" s="91" t="s">
        <v>6881</v>
      </c>
      <c r="H2117" s="91" t="s">
        <v>6914</v>
      </c>
      <c r="I2117" s="91" t="s">
        <v>2466</v>
      </c>
      <c r="J2117" s="91">
        <v>0</v>
      </c>
      <c r="K2117" s="91">
        <v>0</v>
      </c>
      <c r="L2117" s="91">
        <v>0</v>
      </c>
      <c r="M2117" s="91">
        <v>17688</v>
      </c>
      <c r="N2117" s="91">
        <v>0</v>
      </c>
      <c r="O2117" s="91">
        <v>0</v>
      </c>
      <c r="P2117" s="91">
        <v>0</v>
      </c>
      <c r="Q2117" s="104">
        <f t="shared" si="64"/>
        <v>17688</v>
      </c>
      <c r="R2117" s="95">
        <f t="shared" si="65"/>
        <v>15034.8</v>
      </c>
    </row>
    <row r="2118" spans="1:18" ht="34.049999999999997" customHeight="1" x14ac:dyDescent="0.3">
      <c r="A2118" s="90">
        <v>2107</v>
      </c>
      <c r="B2118" s="91" t="s">
        <v>6685</v>
      </c>
      <c r="C2118" s="91" t="s">
        <v>6817</v>
      </c>
      <c r="D2118" s="91" t="s">
        <v>6818</v>
      </c>
      <c r="E2118" s="91">
        <v>1997</v>
      </c>
      <c r="F2118" s="91" t="s">
        <v>18</v>
      </c>
      <c r="G2118" s="91" t="s">
        <v>6882</v>
      </c>
      <c r="H2118" s="91" t="s">
        <v>6882</v>
      </c>
      <c r="I2118" s="91" t="s">
        <v>6939</v>
      </c>
      <c r="J2118" s="91">
        <v>6199</v>
      </c>
      <c r="K2118" s="91">
        <f>2332+2332+2243</f>
        <v>6907</v>
      </c>
      <c r="L2118" s="91">
        <v>0</v>
      </c>
      <c r="M2118" s="91">
        <v>0</v>
      </c>
      <c r="N2118" s="91">
        <v>0</v>
      </c>
      <c r="O2118" s="91">
        <v>0</v>
      </c>
      <c r="P2118" s="91">
        <v>0</v>
      </c>
      <c r="Q2118" s="104">
        <f t="shared" si="64"/>
        <v>13106</v>
      </c>
      <c r="R2118" s="95">
        <f t="shared" si="65"/>
        <v>11140.1</v>
      </c>
    </row>
    <row r="2119" spans="1:18" ht="34.049999999999997" customHeight="1" x14ac:dyDescent="0.3">
      <c r="A2119" s="96">
        <v>2108</v>
      </c>
      <c r="B2119" s="91" t="s">
        <v>6685</v>
      </c>
      <c r="C2119" s="91" t="s">
        <v>6819</v>
      </c>
      <c r="D2119" s="91" t="s">
        <v>4527</v>
      </c>
      <c r="E2119" s="91">
        <v>2025</v>
      </c>
      <c r="F2119" s="91" t="s">
        <v>18</v>
      </c>
      <c r="G2119" s="91" t="s">
        <v>4578</v>
      </c>
      <c r="H2119" s="91" t="s">
        <v>4609</v>
      </c>
      <c r="I2119" s="91" t="s">
        <v>576</v>
      </c>
      <c r="J2119" s="91">
        <v>3793</v>
      </c>
      <c r="K2119" s="91">
        <v>0</v>
      </c>
      <c r="L2119" s="91">
        <v>0</v>
      </c>
      <c r="M2119" s="91">
        <v>0</v>
      </c>
      <c r="N2119" s="91">
        <v>0</v>
      </c>
      <c r="O2119" s="91">
        <v>0</v>
      </c>
      <c r="P2119" s="91">
        <v>0</v>
      </c>
      <c r="Q2119" s="104">
        <f t="shared" si="64"/>
        <v>3793</v>
      </c>
      <c r="R2119" s="95">
        <f t="shared" si="65"/>
        <v>3224.05</v>
      </c>
    </row>
    <row r="2120" spans="1:18" ht="34.049999999999997" customHeight="1" x14ac:dyDescent="0.3">
      <c r="A2120" s="90">
        <v>2109</v>
      </c>
      <c r="B2120" s="91" t="s">
        <v>6685</v>
      </c>
      <c r="C2120" s="91" t="s">
        <v>6820</v>
      </c>
      <c r="D2120" s="91" t="s">
        <v>6821</v>
      </c>
      <c r="E2120" s="91">
        <v>2025</v>
      </c>
      <c r="F2120" s="91" t="s">
        <v>19</v>
      </c>
      <c r="G2120" s="91" t="s">
        <v>6883</v>
      </c>
      <c r="H2120" s="91" t="s">
        <v>6915</v>
      </c>
      <c r="I2120" s="91" t="s">
        <v>6940</v>
      </c>
      <c r="J2120" s="91">
        <v>6199</v>
      </c>
      <c r="K2120" s="91">
        <v>0</v>
      </c>
      <c r="L2120" s="91">
        <v>0</v>
      </c>
      <c r="M2120" s="91">
        <v>0</v>
      </c>
      <c r="N2120" s="91">
        <v>0</v>
      </c>
      <c r="O2120" s="91">
        <v>0</v>
      </c>
      <c r="P2120" s="91">
        <v>0</v>
      </c>
      <c r="Q2120" s="104">
        <f t="shared" si="64"/>
        <v>6199</v>
      </c>
      <c r="R2120" s="95">
        <f t="shared" si="65"/>
        <v>5269.15</v>
      </c>
    </row>
    <row r="2121" spans="1:18" ht="34.049999999999997" customHeight="1" x14ac:dyDescent="0.3">
      <c r="A2121" s="90">
        <v>2110</v>
      </c>
      <c r="B2121" s="91" t="s">
        <v>6685</v>
      </c>
      <c r="C2121" s="91" t="s">
        <v>6822</v>
      </c>
      <c r="D2121" s="91" t="s">
        <v>6823</v>
      </c>
      <c r="E2121" s="91">
        <v>1990</v>
      </c>
      <c r="F2121" s="91" t="s">
        <v>18</v>
      </c>
      <c r="G2121" s="91" t="s">
        <v>798</v>
      </c>
      <c r="H2121" s="91" t="s">
        <v>798</v>
      </c>
      <c r="I2121" s="91" t="s">
        <v>835</v>
      </c>
      <c r="J2121" s="91">
        <v>6199</v>
      </c>
      <c r="K2121" s="91">
        <v>0</v>
      </c>
      <c r="L2121" s="91">
        <v>0</v>
      </c>
      <c r="M2121" s="91">
        <v>0</v>
      </c>
      <c r="N2121" s="91">
        <v>0</v>
      </c>
      <c r="O2121" s="91">
        <v>0</v>
      </c>
      <c r="P2121" s="91">
        <v>0</v>
      </c>
      <c r="Q2121" s="104">
        <f t="shared" si="64"/>
        <v>6199</v>
      </c>
      <c r="R2121" s="95">
        <f t="shared" si="65"/>
        <v>5269.15</v>
      </c>
    </row>
    <row r="2122" spans="1:18" ht="34.049999999999997" customHeight="1" x14ac:dyDescent="0.3">
      <c r="A2122" s="96">
        <v>2111</v>
      </c>
      <c r="B2122" s="91" t="s">
        <v>6685</v>
      </c>
      <c r="C2122" s="91" t="s">
        <v>6824</v>
      </c>
      <c r="D2122" s="91" t="s">
        <v>6825</v>
      </c>
      <c r="E2122" s="91">
        <v>2018</v>
      </c>
      <c r="F2122" s="91" t="s">
        <v>18</v>
      </c>
      <c r="G2122" s="91" t="s">
        <v>6884</v>
      </c>
      <c r="H2122" s="91" t="s">
        <v>6916</v>
      </c>
      <c r="I2122" s="91" t="s">
        <v>6941</v>
      </c>
      <c r="J2122" s="91">
        <v>6199</v>
      </c>
      <c r="K2122" s="91">
        <v>0</v>
      </c>
      <c r="L2122" s="91">
        <v>0</v>
      </c>
      <c r="M2122" s="91">
        <v>0</v>
      </c>
      <c r="N2122" s="91">
        <v>0</v>
      </c>
      <c r="O2122" s="91">
        <v>0</v>
      </c>
      <c r="P2122" s="91">
        <v>0</v>
      </c>
      <c r="Q2122" s="104">
        <f t="shared" si="64"/>
        <v>6199</v>
      </c>
      <c r="R2122" s="95">
        <f t="shared" si="65"/>
        <v>5269.15</v>
      </c>
    </row>
    <row r="2123" spans="1:18" ht="34.049999999999997" customHeight="1" x14ac:dyDescent="0.3">
      <c r="A2123" s="90">
        <v>2112</v>
      </c>
      <c r="B2123" s="91" t="s">
        <v>6685</v>
      </c>
      <c r="C2123" s="91" t="s">
        <v>7320</v>
      </c>
      <c r="D2123" s="93" t="s">
        <v>2000</v>
      </c>
      <c r="E2123" s="91">
        <v>1994</v>
      </c>
      <c r="F2123" s="91" t="s">
        <v>19</v>
      </c>
      <c r="G2123" s="91" t="s">
        <v>2070</v>
      </c>
      <c r="H2123" s="91" t="s">
        <v>5915</v>
      </c>
      <c r="I2123" s="91" t="s">
        <v>2136</v>
      </c>
      <c r="J2123" s="91">
        <v>6199</v>
      </c>
      <c r="K2123" s="91">
        <f>6278+4484+2332+1346+2332+2332+1346+2332+2332+2332+2332+6995+6995+2332</f>
        <v>46100</v>
      </c>
      <c r="L2123" s="91">
        <v>0</v>
      </c>
      <c r="M2123" s="91">
        <v>0</v>
      </c>
      <c r="N2123" s="91">
        <f>1793+1178+3179</f>
        <v>6150</v>
      </c>
      <c r="O2123" s="91">
        <v>0</v>
      </c>
      <c r="P2123" s="91">
        <f>1440+1320+374+1200</f>
        <v>4334</v>
      </c>
      <c r="Q2123" s="104">
        <f t="shared" si="64"/>
        <v>62783</v>
      </c>
      <c r="R2123" s="95">
        <f t="shared" si="65"/>
        <v>53365.55</v>
      </c>
    </row>
    <row r="2124" spans="1:18" ht="34.049999999999997" customHeight="1" x14ac:dyDescent="0.3">
      <c r="A2124" s="90">
        <v>2113</v>
      </c>
      <c r="B2124" s="91" t="s">
        <v>6685</v>
      </c>
      <c r="C2124" s="91" t="s">
        <v>7320</v>
      </c>
      <c r="D2124" s="93" t="s">
        <v>2000</v>
      </c>
      <c r="E2124" s="91">
        <v>1994</v>
      </c>
      <c r="F2124" s="91" t="s">
        <v>19</v>
      </c>
      <c r="G2124" s="91" t="s">
        <v>2070</v>
      </c>
      <c r="H2124" s="91" t="s">
        <v>5915</v>
      </c>
      <c r="I2124" s="91" t="s">
        <v>2136</v>
      </c>
      <c r="J2124" s="91">
        <v>0</v>
      </c>
      <c r="K2124" s="91">
        <v>0</v>
      </c>
      <c r="L2124" s="91">
        <v>0</v>
      </c>
      <c r="M2124" s="91">
        <v>17688</v>
      </c>
      <c r="N2124" s="91">
        <v>1681</v>
      </c>
      <c r="O2124" s="91">
        <v>0</v>
      </c>
      <c r="P2124" s="91">
        <f>312+56</f>
        <v>368</v>
      </c>
      <c r="Q2124" s="104">
        <f t="shared" ref="Q2124:Q2187" si="66">SUM(J2124:P2124)</f>
        <v>19737</v>
      </c>
      <c r="R2124" s="95">
        <f t="shared" si="65"/>
        <v>16776.45</v>
      </c>
    </row>
    <row r="2125" spans="1:18" ht="34.049999999999997" customHeight="1" x14ac:dyDescent="0.3">
      <c r="A2125" s="96">
        <v>2114</v>
      </c>
      <c r="B2125" s="91" t="s">
        <v>6685</v>
      </c>
      <c r="C2125" s="91" t="s">
        <v>7321</v>
      </c>
      <c r="D2125" s="93" t="s">
        <v>6480</v>
      </c>
      <c r="E2125" s="91">
        <v>2022</v>
      </c>
      <c r="F2125" s="91" t="s">
        <v>19</v>
      </c>
      <c r="G2125" s="91" t="s">
        <v>6588</v>
      </c>
      <c r="H2125" s="91" t="s">
        <v>6640</v>
      </c>
      <c r="I2125" s="91" t="s">
        <v>2622</v>
      </c>
      <c r="J2125" s="91">
        <v>2900</v>
      </c>
      <c r="K2125" s="91">
        <v>0</v>
      </c>
      <c r="L2125" s="91">
        <v>0</v>
      </c>
      <c r="M2125" s="91">
        <v>17688</v>
      </c>
      <c r="N2125" s="91">
        <v>2088</v>
      </c>
      <c r="O2125" s="91">
        <v>0</v>
      </c>
      <c r="P2125" s="91">
        <f>1080+168+60</f>
        <v>1308</v>
      </c>
      <c r="Q2125" s="104">
        <f t="shared" si="66"/>
        <v>23984</v>
      </c>
      <c r="R2125" s="95">
        <f t="shared" ref="R2125:R2188" si="67">Q2125*85/100</f>
        <v>20386.400000000001</v>
      </c>
    </row>
    <row r="2126" spans="1:18" ht="34.049999999999997" customHeight="1" x14ac:dyDescent="0.3">
      <c r="A2126" s="90">
        <v>2115</v>
      </c>
      <c r="B2126" s="91" t="s">
        <v>6685</v>
      </c>
      <c r="C2126" s="91" t="s">
        <v>7322</v>
      </c>
      <c r="D2126" s="93" t="s">
        <v>6942</v>
      </c>
      <c r="E2126" s="91">
        <v>2024</v>
      </c>
      <c r="F2126" s="91" t="s">
        <v>18</v>
      </c>
      <c r="G2126" s="91" t="s">
        <v>6944</v>
      </c>
      <c r="H2126" s="91" t="s">
        <v>3466</v>
      </c>
      <c r="I2126" s="91" t="s">
        <v>4208</v>
      </c>
      <c r="J2126" s="91">
        <v>2900</v>
      </c>
      <c r="K2126" s="91">
        <v>0</v>
      </c>
      <c r="L2126" s="91">
        <v>0</v>
      </c>
      <c r="M2126" s="91">
        <v>0</v>
      </c>
      <c r="N2126" s="91">
        <v>1681</v>
      </c>
      <c r="O2126" s="91">
        <v>0</v>
      </c>
      <c r="P2126" s="91">
        <f>360+56</f>
        <v>416</v>
      </c>
      <c r="Q2126" s="104">
        <f t="shared" si="66"/>
        <v>4997</v>
      </c>
      <c r="R2126" s="95">
        <f t="shared" si="67"/>
        <v>4247.45</v>
      </c>
    </row>
    <row r="2127" spans="1:18" ht="34.049999999999997" customHeight="1" x14ac:dyDescent="0.3">
      <c r="A2127" s="90">
        <v>2116</v>
      </c>
      <c r="B2127" s="91" t="s">
        <v>6685</v>
      </c>
      <c r="C2127" s="91" t="s">
        <v>7323</v>
      </c>
      <c r="D2127" s="93" t="s">
        <v>5850</v>
      </c>
      <c r="E2127" s="91">
        <v>2024</v>
      </c>
      <c r="F2127" s="91" t="s">
        <v>19</v>
      </c>
      <c r="G2127" s="91" t="s">
        <v>5898</v>
      </c>
      <c r="H2127" s="91" t="s">
        <v>5937</v>
      </c>
      <c r="I2127" s="91" t="s">
        <v>3675</v>
      </c>
      <c r="J2127" s="91">
        <v>2900</v>
      </c>
      <c r="K2127" s="91">
        <v>0</v>
      </c>
      <c r="L2127" s="91">
        <v>0</v>
      </c>
      <c r="M2127" s="91">
        <v>17688</v>
      </c>
      <c r="N2127" s="91">
        <v>2088</v>
      </c>
      <c r="O2127" s="91">
        <v>0</v>
      </c>
      <c r="P2127" s="91">
        <f>1080+168</f>
        <v>1248</v>
      </c>
      <c r="Q2127" s="104">
        <f t="shared" si="66"/>
        <v>23924</v>
      </c>
      <c r="R2127" s="95">
        <f t="shared" si="67"/>
        <v>20335.400000000001</v>
      </c>
    </row>
    <row r="2128" spans="1:18" ht="34.049999999999997" customHeight="1" x14ac:dyDescent="0.3">
      <c r="A2128" s="96">
        <v>2117</v>
      </c>
      <c r="B2128" s="91" t="s">
        <v>6685</v>
      </c>
      <c r="C2128" s="91" t="s">
        <v>7324</v>
      </c>
      <c r="D2128" s="93" t="s">
        <v>4911</v>
      </c>
      <c r="E2128" s="91">
        <v>2024</v>
      </c>
      <c r="F2128" s="91" t="s">
        <v>18</v>
      </c>
      <c r="G2128" s="91" t="s">
        <v>5029</v>
      </c>
      <c r="H2128" s="91" t="s">
        <v>1044</v>
      </c>
      <c r="I2128" s="91" t="s">
        <v>5128</v>
      </c>
      <c r="J2128" s="91">
        <v>2900</v>
      </c>
      <c r="K2128" s="91">
        <v>0</v>
      </c>
      <c r="L2128" s="91">
        <v>0</v>
      </c>
      <c r="M2128" s="91">
        <v>17688</v>
      </c>
      <c r="N2128" s="91">
        <v>2088</v>
      </c>
      <c r="O2128" s="91">
        <v>0</v>
      </c>
      <c r="P2128" s="91">
        <f>1440+224</f>
        <v>1664</v>
      </c>
      <c r="Q2128" s="104">
        <f t="shared" si="66"/>
        <v>24340</v>
      </c>
      <c r="R2128" s="95">
        <f t="shared" si="67"/>
        <v>20689</v>
      </c>
    </row>
    <row r="2129" spans="1:18" ht="34.049999999999997" customHeight="1" x14ac:dyDescent="0.3">
      <c r="A2129" s="90">
        <v>2118</v>
      </c>
      <c r="B2129" s="91" t="s">
        <v>6685</v>
      </c>
      <c r="C2129" s="91" t="s">
        <v>7325</v>
      </c>
      <c r="D2129" s="93" t="s">
        <v>7174</v>
      </c>
      <c r="E2129" s="91">
        <v>2023</v>
      </c>
      <c r="F2129" s="91" t="s">
        <v>19</v>
      </c>
      <c r="G2129" s="91" t="s">
        <v>7175</v>
      </c>
      <c r="H2129" s="91" t="s">
        <v>6828</v>
      </c>
      <c r="I2129" s="91" t="s">
        <v>1702</v>
      </c>
      <c r="J2129" s="91">
        <v>2900</v>
      </c>
      <c r="K2129" s="91">
        <v>0</v>
      </c>
      <c r="L2129" s="91">
        <v>0</v>
      </c>
      <c r="M2129" s="91">
        <v>0</v>
      </c>
      <c r="N2129" s="91">
        <v>1681</v>
      </c>
      <c r="O2129" s="91">
        <v>0</v>
      </c>
      <c r="P2129" s="91">
        <f>720+112</f>
        <v>832</v>
      </c>
      <c r="Q2129" s="104">
        <f t="shared" si="66"/>
        <v>5413</v>
      </c>
      <c r="R2129" s="95">
        <f t="shared" si="67"/>
        <v>4601.05</v>
      </c>
    </row>
    <row r="2130" spans="1:18" ht="34.049999999999997" customHeight="1" x14ac:dyDescent="0.3">
      <c r="A2130" s="90">
        <v>2119</v>
      </c>
      <c r="B2130" s="91" t="s">
        <v>6948</v>
      </c>
      <c r="C2130" s="91" t="s">
        <v>6949</v>
      </c>
      <c r="D2130" s="91" t="s">
        <v>6950</v>
      </c>
      <c r="E2130" s="91">
        <v>2022</v>
      </c>
      <c r="F2130" s="91" t="s">
        <v>18</v>
      </c>
      <c r="G2130" s="91" t="s">
        <v>7066</v>
      </c>
      <c r="H2130" s="91" t="s">
        <v>7117</v>
      </c>
      <c r="I2130" s="91" t="s">
        <v>1699</v>
      </c>
      <c r="J2130" s="91">
        <v>6199</v>
      </c>
      <c r="K2130" s="91">
        <f>6278+4484+2332+1346+2332+2332+2332+2332+6995+6995+2332+6995+2332+4484</f>
        <v>53901</v>
      </c>
      <c r="L2130" s="91">
        <v>0</v>
      </c>
      <c r="M2130" s="91">
        <v>0</v>
      </c>
      <c r="N2130" s="91">
        <v>3148</v>
      </c>
      <c r="O2130" s="91">
        <v>0</v>
      </c>
      <c r="P2130" s="91">
        <v>0</v>
      </c>
      <c r="Q2130" s="104">
        <f t="shared" si="66"/>
        <v>63248</v>
      </c>
      <c r="R2130" s="95">
        <f t="shared" si="67"/>
        <v>53760.800000000003</v>
      </c>
    </row>
    <row r="2131" spans="1:18" ht="34.049999999999997" customHeight="1" x14ac:dyDescent="0.3">
      <c r="A2131" s="96">
        <v>2120</v>
      </c>
      <c r="B2131" s="91" t="s">
        <v>6948</v>
      </c>
      <c r="C2131" s="91" t="s">
        <v>6951</v>
      </c>
      <c r="D2131" s="91" t="s">
        <v>6952</v>
      </c>
      <c r="E2131" s="91">
        <v>1975</v>
      </c>
      <c r="F2131" s="91" t="s">
        <v>18</v>
      </c>
      <c r="G2131" s="91" t="s">
        <v>7067</v>
      </c>
      <c r="H2131" s="91" t="s">
        <v>7067</v>
      </c>
      <c r="I2131" s="91" t="s">
        <v>3683</v>
      </c>
      <c r="J2131" s="91">
        <v>6199</v>
      </c>
      <c r="K2131" s="91">
        <v>0</v>
      </c>
      <c r="L2131" s="91">
        <v>0</v>
      </c>
      <c r="M2131" s="91">
        <v>0</v>
      </c>
      <c r="N2131" s="91">
        <v>0</v>
      </c>
      <c r="O2131" s="91">
        <v>0</v>
      </c>
      <c r="P2131" s="91">
        <v>0</v>
      </c>
      <c r="Q2131" s="104">
        <f t="shared" si="66"/>
        <v>6199</v>
      </c>
      <c r="R2131" s="95">
        <f t="shared" si="67"/>
        <v>5269.15</v>
      </c>
    </row>
    <row r="2132" spans="1:18" ht="34.049999999999997" customHeight="1" x14ac:dyDescent="0.3">
      <c r="A2132" s="90">
        <v>2121</v>
      </c>
      <c r="B2132" s="91" t="s">
        <v>6948</v>
      </c>
      <c r="C2132" s="91" t="s">
        <v>6953</v>
      </c>
      <c r="D2132" s="91" t="s">
        <v>6954</v>
      </c>
      <c r="E2132" s="91">
        <v>2020</v>
      </c>
      <c r="F2132" s="91" t="s">
        <v>18</v>
      </c>
      <c r="G2132" s="91" t="s">
        <v>7068</v>
      </c>
      <c r="H2132" s="91" t="s">
        <v>7118</v>
      </c>
      <c r="I2132" s="91" t="s">
        <v>3936</v>
      </c>
      <c r="J2132" s="91">
        <v>6199</v>
      </c>
      <c r="K2132" s="91">
        <f>6278+4484+1346+2332+2332+2332+2332+2332+6995+6995+2332+6995+2332+4484+2801+1166</f>
        <v>57868</v>
      </c>
      <c r="L2132" s="91">
        <v>0</v>
      </c>
      <c r="M2132" s="91">
        <v>0</v>
      </c>
      <c r="N2132" s="91">
        <v>3148</v>
      </c>
      <c r="O2132" s="91">
        <v>0</v>
      </c>
      <c r="P2132" s="91">
        <v>0</v>
      </c>
      <c r="Q2132" s="104">
        <f t="shared" si="66"/>
        <v>67215</v>
      </c>
      <c r="R2132" s="95">
        <f t="shared" si="67"/>
        <v>57132.75</v>
      </c>
    </row>
    <row r="2133" spans="1:18" ht="34.049999999999997" customHeight="1" x14ac:dyDescent="0.3">
      <c r="A2133" s="90">
        <v>2122</v>
      </c>
      <c r="B2133" s="91" t="s">
        <v>6948</v>
      </c>
      <c r="C2133" s="91" t="s">
        <v>6955</v>
      </c>
      <c r="D2133" s="91" t="s">
        <v>3185</v>
      </c>
      <c r="E2133" s="91">
        <v>1983</v>
      </c>
      <c r="F2133" s="91" t="s">
        <v>18</v>
      </c>
      <c r="G2133" s="91" t="s">
        <v>3258</v>
      </c>
      <c r="H2133" s="91" t="s">
        <v>3258</v>
      </c>
      <c r="I2133" s="91" t="s">
        <v>565</v>
      </c>
      <c r="J2133" s="91">
        <v>0</v>
      </c>
      <c r="K2133" s="91">
        <v>1346</v>
      </c>
      <c r="L2133" s="91">
        <v>0</v>
      </c>
      <c r="M2133" s="91">
        <v>0</v>
      </c>
      <c r="N2133" s="91">
        <f>1793+3179+1178+1681</f>
        <v>7831</v>
      </c>
      <c r="O2133" s="91">
        <v>0</v>
      </c>
      <c r="P2133" s="91">
        <f>312+56+1200+660+720+120+360</f>
        <v>3428</v>
      </c>
      <c r="Q2133" s="104">
        <f t="shared" si="66"/>
        <v>12605</v>
      </c>
      <c r="R2133" s="95">
        <f t="shared" si="67"/>
        <v>10714.25</v>
      </c>
    </row>
    <row r="2134" spans="1:18" ht="34.049999999999997" customHeight="1" x14ac:dyDescent="0.3">
      <c r="A2134" s="96">
        <v>2123</v>
      </c>
      <c r="B2134" s="91" t="s">
        <v>6948</v>
      </c>
      <c r="C2134" s="91" t="s">
        <v>6956</v>
      </c>
      <c r="D2134" s="91" t="s">
        <v>4464</v>
      </c>
      <c r="E2134" s="91">
        <v>1989</v>
      </c>
      <c r="F2134" s="91" t="s">
        <v>18</v>
      </c>
      <c r="G2134" s="91" t="s">
        <v>4548</v>
      </c>
      <c r="H2134" s="91" t="s">
        <v>4590</v>
      </c>
      <c r="I2134" s="91" t="s">
        <v>3102</v>
      </c>
      <c r="J2134" s="91">
        <v>3793</v>
      </c>
      <c r="K2134" s="91">
        <v>0</v>
      </c>
      <c r="L2134" s="91">
        <v>0</v>
      </c>
      <c r="M2134" s="91">
        <v>0</v>
      </c>
      <c r="N2134" s="91">
        <v>0</v>
      </c>
      <c r="O2134" s="91">
        <v>0</v>
      </c>
      <c r="P2134" s="91">
        <v>0</v>
      </c>
      <c r="Q2134" s="104">
        <f t="shared" si="66"/>
        <v>3793</v>
      </c>
      <c r="R2134" s="95">
        <f t="shared" si="67"/>
        <v>3224.05</v>
      </c>
    </row>
    <row r="2135" spans="1:18" ht="34.049999999999997" customHeight="1" x14ac:dyDescent="0.3">
      <c r="A2135" s="90">
        <v>2124</v>
      </c>
      <c r="B2135" s="91" t="s">
        <v>6948</v>
      </c>
      <c r="C2135" s="91" t="s">
        <v>6957</v>
      </c>
      <c r="D2135" s="91" t="s">
        <v>6958</v>
      </c>
      <c r="E2135" s="91">
        <v>2025</v>
      </c>
      <c r="F2135" s="91" t="s">
        <v>19</v>
      </c>
      <c r="G2135" s="91" t="s">
        <v>6619</v>
      </c>
      <c r="H2135" s="91" t="s">
        <v>7119</v>
      </c>
      <c r="I2135" s="91" t="s">
        <v>7150</v>
      </c>
      <c r="J2135" s="91">
        <v>6199</v>
      </c>
      <c r="K2135" s="91">
        <v>0</v>
      </c>
      <c r="L2135" s="91">
        <v>0</v>
      </c>
      <c r="M2135" s="91">
        <v>0</v>
      </c>
      <c r="N2135" s="91">
        <v>0</v>
      </c>
      <c r="O2135" s="91">
        <v>0</v>
      </c>
      <c r="P2135" s="91">
        <v>0</v>
      </c>
      <c r="Q2135" s="104">
        <f t="shared" si="66"/>
        <v>6199</v>
      </c>
      <c r="R2135" s="95">
        <f t="shared" si="67"/>
        <v>5269.15</v>
      </c>
    </row>
    <row r="2136" spans="1:18" ht="34.049999999999997" customHeight="1" x14ac:dyDescent="0.3">
      <c r="A2136" s="90">
        <v>2125</v>
      </c>
      <c r="B2136" s="91" t="s">
        <v>6948</v>
      </c>
      <c r="C2136" s="91" t="s">
        <v>6959</v>
      </c>
      <c r="D2136" s="91" t="s">
        <v>6960</v>
      </c>
      <c r="E2136" s="91">
        <v>1986</v>
      </c>
      <c r="F2136" s="91" t="s">
        <v>18</v>
      </c>
      <c r="G2136" s="91" t="s">
        <v>7069</v>
      </c>
      <c r="H2136" s="91" t="s">
        <v>7120</v>
      </c>
      <c r="I2136" s="91" t="s">
        <v>7151</v>
      </c>
      <c r="J2136" s="91">
        <v>6199</v>
      </c>
      <c r="K2136" s="91">
        <v>0</v>
      </c>
      <c r="L2136" s="91">
        <v>0</v>
      </c>
      <c r="M2136" s="91">
        <v>0</v>
      </c>
      <c r="N2136" s="91">
        <f>15443+34016+27380</f>
        <v>76839</v>
      </c>
      <c r="O2136" s="91">
        <v>0</v>
      </c>
      <c r="P2136" s="91">
        <v>0</v>
      </c>
      <c r="Q2136" s="104">
        <f t="shared" si="66"/>
        <v>83038</v>
      </c>
      <c r="R2136" s="95">
        <f t="shared" si="67"/>
        <v>70582.3</v>
      </c>
    </row>
    <row r="2137" spans="1:18" ht="34.049999999999997" customHeight="1" x14ac:dyDescent="0.3">
      <c r="A2137" s="96">
        <v>2126</v>
      </c>
      <c r="B2137" s="91" t="s">
        <v>6948</v>
      </c>
      <c r="C2137" s="91" t="s">
        <v>6961</v>
      </c>
      <c r="D2137" s="91" t="s">
        <v>6962</v>
      </c>
      <c r="E2137" s="91">
        <v>2014</v>
      </c>
      <c r="F2137" s="91" t="s">
        <v>18</v>
      </c>
      <c r="G2137" s="91" t="s">
        <v>7070</v>
      </c>
      <c r="H2137" s="91" t="s">
        <v>6640</v>
      </c>
      <c r="I2137" s="91" t="s">
        <v>7152</v>
      </c>
      <c r="J2137" s="91">
        <v>6199</v>
      </c>
      <c r="K2137" s="91">
        <v>0</v>
      </c>
      <c r="L2137" s="91">
        <v>0</v>
      </c>
      <c r="M2137" s="91">
        <v>0</v>
      </c>
      <c r="N2137" s="91">
        <v>0</v>
      </c>
      <c r="O2137" s="91">
        <v>0</v>
      </c>
      <c r="P2137" s="91">
        <v>0</v>
      </c>
      <c r="Q2137" s="104">
        <f t="shared" si="66"/>
        <v>6199</v>
      </c>
      <c r="R2137" s="95">
        <f t="shared" si="67"/>
        <v>5269.15</v>
      </c>
    </row>
    <row r="2138" spans="1:18" ht="34.049999999999997" customHeight="1" x14ac:dyDescent="0.3">
      <c r="A2138" s="90">
        <v>2127</v>
      </c>
      <c r="B2138" s="91" t="s">
        <v>6948</v>
      </c>
      <c r="C2138" s="91" t="s">
        <v>6963</v>
      </c>
      <c r="D2138" s="91" t="s">
        <v>6964</v>
      </c>
      <c r="E2138" s="91">
        <v>2022</v>
      </c>
      <c r="F2138" s="91" t="s">
        <v>18</v>
      </c>
      <c r="G2138" s="91" t="s">
        <v>7071</v>
      </c>
      <c r="H2138" s="91" t="s">
        <v>7121</v>
      </c>
      <c r="I2138" s="91" t="s">
        <v>289</v>
      </c>
      <c r="J2138" s="91">
        <v>6199</v>
      </c>
      <c r="K2138" s="91">
        <f>6278+4484+2332+1346+2332+2332+2332+2332+6995+6995+2332+6995+4484+2332</f>
        <v>53901</v>
      </c>
      <c r="L2138" s="91">
        <v>0</v>
      </c>
      <c r="M2138" s="91">
        <v>0</v>
      </c>
      <c r="N2138" s="91">
        <v>3148</v>
      </c>
      <c r="O2138" s="91">
        <v>0</v>
      </c>
      <c r="P2138" s="91">
        <v>0</v>
      </c>
      <c r="Q2138" s="104">
        <f t="shared" si="66"/>
        <v>63248</v>
      </c>
      <c r="R2138" s="95">
        <f t="shared" si="67"/>
        <v>53760.800000000003</v>
      </c>
    </row>
    <row r="2139" spans="1:18" ht="34.049999999999997" customHeight="1" x14ac:dyDescent="0.3">
      <c r="A2139" s="90">
        <v>2128</v>
      </c>
      <c r="B2139" s="91" t="s">
        <v>6948</v>
      </c>
      <c r="C2139" s="91" t="s">
        <v>6965</v>
      </c>
      <c r="D2139" s="91" t="s">
        <v>3967</v>
      </c>
      <c r="E2139" s="91">
        <v>2021</v>
      </c>
      <c r="F2139" s="91" t="s">
        <v>18</v>
      </c>
      <c r="G2139" s="91" t="s">
        <v>4098</v>
      </c>
      <c r="H2139" s="91" t="s">
        <v>4163</v>
      </c>
      <c r="I2139" s="91" t="s">
        <v>1698</v>
      </c>
      <c r="J2139" s="91">
        <v>3793</v>
      </c>
      <c r="K2139" s="91">
        <v>0</v>
      </c>
      <c r="L2139" s="91">
        <v>0</v>
      </c>
      <c r="M2139" s="91">
        <v>0</v>
      </c>
      <c r="N2139" s="91">
        <v>0</v>
      </c>
      <c r="O2139" s="91">
        <v>0</v>
      </c>
      <c r="P2139" s="91">
        <v>0</v>
      </c>
      <c r="Q2139" s="104">
        <f t="shared" si="66"/>
        <v>3793</v>
      </c>
      <c r="R2139" s="95">
        <f t="shared" si="67"/>
        <v>3224.05</v>
      </c>
    </row>
    <row r="2140" spans="1:18" ht="34.049999999999997" customHeight="1" x14ac:dyDescent="0.3">
      <c r="A2140" s="96">
        <v>2129</v>
      </c>
      <c r="B2140" s="91" t="s">
        <v>6948</v>
      </c>
      <c r="C2140" s="91" t="s">
        <v>6966</v>
      </c>
      <c r="D2140" s="91" t="s">
        <v>6967</v>
      </c>
      <c r="E2140" s="91">
        <v>2001</v>
      </c>
      <c r="F2140" s="91" t="s">
        <v>19</v>
      </c>
      <c r="G2140" s="91" t="s">
        <v>7072</v>
      </c>
      <c r="H2140" s="91" t="s">
        <v>7072</v>
      </c>
      <c r="I2140" s="91" t="s">
        <v>6668</v>
      </c>
      <c r="J2140" s="91">
        <v>6199</v>
      </c>
      <c r="K2140" s="91">
        <f>2332+2332+3587+2243</f>
        <v>10494</v>
      </c>
      <c r="L2140" s="91">
        <v>20807</v>
      </c>
      <c r="M2140" s="91">
        <v>0</v>
      </c>
      <c r="N2140" s="91">
        <v>0</v>
      </c>
      <c r="O2140" s="91">
        <v>0</v>
      </c>
      <c r="P2140" s="91">
        <v>0</v>
      </c>
      <c r="Q2140" s="104">
        <f t="shared" si="66"/>
        <v>37500</v>
      </c>
      <c r="R2140" s="95">
        <f t="shared" si="67"/>
        <v>31875</v>
      </c>
    </row>
    <row r="2141" spans="1:18" ht="34.049999999999997" customHeight="1" x14ac:dyDescent="0.3">
      <c r="A2141" s="90">
        <v>2130</v>
      </c>
      <c r="B2141" s="91" t="s">
        <v>6948</v>
      </c>
      <c r="C2141" s="91" t="s">
        <v>6968</v>
      </c>
      <c r="D2141" s="91" t="s">
        <v>6969</v>
      </c>
      <c r="E2141" s="91">
        <v>1989</v>
      </c>
      <c r="F2141" s="91" t="s">
        <v>19</v>
      </c>
      <c r="G2141" s="91" t="s">
        <v>7073</v>
      </c>
      <c r="H2141" s="91" t="s">
        <v>7122</v>
      </c>
      <c r="I2141" s="91" t="s">
        <v>7153</v>
      </c>
      <c r="J2141" s="91">
        <v>6199</v>
      </c>
      <c r="K2141" s="91">
        <f>2332+2332+2243+1346</f>
        <v>8253</v>
      </c>
      <c r="L2141" s="91">
        <v>0</v>
      </c>
      <c r="M2141" s="91">
        <v>0</v>
      </c>
      <c r="N2141" s="91">
        <v>0</v>
      </c>
      <c r="O2141" s="91">
        <v>0</v>
      </c>
      <c r="P2141" s="91">
        <v>0</v>
      </c>
      <c r="Q2141" s="104">
        <f t="shared" si="66"/>
        <v>14452</v>
      </c>
      <c r="R2141" s="95">
        <f t="shared" si="67"/>
        <v>12284.2</v>
      </c>
    </row>
    <row r="2142" spans="1:18" ht="34.049999999999997" customHeight="1" x14ac:dyDescent="0.3">
      <c r="A2142" s="90">
        <v>2131</v>
      </c>
      <c r="B2142" s="91" t="s">
        <v>6948</v>
      </c>
      <c r="C2142" s="91" t="s">
        <v>6970</v>
      </c>
      <c r="D2142" s="91" t="s">
        <v>6971</v>
      </c>
      <c r="E2142" s="91">
        <v>2006</v>
      </c>
      <c r="F2142" s="91" t="s">
        <v>19</v>
      </c>
      <c r="G2142" s="91" t="s">
        <v>7074</v>
      </c>
      <c r="H2142" s="91" t="s">
        <v>7123</v>
      </c>
      <c r="I2142" s="91" t="s">
        <v>7154</v>
      </c>
      <c r="J2142" s="91">
        <v>6199</v>
      </c>
      <c r="K2142" s="91">
        <f>6278+4484+1346+2332+2332+2243</f>
        <v>19015</v>
      </c>
      <c r="L2142" s="91">
        <v>0</v>
      </c>
      <c r="M2142" s="91">
        <v>0</v>
      </c>
      <c r="N2142" s="91">
        <v>1793</v>
      </c>
      <c r="O2142" s="91">
        <v>0</v>
      </c>
      <c r="P2142" s="91">
        <v>0</v>
      </c>
      <c r="Q2142" s="104">
        <f t="shared" si="66"/>
        <v>27007</v>
      </c>
      <c r="R2142" s="95">
        <f t="shared" si="67"/>
        <v>22955.95</v>
      </c>
    </row>
    <row r="2143" spans="1:18" ht="34.049999999999997" customHeight="1" x14ac:dyDescent="0.3">
      <c r="A2143" s="96">
        <v>2132</v>
      </c>
      <c r="B2143" s="91" t="s">
        <v>6948</v>
      </c>
      <c r="C2143" s="91" t="s">
        <v>6972</v>
      </c>
      <c r="D2143" s="91" t="s">
        <v>6973</v>
      </c>
      <c r="E2143" s="91">
        <v>2022</v>
      </c>
      <c r="F2143" s="91" t="s">
        <v>19</v>
      </c>
      <c r="G2143" s="91" t="s">
        <v>7075</v>
      </c>
      <c r="H2143" s="91" t="s">
        <v>7124</v>
      </c>
      <c r="I2143" s="91" t="s">
        <v>282</v>
      </c>
      <c r="J2143" s="91">
        <v>6199</v>
      </c>
      <c r="K2143" s="91">
        <v>0</v>
      </c>
      <c r="L2143" s="91">
        <v>0</v>
      </c>
      <c r="M2143" s="91">
        <v>0</v>
      </c>
      <c r="N2143" s="91">
        <v>0</v>
      </c>
      <c r="O2143" s="91">
        <v>0</v>
      </c>
      <c r="P2143" s="91">
        <v>0</v>
      </c>
      <c r="Q2143" s="104">
        <f t="shared" si="66"/>
        <v>6199</v>
      </c>
      <c r="R2143" s="95">
        <f t="shared" si="67"/>
        <v>5269.15</v>
      </c>
    </row>
    <row r="2144" spans="1:18" ht="34.049999999999997" customHeight="1" x14ac:dyDescent="0.3">
      <c r="A2144" s="90">
        <v>2133</v>
      </c>
      <c r="B2144" s="91" t="s">
        <v>6948</v>
      </c>
      <c r="C2144" s="91" t="s">
        <v>6974</v>
      </c>
      <c r="D2144" s="91" t="s">
        <v>6975</v>
      </c>
      <c r="E2144" s="91">
        <v>1983</v>
      </c>
      <c r="F2144" s="91" t="s">
        <v>18</v>
      </c>
      <c r="G2144" s="91" t="s">
        <v>7076</v>
      </c>
      <c r="H2144" s="91" t="s">
        <v>7125</v>
      </c>
      <c r="I2144" s="91" t="s">
        <v>282</v>
      </c>
      <c r="J2144" s="91">
        <v>6199</v>
      </c>
      <c r="K2144" s="91">
        <v>0</v>
      </c>
      <c r="L2144" s="91">
        <v>0</v>
      </c>
      <c r="M2144" s="91">
        <v>0</v>
      </c>
      <c r="N2144" s="91">
        <v>0</v>
      </c>
      <c r="O2144" s="91">
        <v>0</v>
      </c>
      <c r="P2144" s="91">
        <v>0</v>
      </c>
      <c r="Q2144" s="104">
        <f t="shared" si="66"/>
        <v>6199</v>
      </c>
      <c r="R2144" s="95">
        <f t="shared" si="67"/>
        <v>5269.15</v>
      </c>
    </row>
    <row r="2145" spans="1:23" ht="34.049999999999997" customHeight="1" x14ac:dyDescent="0.3">
      <c r="A2145" s="90">
        <v>2134</v>
      </c>
      <c r="B2145" s="91" t="s">
        <v>6948</v>
      </c>
      <c r="C2145" s="91" t="s">
        <v>6976</v>
      </c>
      <c r="D2145" s="91" t="s">
        <v>6977</v>
      </c>
      <c r="E2145" s="91">
        <v>2024</v>
      </c>
      <c r="F2145" s="91" t="s">
        <v>18</v>
      </c>
      <c r="G2145" s="91" t="s">
        <v>7077</v>
      </c>
      <c r="H2145" s="91" t="s">
        <v>7126</v>
      </c>
      <c r="I2145" s="91" t="s">
        <v>6934</v>
      </c>
      <c r="J2145" s="91">
        <v>6199</v>
      </c>
      <c r="K2145" s="91">
        <f>6278+4484</f>
        <v>10762</v>
      </c>
      <c r="L2145" s="91">
        <v>0</v>
      </c>
      <c r="M2145" s="91">
        <v>0</v>
      </c>
      <c r="N2145" s="91">
        <v>3148</v>
      </c>
      <c r="O2145" s="91">
        <v>0</v>
      </c>
      <c r="P2145" s="91">
        <v>0</v>
      </c>
      <c r="Q2145" s="104">
        <f t="shared" si="66"/>
        <v>20109</v>
      </c>
      <c r="R2145" s="95">
        <f t="shared" si="67"/>
        <v>17092.650000000001</v>
      </c>
    </row>
    <row r="2146" spans="1:23" ht="34.049999999999997" customHeight="1" x14ac:dyDescent="0.3">
      <c r="A2146" s="96">
        <v>2135</v>
      </c>
      <c r="B2146" s="91" t="s">
        <v>6948</v>
      </c>
      <c r="C2146" s="91" t="s">
        <v>6978</v>
      </c>
      <c r="D2146" s="91" t="s">
        <v>6979</v>
      </c>
      <c r="E2146" s="91">
        <v>1996</v>
      </c>
      <c r="F2146" s="91" t="s">
        <v>19</v>
      </c>
      <c r="G2146" s="91" t="s">
        <v>7078</v>
      </c>
      <c r="H2146" s="91" t="s">
        <v>7078</v>
      </c>
      <c r="I2146" s="91" t="s">
        <v>283</v>
      </c>
      <c r="J2146" s="91">
        <v>6199</v>
      </c>
      <c r="K2146" s="91">
        <v>0</v>
      </c>
      <c r="L2146" s="91">
        <v>0</v>
      </c>
      <c r="M2146" s="91">
        <v>0</v>
      </c>
      <c r="N2146" s="91">
        <v>0</v>
      </c>
      <c r="O2146" s="91">
        <v>0</v>
      </c>
      <c r="P2146" s="91">
        <v>0</v>
      </c>
      <c r="Q2146" s="104">
        <f t="shared" si="66"/>
        <v>6199</v>
      </c>
      <c r="R2146" s="95">
        <f t="shared" si="67"/>
        <v>5269.15</v>
      </c>
    </row>
    <row r="2147" spans="1:23" ht="34.049999999999997" customHeight="1" x14ac:dyDescent="0.3">
      <c r="A2147" s="90">
        <v>2136</v>
      </c>
      <c r="B2147" s="91" t="s">
        <v>6948</v>
      </c>
      <c r="C2147" s="91" t="s">
        <v>6980</v>
      </c>
      <c r="D2147" s="91" t="s">
        <v>6981</v>
      </c>
      <c r="E2147" s="91">
        <v>2024</v>
      </c>
      <c r="F2147" s="91" t="s">
        <v>18</v>
      </c>
      <c r="G2147" s="91" t="s">
        <v>7079</v>
      </c>
      <c r="H2147" s="91" t="s">
        <v>7078</v>
      </c>
      <c r="I2147" s="91" t="s">
        <v>283</v>
      </c>
      <c r="J2147" s="91">
        <v>6199</v>
      </c>
      <c r="K2147" s="91">
        <v>0</v>
      </c>
      <c r="L2147" s="91">
        <v>0</v>
      </c>
      <c r="M2147" s="91">
        <v>0</v>
      </c>
      <c r="N2147" s="91">
        <v>0</v>
      </c>
      <c r="O2147" s="91">
        <v>0</v>
      </c>
      <c r="P2147" s="91">
        <v>0</v>
      </c>
      <c r="Q2147" s="104">
        <f t="shared" si="66"/>
        <v>6199</v>
      </c>
      <c r="R2147" s="95">
        <f t="shared" si="67"/>
        <v>5269.15</v>
      </c>
    </row>
    <row r="2148" spans="1:23" ht="34.049999999999997" customHeight="1" x14ac:dyDescent="0.3">
      <c r="A2148" s="90">
        <v>2137</v>
      </c>
      <c r="B2148" s="91" t="s">
        <v>6948</v>
      </c>
      <c r="C2148" s="91" t="s">
        <v>6982</v>
      </c>
      <c r="D2148" s="91" t="s">
        <v>6983</v>
      </c>
      <c r="E2148" s="91">
        <v>2022</v>
      </c>
      <c r="F2148" s="91" t="s">
        <v>19</v>
      </c>
      <c r="G2148" s="91" t="s">
        <v>7080</v>
      </c>
      <c r="H2148" s="91" t="s">
        <v>7078</v>
      </c>
      <c r="I2148" s="91" t="s">
        <v>283</v>
      </c>
      <c r="J2148" s="91">
        <v>6199</v>
      </c>
      <c r="K2148" s="91">
        <v>0</v>
      </c>
      <c r="L2148" s="91">
        <v>0</v>
      </c>
      <c r="M2148" s="91">
        <v>0</v>
      </c>
      <c r="N2148" s="91">
        <v>0</v>
      </c>
      <c r="O2148" s="91">
        <v>0</v>
      </c>
      <c r="P2148" s="91">
        <v>0</v>
      </c>
      <c r="Q2148" s="104">
        <f t="shared" si="66"/>
        <v>6199</v>
      </c>
      <c r="R2148" s="95">
        <f t="shared" si="67"/>
        <v>5269.15</v>
      </c>
    </row>
    <row r="2149" spans="1:23" ht="34.049999999999997" customHeight="1" x14ac:dyDescent="0.3">
      <c r="A2149" s="96">
        <v>2138</v>
      </c>
      <c r="B2149" s="91" t="s">
        <v>6948</v>
      </c>
      <c r="C2149" s="91" t="s">
        <v>6984</v>
      </c>
      <c r="D2149" s="91" t="s">
        <v>6985</v>
      </c>
      <c r="E2149" s="91">
        <v>1994</v>
      </c>
      <c r="F2149" s="91" t="s">
        <v>19</v>
      </c>
      <c r="G2149" s="91" t="s">
        <v>7081</v>
      </c>
      <c r="H2149" s="91" t="s">
        <v>7127</v>
      </c>
      <c r="I2149" s="91" t="s">
        <v>7155</v>
      </c>
      <c r="J2149" s="91">
        <v>6199</v>
      </c>
      <c r="K2149" s="91">
        <v>0</v>
      </c>
      <c r="L2149" s="91">
        <v>0</v>
      </c>
      <c r="M2149" s="91">
        <v>0</v>
      </c>
      <c r="N2149" s="91">
        <v>0</v>
      </c>
      <c r="O2149" s="91">
        <v>0</v>
      </c>
      <c r="P2149" s="91">
        <v>0</v>
      </c>
      <c r="Q2149" s="104">
        <f t="shared" si="66"/>
        <v>6199</v>
      </c>
      <c r="R2149" s="95">
        <f t="shared" si="67"/>
        <v>5269.15</v>
      </c>
    </row>
    <row r="2150" spans="1:23" ht="34.049999999999997" customHeight="1" x14ac:dyDescent="0.3">
      <c r="A2150" s="90">
        <v>2139</v>
      </c>
      <c r="B2150" s="91" t="s">
        <v>6948</v>
      </c>
      <c r="C2150" s="91" t="s">
        <v>6986</v>
      </c>
      <c r="D2150" s="91" t="s">
        <v>6987</v>
      </c>
      <c r="E2150" s="91">
        <v>1995</v>
      </c>
      <c r="F2150" s="91" t="s">
        <v>19</v>
      </c>
      <c r="G2150" s="91" t="s">
        <v>7082</v>
      </c>
      <c r="H2150" s="91" t="s">
        <v>7082</v>
      </c>
      <c r="I2150" s="91" t="s">
        <v>2131</v>
      </c>
      <c r="J2150" s="91">
        <v>6199</v>
      </c>
      <c r="K2150" s="91">
        <f>2332+2332+2243+3587</f>
        <v>10494</v>
      </c>
      <c r="L2150" s="91">
        <v>0</v>
      </c>
      <c r="M2150" s="91">
        <v>0</v>
      </c>
      <c r="N2150" s="91">
        <v>0</v>
      </c>
      <c r="O2150" s="91">
        <v>0</v>
      </c>
      <c r="P2150" s="91">
        <v>0</v>
      </c>
      <c r="Q2150" s="104">
        <f t="shared" si="66"/>
        <v>16693</v>
      </c>
      <c r="R2150" s="95">
        <f t="shared" si="67"/>
        <v>14189.05</v>
      </c>
    </row>
    <row r="2151" spans="1:23" ht="34.049999999999997" customHeight="1" x14ac:dyDescent="0.3">
      <c r="A2151" s="90">
        <v>2140</v>
      </c>
      <c r="B2151" s="91" t="s">
        <v>6948</v>
      </c>
      <c r="C2151" s="91" t="s">
        <v>6988</v>
      </c>
      <c r="D2151" s="91" t="s">
        <v>6989</v>
      </c>
      <c r="E2151" s="91">
        <v>2002</v>
      </c>
      <c r="F2151" s="91" t="s">
        <v>19</v>
      </c>
      <c r="G2151" s="91" t="s">
        <v>7083</v>
      </c>
      <c r="H2151" s="91" t="s">
        <v>7128</v>
      </c>
      <c r="I2151" s="91" t="s">
        <v>1257</v>
      </c>
      <c r="J2151" s="91">
        <v>6199</v>
      </c>
      <c r="K2151" s="91">
        <v>0</v>
      </c>
      <c r="L2151" s="91"/>
      <c r="M2151" s="91">
        <v>0</v>
      </c>
      <c r="N2151" s="91">
        <v>0</v>
      </c>
      <c r="O2151" s="91">
        <v>0</v>
      </c>
      <c r="P2151" s="91">
        <v>0</v>
      </c>
      <c r="Q2151" s="104">
        <f t="shared" si="66"/>
        <v>6199</v>
      </c>
      <c r="R2151" s="95">
        <f t="shared" si="67"/>
        <v>5269.15</v>
      </c>
    </row>
    <row r="2152" spans="1:23" ht="34.049999999999997" customHeight="1" x14ac:dyDescent="0.3">
      <c r="A2152" s="96">
        <v>2141</v>
      </c>
      <c r="B2152" s="91" t="s">
        <v>6948</v>
      </c>
      <c r="C2152" s="91" t="s">
        <v>6990</v>
      </c>
      <c r="D2152" s="91" t="s">
        <v>412</v>
      </c>
      <c r="E2152" s="91">
        <v>2025</v>
      </c>
      <c r="F2152" s="91" t="s">
        <v>19</v>
      </c>
      <c r="G2152" s="91" t="s">
        <v>7084</v>
      </c>
      <c r="H2152" s="91" t="s">
        <v>485</v>
      </c>
      <c r="I2152" s="91" t="s">
        <v>572</v>
      </c>
      <c r="J2152" s="91">
        <v>6199</v>
      </c>
      <c r="K2152" s="91">
        <v>0</v>
      </c>
      <c r="L2152" s="91">
        <v>0</v>
      </c>
      <c r="M2152" s="91">
        <v>0</v>
      </c>
      <c r="N2152" s="91">
        <v>0</v>
      </c>
      <c r="O2152" s="91">
        <v>0</v>
      </c>
      <c r="P2152" s="91">
        <v>0</v>
      </c>
      <c r="Q2152" s="104">
        <f t="shared" si="66"/>
        <v>6199</v>
      </c>
      <c r="R2152" s="95">
        <f t="shared" si="67"/>
        <v>5269.15</v>
      </c>
    </row>
    <row r="2153" spans="1:23" ht="34.049999999999997" customHeight="1" x14ac:dyDescent="0.3">
      <c r="A2153" s="90">
        <v>2142</v>
      </c>
      <c r="B2153" s="98" t="s">
        <v>6948</v>
      </c>
      <c r="C2153" s="98" t="s">
        <v>6991</v>
      </c>
      <c r="D2153" s="98" t="s">
        <v>6992</v>
      </c>
      <c r="E2153" s="98">
        <v>2023</v>
      </c>
      <c r="F2153" s="98" t="s">
        <v>19</v>
      </c>
      <c r="G2153" s="98" t="s">
        <v>7085</v>
      </c>
      <c r="H2153" s="98" t="s">
        <v>7129</v>
      </c>
      <c r="I2153" s="98" t="s">
        <v>1279</v>
      </c>
      <c r="J2153" s="98">
        <v>6199</v>
      </c>
      <c r="K2153" s="98">
        <v>0</v>
      </c>
      <c r="L2153" s="98">
        <v>0</v>
      </c>
      <c r="M2153" s="98">
        <v>0</v>
      </c>
      <c r="N2153" s="98">
        <f>15443+17918</f>
        <v>33361</v>
      </c>
      <c r="O2153" s="98">
        <v>0</v>
      </c>
      <c r="P2153" s="98">
        <v>0</v>
      </c>
      <c r="Q2153" s="106">
        <f t="shared" si="66"/>
        <v>39560</v>
      </c>
      <c r="R2153" s="95">
        <f t="shared" si="67"/>
        <v>33626</v>
      </c>
      <c r="S2153" s="41"/>
      <c r="T2153" s="41"/>
      <c r="U2153" s="41"/>
      <c r="V2153" s="41"/>
      <c r="W2153" s="41"/>
    </row>
    <row r="2154" spans="1:23" ht="34.049999999999997" customHeight="1" x14ac:dyDescent="0.3">
      <c r="A2154" s="90">
        <v>2143</v>
      </c>
      <c r="B2154" s="91" t="s">
        <v>6948</v>
      </c>
      <c r="C2154" s="91" t="s">
        <v>6993</v>
      </c>
      <c r="D2154" s="91" t="s">
        <v>6994</v>
      </c>
      <c r="E2154" s="91">
        <v>1972</v>
      </c>
      <c r="F2154" s="91" t="s">
        <v>19</v>
      </c>
      <c r="G2154" s="91" t="s">
        <v>7086</v>
      </c>
      <c r="H2154" s="91" t="s">
        <v>7086</v>
      </c>
      <c r="I2154" s="91" t="s">
        <v>7156</v>
      </c>
      <c r="J2154" s="91">
        <v>6199</v>
      </c>
      <c r="K2154" s="91">
        <f>2332+2332+2243+6278+4484+3000+3000+6995+2332+2332+2332+2332+3228+2332</f>
        <v>45552</v>
      </c>
      <c r="L2154" s="91">
        <v>0</v>
      </c>
      <c r="M2154" s="91">
        <v>0</v>
      </c>
      <c r="N2154" s="91">
        <v>1793</v>
      </c>
      <c r="O2154" s="91">
        <v>0</v>
      </c>
      <c r="P2154" s="91">
        <v>0</v>
      </c>
      <c r="Q2154" s="104">
        <f t="shared" si="66"/>
        <v>53544</v>
      </c>
      <c r="R2154" s="95">
        <f t="shared" si="67"/>
        <v>45512.4</v>
      </c>
    </row>
    <row r="2155" spans="1:23" ht="34.049999999999997" customHeight="1" x14ac:dyDescent="0.3">
      <c r="A2155" s="96">
        <v>2144</v>
      </c>
      <c r="B2155" s="91" t="s">
        <v>6948</v>
      </c>
      <c r="C2155" s="91" t="s">
        <v>6995</v>
      </c>
      <c r="D2155" s="91" t="s">
        <v>6996</v>
      </c>
      <c r="E2155" s="91">
        <v>2021</v>
      </c>
      <c r="F2155" s="91" t="s">
        <v>19</v>
      </c>
      <c r="G2155" s="91" t="s">
        <v>7087</v>
      </c>
      <c r="H2155" s="91" t="s">
        <v>7130</v>
      </c>
      <c r="I2155" s="91" t="s">
        <v>7157</v>
      </c>
      <c r="J2155" s="91">
        <v>6199</v>
      </c>
      <c r="K2155" s="91">
        <f>6278+4484+2332+1346+2332+2332+2332+2332+6995+6995+2332+6995+2332+4484</f>
        <v>53901</v>
      </c>
      <c r="L2155" s="91">
        <v>0</v>
      </c>
      <c r="M2155" s="91">
        <v>0</v>
      </c>
      <c r="N2155" s="91">
        <v>3148</v>
      </c>
      <c r="O2155" s="91">
        <v>0</v>
      </c>
      <c r="P2155" s="91">
        <v>0</v>
      </c>
      <c r="Q2155" s="104">
        <f t="shared" si="66"/>
        <v>63248</v>
      </c>
      <c r="R2155" s="95">
        <f t="shared" si="67"/>
        <v>53760.800000000003</v>
      </c>
    </row>
    <row r="2156" spans="1:23" ht="34.049999999999997" customHeight="1" x14ac:dyDescent="0.3">
      <c r="A2156" s="90">
        <v>2145</v>
      </c>
      <c r="B2156" s="91" t="s">
        <v>6948</v>
      </c>
      <c r="C2156" s="91" t="s">
        <v>6997</v>
      </c>
      <c r="D2156" s="91" t="s">
        <v>6998</v>
      </c>
      <c r="E2156" s="91">
        <v>1975</v>
      </c>
      <c r="F2156" s="91" t="s">
        <v>18</v>
      </c>
      <c r="G2156" s="91" t="s">
        <v>7088</v>
      </c>
      <c r="H2156" s="91" t="s">
        <v>7131</v>
      </c>
      <c r="I2156" s="91" t="s">
        <v>272</v>
      </c>
      <c r="J2156" s="91">
        <v>6199</v>
      </c>
      <c r="K2156" s="91">
        <f>6278+4484+1346+4484+2332+2332+2332+2332+2332+6995+3000+3000+3228+1166+6995+6995+2332+6995+2332+2332</f>
        <v>73622</v>
      </c>
      <c r="L2156" s="91">
        <v>0</v>
      </c>
      <c r="M2156" s="91">
        <v>0</v>
      </c>
      <c r="N2156" s="91">
        <v>1793</v>
      </c>
      <c r="O2156" s="91">
        <v>0</v>
      </c>
      <c r="P2156" s="91">
        <v>0</v>
      </c>
      <c r="Q2156" s="104">
        <f t="shared" si="66"/>
        <v>81614</v>
      </c>
      <c r="R2156" s="95">
        <f t="shared" si="67"/>
        <v>69371.899999999994</v>
      </c>
    </row>
    <row r="2157" spans="1:23" ht="34.049999999999997" customHeight="1" x14ac:dyDescent="0.3">
      <c r="A2157" s="90">
        <v>2146</v>
      </c>
      <c r="B2157" s="91" t="s">
        <v>6948</v>
      </c>
      <c r="C2157" s="91" t="s">
        <v>6999</v>
      </c>
      <c r="D2157" s="91" t="s">
        <v>7000</v>
      </c>
      <c r="E2157" s="91">
        <v>2024</v>
      </c>
      <c r="F2157" s="91" t="s">
        <v>19</v>
      </c>
      <c r="G2157" s="91" t="s">
        <v>7089</v>
      </c>
      <c r="H2157" s="91" t="s">
        <v>7132</v>
      </c>
      <c r="I2157" s="91" t="s">
        <v>7158</v>
      </c>
      <c r="J2157" s="91">
        <v>6199</v>
      </c>
      <c r="K2157" s="91">
        <v>0</v>
      </c>
      <c r="L2157" s="91">
        <v>0</v>
      </c>
      <c r="M2157" s="91">
        <v>0</v>
      </c>
      <c r="N2157" s="91">
        <v>0</v>
      </c>
      <c r="O2157" s="91">
        <v>0</v>
      </c>
      <c r="P2157" s="91">
        <v>0</v>
      </c>
      <c r="Q2157" s="104">
        <f t="shared" si="66"/>
        <v>6199</v>
      </c>
      <c r="R2157" s="95">
        <f t="shared" si="67"/>
        <v>5269.15</v>
      </c>
    </row>
    <row r="2158" spans="1:23" ht="34.049999999999997" customHeight="1" x14ac:dyDescent="0.3">
      <c r="A2158" s="96">
        <v>2147</v>
      </c>
      <c r="B2158" s="91" t="s">
        <v>6948</v>
      </c>
      <c r="C2158" s="91" t="s">
        <v>7001</v>
      </c>
      <c r="D2158" s="91" t="s">
        <v>7002</v>
      </c>
      <c r="E2158" s="91">
        <v>2022</v>
      </c>
      <c r="F2158" s="91" t="s">
        <v>19</v>
      </c>
      <c r="G2158" s="91" t="s">
        <v>7090</v>
      </c>
      <c r="H2158" s="91" t="s">
        <v>7133</v>
      </c>
      <c r="I2158" s="91" t="s">
        <v>1709</v>
      </c>
      <c r="J2158" s="91">
        <v>6199</v>
      </c>
      <c r="K2158" s="91">
        <f>6278+4484+2332+1346+2332+2332+2332+2332+6995+6995+2332+6995+2332+4484</f>
        <v>53901</v>
      </c>
      <c r="L2158" s="91">
        <v>0</v>
      </c>
      <c r="M2158" s="91">
        <v>0</v>
      </c>
      <c r="N2158" s="91">
        <v>3148</v>
      </c>
      <c r="O2158" s="91">
        <v>0</v>
      </c>
      <c r="P2158" s="91">
        <v>0</v>
      </c>
      <c r="Q2158" s="104">
        <f t="shared" si="66"/>
        <v>63248</v>
      </c>
      <c r="R2158" s="95">
        <f t="shared" si="67"/>
        <v>53760.800000000003</v>
      </c>
    </row>
    <row r="2159" spans="1:23" ht="34.049999999999997" customHeight="1" x14ac:dyDescent="0.3">
      <c r="A2159" s="90">
        <v>2148</v>
      </c>
      <c r="B2159" s="91" t="s">
        <v>6948</v>
      </c>
      <c r="C2159" s="91" t="s">
        <v>7003</v>
      </c>
      <c r="D2159" s="91" t="s">
        <v>7004</v>
      </c>
      <c r="E2159" s="91">
        <v>2003</v>
      </c>
      <c r="F2159" s="91" t="s">
        <v>19</v>
      </c>
      <c r="G2159" s="91" t="s">
        <v>7091</v>
      </c>
      <c r="H2159" s="91" t="s">
        <v>7134</v>
      </c>
      <c r="I2159" s="91" t="s">
        <v>7159</v>
      </c>
      <c r="J2159" s="91">
        <v>6199</v>
      </c>
      <c r="K2159" s="91">
        <v>0</v>
      </c>
      <c r="L2159" s="91">
        <v>0</v>
      </c>
      <c r="M2159" s="91">
        <v>0</v>
      </c>
      <c r="N2159" s="91">
        <v>0</v>
      </c>
      <c r="O2159" s="91">
        <v>0</v>
      </c>
      <c r="P2159" s="91">
        <v>0</v>
      </c>
      <c r="Q2159" s="104">
        <f t="shared" si="66"/>
        <v>6199</v>
      </c>
      <c r="R2159" s="95">
        <f t="shared" si="67"/>
        <v>5269.15</v>
      </c>
    </row>
    <row r="2160" spans="1:23" ht="34.049999999999997" customHeight="1" x14ac:dyDescent="0.3">
      <c r="A2160" s="90">
        <v>2149</v>
      </c>
      <c r="B2160" s="91" t="s">
        <v>6948</v>
      </c>
      <c r="C2160" s="91" t="s">
        <v>7005</v>
      </c>
      <c r="D2160" s="91" t="s">
        <v>7006</v>
      </c>
      <c r="E2160" s="91">
        <v>1997</v>
      </c>
      <c r="F2160" s="91" t="s">
        <v>19</v>
      </c>
      <c r="G2160" s="91" t="s">
        <v>7092</v>
      </c>
      <c r="H2160" s="91" t="s">
        <v>7092</v>
      </c>
      <c r="I2160" s="91" t="s">
        <v>7160</v>
      </c>
      <c r="J2160" s="91">
        <v>6199</v>
      </c>
      <c r="K2160" s="91">
        <f>1166+3500+6278+4484+2332+1346+2332+2332+2332+2332+2332+6995+4484+3000+3000+6995</f>
        <v>55240</v>
      </c>
      <c r="L2160" s="91">
        <v>0</v>
      </c>
      <c r="M2160" s="91">
        <v>0</v>
      </c>
      <c r="N2160" s="91">
        <v>1793</v>
      </c>
      <c r="O2160" s="91">
        <v>0</v>
      </c>
      <c r="P2160" s="91">
        <v>0</v>
      </c>
      <c r="Q2160" s="104">
        <f t="shared" si="66"/>
        <v>63232</v>
      </c>
      <c r="R2160" s="95">
        <f t="shared" si="67"/>
        <v>53747.199999999997</v>
      </c>
    </row>
    <row r="2161" spans="1:23" ht="34.049999999999997" customHeight="1" x14ac:dyDescent="0.3">
      <c r="A2161" s="96">
        <v>2150</v>
      </c>
      <c r="B2161" s="91" t="s">
        <v>6948</v>
      </c>
      <c r="C2161" s="91" t="s">
        <v>7007</v>
      </c>
      <c r="D2161" s="91" t="s">
        <v>6450</v>
      </c>
      <c r="E2161" s="91">
        <v>2025</v>
      </c>
      <c r="F2161" s="91" t="s">
        <v>18</v>
      </c>
      <c r="G2161" s="91" t="s">
        <v>6573</v>
      </c>
      <c r="H2161" s="91" t="s">
        <v>6633</v>
      </c>
      <c r="I2161" s="91" t="s">
        <v>6671</v>
      </c>
      <c r="J2161" s="91">
        <v>0</v>
      </c>
      <c r="K2161" s="91">
        <v>0</v>
      </c>
      <c r="L2161" s="91">
        <v>0</v>
      </c>
      <c r="M2161" s="91">
        <v>0</v>
      </c>
      <c r="N2161" s="91">
        <v>5321</v>
      </c>
      <c r="O2161" s="91">
        <v>0</v>
      </c>
      <c r="P2161" s="91">
        <v>0</v>
      </c>
      <c r="Q2161" s="104">
        <f t="shared" si="66"/>
        <v>5321</v>
      </c>
      <c r="R2161" s="95">
        <f t="shared" si="67"/>
        <v>4522.8500000000004</v>
      </c>
    </row>
    <row r="2162" spans="1:23" ht="34.049999999999997" customHeight="1" x14ac:dyDescent="0.3">
      <c r="A2162" s="90">
        <v>2151</v>
      </c>
      <c r="B2162" s="98" t="s">
        <v>6948</v>
      </c>
      <c r="C2162" s="98" t="s">
        <v>7008</v>
      </c>
      <c r="D2162" s="98" t="s">
        <v>7009</v>
      </c>
      <c r="E2162" s="98">
        <v>2025</v>
      </c>
      <c r="F2162" s="98" t="s">
        <v>18</v>
      </c>
      <c r="G2162" s="98" t="s">
        <v>7093</v>
      </c>
      <c r="H2162" s="98" t="s">
        <v>7135</v>
      </c>
      <c r="I2162" s="98" t="s">
        <v>3695</v>
      </c>
      <c r="J2162" s="98">
        <v>6199</v>
      </c>
      <c r="K2162" s="98">
        <f>6278+4484+2332</f>
        <v>13094</v>
      </c>
      <c r="L2162" s="98">
        <v>0</v>
      </c>
      <c r="M2162" s="98">
        <v>0</v>
      </c>
      <c r="N2162" s="98">
        <v>3148</v>
      </c>
      <c r="O2162" s="98">
        <v>0</v>
      </c>
      <c r="P2162" s="98">
        <v>0</v>
      </c>
      <c r="Q2162" s="106">
        <f t="shared" si="66"/>
        <v>22441</v>
      </c>
      <c r="R2162" s="95">
        <f t="shared" si="67"/>
        <v>19074.849999999999</v>
      </c>
      <c r="S2162" s="41"/>
      <c r="T2162" s="41"/>
      <c r="U2162" s="41"/>
      <c r="V2162" s="41"/>
      <c r="W2162" s="41"/>
    </row>
    <row r="2163" spans="1:23" ht="34.049999999999997" customHeight="1" x14ac:dyDescent="0.3">
      <c r="A2163" s="90">
        <v>2152</v>
      </c>
      <c r="B2163" s="91" t="s">
        <v>6948</v>
      </c>
      <c r="C2163" s="91" t="s">
        <v>7010</v>
      </c>
      <c r="D2163" s="91" t="s">
        <v>7011</v>
      </c>
      <c r="E2163" s="91">
        <v>2021</v>
      </c>
      <c r="F2163" s="91" t="s">
        <v>19</v>
      </c>
      <c r="G2163" s="91" t="s">
        <v>7094</v>
      </c>
      <c r="H2163" s="91" t="s">
        <v>7136</v>
      </c>
      <c r="I2163" s="91" t="s">
        <v>7161</v>
      </c>
      <c r="J2163" s="91">
        <v>6199</v>
      </c>
      <c r="K2163" s="91">
        <f>6278+4484+1346+4484+2332+2332+2332+2332+2332+2332+6995+6995+2332+6995</f>
        <v>53901</v>
      </c>
      <c r="L2163" s="91">
        <v>0</v>
      </c>
      <c r="M2163" s="91">
        <v>0</v>
      </c>
      <c r="N2163" s="91">
        <v>3148</v>
      </c>
      <c r="O2163" s="91">
        <v>0</v>
      </c>
      <c r="P2163" s="91">
        <v>0</v>
      </c>
      <c r="Q2163" s="104">
        <f t="shared" si="66"/>
        <v>63248</v>
      </c>
      <c r="R2163" s="95">
        <f t="shared" si="67"/>
        <v>53760.800000000003</v>
      </c>
    </row>
    <row r="2164" spans="1:23" ht="34.049999999999997" customHeight="1" x14ac:dyDescent="0.3">
      <c r="A2164" s="96">
        <v>2153</v>
      </c>
      <c r="B2164" s="91" t="s">
        <v>6948</v>
      </c>
      <c r="C2164" s="91" t="s">
        <v>7012</v>
      </c>
      <c r="D2164" s="91" t="s">
        <v>7013</v>
      </c>
      <c r="E2164" s="91">
        <v>2021</v>
      </c>
      <c r="F2164" s="91" t="s">
        <v>18</v>
      </c>
      <c r="G2164" s="91" t="s">
        <v>7095</v>
      </c>
      <c r="H2164" s="91" t="s">
        <v>7137</v>
      </c>
      <c r="I2164" s="91" t="s">
        <v>7162</v>
      </c>
      <c r="J2164" s="91">
        <v>6199</v>
      </c>
      <c r="K2164" s="91">
        <v>0</v>
      </c>
      <c r="L2164" s="91">
        <v>0</v>
      </c>
      <c r="M2164" s="91">
        <v>0</v>
      </c>
      <c r="N2164" s="91">
        <v>0</v>
      </c>
      <c r="O2164" s="91">
        <v>0</v>
      </c>
      <c r="P2164" s="91">
        <v>0</v>
      </c>
      <c r="Q2164" s="104">
        <f t="shared" si="66"/>
        <v>6199</v>
      </c>
      <c r="R2164" s="95">
        <f t="shared" si="67"/>
        <v>5269.15</v>
      </c>
    </row>
    <row r="2165" spans="1:23" ht="34.049999999999997" customHeight="1" x14ac:dyDescent="0.3">
      <c r="A2165" s="90">
        <v>2154</v>
      </c>
      <c r="B2165" s="91" t="s">
        <v>6948</v>
      </c>
      <c r="C2165" s="91" t="s">
        <v>7014</v>
      </c>
      <c r="D2165" s="91" t="s">
        <v>7015</v>
      </c>
      <c r="E2165" s="91">
        <v>2024</v>
      </c>
      <c r="F2165" s="91" t="s">
        <v>19</v>
      </c>
      <c r="G2165" s="91" t="s">
        <v>7096</v>
      </c>
      <c r="H2165" s="91" t="s">
        <v>7138</v>
      </c>
      <c r="I2165" s="91" t="s">
        <v>2621</v>
      </c>
      <c r="J2165" s="91">
        <v>6199</v>
      </c>
      <c r="K2165" s="91">
        <f>6278+4484+1346+2332+2332+2332+2332+2332+6995+6995+2332+6995+2332+4484</f>
        <v>53901</v>
      </c>
      <c r="L2165" s="91">
        <v>0</v>
      </c>
      <c r="M2165" s="91">
        <v>0</v>
      </c>
      <c r="N2165" s="91">
        <v>3148</v>
      </c>
      <c r="O2165" s="91">
        <v>0</v>
      </c>
      <c r="P2165" s="91">
        <v>0</v>
      </c>
      <c r="Q2165" s="104">
        <f t="shared" si="66"/>
        <v>63248</v>
      </c>
      <c r="R2165" s="95">
        <f t="shared" si="67"/>
        <v>53760.800000000003</v>
      </c>
    </row>
    <row r="2166" spans="1:23" ht="34.049999999999997" customHeight="1" x14ac:dyDescent="0.3">
      <c r="A2166" s="90">
        <v>2155</v>
      </c>
      <c r="B2166" s="91" t="s">
        <v>6948</v>
      </c>
      <c r="C2166" s="91" t="s">
        <v>7016</v>
      </c>
      <c r="D2166" s="91" t="s">
        <v>7017</v>
      </c>
      <c r="E2166" s="91">
        <v>1980</v>
      </c>
      <c r="F2166" s="91" t="s">
        <v>18</v>
      </c>
      <c r="G2166" s="91" t="s">
        <v>7097</v>
      </c>
      <c r="H2166" s="91" t="s">
        <v>7097</v>
      </c>
      <c r="I2166" s="91" t="s">
        <v>24</v>
      </c>
      <c r="J2166" s="91">
        <v>6199</v>
      </c>
      <c r="K2166" s="91">
        <f>4484+1166+2801+1346+2332+2332</f>
        <v>14461</v>
      </c>
      <c r="L2166" s="91">
        <v>0</v>
      </c>
      <c r="M2166" s="91">
        <v>0</v>
      </c>
      <c r="N2166" s="91">
        <v>1793</v>
      </c>
      <c r="O2166" s="91">
        <v>0</v>
      </c>
      <c r="P2166" s="91">
        <v>0</v>
      </c>
      <c r="Q2166" s="104">
        <f t="shared" si="66"/>
        <v>22453</v>
      </c>
      <c r="R2166" s="95">
        <f t="shared" si="67"/>
        <v>19085.05</v>
      </c>
    </row>
    <row r="2167" spans="1:23" ht="34.049999999999997" customHeight="1" x14ac:dyDescent="0.3">
      <c r="A2167" s="96">
        <v>2156</v>
      </c>
      <c r="B2167" s="98" t="s">
        <v>6948</v>
      </c>
      <c r="C2167" s="98" t="s">
        <v>7018</v>
      </c>
      <c r="D2167" s="98" t="s">
        <v>7019</v>
      </c>
      <c r="E2167" s="98">
        <v>2025</v>
      </c>
      <c r="F2167" s="98" t="s">
        <v>19</v>
      </c>
      <c r="G2167" s="98" t="s">
        <v>7098</v>
      </c>
      <c r="H2167" s="98" t="s">
        <v>7139</v>
      </c>
      <c r="I2167" s="98" t="s">
        <v>7163</v>
      </c>
      <c r="J2167" s="98">
        <v>6199</v>
      </c>
      <c r="K2167" s="98">
        <v>0</v>
      </c>
      <c r="L2167" s="98">
        <v>13298</v>
      </c>
      <c r="M2167" s="98">
        <v>0</v>
      </c>
      <c r="N2167" s="98">
        <v>0</v>
      </c>
      <c r="O2167" s="98">
        <v>0</v>
      </c>
      <c r="P2167" s="98">
        <v>0</v>
      </c>
      <c r="Q2167" s="106">
        <f t="shared" si="66"/>
        <v>19497</v>
      </c>
      <c r="R2167" s="95">
        <f t="shared" si="67"/>
        <v>16572.45</v>
      </c>
      <c r="S2167" s="41"/>
      <c r="T2167" s="41"/>
      <c r="U2167" s="41"/>
      <c r="V2167" s="41"/>
      <c r="W2167" s="41"/>
    </row>
    <row r="2168" spans="1:23" ht="34.049999999999997" customHeight="1" x14ac:dyDescent="0.3">
      <c r="A2168" s="90">
        <v>2157</v>
      </c>
      <c r="B2168" s="91" t="s">
        <v>6948</v>
      </c>
      <c r="C2168" s="91" t="s">
        <v>7020</v>
      </c>
      <c r="D2168" s="91" t="s">
        <v>7021</v>
      </c>
      <c r="E2168" s="91">
        <v>2021</v>
      </c>
      <c r="F2168" s="91" t="s">
        <v>19</v>
      </c>
      <c r="G2168" s="91" t="s">
        <v>7099</v>
      </c>
      <c r="H2168" s="91" t="s">
        <v>3597</v>
      </c>
      <c r="I2168" s="91" t="s">
        <v>1075</v>
      </c>
      <c r="J2168" s="91">
        <v>6199</v>
      </c>
      <c r="K2168" s="91">
        <f>6278+4484+1346+4484+2332+2332+2332+2332+2332+2332+6995+6995+2332+6995+1166</f>
        <v>55067</v>
      </c>
      <c r="L2168" s="91">
        <v>0</v>
      </c>
      <c r="M2168" s="91">
        <v>0</v>
      </c>
      <c r="N2168" s="91">
        <v>3148</v>
      </c>
      <c r="O2168" s="91">
        <v>0</v>
      </c>
      <c r="P2168" s="91">
        <v>0</v>
      </c>
      <c r="Q2168" s="104">
        <f t="shared" si="66"/>
        <v>64414</v>
      </c>
      <c r="R2168" s="95">
        <f t="shared" si="67"/>
        <v>54751.9</v>
      </c>
    </row>
    <row r="2169" spans="1:23" ht="34.049999999999997" customHeight="1" x14ac:dyDescent="0.3">
      <c r="A2169" s="90">
        <v>2158</v>
      </c>
      <c r="B2169" s="98" t="s">
        <v>6948</v>
      </c>
      <c r="C2169" s="98" t="s">
        <v>7022</v>
      </c>
      <c r="D2169" s="98" t="s">
        <v>7023</v>
      </c>
      <c r="E2169" s="98">
        <v>2016</v>
      </c>
      <c r="F2169" s="98" t="s">
        <v>18</v>
      </c>
      <c r="G2169" s="98" t="s">
        <v>7100</v>
      </c>
      <c r="H2169" s="98" t="s">
        <v>7140</v>
      </c>
      <c r="I2169" s="98" t="s">
        <v>7164</v>
      </c>
      <c r="J2169" s="98">
        <v>6199</v>
      </c>
      <c r="K2169" s="98">
        <f>6278+4484+2332+1346+2332+2332+2332+2332+6995+6995+2332+6995+2332+4484+1166+2801</f>
        <v>57868</v>
      </c>
      <c r="L2169" s="98">
        <v>0</v>
      </c>
      <c r="M2169" s="98">
        <v>0</v>
      </c>
      <c r="N2169" s="98">
        <f>3148+4053+2088+1178</f>
        <v>10467</v>
      </c>
      <c r="O2169" s="98">
        <v>0</v>
      </c>
      <c r="P2169" s="98">
        <f>1320+1440+1080+120+374+360+56</f>
        <v>4750</v>
      </c>
      <c r="Q2169" s="106">
        <f t="shared" si="66"/>
        <v>79284</v>
      </c>
      <c r="R2169" s="95">
        <f t="shared" si="67"/>
        <v>67391.399999999994</v>
      </c>
      <c r="S2169" s="41"/>
      <c r="T2169" s="41"/>
      <c r="U2169" s="41"/>
      <c r="V2169" s="41"/>
      <c r="W2169" s="41"/>
    </row>
    <row r="2170" spans="1:23" ht="34.049999999999997" customHeight="1" x14ac:dyDescent="0.3">
      <c r="A2170" s="96">
        <v>2159</v>
      </c>
      <c r="B2170" s="98" t="s">
        <v>6948</v>
      </c>
      <c r="C2170" s="98" t="s">
        <v>7022</v>
      </c>
      <c r="D2170" s="98" t="s">
        <v>7023</v>
      </c>
      <c r="E2170" s="98">
        <v>2016</v>
      </c>
      <c r="F2170" s="98" t="s">
        <v>18</v>
      </c>
      <c r="G2170" s="98" t="s">
        <v>7100</v>
      </c>
      <c r="H2170" s="98" t="s">
        <v>7140</v>
      </c>
      <c r="I2170" s="98" t="s">
        <v>7164</v>
      </c>
      <c r="J2170" s="98">
        <v>0</v>
      </c>
      <c r="K2170" s="98">
        <v>0</v>
      </c>
      <c r="L2170" s="98">
        <v>0</v>
      </c>
      <c r="M2170" s="98">
        <v>17688</v>
      </c>
      <c r="N2170" s="98">
        <v>0</v>
      </c>
      <c r="O2170" s="98">
        <v>0</v>
      </c>
      <c r="P2170" s="98">
        <f>360+56</f>
        <v>416</v>
      </c>
      <c r="Q2170" s="106">
        <f t="shared" si="66"/>
        <v>18104</v>
      </c>
      <c r="R2170" s="95">
        <f t="shared" si="67"/>
        <v>15388.4</v>
      </c>
      <c r="S2170" s="41"/>
      <c r="T2170" s="41"/>
      <c r="U2170" s="41"/>
      <c r="V2170" s="41"/>
      <c r="W2170" s="41"/>
    </row>
    <row r="2171" spans="1:23" ht="34.049999999999997" customHeight="1" x14ac:dyDescent="0.3">
      <c r="A2171" s="90">
        <v>2160</v>
      </c>
      <c r="B2171" s="91" t="s">
        <v>6948</v>
      </c>
      <c r="C2171" s="91" t="s">
        <v>7024</v>
      </c>
      <c r="D2171" s="91" t="s">
        <v>418</v>
      </c>
      <c r="E2171" s="91">
        <v>1979</v>
      </c>
      <c r="F2171" s="91" t="s">
        <v>19</v>
      </c>
      <c r="G2171" s="91" t="s">
        <v>488</v>
      </c>
      <c r="H2171" s="91" t="s">
        <v>488</v>
      </c>
      <c r="I2171" s="91" t="s">
        <v>574</v>
      </c>
      <c r="J2171" s="91">
        <v>6199</v>
      </c>
      <c r="K2171" s="91">
        <v>0</v>
      </c>
      <c r="L2171" s="91">
        <v>0</v>
      </c>
      <c r="M2171" s="91">
        <v>0</v>
      </c>
      <c r="N2171" s="91">
        <v>0</v>
      </c>
      <c r="O2171" s="91">
        <v>0</v>
      </c>
      <c r="P2171" s="91">
        <v>0</v>
      </c>
      <c r="Q2171" s="104">
        <f t="shared" si="66"/>
        <v>6199</v>
      </c>
      <c r="R2171" s="95">
        <f t="shared" si="67"/>
        <v>5269.15</v>
      </c>
    </row>
    <row r="2172" spans="1:23" ht="34.049999999999997" customHeight="1" x14ac:dyDescent="0.3">
      <c r="A2172" s="90">
        <v>2161</v>
      </c>
      <c r="B2172" s="91" t="s">
        <v>6948</v>
      </c>
      <c r="C2172" s="91" t="s">
        <v>7025</v>
      </c>
      <c r="D2172" s="91" t="s">
        <v>7026</v>
      </c>
      <c r="E2172" s="91">
        <v>2019</v>
      </c>
      <c r="F2172" s="91" t="s">
        <v>18</v>
      </c>
      <c r="G2172" s="91" t="s">
        <v>7101</v>
      </c>
      <c r="H2172" s="91" t="s">
        <v>7141</v>
      </c>
      <c r="I2172" s="91" t="s">
        <v>6677</v>
      </c>
      <c r="J2172" s="91">
        <v>6199</v>
      </c>
      <c r="K2172" s="91">
        <f>6278+4484+1346</f>
        <v>12108</v>
      </c>
      <c r="L2172" s="91">
        <v>0</v>
      </c>
      <c r="M2172" s="91">
        <v>0</v>
      </c>
      <c r="N2172" s="91">
        <v>3148</v>
      </c>
      <c r="O2172" s="91">
        <v>0</v>
      </c>
      <c r="P2172" s="91">
        <v>0</v>
      </c>
      <c r="Q2172" s="104">
        <f t="shared" si="66"/>
        <v>21455</v>
      </c>
      <c r="R2172" s="95">
        <f t="shared" si="67"/>
        <v>18236.75</v>
      </c>
    </row>
    <row r="2173" spans="1:23" ht="34.049999999999997" customHeight="1" x14ac:dyDescent="0.3">
      <c r="A2173" s="96">
        <v>2162</v>
      </c>
      <c r="B2173" s="91" t="s">
        <v>6948</v>
      </c>
      <c r="C2173" s="91" t="s">
        <v>7027</v>
      </c>
      <c r="D2173" s="91" t="s">
        <v>7028</v>
      </c>
      <c r="E2173" s="91">
        <v>2024</v>
      </c>
      <c r="F2173" s="91" t="s">
        <v>18</v>
      </c>
      <c r="G2173" s="91" t="s">
        <v>7102</v>
      </c>
      <c r="H2173" s="91" t="s">
        <v>1224</v>
      </c>
      <c r="I2173" s="91" t="s">
        <v>1256</v>
      </c>
      <c r="J2173" s="91">
        <v>6199</v>
      </c>
      <c r="K2173" s="91">
        <v>0</v>
      </c>
      <c r="L2173" s="91">
        <v>0</v>
      </c>
      <c r="M2173" s="91">
        <v>0</v>
      </c>
      <c r="N2173" s="91">
        <v>0</v>
      </c>
      <c r="O2173" s="91">
        <v>0</v>
      </c>
      <c r="P2173" s="91">
        <v>0</v>
      </c>
      <c r="Q2173" s="104">
        <f t="shared" si="66"/>
        <v>6199</v>
      </c>
      <c r="R2173" s="95">
        <f t="shared" si="67"/>
        <v>5269.15</v>
      </c>
    </row>
    <row r="2174" spans="1:23" ht="34.049999999999997" customHeight="1" x14ac:dyDescent="0.3">
      <c r="A2174" s="90">
        <v>2163</v>
      </c>
      <c r="B2174" s="91" t="s">
        <v>6948</v>
      </c>
      <c r="C2174" s="91" t="s">
        <v>7029</v>
      </c>
      <c r="D2174" s="91" t="s">
        <v>7030</v>
      </c>
      <c r="E2174" s="91">
        <v>2018</v>
      </c>
      <c r="F2174" s="91" t="s">
        <v>18</v>
      </c>
      <c r="G2174" s="91" t="s">
        <v>7103</v>
      </c>
      <c r="H2174" s="91" t="s">
        <v>3489</v>
      </c>
      <c r="I2174" s="91" t="s">
        <v>7165</v>
      </c>
      <c r="J2174" s="91">
        <v>6199</v>
      </c>
      <c r="K2174" s="91">
        <f>6278+4484+1346+2332+2332+2332+2332+6995+6995+2332+6995+2332+4484+2332</f>
        <v>53901</v>
      </c>
      <c r="L2174" s="91">
        <v>0</v>
      </c>
      <c r="M2174" s="91">
        <v>0</v>
      </c>
      <c r="N2174" s="91">
        <v>3148</v>
      </c>
      <c r="O2174" s="91">
        <v>0</v>
      </c>
      <c r="P2174" s="91">
        <v>0</v>
      </c>
      <c r="Q2174" s="104">
        <f t="shared" si="66"/>
        <v>63248</v>
      </c>
      <c r="R2174" s="95">
        <f t="shared" si="67"/>
        <v>53760.800000000003</v>
      </c>
    </row>
    <row r="2175" spans="1:23" ht="34.049999999999997" customHeight="1" x14ac:dyDescent="0.3">
      <c r="A2175" s="90">
        <v>2164</v>
      </c>
      <c r="B2175" s="91" t="s">
        <v>6948</v>
      </c>
      <c r="C2175" s="91" t="s">
        <v>7031</v>
      </c>
      <c r="D2175" s="91" t="s">
        <v>7032</v>
      </c>
      <c r="E2175" s="91">
        <v>2020</v>
      </c>
      <c r="F2175" s="91" t="s">
        <v>18</v>
      </c>
      <c r="G2175" s="91" t="s">
        <v>7104</v>
      </c>
      <c r="H2175" s="91" t="s">
        <v>3489</v>
      </c>
      <c r="I2175" s="91" t="s">
        <v>3506</v>
      </c>
      <c r="J2175" s="91">
        <v>6199</v>
      </c>
      <c r="K2175" s="91">
        <f>6278+4484+2332+1346+2332+2332+2332+2332+6995+6995+2332+6995+2332+4484</f>
        <v>53901</v>
      </c>
      <c r="L2175" s="91">
        <v>0</v>
      </c>
      <c r="M2175" s="91">
        <v>0</v>
      </c>
      <c r="N2175" s="91">
        <v>3148</v>
      </c>
      <c r="O2175" s="91">
        <v>0</v>
      </c>
      <c r="P2175" s="91">
        <v>0</v>
      </c>
      <c r="Q2175" s="104">
        <f t="shared" si="66"/>
        <v>63248</v>
      </c>
      <c r="R2175" s="95">
        <f t="shared" si="67"/>
        <v>53760.800000000003</v>
      </c>
    </row>
    <row r="2176" spans="1:23" ht="34.049999999999997" customHeight="1" x14ac:dyDescent="0.3">
      <c r="A2176" s="96">
        <v>2165</v>
      </c>
      <c r="B2176" s="91" t="s">
        <v>6948</v>
      </c>
      <c r="C2176" s="91" t="s">
        <v>7033</v>
      </c>
      <c r="D2176" s="91" t="s">
        <v>7034</v>
      </c>
      <c r="E2176" s="91">
        <v>2015</v>
      </c>
      <c r="F2176" s="91" t="s">
        <v>19</v>
      </c>
      <c r="G2176" s="91" t="s">
        <v>7105</v>
      </c>
      <c r="H2176" s="91" t="s">
        <v>7142</v>
      </c>
      <c r="I2176" s="91" t="s">
        <v>7166</v>
      </c>
      <c r="J2176" s="91">
        <v>6199</v>
      </c>
      <c r="K2176" s="91">
        <f>6278+4484+1346+4484+2332+3000+3000+2332+2332+2332+2332+2332+2332+2332+1166+6995+6995+2332+6995</f>
        <v>65731</v>
      </c>
      <c r="L2176" s="91">
        <v>0</v>
      </c>
      <c r="M2176" s="91">
        <v>0</v>
      </c>
      <c r="N2176" s="91">
        <v>3148</v>
      </c>
      <c r="O2176" s="91">
        <v>0</v>
      </c>
      <c r="P2176" s="91">
        <v>0</v>
      </c>
      <c r="Q2176" s="104">
        <f t="shared" si="66"/>
        <v>75078</v>
      </c>
      <c r="R2176" s="95">
        <f t="shared" si="67"/>
        <v>63816.3</v>
      </c>
    </row>
    <row r="2177" spans="1:23" ht="34.049999999999997" customHeight="1" x14ac:dyDescent="0.3">
      <c r="A2177" s="90">
        <v>2166</v>
      </c>
      <c r="B2177" s="91" t="s">
        <v>6948</v>
      </c>
      <c r="C2177" s="91" t="s">
        <v>7035</v>
      </c>
      <c r="D2177" s="91" t="s">
        <v>7036</v>
      </c>
      <c r="E2177" s="91">
        <v>2018</v>
      </c>
      <c r="F2177" s="91" t="s">
        <v>18</v>
      </c>
      <c r="G2177" s="91" t="s">
        <v>7106</v>
      </c>
      <c r="H2177" s="91" t="s">
        <v>1812</v>
      </c>
      <c r="I2177" s="91" t="s">
        <v>7167</v>
      </c>
      <c r="J2177" s="91">
        <v>6199</v>
      </c>
      <c r="K2177" s="91">
        <f>1166+2801</f>
        <v>3967</v>
      </c>
      <c r="L2177" s="91">
        <v>0</v>
      </c>
      <c r="M2177" s="91">
        <v>0</v>
      </c>
      <c r="N2177" s="91">
        <v>0</v>
      </c>
      <c r="O2177" s="91">
        <v>0</v>
      </c>
      <c r="P2177" s="91">
        <v>0</v>
      </c>
      <c r="Q2177" s="104">
        <f t="shared" si="66"/>
        <v>10166</v>
      </c>
      <c r="R2177" s="95">
        <f t="shared" si="67"/>
        <v>8641.1</v>
      </c>
    </row>
    <row r="2178" spans="1:23" ht="34.049999999999997" customHeight="1" x14ac:dyDescent="0.3">
      <c r="A2178" s="90">
        <v>2167</v>
      </c>
      <c r="B2178" s="91" t="s">
        <v>6948</v>
      </c>
      <c r="C2178" s="91" t="s">
        <v>7037</v>
      </c>
      <c r="D2178" s="91" t="s">
        <v>2270</v>
      </c>
      <c r="E2178" s="91">
        <v>1988</v>
      </c>
      <c r="F2178" s="91" t="s">
        <v>19</v>
      </c>
      <c r="G2178" s="91" t="s">
        <v>2373</v>
      </c>
      <c r="H2178" s="91" t="s">
        <v>2373</v>
      </c>
      <c r="I2178" s="91" t="s">
        <v>299</v>
      </c>
      <c r="J2178" s="91">
        <v>6199</v>
      </c>
      <c r="K2178" s="91">
        <v>0</v>
      </c>
      <c r="L2178" s="91">
        <v>0</v>
      </c>
      <c r="M2178" s="91">
        <v>0</v>
      </c>
      <c r="N2178" s="91">
        <v>0</v>
      </c>
      <c r="O2178" s="91">
        <v>0</v>
      </c>
      <c r="P2178" s="91">
        <v>0</v>
      </c>
      <c r="Q2178" s="104">
        <f t="shared" si="66"/>
        <v>6199</v>
      </c>
      <c r="R2178" s="95">
        <f t="shared" si="67"/>
        <v>5269.15</v>
      </c>
    </row>
    <row r="2179" spans="1:23" ht="34.049999999999997" customHeight="1" x14ac:dyDescent="0.3">
      <c r="A2179" s="96">
        <v>2168</v>
      </c>
      <c r="B2179" s="91" t="s">
        <v>6948</v>
      </c>
      <c r="C2179" s="91" t="s">
        <v>7038</v>
      </c>
      <c r="D2179" s="91" t="s">
        <v>3358</v>
      </c>
      <c r="E2179" s="91">
        <v>2020</v>
      </c>
      <c r="F2179" s="91" t="s">
        <v>18</v>
      </c>
      <c r="G2179" s="91" t="s">
        <v>3434</v>
      </c>
      <c r="H2179" s="91" t="s">
        <v>3472</v>
      </c>
      <c r="I2179" s="91" t="s">
        <v>1483</v>
      </c>
      <c r="J2179" s="91">
        <v>0</v>
      </c>
      <c r="K2179" s="91">
        <v>0</v>
      </c>
      <c r="L2179" s="91">
        <v>0</v>
      </c>
      <c r="M2179" s="91">
        <v>0</v>
      </c>
      <c r="N2179" s="91">
        <f>15443+121574+27126</f>
        <v>164143</v>
      </c>
      <c r="O2179" s="91">
        <v>0</v>
      </c>
      <c r="P2179" s="91">
        <v>0</v>
      </c>
      <c r="Q2179" s="104">
        <f t="shared" si="66"/>
        <v>164143</v>
      </c>
      <c r="R2179" s="95">
        <f t="shared" si="67"/>
        <v>139521.54999999999</v>
      </c>
    </row>
    <row r="2180" spans="1:23" ht="34.049999999999997" customHeight="1" x14ac:dyDescent="0.3">
      <c r="A2180" s="90">
        <v>2169</v>
      </c>
      <c r="B2180" s="91" t="s">
        <v>6948</v>
      </c>
      <c r="C2180" s="91" t="s">
        <v>7039</v>
      </c>
      <c r="D2180" s="91" t="s">
        <v>7040</v>
      </c>
      <c r="E2180" s="91">
        <v>1997</v>
      </c>
      <c r="F2180" s="91" t="s">
        <v>18</v>
      </c>
      <c r="G2180" s="91" t="s">
        <v>7107</v>
      </c>
      <c r="H2180" s="91" t="s">
        <v>7107</v>
      </c>
      <c r="I2180" s="91" t="s">
        <v>7168</v>
      </c>
      <c r="J2180" s="91">
        <v>6199</v>
      </c>
      <c r="K2180" s="91">
        <v>0</v>
      </c>
      <c r="L2180" s="91">
        <v>0</v>
      </c>
      <c r="M2180" s="91">
        <v>0</v>
      </c>
      <c r="N2180" s="91">
        <v>0</v>
      </c>
      <c r="O2180" s="91">
        <v>0</v>
      </c>
      <c r="P2180" s="91">
        <v>0</v>
      </c>
      <c r="Q2180" s="105">
        <f t="shared" si="66"/>
        <v>6199</v>
      </c>
      <c r="R2180" s="95">
        <f t="shared" si="67"/>
        <v>5269.15</v>
      </c>
    </row>
    <row r="2181" spans="1:23" ht="34.049999999999997" customHeight="1" x14ac:dyDescent="0.3">
      <c r="A2181" s="90">
        <v>2170</v>
      </c>
      <c r="B2181" s="91" t="s">
        <v>6948</v>
      </c>
      <c r="C2181" s="91" t="s">
        <v>7041</v>
      </c>
      <c r="D2181" s="91" t="s">
        <v>7042</v>
      </c>
      <c r="E2181" s="91">
        <v>1987</v>
      </c>
      <c r="F2181" s="91" t="s">
        <v>19</v>
      </c>
      <c r="G2181" s="91" t="s">
        <v>812</v>
      </c>
      <c r="H2181" s="91" t="s">
        <v>812</v>
      </c>
      <c r="I2181" s="91" t="s">
        <v>3506</v>
      </c>
      <c r="J2181" s="91">
        <v>6199</v>
      </c>
      <c r="K2181" s="91">
        <v>0</v>
      </c>
      <c r="L2181" s="91">
        <v>20807</v>
      </c>
      <c r="M2181" s="91">
        <v>0</v>
      </c>
      <c r="N2181" s="91">
        <v>0</v>
      </c>
      <c r="O2181" s="91">
        <v>0</v>
      </c>
      <c r="P2181" s="91">
        <v>0</v>
      </c>
      <c r="Q2181" s="104">
        <f t="shared" si="66"/>
        <v>27006</v>
      </c>
      <c r="R2181" s="95">
        <f t="shared" si="67"/>
        <v>22955.1</v>
      </c>
    </row>
    <row r="2182" spans="1:23" ht="34.049999999999997" customHeight="1" x14ac:dyDescent="0.3">
      <c r="A2182" s="96">
        <v>2171</v>
      </c>
      <c r="B2182" s="91" t="s">
        <v>6948</v>
      </c>
      <c r="C2182" s="91" t="s">
        <v>7043</v>
      </c>
      <c r="D2182" s="91" t="s">
        <v>7044</v>
      </c>
      <c r="E2182" s="91">
        <v>2024</v>
      </c>
      <c r="F2182" s="91" t="s">
        <v>19</v>
      </c>
      <c r="G2182" s="91" t="s">
        <v>7108</v>
      </c>
      <c r="H2182" s="91" t="s">
        <v>7143</v>
      </c>
      <c r="I2182" s="91" t="s">
        <v>1262</v>
      </c>
      <c r="J2182" s="91">
        <v>6199</v>
      </c>
      <c r="K2182" s="91">
        <f>6278+4484+1346+2332</f>
        <v>14440</v>
      </c>
      <c r="L2182" s="91">
        <v>0</v>
      </c>
      <c r="M2182" s="91">
        <v>0</v>
      </c>
      <c r="N2182" s="91">
        <v>3148</v>
      </c>
      <c r="O2182" s="91">
        <v>0</v>
      </c>
      <c r="P2182" s="91">
        <v>0</v>
      </c>
      <c r="Q2182" s="104">
        <f t="shared" si="66"/>
        <v>23787</v>
      </c>
      <c r="R2182" s="95">
        <f t="shared" si="67"/>
        <v>20218.95</v>
      </c>
    </row>
    <row r="2183" spans="1:23" ht="34.049999999999997" customHeight="1" x14ac:dyDescent="0.3">
      <c r="A2183" s="90">
        <v>2172</v>
      </c>
      <c r="B2183" s="98" t="s">
        <v>6948</v>
      </c>
      <c r="C2183" s="98" t="s">
        <v>7045</v>
      </c>
      <c r="D2183" s="98" t="s">
        <v>7046</v>
      </c>
      <c r="E2183" s="98">
        <v>2023</v>
      </c>
      <c r="F2183" s="98" t="s">
        <v>18</v>
      </c>
      <c r="G2183" s="98" t="s">
        <v>7109</v>
      </c>
      <c r="H2183" s="41" t="s">
        <v>7330</v>
      </c>
      <c r="I2183" s="98" t="s">
        <v>3935</v>
      </c>
      <c r="J2183" s="98">
        <v>6199</v>
      </c>
      <c r="K2183" s="98">
        <v>0</v>
      </c>
      <c r="L2183" s="98">
        <v>0</v>
      </c>
      <c r="M2183" s="98">
        <v>0</v>
      </c>
      <c r="N2183" s="98">
        <v>0</v>
      </c>
      <c r="O2183" s="98">
        <v>0</v>
      </c>
      <c r="P2183" s="98">
        <v>0</v>
      </c>
      <c r="Q2183" s="106">
        <f t="shared" si="66"/>
        <v>6199</v>
      </c>
      <c r="R2183" s="95">
        <f t="shared" si="67"/>
        <v>5269.15</v>
      </c>
      <c r="S2183" s="41"/>
      <c r="T2183" s="41"/>
      <c r="U2183" s="41"/>
      <c r="V2183" s="41"/>
      <c r="W2183" s="41"/>
    </row>
    <row r="2184" spans="1:23" ht="34.049999999999997" customHeight="1" x14ac:dyDescent="0.3">
      <c r="A2184" s="90">
        <v>2173</v>
      </c>
      <c r="B2184" s="91" t="s">
        <v>6948</v>
      </c>
      <c r="C2184" s="91" t="s">
        <v>7047</v>
      </c>
      <c r="D2184" s="91" t="s">
        <v>1097</v>
      </c>
      <c r="E2184" s="91">
        <v>1994</v>
      </c>
      <c r="F2184" s="91" t="s">
        <v>18</v>
      </c>
      <c r="G2184" s="91" t="s">
        <v>1175</v>
      </c>
      <c r="H2184" s="91" t="s">
        <v>1175</v>
      </c>
      <c r="I2184" s="91" t="s">
        <v>1258</v>
      </c>
      <c r="J2184" s="91">
        <v>6199</v>
      </c>
      <c r="K2184" s="91">
        <v>0</v>
      </c>
      <c r="L2184" s="91">
        <v>0</v>
      </c>
      <c r="M2184" s="91">
        <v>0</v>
      </c>
      <c r="N2184" s="91">
        <v>0</v>
      </c>
      <c r="O2184" s="91">
        <v>0</v>
      </c>
      <c r="P2184" s="91">
        <v>0</v>
      </c>
      <c r="Q2184" s="104">
        <f t="shared" si="66"/>
        <v>6199</v>
      </c>
      <c r="R2184" s="95">
        <f t="shared" si="67"/>
        <v>5269.15</v>
      </c>
    </row>
    <row r="2185" spans="1:23" ht="34.049999999999997" customHeight="1" x14ac:dyDescent="0.3">
      <c r="A2185" s="96">
        <v>2174</v>
      </c>
      <c r="B2185" s="91" t="s">
        <v>6948</v>
      </c>
      <c r="C2185" s="91" t="s">
        <v>7048</v>
      </c>
      <c r="D2185" s="91" t="s">
        <v>2940</v>
      </c>
      <c r="E2185" s="91">
        <v>2022</v>
      </c>
      <c r="F2185" s="91" t="s">
        <v>18</v>
      </c>
      <c r="G2185" s="91" t="s">
        <v>3024</v>
      </c>
      <c r="H2185" s="91" t="s">
        <v>3067</v>
      </c>
      <c r="I2185" s="91" t="s">
        <v>3097</v>
      </c>
      <c r="J2185" s="91">
        <v>6199</v>
      </c>
      <c r="K2185" s="91">
        <f>6278+1346</f>
        <v>7624</v>
      </c>
      <c r="L2185" s="91">
        <v>0</v>
      </c>
      <c r="M2185" s="91">
        <v>0</v>
      </c>
      <c r="N2185" s="91">
        <f>3148+2088</f>
        <v>5236</v>
      </c>
      <c r="O2185" s="91">
        <v>0</v>
      </c>
      <c r="P2185" s="91">
        <v>60</v>
      </c>
      <c r="Q2185" s="104">
        <f t="shared" si="66"/>
        <v>19119</v>
      </c>
      <c r="R2185" s="95">
        <f t="shared" si="67"/>
        <v>16251.15</v>
      </c>
    </row>
    <row r="2186" spans="1:23" ht="34.049999999999997" customHeight="1" x14ac:dyDescent="0.3">
      <c r="A2186" s="90">
        <v>2175</v>
      </c>
      <c r="B2186" s="91" t="s">
        <v>6948</v>
      </c>
      <c r="C2186" s="91" t="s">
        <v>7049</v>
      </c>
      <c r="D2186" s="91" t="s">
        <v>7050</v>
      </c>
      <c r="E2186" s="91">
        <v>1996</v>
      </c>
      <c r="F2186" s="91" t="s">
        <v>18</v>
      </c>
      <c r="G2186" s="91" t="s">
        <v>7110</v>
      </c>
      <c r="H2186" s="91" t="s">
        <v>7144</v>
      </c>
      <c r="I2186" s="91" t="s">
        <v>2476</v>
      </c>
      <c r="J2186" s="91">
        <v>6199</v>
      </c>
      <c r="K2186" s="91">
        <f>2332+2332</f>
        <v>4664</v>
      </c>
      <c r="L2186" s="91">
        <v>0</v>
      </c>
      <c r="M2186" s="91">
        <v>0</v>
      </c>
      <c r="N2186" s="91">
        <v>0</v>
      </c>
      <c r="O2186" s="91">
        <v>0</v>
      </c>
      <c r="P2186" s="91">
        <v>0</v>
      </c>
      <c r="Q2186" s="104">
        <f t="shared" si="66"/>
        <v>10863</v>
      </c>
      <c r="R2186" s="95">
        <f t="shared" si="67"/>
        <v>9233.5499999999993</v>
      </c>
    </row>
    <row r="2187" spans="1:23" ht="34.049999999999997" customHeight="1" x14ac:dyDescent="0.3">
      <c r="A2187" s="90">
        <v>2176</v>
      </c>
      <c r="B2187" s="91" t="s">
        <v>6948</v>
      </c>
      <c r="C2187" s="91" t="s">
        <v>7051</v>
      </c>
      <c r="D2187" s="91" t="s">
        <v>7052</v>
      </c>
      <c r="E2187" s="91">
        <v>1982</v>
      </c>
      <c r="F2187" s="91" t="s">
        <v>18</v>
      </c>
      <c r="G2187" s="91" t="s">
        <v>7111</v>
      </c>
      <c r="H2187" s="91" t="s">
        <v>7145</v>
      </c>
      <c r="I2187" s="91" t="s">
        <v>7169</v>
      </c>
      <c r="J2187" s="91">
        <v>6199</v>
      </c>
      <c r="K2187" s="91">
        <v>0</v>
      </c>
      <c r="L2187" s="91">
        <v>0</v>
      </c>
      <c r="M2187" s="91">
        <v>0</v>
      </c>
      <c r="N2187" s="91">
        <v>0</v>
      </c>
      <c r="O2187" s="91">
        <v>0</v>
      </c>
      <c r="P2187" s="91">
        <v>0</v>
      </c>
      <c r="Q2187" s="104">
        <f t="shared" si="66"/>
        <v>6199</v>
      </c>
      <c r="R2187" s="95">
        <f t="shared" si="67"/>
        <v>5269.15</v>
      </c>
    </row>
    <row r="2188" spans="1:23" ht="34.049999999999997" customHeight="1" x14ac:dyDescent="0.3">
      <c r="A2188" s="96">
        <v>2177</v>
      </c>
      <c r="B2188" s="91" t="s">
        <v>6948</v>
      </c>
      <c r="C2188" s="91" t="s">
        <v>7053</v>
      </c>
      <c r="D2188" s="91" t="s">
        <v>2957</v>
      </c>
      <c r="E2188" s="91">
        <v>1995</v>
      </c>
      <c r="F2188" s="91" t="s">
        <v>19</v>
      </c>
      <c r="G2188" s="91" t="s">
        <v>3032</v>
      </c>
      <c r="H2188" s="91" t="s">
        <v>3032</v>
      </c>
      <c r="I2188" s="91" t="s">
        <v>300</v>
      </c>
      <c r="J2188" s="91">
        <v>6199</v>
      </c>
      <c r="K2188" s="91">
        <v>0</v>
      </c>
      <c r="L2188" s="91">
        <v>0</v>
      </c>
      <c r="M2188" s="91">
        <v>0</v>
      </c>
      <c r="N2188" s="91">
        <v>0</v>
      </c>
      <c r="O2188" s="91">
        <v>0</v>
      </c>
      <c r="P2188" s="91">
        <v>0</v>
      </c>
      <c r="Q2188" s="104">
        <f t="shared" ref="Q2188:Q2203" si="68">SUM(J2188:P2188)</f>
        <v>6199</v>
      </c>
      <c r="R2188" s="95">
        <f t="shared" si="67"/>
        <v>5269.15</v>
      </c>
    </row>
    <row r="2189" spans="1:23" ht="34.049999999999997" customHeight="1" x14ac:dyDescent="0.3">
      <c r="A2189" s="90">
        <v>2178</v>
      </c>
      <c r="B2189" s="91" t="s">
        <v>6948</v>
      </c>
      <c r="C2189" s="91" t="s">
        <v>7054</v>
      </c>
      <c r="D2189" s="91" t="s">
        <v>4483</v>
      </c>
      <c r="E2189" s="91">
        <v>1995</v>
      </c>
      <c r="F2189" s="91" t="s">
        <v>19</v>
      </c>
      <c r="G2189" s="91" t="s">
        <v>4557</v>
      </c>
      <c r="H2189" s="91" t="s">
        <v>4598</v>
      </c>
      <c r="I2189" s="91" t="s">
        <v>1460</v>
      </c>
      <c r="J2189" s="91">
        <v>3793</v>
      </c>
      <c r="K2189" s="91">
        <v>0</v>
      </c>
      <c r="L2189" s="91">
        <v>0</v>
      </c>
      <c r="M2189" s="91">
        <v>0</v>
      </c>
      <c r="N2189" s="91">
        <v>0</v>
      </c>
      <c r="O2189" s="91">
        <v>0</v>
      </c>
      <c r="P2189" s="91">
        <v>0</v>
      </c>
      <c r="Q2189" s="104">
        <f t="shared" si="68"/>
        <v>3793</v>
      </c>
      <c r="R2189" s="95">
        <f t="shared" ref="R2189:R2205" si="69">Q2189*85/100</f>
        <v>3224.05</v>
      </c>
    </row>
    <row r="2190" spans="1:23" ht="34.049999999999997" customHeight="1" x14ac:dyDescent="0.3">
      <c r="A2190" s="90">
        <v>2179</v>
      </c>
      <c r="B2190" s="91" t="s">
        <v>6948</v>
      </c>
      <c r="C2190" s="91" t="s">
        <v>7055</v>
      </c>
      <c r="D2190" s="91" t="s">
        <v>1729</v>
      </c>
      <c r="E2190" s="91">
        <v>2022</v>
      </c>
      <c r="F2190" s="91" t="s">
        <v>19</v>
      </c>
      <c r="G2190" s="91" t="s">
        <v>1811</v>
      </c>
      <c r="H2190" s="91" t="s">
        <v>1856</v>
      </c>
      <c r="I2190" s="91" t="s">
        <v>539</v>
      </c>
      <c r="J2190" s="91">
        <v>6199</v>
      </c>
      <c r="K2190" s="91">
        <v>0</v>
      </c>
      <c r="L2190" s="91">
        <v>0</v>
      </c>
      <c r="M2190" s="91">
        <v>0</v>
      </c>
      <c r="N2190" s="91">
        <v>0</v>
      </c>
      <c r="O2190" s="91">
        <v>0</v>
      </c>
      <c r="P2190" s="91">
        <v>0</v>
      </c>
      <c r="Q2190" s="104">
        <f t="shared" si="68"/>
        <v>6199</v>
      </c>
      <c r="R2190" s="95">
        <f t="shared" si="69"/>
        <v>5269.15</v>
      </c>
    </row>
    <row r="2191" spans="1:23" ht="34.049999999999997" customHeight="1" x14ac:dyDescent="0.3">
      <c r="A2191" s="96">
        <v>2180</v>
      </c>
      <c r="B2191" s="91" t="s">
        <v>6948</v>
      </c>
      <c r="C2191" s="91" t="s">
        <v>7056</v>
      </c>
      <c r="D2191" s="91" t="s">
        <v>7057</v>
      </c>
      <c r="E2191" s="91">
        <v>2021</v>
      </c>
      <c r="F2191" s="91" t="s">
        <v>18</v>
      </c>
      <c r="G2191" s="91" t="s">
        <v>7112</v>
      </c>
      <c r="H2191" s="91" t="s">
        <v>7146</v>
      </c>
      <c r="I2191" s="91" t="s">
        <v>35</v>
      </c>
      <c r="J2191" s="91">
        <v>6199</v>
      </c>
      <c r="K2191" s="91">
        <v>0</v>
      </c>
      <c r="L2191" s="91">
        <v>0</v>
      </c>
      <c r="M2191" s="91">
        <v>0</v>
      </c>
      <c r="N2191" s="91">
        <v>0</v>
      </c>
      <c r="O2191" s="91">
        <v>0</v>
      </c>
      <c r="P2191" s="91">
        <v>0</v>
      </c>
      <c r="Q2191" s="104">
        <f t="shared" si="68"/>
        <v>6199</v>
      </c>
      <c r="R2191" s="95">
        <f t="shared" si="69"/>
        <v>5269.15</v>
      </c>
    </row>
    <row r="2192" spans="1:23" ht="34.049999999999997" customHeight="1" x14ac:dyDescent="0.3">
      <c r="A2192" s="90">
        <v>2181</v>
      </c>
      <c r="B2192" s="91" t="s">
        <v>6948</v>
      </c>
      <c r="C2192" s="91" t="s">
        <v>7058</v>
      </c>
      <c r="D2192" s="91" t="s">
        <v>7059</v>
      </c>
      <c r="E2192" s="91">
        <v>1995</v>
      </c>
      <c r="F2192" s="91" t="s">
        <v>19</v>
      </c>
      <c r="G2192" s="91" t="s">
        <v>7113</v>
      </c>
      <c r="H2192" s="91" t="s">
        <v>7113</v>
      </c>
      <c r="I2192" s="91" t="s">
        <v>856</v>
      </c>
      <c r="J2192" s="91">
        <v>6199</v>
      </c>
      <c r="K2192" s="91">
        <v>0</v>
      </c>
      <c r="L2192" s="91">
        <v>0</v>
      </c>
      <c r="M2192" s="91">
        <v>0</v>
      </c>
      <c r="N2192" s="91">
        <v>1681</v>
      </c>
      <c r="O2192" s="91">
        <v>0</v>
      </c>
      <c r="P2192" s="91">
        <v>60</v>
      </c>
      <c r="Q2192" s="104">
        <f t="shared" si="68"/>
        <v>7940</v>
      </c>
      <c r="R2192" s="95">
        <f t="shared" si="69"/>
        <v>6749</v>
      </c>
    </row>
    <row r="2193" spans="1:23" ht="34.049999999999997" customHeight="1" x14ac:dyDescent="0.3">
      <c r="A2193" s="90">
        <v>2182</v>
      </c>
      <c r="B2193" s="91" t="s">
        <v>6948</v>
      </c>
      <c r="C2193" s="91" t="s">
        <v>7060</v>
      </c>
      <c r="D2193" s="91" t="s">
        <v>7061</v>
      </c>
      <c r="E2193" s="91">
        <v>2016</v>
      </c>
      <c r="F2193" s="91" t="s">
        <v>19</v>
      </c>
      <c r="G2193" s="91" t="s">
        <v>7114</v>
      </c>
      <c r="H2193" s="91" t="s">
        <v>7147</v>
      </c>
      <c r="I2193" s="91" t="s">
        <v>289</v>
      </c>
      <c r="J2193" s="91">
        <v>6199</v>
      </c>
      <c r="K2193" s="91">
        <v>0</v>
      </c>
      <c r="L2193" s="91">
        <v>0</v>
      </c>
      <c r="M2193" s="91">
        <v>0</v>
      </c>
      <c r="N2193" s="91">
        <v>0</v>
      </c>
      <c r="O2193" s="91">
        <v>0</v>
      </c>
      <c r="P2193" s="91">
        <v>0</v>
      </c>
      <c r="Q2193" s="104">
        <f t="shared" si="68"/>
        <v>6199</v>
      </c>
      <c r="R2193" s="95">
        <f t="shared" si="69"/>
        <v>5269.15</v>
      </c>
    </row>
    <row r="2194" spans="1:23" ht="34.049999999999997" customHeight="1" x14ac:dyDescent="0.3">
      <c r="A2194" s="96">
        <v>2183</v>
      </c>
      <c r="B2194" s="91" t="s">
        <v>6948</v>
      </c>
      <c r="C2194" s="91" t="s">
        <v>7062</v>
      </c>
      <c r="D2194" s="91" t="s">
        <v>7063</v>
      </c>
      <c r="E2194" s="91">
        <v>2019</v>
      </c>
      <c r="F2194" s="91" t="s">
        <v>18</v>
      </c>
      <c r="G2194" s="91" t="s">
        <v>7115</v>
      </c>
      <c r="H2194" s="91" t="s">
        <v>7148</v>
      </c>
      <c r="I2194" s="91" t="s">
        <v>289</v>
      </c>
      <c r="J2194" s="91">
        <v>6199</v>
      </c>
      <c r="K2194" s="91">
        <v>0</v>
      </c>
      <c r="L2194" s="91">
        <v>0</v>
      </c>
      <c r="M2194" s="91">
        <v>0</v>
      </c>
      <c r="N2194" s="91">
        <v>0</v>
      </c>
      <c r="O2194" s="91">
        <v>0</v>
      </c>
      <c r="P2194" s="91">
        <v>0</v>
      </c>
      <c r="Q2194" s="104">
        <f t="shared" si="68"/>
        <v>6199</v>
      </c>
      <c r="R2194" s="95">
        <f t="shared" si="69"/>
        <v>5269.15</v>
      </c>
    </row>
    <row r="2195" spans="1:23" ht="34.049999999999997" customHeight="1" x14ac:dyDescent="0.3">
      <c r="A2195" s="90">
        <v>2184</v>
      </c>
      <c r="B2195" s="91" t="s">
        <v>6948</v>
      </c>
      <c r="C2195" s="91" t="s">
        <v>7064</v>
      </c>
      <c r="D2195" s="91" t="s">
        <v>7065</v>
      </c>
      <c r="E2195" s="91">
        <v>1991</v>
      </c>
      <c r="F2195" s="91" t="s">
        <v>19</v>
      </c>
      <c r="G2195" s="91" t="s">
        <v>7116</v>
      </c>
      <c r="H2195" s="91" t="s">
        <v>7149</v>
      </c>
      <c r="I2195" s="91" t="s">
        <v>2645</v>
      </c>
      <c r="J2195" s="91">
        <v>6199</v>
      </c>
      <c r="K2195" s="91">
        <v>0</v>
      </c>
      <c r="L2195" s="91">
        <v>0</v>
      </c>
      <c r="M2195" s="91">
        <v>0</v>
      </c>
      <c r="N2195" s="91">
        <v>0</v>
      </c>
      <c r="O2195" s="91">
        <v>0</v>
      </c>
      <c r="P2195" s="91">
        <v>0</v>
      </c>
      <c r="Q2195" s="104">
        <f t="shared" si="68"/>
        <v>6199</v>
      </c>
      <c r="R2195" s="95">
        <f t="shared" si="69"/>
        <v>5269.15</v>
      </c>
    </row>
    <row r="2196" spans="1:23" ht="34.049999999999997" customHeight="1" x14ac:dyDescent="0.3">
      <c r="A2196" s="90">
        <v>2185</v>
      </c>
      <c r="B2196" s="91" t="s">
        <v>6948</v>
      </c>
      <c r="C2196" s="91" t="s">
        <v>7331</v>
      </c>
      <c r="D2196" s="93" t="s">
        <v>7326</v>
      </c>
      <c r="E2196" s="91">
        <v>2008</v>
      </c>
      <c r="F2196" s="91" t="s">
        <v>19</v>
      </c>
      <c r="G2196" s="91" t="s">
        <v>7327</v>
      </c>
      <c r="H2196" s="91" t="s">
        <v>7328</v>
      </c>
      <c r="I2196" s="91" t="s">
        <v>7329</v>
      </c>
      <c r="J2196" s="91">
        <v>6199</v>
      </c>
      <c r="K2196" s="91">
        <f>6278+4484+2332+1346+2332+2332+2332+2332+6995+6995+2332+6995+6995+3000+4484+6995+1166</f>
        <v>69725</v>
      </c>
      <c r="L2196" s="91">
        <v>0</v>
      </c>
      <c r="M2196" s="91">
        <v>0</v>
      </c>
      <c r="N2196" s="91">
        <f>1178+1681+3179</f>
        <v>6038</v>
      </c>
      <c r="O2196" s="91">
        <v>0</v>
      </c>
      <c r="P2196" s="91">
        <f>1440+660+1200+312+56</f>
        <v>3668</v>
      </c>
      <c r="Q2196" s="104">
        <f t="shared" si="68"/>
        <v>85630</v>
      </c>
      <c r="R2196" s="95">
        <f t="shared" si="69"/>
        <v>72785.5</v>
      </c>
    </row>
    <row r="2197" spans="1:23" ht="34.049999999999997" customHeight="1" x14ac:dyDescent="0.3">
      <c r="A2197" s="96">
        <v>2186</v>
      </c>
      <c r="B2197" s="91" t="s">
        <v>6948</v>
      </c>
      <c r="C2197" s="91" t="s">
        <v>7331</v>
      </c>
      <c r="D2197" s="93" t="s">
        <v>7326</v>
      </c>
      <c r="E2197" s="91">
        <v>2008</v>
      </c>
      <c r="F2197" s="91" t="s">
        <v>19</v>
      </c>
      <c r="G2197" s="91" t="s">
        <v>7327</v>
      </c>
      <c r="H2197" s="91" t="s">
        <v>7328</v>
      </c>
      <c r="I2197" s="91" t="s">
        <v>7329</v>
      </c>
      <c r="J2197" s="91">
        <v>0</v>
      </c>
      <c r="K2197" s="91">
        <v>0</v>
      </c>
      <c r="L2197" s="91">
        <v>0</v>
      </c>
      <c r="M2197" s="91">
        <v>17688</v>
      </c>
      <c r="N2197" s="91">
        <v>0</v>
      </c>
      <c r="O2197" s="91">
        <v>0</v>
      </c>
      <c r="P2197" s="91">
        <v>0</v>
      </c>
      <c r="Q2197" s="104">
        <f t="shared" si="68"/>
        <v>17688</v>
      </c>
      <c r="R2197" s="95">
        <f t="shared" si="69"/>
        <v>15034.8</v>
      </c>
    </row>
    <row r="2198" spans="1:23" ht="34.049999999999997" customHeight="1" x14ac:dyDescent="0.3">
      <c r="A2198" s="90">
        <v>2187</v>
      </c>
      <c r="B2198" s="91" t="s">
        <v>6948</v>
      </c>
      <c r="C2198" s="91" t="s">
        <v>7332</v>
      </c>
      <c r="D2198" s="93" t="s">
        <v>4911</v>
      </c>
      <c r="E2198" s="91">
        <v>2024</v>
      </c>
      <c r="F2198" s="91" t="s">
        <v>18</v>
      </c>
      <c r="G2198" s="98" t="s">
        <v>5029</v>
      </c>
      <c r="H2198" s="91" t="s">
        <v>1044</v>
      </c>
      <c r="I2198" s="91" t="s">
        <v>5128</v>
      </c>
      <c r="J2198" s="91">
        <v>2900</v>
      </c>
      <c r="K2198" s="91">
        <v>0</v>
      </c>
      <c r="L2198" s="91">
        <v>0</v>
      </c>
      <c r="M2198" s="91">
        <v>0</v>
      </c>
      <c r="N2198" s="91">
        <v>2088</v>
      </c>
      <c r="O2198" s="91">
        <v>0</v>
      </c>
      <c r="P2198" s="91">
        <f>360+56</f>
        <v>416</v>
      </c>
      <c r="Q2198" s="104">
        <f t="shared" si="68"/>
        <v>5404</v>
      </c>
      <c r="R2198" s="95">
        <f t="shared" si="69"/>
        <v>4593.3999999999996</v>
      </c>
    </row>
    <row r="2199" spans="1:23" ht="34.049999999999997" customHeight="1" x14ac:dyDescent="0.3">
      <c r="A2199" s="90">
        <v>2188</v>
      </c>
      <c r="B2199" s="91" t="s">
        <v>6948</v>
      </c>
      <c r="C2199" s="91" t="s">
        <v>7333</v>
      </c>
      <c r="D2199" s="93" t="s">
        <v>6480</v>
      </c>
      <c r="E2199" s="91">
        <v>2022</v>
      </c>
      <c r="F2199" s="91" t="s">
        <v>19</v>
      </c>
      <c r="G2199" s="91" t="s">
        <v>6588</v>
      </c>
      <c r="H2199" s="91" t="s">
        <v>6640</v>
      </c>
      <c r="I2199" s="91" t="s">
        <v>2622</v>
      </c>
      <c r="J2199" s="91">
        <v>2900</v>
      </c>
      <c r="K2199" s="91">
        <v>0</v>
      </c>
      <c r="L2199" s="91">
        <v>0</v>
      </c>
      <c r="M2199" s="91">
        <v>0</v>
      </c>
      <c r="N2199" s="91">
        <v>2088</v>
      </c>
      <c r="O2199" s="91">
        <v>0</v>
      </c>
      <c r="P2199" s="91">
        <f>360+56</f>
        <v>416</v>
      </c>
      <c r="Q2199" s="104">
        <f t="shared" si="68"/>
        <v>5404</v>
      </c>
      <c r="R2199" s="95">
        <f t="shared" si="69"/>
        <v>4593.3999999999996</v>
      </c>
    </row>
    <row r="2200" spans="1:23" ht="34.049999999999997" customHeight="1" x14ac:dyDescent="0.3">
      <c r="A2200" s="96">
        <v>2189</v>
      </c>
      <c r="B2200" s="91" t="s">
        <v>6948</v>
      </c>
      <c r="C2200" s="91" t="s">
        <v>7334</v>
      </c>
      <c r="D2200" s="93" t="s">
        <v>6811</v>
      </c>
      <c r="E2200" s="91">
        <v>2022</v>
      </c>
      <c r="F2200" s="91" t="s">
        <v>18</v>
      </c>
      <c r="G2200" s="91" t="s">
        <v>6879</v>
      </c>
      <c r="H2200" s="91" t="s">
        <v>6912</v>
      </c>
      <c r="I2200" s="91" t="s">
        <v>1280</v>
      </c>
      <c r="J2200" s="91">
        <v>2900</v>
      </c>
      <c r="K2200" s="91">
        <v>0</v>
      </c>
      <c r="L2200" s="91">
        <v>0</v>
      </c>
      <c r="M2200" s="91">
        <v>0</v>
      </c>
      <c r="N2200" s="91">
        <v>2088</v>
      </c>
      <c r="O2200" s="91">
        <v>0</v>
      </c>
      <c r="P2200" s="91">
        <f>360+56</f>
        <v>416</v>
      </c>
      <c r="Q2200" s="104">
        <f t="shared" si="68"/>
        <v>5404</v>
      </c>
      <c r="R2200" s="95">
        <f t="shared" si="69"/>
        <v>4593.3999999999996</v>
      </c>
    </row>
    <row r="2201" spans="1:23" ht="34.049999999999997" customHeight="1" x14ac:dyDescent="0.3">
      <c r="A2201" s="90">
        <v>2190</v>
      </c>
      <c r="B2201" s="91" t="s">
        <v>6948</v>
      </c>
      <c r="C2201" s="91" t="s">
        <v>7335</v>
      </c>
      <c r="D2201" s="93" t="s">
        <v>2000</v>
      </c>
      <c r="E2201" s="91">
        <v>1994</v>
      </c>
      <c r="F2201" s="91" t="s">
        <v>19</v>
      </c>
      <c r="G2201" s="91" t="s">
        <v>2070</v>
      </c>
      <c r="H2201" s="91" t="s">
        <v>5915</v>
      </c>
      <c r="I2201" s="91" t="s">
        <v>2136</v>
      </c>
      <c r="J2201" s="91">
        <v>2900</v>
      </c>
      <c r="K2201" s="91">
        <v>0</v>
      </c>
      <c r="L2201" s="91">
        <v>0</v>
      </c>
      <c r="M2201" s="91">
        <v>0</v>
      </c>
      <c r="N2201" s="91">
        <f>1681+1178</f>
        <v>2859</v>
      </c>
      <c r="O2201" s="91">
        <v>0</v>
      </c>
      <c r="P2201" s="91">
        <f>312+56+1440+144+720+120</f>
        <v>2792</v>
      </c>
      <c r="Q2201" s="104">
        <f t="shared" si="68"/>
        <v>8551</v>
      </c>
      <c r="R2201" s="95">
        <f t="shared" si="69"/>
        <v>7268.35</v>
      </c>
    </row>
    <row r="2202" spans="1:23" ht="34.049999999999997" customHeight="1" x14ac:dyDescent="0.3">
      <c r="A2202" s="90">
        <v>2191</v>
      </c>
      <c r="B2202" s="91" t="s">
        <v>6948</v>
      </c>
      <c r="C2202" s="91" t="s">
        <v>7336</v>
      </c>
      <c r="D2202" s="93" t="s">
        <v>5850</v>
      </c>
      <c r="E2202" s="91">
        <v>2024</v>
      </c>
      <c r="F2202" s="91" t="s">
        <v>19</v>
      </c>
      <c r="G2202" s="91" t="s">
        <v>5898</v>
      </c>
      <c r="H2202" s="91" t="s">
        <v>5937</v>
      </c>
      <c r="I2202" s="91" t="s">
        <v>3675</v>
      </c>
      <c r="J2202" s="91">
        <v>2900</v>
      </c>
      <c r="K2202" s="91">
        <v>0</v>
      </c>
      <c r="L2202" s="91">
        <v>0</v>
      </c>
      <c r="M2202" s="91">
        <v>0</v>
      </c>
      <c r="N2202" s="91">
        <v>2088</v>
      </c>
      <c r="O2202" s="91">
        <v>0</v>
      </c>
      <c r="P2202" s="91">
        <f>360+56</f>
        <v>416</v>
      </c>
      <c r="Q2202" s="104">
        <f t="shared" si="68"/>
        <v>5404</v>
      </c>
      <c r="R2202" s="95">
        <f t="shared" si="69"/>
        <v>4593.3999999999996</v>
      </c>
    </row>
    <row r="2203" spans="1:23" ht="34.049999999999997" customHeight="1" thickBot="1" x14ac:dyDescent="0.35">
      <c r="A2203" s="96">
        <v>2192</v>
      </c>
      <c r="B2203" s="100" t="s">
        <v>6948</v>
      </c>
      <c r="C2203" s="100" t="s">
        <v>7337</v>
      </c>
      <c r="D2203" s="103" t="s">
        <v>6816</v>
      </c>
      <c r="E2203" s="100">
        <v>2024</v>
      </c>
      <c r="F2203" s="100" t="s">
        <v>18</v>
      </c>
      <c r="G2203" s="100" t="s">
        <v>6881</v>
      </c>
      <c r="H2203" s="100" t="s">
        <v>6914</v>
      </c>
      <c r="I2203" s="100" t="s">
        <v>2466</v>
      </c>
      <c r="J2203" s="100">
        <v>2900</v>
      </c>
      <c r="K2203" s="100">
        <v>0</v>
      </c>
      <c r="L2203" s="100">
        <v>0</v>
      </c>
      <c r="M2203" s="100">
        <v>0</v>
      </c>
      <c r="N2203" s="100">
        <v>2088</v>
      </c>
      <c r="O2203" s="100">
        <v>0</v>
      </c>
      <c r="P2203" s="100">
        <f>720+112</f>
        <v>832</v>
      </c>
      <c r="Q2203" s="107">
        <f t="shared" si="68"/>
        <v>5820</v>
      </c>
      <c r="R2203" s="95">
        <f t="shared" si="69"/>
        <v>4947</v>
      </c>
    </row>
    <row r="2204" spans="1:23" ht="34.049999999999997" customHeight="1" x14ac:dyDescent="0.3">
      <c r="A2204" s="108" t="s">
        <v>7465</v>
      </c>
      <c r="B2204" s="109"/>
      <c r="C2204" s="109"/>
      <c r="D2204" s="109"/>
      <c r="E2204" s="109"/>
      <c r="F2204" s="109"/>
      <c r="G2204" s="109"/>
      <c r="H2204" s="109"/>
      <c r="I2204" s="109"/>
      <c r="J2204" s="109"/>
      <c r="K2204" s="109"/>
      <c r="L2204" s="109"/>
      <c r="M2204" s="109"/>
      <c r="N2204" s="109"/>
      <c r="O2204" s="109"/>
      <c r="P2204" s="109"/>
      <c r="Q2204" s="109"/>
      <c r="R2204" s="94">
        <f t="shared" si="69"/>
        <v>0</v>
      </c>
      <c r="S2204" s="110"/>
      <c r="T2204" s="110"/>
      <c r="U2204" s="50"/>
      <c r="V2204" s="50"/>
      <c r="W2204" s="50"/>
    </row>
    <row r="2205" spans="1:23" ht="34.049999999999997" customHeight="1" thickBot="1" x14ac:dyDescent="0.35">
      <c r="A2205" s="111">
        <v>85</v>
      </c>
      <c r="B2205" s="112"/>
      <c r="C2205" s="112"/>
      <c r="D2205" s="112"/>
      <c r="E2205" s="112"/>
      <c r="F2205" s="112"/>
      <c r="G2205" s="112"/>
      <c r="H2205" s="112"/>
      <c r="I2205" s="112"/>
      <c r="J2205" s="112"/>
      <c r="K2205" s="112"/>
      <c r="L2205" s="112"/>
      <c r="M2205" s="112"/>
      <c r="N2205" s="112"/>
      <c r="O2205" s="112"/>
      <c r="P2205" s="112"/>
      <c r="Q2205" s="112"/>
      <c r="R2205" s="94">
        <f t="shared" si="69"/>
        <v>0</v>
      </c>
      <c r="S2205" s="113"/>
      <c r="T2205" s="113"/>
      <c r="U2205" s="51"/>
      <c r="V2205" s="51"/>
      <c r="W2205" s="51"/>
    </row>
    <row r="2206" spans="1:23" ht="34.049999999999997" customHeight="1" x14ac:dyDescent="0.3">
      <c r="J2206" s="119">
        <f t="shared" ref="J2206:R2206" si="70">SUM(J12:J2204)</f>
        <v>11627201</v>
      </c>
      <c r="K2206" s="119">
        <f t="shared" si="70"/>
        <v>30379333</v>
      </c>
      <c r="L2206" s="119">
        <f t="shared" si="70"/>
        <v>3454107</v>
      </c>
      <c r="M2206" s="119">
        <f t="shared" si="70"/>
        <v>2476320</v>
      </c>
      <c r="N2206" s="119">
        <f t="shared" si="70"/>
        <v>15723420</v>
      </c>
      <c r="O2206" s="119">
        <f t="shared" si="70"/>
        <v>0</v>
      </c>
      <c r="P2206" s="119">
        <f t="shared" si="70"/>
        <v>540711</v>
      </c>
      <c r="Q2206" s="120">
        <f t="shared" si="70"/>
        <v>64201092</v>
      </c>
      <c r="R2206" s="121">
        <f t="shared" si="70"/>
        <v>54570928.199999154</v>
      </c>
    </row>
    <row r="2207" spans="1:23" ht="34.049999999999997" customHeight="1" x14ac:dyDescent="0.3">
      <c r="J2207" s="144">
        <f>J2206*85/100</f>
        <v>9883120.8499999996</v>
      </c>
      <c r="K2207" s="144">
        <f t="shared" ref="K2207:P2207" si="71">K2206*85/100</f>
        <v>25822433.050000001</v>
      </c>
      <c r="L2207" s="144">
        <f t="shared" si="71"/>
        <v>2935990.95</v>
      </c>
      <c r="M2207" s="144">
        <f t="shared" si="71"/>
        <v>2104872</v>
      </c>
      <c r="N2207" s="144">
        <f t="shared" si="71"/>
        <v>13364907</v>
      </c>
      <c r="O2207" s="144">
        <f t="shared" si="71"/>
        <v>0</v>
      </c>
      <c r="P2207" s="144">
        <f t="shared" si="71"/>
        <v>459604.35</v>
      </c>
      <c r="Q2207" s="144"/>
      <c r="R2207" s="144">
        <f>SUM(J2207:Q2207)</f>
        <v>54570928.200000003</v>
      </c>
    </row>
    <row r="2208" spans="1:23" ht="34.049999999999997" customHeight="1" x14ac:dyDescent="0.3">
      <c r="Q2208" s="115"/>
    </row>
    <row r="2209" spans="17:17" ht="34.049999999999997" customHeight="1" x14ac:dyDescent="0.3">
      <c r="Q2209" s="115"/>
    </row>
  </sheetData>
  <mergeCells count="2">
    <mergeCell ref="N1:R1"/>
    <mergeCell ref="A7:R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E127" sqref="E127"/>
    </sheetView>
  </sheetViews>
  <sheetFormatPr defaultRowHeight="11.55" customHeight="1" x14ac:dyDescent="0.3"/>
  <cols>
    <col min="2" max="2" width="18.109375" customWidth="1"/>
    <col min="3" max="3" width="17" customWidth="1"/>
    <col min="4" max="4" width="17.44140625" customWidth="1"/>
    <col min="5" max="5" width="40.44140625" customWidth="1"/>
    <col min="9" max="9" width="9.77734375" bestFit="1" customWidth="1"/>
  </cols>
  <sheetData>
    <row r="1" spans="1:6" ht="11.55" customHeight="1" x14ac:dyDescent="0.3">
      <c r="A1" s="153"/>
      <c r="B1" s="154"/>
      <c r="C1" s="154"/>
      <c r="D1" s="154"/>
      <c r="E1" s="155"/>
      <c r="F1" s="123"/>
    </row>
    <row r="2" spans="1:6" ht="11.55" customHeight="1" x14ac:dyDescent="0.3">
      <c r="A2" s="124" t="s">
        <v>7480</v>
      </c>
      <c r="B2" s="125"/>
      <c r="C2" s="125"/>
      <c r="D2" s="125"/>
      <c r="E2" s="126"/>
      <c r="F2" s="123"/>
    </row>
    <row r="3" spans="1:6" ht="11.55" customHeight="1" x14ac:dyDescent="0.3">
      <c r="A3" s="124" t="s">
        <v>7481</v>
      </c>
      <c r="B3" s="125"/>
      <c r="C3" s="125"/>
      <c r="D3" s="125"/>
      <c r="E3" s="126"/>
      <c r="F3" s="123"/>
    </row>
    <row r="4" spans="1:6" ht="11.55" customHeight="1" x14ac:dyDescent="0.3">
      <c r="A4" s="156" t="s">
        <v>7496</v>
      </c>
      <c r="B4" s="157"/>
      <c r="C4" s="157"/>
      <c r="D4" s="125"/>
      <c r="E4" s="126"/>
      <c r="F4" s="123"/>
    </row>
    <row r="5" spans="1:6" ht="11.55" customHeight="1" thickBot="1" x14ac:dyDescent="0.35">
      <c r="A5" s="127"/>
      <c r="B5" s="128"/>
      <c r="C5" s="128"/>
      <c r="D5" s="128"/>
      <c r="E5" s="129"/>
      <c r="F5" s="123"/>
    </row>
    <row r="6" spans="1:6" ht="22.95" customHeight="1" x14ac:dyDescent="0.3">
      <c r="A6" s="130" t="s">
        <v>7482</v>
      </c>
      <c r="B6" s="131" t="s">
        <v>3</v>
      </c>
      <c r="C6" s="131" t="s">
        <v>4</v>
      </c>
      <c r="D6" s="131" t="s">
        <v>7483</v>
      </c>
      <c r="E6" s="132" t="s">
        <v>7484</v>
      </c>
      <c r="F6" s="123"/>
    </row>
    <row r="7" spans="1:6" ht="11.55" customHeight="1" x14ac:dyDescent="0.3">
      <c r="A7" s="122">
        <v>24</v>
      </c>
      <c r="B7" s="122" t="s">
        <v>81</v>
      </c>
      <c r="C7" s="136" t="s">
        <v>82</v>
      </c>
      <c r="D7" s="133">
        <v>15645.1</v>
      </c>
      <c r="E7" s="134" t="s">
        <v>7508</v>
      </c>
      <c r="F7" s="123"/>
    </row>
    <row r="8" spans="1:6" ht="11.55" customHeight="1" x14ac:dyDescent="0.3">
      <c r="A8" s="122">
        <v>59</v>
      </c>
      <c r="B8" s="122" t="s">
        <v>7343</v>
      </c>
      <c r="C8" s="136" t="s">
        <v>142</v>
      </c>
      <c r="D8" s="133">
        <v>8008.7000000000007</v>
      </c>
      <c r="E8" s="134" t="s">
        <v>7508</v>
      </c>
      <c r="F8" s="123"/>
    </row>
    <row r="9" spans="1:6" ht="11.55" customHeight="1" x14ac:dyDescent="0.3">
      <c r="A9" s="122">
        <v>71</v>
      </c>
      <c r="B9" s="135" t="s">
        <v>310</v>
      </c>
      <c r="C9" s="135" t="s">
        <v>311</v>
      </c>
      <c r="D9" s="133">
        <v>707.20000000000073</v>
      </c>
      <c r="E9" s="134" t="s">
        <v>7485</v>
      </c>
      <c r="F9" s="123"/>
    </row>
    <row r="10" spans="1:6" ht="11.55" customHeight="1" x14ac:dyDescent="0.3">
      <c r="A10" s="122">
        <v>72</v>
      </c>
      <c r="B10" s="122" t="s">
        <v>312</v>
      </c>
      <c r="C10" s="122" t="s">
        <v>313</v>
      </c>
      <c r="D10" s="133">
        <v>21238.949999999997</v>
      </c>
      <c r="E10" s="134" t="s">
        <v>7521</v>
      </c>
      <c r="F10" s="123"/>
    </row>
    <row r="11" spans="1:6" ht="11.55" customHeight="1" x14ac:dyDescent="0.3">
      <c r="A11" s="122">
        <v>80</v>
      </c>
      <c r="B11" s="122" t="s">
        <v>325</v>
      </c>
      <c r="C11" s="122" t="s">
        <v>326</v>
      </c>
      <c r="D11" s="133">
        <v>15645.1</v>
      </c>
      <c r="E11" s="134" t="s">
        <v>7508</v>
      </c>
      <c r="F11" s="123"/>
    </row>
    <row r="12" spans="1:6" ht="11.55" customHeight="1" x14ac:dyDescent="0.3">
      <c r="A12" s="122">
        <v>82</v>
      </c>
      <c r="B12" s="122" t="s">
        <v>329</v>
      </c>
      <c r="C12" s="122" t="s">
        <v>330</v>
      </c>
      <c r="D12" s="133">
        <v>15645.1</v>
      </c>
      <c r="E12" s="134" t="s">
        <v>7508</v>
      </c>
      <c r="F12" s="123"/>
    </row>
    <row r="13" spans="1:6" ht="11.55" customHeight="1" x14ac:dyDescent="0.3">
      <c r="A13" s="122">
        <v>86</v>
      </c>
      <c r="B13" s="122" t="s">
        <v>335</v>
      </c>
      <c r="C13" s="122" t="s">
        <v>336</v>
      </c>
      <c r="D13" s="133">
        <v>15645.100000000006</v>
      </c>
      <c r="E13" s="134" t="s">
        <v>7508</v>
      </c>
      <c r="F13" s="123"/>
    </row>
    <row r="14" spans="1:6" ht="11.55" customHeight="1" x14ac:dyDescent="0.3">
      <c r="A14" s="122">
        <v>110</v>
      </c>
      <c r="B14" s="122" t="s">
        <v>381</v>
      </c>
      <c r="C14" s="122" t="s">
        <v>382</v>
      </c>
      <c r="D14" s="133">
        <v>15645.1</v>
      </c>
      <c r="E14" s="134" t="s">
        <v>7508</v>
      </c>
      <c r="F14" s="123"/>
    </row>
    <row r="15" spans="1:6" ht="11.55" customHeight="1" x14ac:dyDescent="0.3">
      <c r="A15" s="122">
        <v>142</v>
      </c>
      <c r="B15" s="122" t="s">
        <v>585</v>
      </c>
      <c r="C15" s="122" t="s">
        <v>586</v>
      </c>
      <c r="D15" s="133">
        <v>351.90000000000146</v>
      </c>
      <c r="E15" s="134" t="s">
        <v>7523</v>
      </c>
      <c r="F15" s="123"/>
    </row>
    <row r="16" spans="1:6" ht="13.5" customHeight="1" x14ac:dyDescent="0.3">
      <c r="A16" s="122">
        <v>167</v>
      </c>
      <c r="B16" s="122" t="s">
        <v>635</v>
      </c>
      <c r="C16" s="122" t="s">
        <v>636</v>
      </c>
      <c r="D16" s="133">
        <v>4143.75</v>
      </c>
      <c r="E16" s="134" t="s">
        <v>7499</v>
      </c>
      <c r="F16" s="123"/>
    </row>
    <row r="17" spans="1:6" ht="11.55" customHeight="1" x14ac:dyDescent="0.3">
      <c r="A17" s="122">
        <v>170</v>
      </c>
      <c r="B17" s="135" t="s">
        <v>640</v>
      </c>
      <c r="C17" s="135" t="s">
        <v>641</v>
      </c>
      <c r="D17" s="133">
        <v>594.14999999999782</v>
      </c>
      <c r="E17" s="134" t="s">
        <v>7500</v>
      </c>
      <c r="F17" s="123"/>
    </row>
    <row r="18" spans="1:6" ht="11.55" customHeight="1" x14ac:dyDescent="0.3">
      <c r="A18" s="122">
        <v>176</v>
      </c>
      <c r="B18" s="122" t="s">
        <v>649</v>
      </c>
      <c r="C18" s="122" t="s">
        <v>650</v>
      </c>
      <c r="D18" s="133">
        <v>594.15000000000146</v>
      </c>
      <c r="E18" s="134" t="s">
        <v>7500</v>
      </c>
      <c r="F18" s="123"/>
    </row>
    <row r="19" spans="1:6" ht="11.55" customHeight="1" x14ac:dyDescent="0.3">
      <c r="A19" s="122">
        <v>181</v>
      </c>
      <c r="B19" s="122" t="s">
        <v>659</v>
      </c>
      <c r="C19" s="122" t="s">
        <v>660</v>
      </c>
      <c r="D19" s="133">
        <v>594.14999999999782</v>
      </c>
      <c r="E19" s="134" t="s">
        <v>7500</v>
      </c>
      <c r="F19" s="123"/>
    </row>
    <row r="20" spans="1:6" ht="11.55" customHeight="1" x14ac:dyDescent="0.3">
      <c r="A20" s="122">
        <v>231</v>
      </c>
      <c r="B20" s="122" t="s">
        <v>880</v>
      </c>
      <c r="C20" s="122" t="s">
        <v>881</v>
      </c>
      <c r="D20" s="133">
        <v>46546</v>
      </c>
      <c r="E20" s="134" t="s">
        <v>7501</v>
      </c>
      <c r="F20" s="123"/>
    </row>
    <row r="21" spans="1:6" ht="11.55" customHeight="1" x14ac:dyDescent="0.3">
      <c r="A21" s="122">
        <v>253</v>
      </c>
      <c r="B21" s="122" t="s">
        <v>918</v>
      </c>
      <c r="C21" s="122" t="s">
        <v>919</v>
      </c>
      <c r="D21" s="133">
        <v>23273</v>
      </c>
      <c r="E21" s="134" t="s">
        <v>7522</v>
      </c>
      <c r="F21" s="123"/>
    </row>
    <row r="22" spans="1:6" ht="11.55" customHeight="1" x14ac:dyDescent="0.3">
      <c r="A22" s="122">
        <v>328</v>
      </c>
      <c r="B22" s="135" t="s">
        <v>7197</v>
      </c>
      <c r="C22" s="135" t="s">
        <v>1156</v>
      </c>
      <c r="D22" s="133">
        <v>11303.3</v>
      </c>
      <c r="E22" s="134" t="s">
        <v>7497</v>
      </c>
      <c r="F22" s="123"/>
    </row>
    <row r="23" spans="1:6" ht="11.55" customHeight="1" x14ac:dyDescent="0.3">
      <c r="A23" s="122">
        <v>345</v>
      </c>
      <c r="B23" s="122" t="s">
        <v>7212</v>
      </c>
      <c r="C23" s="122" t="s">
        <v>2647</v>
      </c>
      <c r="D23" s="133">
        <v>594.14999999999418</v>
      </c>
      <c r="E23" s="134" t="s">
        <v>7500</v>
      </c>
      <c r="F23" s="123"/>
    </row>
    <row r="24" spans="1:6" ht="11.55" customHeight="1" x14ac:dyDescent="0.3">
      <c r="A24" s="122">
        <v>360</v>
      </c>
      <c r="B24" s="122" t="s">
        <v>1304</v>
      </c>
      <c r="C24" s="122" t="s">
        <v>1305</v>
      </c>
      <c r="D24" s="133">
        <v>1982.1999999999998</v>
      </c>
      <c r="E24" s="134" t="s">
        <v>7502</v>
      </c>
      <c r="F24" s="123"/>
    </row>
    <row r="25" spans="1:6" ht="11.55" customHeight="1" x14ac:dyDescent="0.3">
      <c r="A25" s="122">
        <v>364</v>
      </c>
      <c r="B25" s="122" t="s">
        <v>1310</v>
      </c>
      <c r="C25" s="122" t="s">
        <v>1311</v>
      </c>
      <c r="D25" s="133">
        <v>15645.099999999999</v>
      </c>
      <c r="E25" s="134" t="s">
        <v>7508</v>
      </c>
      <c r="F25" s="123"/>
    </row>
    <row r="26" spans="1:6" ht="11.55" customHeight="1" x14ac:dyDescent="0.3">
      <c r="A26" s="122">
        <v>384</v>
      </c>
      <c r="B26" s="122" t="s">
        <v>1347</v>
      </c>
      <c r="C26" s="122" t="s">
        <v>1348</v>
      </c>
      <c r="D26" s="133">
        <v>15645.1</v>
      </c>
      <c r="E26" s="134" t="s">
        <v>7508</v>
      </c>
      <c r="F26" s="123"/>
    </row>
    <row r="27" spans="1:6" ht="11.55" customHeight="1" x14ac:dyDescent="0.3">
      <c r="A27" s="122">
        <v>396</v>
      </c>
      <c r="B27" s="122" t="s">
        <v>1371</v>
      </c>
      <c r="C27" s="122" t="s">
        <v>1372</v>
      </c>
      <c r="D27" s="133">
        <v>1428.8499999999985</v>
      </c>
      <c r="E27" s="134" t="s">
        <v>7503</v>
      </c>
      <c r="F27" s="123"/>
    </row>
    <row r="28" spans="1:6" ht="11.55" customHeight="1" x14ac:dyDescent="0.3">
      <c r="A28" s="122">
        <v>424</v>
      </c>
      <c r="B28" s="122" t="s">
        <v>1511</v>
      </c>
      <c r="C28" s="122" t="s">
        <v>100</v>
      </c>
      <c r="D28" s="133">
        <v>32706.3</v>
      </c>
      <c r="E28" s="134" t="s">
        <v>7479</v>
      </c>
      <c r="F28" s="123"/>
    </row>
    <row r="29" spans="1:6" ht="11.55" customHeight="1" x14ac:dyDescent="0.3">
      <c r="A29" s="122">
        <v>433</v>
      </c>
      <c r="B29" s="122" t="s">
        <v>1527</v>
      </c>
      <c r="C29" s="122" t="s">
        <v>1528</v>
      </c>
      <c r="D29" s="133">
        <v>64664.6</v>
      </c>
      <c r="E29" s="134" t="s">
        <v>7516</v>
      </c>
      <c r="F29" s="123"/>
    </row>
    <row r="30" spans="1:6" ht="11.55" customHeight="1" x14ac:dyDescent="0.3">
      <c r="A30" s="122">
        <v>461</v>
      </c>
      <c r="B30" s="122" t="s">
        <v>1581</v>
      </c>
      <c r="C30" s="122" t="s">
        <v>1582</v>
      </c>
      <c r="D30" s="133">
        <v>15645.1</v>
      </c>
      <c r="E30" s="134" t="s">
        <v>7508</v>
      </c>
      <c r="F30" s="123"/>
    </row>
    <row r="31" spans="1:6" ht="11.55" customHeight="1" x14ac:dyDescent="0.3">
      <c r="A31" s="122">
        <v>484</v>
      </c>
      <c r="B31" s="122" t="s">
        <v>1725</v>
      </c>
      <c r="C31" s="122" t="s">
        <v>60</v>
      </c>
      <c r="D31" s="133">
        <v>3224.0499999999993</v>
      </c>
      <c r="E31" s="134" t="s">
        <v>7477</v>
      </c>
      <c r="F31" s="123"/>
    </row>
    <row r="32" spans="1:6" ht="11.55" customHeight="1" x14ac:dyDescent="0.3">
      <c r="A32" s="122">
        <v>517</v>
      </c>
      <c r="B32" s="135" t="s">
        <v>1787</v>
      </c>
      <c r="C32" s="135" t="s">
        <v>1788</v>
      </c>
      <c r="D32" s="133">
        <v>1774.7999999999993</v>
      </c>
      <c r="E32" s="134" t="s">
        <v>7504</v>
      </c>
      <c r="F32" s="123"/>
    </row>
    <row r="33" spans="1:6" ht="11.55" customHeight="1" x14ac:dyDescent="0.3">
      <c r="A33" s="122">
        <v>542</v>
      </c>
      <c r="B33" s="122" t="s">
        <v>1933</v>
      </c>
      <c r="C33" s="122" t="s">
        <v>1934</v>
      </c>
      <c r="D33" s="133">
        <v>15645.1</v>
      </c>
      <c r="E33" s="134" t="s">
        <v>7498</v>
      </c>
      <c r="F33" s="123"/>
    </row>
    <row r="34" spans="1:6" ht="11.55" customHeight="1" x14ac:dyDescent="0.3">
      <c r="A34" s="122">
        <v>544</v>
      </c>
      <c r="B34" s="122" t="s">
        <v>1937</v>
      </c>
      <c r="C34" s="122" t="s">
        <v>1938</v>
      </c>
      <c r="D34" s="133">
        <v>15645.1</v>
      </c>
      <c r="E34" s="134" t="s">
        <v>7498</v>
      </c>
      <c r="F34" s="123"/>
    </row>
    <row r="35" spans="1:6" ht="11.55" customHeight="1" x14ac:dyDescent="0.3">
      <c r="A35" s="122">
        <v>555</v>
      </c>
      <c r="B35" s="122" t="s">
        <v>1958</v>
      </c>
      <c r="C35" s="122" t="s">
        <v>1959</v>
      </c>
      <c r="D35" s="133">
        <v>15645.1</v>
      </c>
      <c r="E35" s="134" t="s">
        <v>7498</v>
      </c>
      <c r="F35" s="123"/>
    </row>
    <row r="36" spans="1:6" ht="11.55" customHeight="1" x14ac:dyDescent="0.3">
      <c r="A36" s="122">
        <v>556</v>
      </c>
      <c r="B36" s="122" t="s">
        <v>1960</v>
      </c>
      <c r="C36" s="122" t="s">
        <v>1961</v>
      </c>
      <c r="D36" s="133">
        <v>15645.1</v>
      </c>
      <c r="E36" s="134" t="s">
        <v>7498</v>
      </c>
      <c r="F36" s="123"/>
    </row>
    <row r="37" spans="1:6" ht="11.55" customHeight="1" x14ac:dyDescent="0.3">
      <c r="A37" s="122">
        <v>568</v>
      </c>
      <c r="B37" s="122" t="s">
        <v>1984</v>
      </c>
      <c r="C37" s="122" t="s">
        <v>1985</v>
      </c>
      <c r="D37" s="133">
        <v>15645.1</v>
      </c>
      <c r="E37" s="134" t="s">
        <v>7498</v>
      </c>
      <c r="F37" s="123"/>
    </row>
    <row r="38" spans="1:6" ht="11.55" customHeight="1" x14ac:dyDescent="0.3">
      <c r="A38" s="122">
        <v>572</v>
      </c>
      <c r="B38" s="122" t="s">
        <v>1992</v>
      </c>
      <c r="C38" s="122" t="s">
        <v>1993</v>
      </c>
      <c r="D38" s="133">
        <v>15645.1</v>
      </c>
      <c r="E38" s="134" t="s">
        <v>7498</v>
      </c>
      <c r="F38" s="123"/>
    </row>
    <row r="39" spans="1:6" ht="11.55" customHeight="1" x14ac:dyDescent="0.3">
      <c r="A39" s="122">
        <v>575</v>
      </c>
      <c r="B39" s="122" t="s">
        <v>1997</v>
      </c>
      <c r="C39" s="122" t="s">
        <v>1998</v>
      </c>
      <c r="D39" s="133">
        <v>15645.1</v>
      </c>
      <c r="E39" s="134" t="s">
        <v>7498</v>
      </c>
      <c r="F39" s="123"/>
    </row>
    <row r="40" spans="1:6" ht="11.55" customHeight="1" x14ac:dyDescent="0.3">
      <c r="A40" s="122">
        <v>631</v>
      </c>
      <c r="B40" s="122" t="s">
        <v>2216</v>
      </c>
      <c r="C40" s="122" t="s">
        <v>1148</v>
      </c>
      <c r="D40" s="133">
        <v>2045.0999999999985</v>
      </c>
      <c r="E40" s="134" t="s">
        <v>7477</v>
      </c>
      <c r="F40" s="123"/>
    </row>
    <row r="41" spans="1:6" ht="11.55" customHeight="1" x14ac:dyDescent="0.3">
      <c r="A41" s="122">
        <v>694</v>
      </c>
      <c r="B41" s="122" t="s">
        <v>2484</v>
      </c>
      <c r="C41" s="122" t="s">
        <v>871</v>
      </c>
      <c r="D41" s="133">
        <v>5269.1500000000233</v>
      </c>
      <c r="E41" s="134" t="s">
        <v>7505</v>
      </c>
      <c r="F41" s="123"/>
    </row>
    <row r="42" spans="1:6" ht="11.55" customHeight="1" x14ac:dyDescent="0.3">
      <c r="A42" s="122">
        <v>754</v>
      </c>
      <c r="B42" s="122" t="s">
        <v>2671</v>
      </c>
      <c r="C42" s="122" t="s">
        <v>2672</v>
      </c>
      <c r="D42" s="133">
        <v>2040</v>
      </c>
      <c r="E42" s="134" t="s">
        <v>7506</v>
      </c>
      <c r="F42" s="123"/>
    </row>
    <row r="43" spans="1:6" ht="11.55" customHeight="1" x14ac:dyDescent="0.3">
      <c r="A43" s="122">
        <v>793</v>
      </c>
      <c r="B43" s="122" t="s">
        <v>2744</v>
      </c>
      <c r="C43" s="122" t="s">
        <v>2745</v>
      </c>
      <c r="D43" s="133">
        <v>594.15000000000146</v>
      </c>
      <c r="E43" s="134" t="s">
        <v>7500</v>
      </c>
      <c r="F43" s="123"/>
    </row>
    <row r="44" spans="1:6" ht="11.55" customHeight="1" x14ac:dyDescent="0.3">
      <c r="A44" s="122">
        <v>829</v>
      </c>
      <c r="B44" s="122" t="s">
        <v>2897</v>
      </c>
      <c r="C44" s="122" t="s">
        <v>2898</v>
      </c>
      <c r="D44" s="133">
        <v>594.14999999999418</v>
      </c>
      <c r="E44" s="134" t="s">
        <v>7500</v>
      </c>
      <c r="F44" s="123"/>
    </row>
    <row r="45" spans="1:6" ht="11.55" customHeight="1" x14ac:dyDescent="0.3">
      <c r="A45" s="122">
        <v>831</v>
      </c>
      <c r="B45" s="122" t="s">
        <v>2901</v>
      </c>
      <c r="C45" s="122" t="s">
        <v>2902</v>
      </c>
      <c r="D45" s="133">
        <v>594.15000000000873</v>
      </c>
      <c r="E45" s="134" t="s">
        <v>7500</v>
      </c>
      <c r="F45" s="123"/>
    </row>
    <row r="46" spans="1:6" ht="11.55" customHeight="1" x14ac:dyDescent="0.3">
      <c r="A46" s="122">
        <v>839</v>
      </c>
      <c r="B46" s="122" t="s">
        <v>2917</v>
      </c>
      <c r="C46" s="122" t="s">
        <v>2918</v>
      </c>
      <c r="D46" s="133">
        <v>2039.9999999999982</v>
      </c>
      <c r="E46" s="134" t="s">
        <v>7506</v>
      </c>
      <c r="F46" s="123"/>
    </row>
    <row r="47" spans="1:6" ht="11.55" customHeight="1" x14ac:dyDescent="0.3">
      <c r="A47" s="122">
        <v>840</v>
      </c>
      <c r="B47" s="122" t="s">
        <v>2919</v>
      </c>
      <c r="C47" s="122" t="s">
        <v>2920</v>
      </c>
      <c r="D47" s="133">
        <v>594.14999999999418</v>
      </c>
      <c r="E47" s="134" t="s">
        <v>7500</v>
      </c>
      <c r="F47" s="123"/>
    </row>
    <row r="48" spans="1:6" ht="11.55" customHeight="1" x14ac:dyDescent="0.3">
      <c r="A48" s="122">
        <v>852</v>
      </c>
      <c r="B48" s="122" t="s">
        <v>2943</v>
      </c>
      <c r="C48" s="122" t="s">
        <v>2944</v>
      </c>
      <c r="D48" s="133">
        <v>15645.1</v>
      </c>
      <c r="E48" s="134" t="s">
        <v>7498</v>
      </c>
      <c r="F48" s="123"/>
    </row>
    <row r="49" spans="1:6" ht="11.55" customHeight="1" x14ac:dyDescent="0.3">
      <c r="A49" s="122">
        <v>853</v>
      </c>
      <c r="B49" s="135" t="s">
        <v>2945</v>
      </c>
      <c r="C49" s="135" t="s">
        <v>135</v>
      </c>
      <c r="D49" s="133">
        <v>2045.0999999999985</v>
      </c>
      <c r="E49" s="134" t="s">
        <v>7477</v>
      </c>
      <c r="F49" s="123"/>
    </row>
    <row r="50" spans="1:6" ht="11.55" customHeight="1" x14ac:dyDescent="0.3">
      <c r="A50" s="122">
        <v>860</v>
      </c>
      <c r="B50" s="122" t="s">
        <v>2956</v>
      </c>
      <c r="C50" s="122" t="s">
        <v>2957</v>
      </c>
      <c r="D50" s="133">
        <v>15645.1</v>
      </c>
      <c r="E50" s="134" t="s">
        <v>7498</v>
      </c>
      <c r="F50" s="123"/>
    </row>
    <row r="51" spans="1:6" ht="11.55" customHeight="1" x14ac:dyDescent="0.3">
      <c r="A51" s="122">
        <v>867</v>
      </c>
      <c r="B51" s="122" t="s">
        <v>2969</v>
      </c>
      <c r="C51" s="122" t="s">
        <v>1364</v>
      </c>
      <c r="D51" s="133">
        <v>3224.05</v>
      </c>
      <c r="E51" s="134" t="s">
        <v>7507</v>
      </c>
      <c r="F51" s="123"/>
    </row>
    <row r="52" spans="1:6" ht="11.55" customHeight="1" x14ac:dyDescent="0.3">
      <c r="A52" s="122">
        <v>901</v>
      </c>
      <c r="B52" s="135" t="s">
        <v>3134</v>
      </c>
      <c r="C52" s="135" t="s">
        <v>2724</v>
      </c>
      <c r="D52" s="133">
        <v>2045.0999999999995</v>
      </c>
      <c r="E52" s="134" t="s">
        <v>7477</v>
      </c>
      <c r="F52" s="123"/>
    </row>
    <row r="53" spans="1:6" ht="11.55" customHeight="1" x14ac:dyDescent="0.3">
      <c r="A53" s="122">
        <v>1007</v>
      </c>
      <c r="B53" s="122" t="s">
        <v>3512</v>
      </c>
      <c r="C53" s="122" t="s">
        <v>1743</v>
      </c>
      <c r="D53" s="133">
        <v>2045.0999999999995</v>
      </c>
      <c r="E53" s="134" t="s">
        <v>7477</v>
      </c>
      <c r="F53" s="123"/>
    </row>
    <row r="54" spans="1:6" ht="11.55" customHeight="1" x14ac:dyDescent="0.3">
      <c r="A54" s="122">
        <v>1028</v>
      </c>
      <c r="B54" s="122" t="s">
        <v>3548</v>
      </c>
      <c r="C54" s="122" t="s">
        <v>3549</v>
      </c>
      <c r="D54" s="133">
        <v>15645.1</v>
      </c>
      <c r="E54" s="134" t="s">
        <v>7498</v>
      </c>
      <c r="F54" s="123"/>
    </row>
    <row r="55" spans="1:6" ht="11.55" customHeight="1" x14ac:dyDescent="0.3">
      <c r="A55" s="122">
        <v>1033</v>
      </c>
      <c r="B55" s="135" t="s">
        <v>3557</v>
      </c>
      <c r="C55" s="135" t="s">
        <v>1580</v>
      </c>
      <c r="D55" s="133">
        <v>3224.0500000000029</v>
      </c>
      <c r="E55" s="134" t="s">
        <v>7505</v>
      </c>
      <c r="F55" s="123"/>
    </row>
    <row r="56" spans="1:6" ht="11.55" customHeight="1" x14ac:dyDescent="0.3">
      <c r="A56" s="122">
        <v>1055</v>
      </c>
      <c r="B56" s="122" t="s">
        <v>7381</v>
      </c>
      <c r="C56" s="122" t="s">
        <v>3578</v>
      </c>
      <c r="D56" s="133">
        <v>15645.1</v>
      </c>
      <c r="E56" s="134" t="s">
        <v>7498</v>
      </c>
      <c r="F56" s="123"/>
    </row>
    <row r="57" spans="1:6" ht="11.55" customHeight="1" x14ac:dyDescent="0.3">
      <c r="A57" s="122">
        <v>1086</v>
      </c>
      <c r="B57" s="135" t="s">
        <v>3752</v>
      </c>
      <c r="C57" s="135" t="s">
        <v>3753</v>
      </c>
      <c r="D57" s="133">
        <v>11667.949999999997</v>
      </c>
      <c r="E57" s="134" t="s">
        <v>7500</v>
      </c>
      <c r="F57" s="123"/>
    </row>
    <row r="58" spans="1:6" ht="11.55" customHeight="1" x14ac:dyDescent="0.3">
      <c r="A58" s="122">
        <v>1093</v>
      </c>
      <c r="B58" s="122" t="s">
        <v>3765</v>
      </c>
      <c r="C58" s="122" t="s">
        <v>3766</v>
      </c>
      <c r="D58" s="133">
        <v>3044.7000000000044</v>
      </c>
      <c r="E58" s="134" t="s">
        <v>7509</v>
      </c>
      <c r="F58" s="123"/>
    </row>
    <row r="59" spans="1:6" ht="11.55" customHeight="1" x14ac:dyDescent="0.3">
      <c r="A59" s="122">
        <v>1156</v>
      </c>
      <c r="B59" s="122" t="s">
        <v>3972</v>
      </c>
      <c r="C59" s="122" t="s">
        <v>3973</v>
      </c>
      <c r="D59" s="133">
        <v>2045.0999999999985</v>
      </c>
      <c r="E59" s="134" t="s">
        <v>7509</v>
      </c>
      <c r="F59" s="123"/>
    </row>
    <row r="60" spans="1:6" ht="11.55" customHeight="1" x14ac:dyDescent="0.3">
      <c r="A60" s="122">
        <v>1163</v>
      </c>
      <c r="B60" s="122" t="s">
        <v>3986</v>
      </c>
      <c r="C60" s="122" t="s">
        <v>433</v>
      </c>
      <c r="D60" s="133">
        <v>2045.1000000000004</v>
      </c>
      <c r="E60" s="134" t="s">
        <v>7509</v>
      </c>
      <c r="F60" s="123"/>
    </row>
    <row r="61" spans="1:6" ht="11.55" customHeight="1" x14ac:dyDescent="0.3">
      <c r="A61" s="122">
        <v>1166</v>
      </c>
      <c r="B61" s="122" t="s">
        <v>3991</v>
      </c>
      <c r="C61" s="122" t="s">
        <v>1526</v>
      </c>
      <c r="D61" s="133">
        <v>2045.1000000000058</v>
      </c>
      <c r="E61" s="134" t="s">
        <v>7509</v>
      </c>
      <c r="F61" s="123"/>
    </row>
    <row r="62" spans="1:6" ht="11.55" customHeight="1" x14ac:dyDescent="0.3">
      <c r="A62" s="122">
        <v>1174</v>
      </c>
      <c r="B62" s="122" t="s">
        <v>4006</v>
      </c>
      <c r="C62" s="122" t="s">
        <v>3556</v>
      </c>
      <c r="D62" s="133">
        <v>2045.1000000000058</v>
      </c>
      <c r="E62" s="134" t="s">
        <v>7509</v>
      </c>
      <c r="F62" s="123"/>
    </row>
    <row r="63" spans="1:6" ht="11.55" customHeight="1" x14ac:dyDescent="0.3">
      <c r="A63" s="122">
        <v>1220</v>
      </c>
      <c r="B63" s="122" t="s">
        <v>7263</v>
      </c>
      <c r="C63" s="136" t="s">
        <v>3346</v>
      </c>
      <c r="D63" s="133">
        <v>47860.95</v>
      </c>
      <c r="E63" s="134" t="s">
        <v>7509</v>
      </c>
      <c r="F63" s="123"/>
    </row>
    <row r="64" spans="1:6" ht="11.55" customHeight="1" x14ac:dyDescent="0.3">
      <c r="A64" s="122">
        <v>1234</v>
      </c>
      <c r="B64" s="135" t="s">
        <v>4240</v>
      </c>
      <c r="C64" s="135" t="s">
        <v>3577</v>
      </c>
      <c r="D64" s="133">
        <v>2045.1000000000058</v>
      </c>
      <c r="E64" s="134" t="s">
        <v>7509</v>
      </c>
      <c r="F64" s="123"/>
    </row>
    <row r="65" spans="1:6" ht="11.55" customHeight="1" x14ac:dyDescent="0.3">
      <c r="A65" s="122">
        <v>1273</v>
      </c>
      <c r="B65" s="122" t="s">
        <v>4309</v>
      </c>
      <c r="C65" s="122" t="s">
        <v>1165</v>
      </c>
      <c r="D65" s="133">
        <v>2045.0999999999995</v>
      </c>
      <c r="E65" s="134" t="s">
        <v>7509</v>
      </c>
      <c r="F65" s="123"/>
    </row>
    <row r="66" spans="1:6" ht="11.55" customHeight="1" x14ac:dyDescent="0.3">
      <c r="A66" s="122">
        <v>1277</v>
      </c>
      <c r="B66" s="122" t="s">
        <v>4316</v>
      </c>
      <c r="C66" s="122" t="s">
        <v>4317</v>
      </c>
      <c r="D66" s="133">
        <v>2702.1500000000015</v>
      </c>
      <c r="E66" s="134" t="s">
        <v>7503</v>
      </c>
      <c r="F66" s="123"/>
    </row>
    <row r="67" spans="1:6" ht="11.55" customHeight="1" x14ac:dyDescent="0.3">
      <c r="A67" s="122">
        <v>1283</v>
      </c>
      <c r="B67" s="122" t="s">
        <v>4328</v>
      </c>
      <c r="C67" s="122" t="s">
        <v>963</v>
      </c>
      <c r="D67" s="133">
        <v>2702.1500000000015</v>
      </c>
      <c r="E67" s="134" t="s">
        <v>7510</v>
      </c>
      <c r="F67" s="123"/>
    </row>
    <row r="68" spans="1:6" ht="11.55" customHeight="1" x14ac:dyDescent="0.3">
      <c r="A68" s="122">
        <v>1319</v>
      </c>
      <c r="B68" s="122" t="s">
        <v>4482</v>
      </c>
      <c r="C68" s="122" t="s">
        <v>4483</v>
      </c>
      <c r="D68" s="133">
        <v>15645.1</v>
      </c>
      <c r="E68" s="134" t="s">
        <v>7508</v>
      </c>
      <c r="F68" s="123"/>
    </row>
    <row r="69" spans="1:6" ht="11.55" customHeight="1" x14ac:dyDescent="0.3">
      <c r="A69" s="122">
        <v>1321</v>
      </c>
      <c r="B69" s="122" t="s">
        <v>4486</v>
      </c>
      <c r="C69" s="122" t="s">
        <v>4487</v>
      </c>
      <c r="D69" s="133">
        <v>5269.15</v>
      </c>
      <c r="E69" s="134" t="s">
        <v>7518</v>
      </c>
      <c r="F69" s="123"/>
    </row>
    <row r="70" spans="1:6" ht="11.55" customHeight="1" x14ac:dyDescent="0.3">
      <c r="A70" s="122">
        <v>1322</v>
      </c>
      <c r="B70" s="122" t="s">
        <v>4488</v>
      </c>
      <c r="C70" s="122" t="s">
        <v>4489</v>
      </c>
      <c r="D70" s="133">
        <v>17085</v>
      </c>
      <c r="E70" s="134" t="s">
        <v>7518</v>
      </c>
      <c r="F70" s="123"/>
    </row>
    <row r="71" spans="1:6" ht="11.55" customHeight="1" x14ac:dyDescent="0.3">
      <c r="A71" s="122">
        <v>1323</v>
      </c>
      <c r="B71" s="122" t="s">
        <v>4490</v>
      </c>
      <c r="C71" s="122" t="s">
        <v>4491</v>
      </c>
      <c r="D71" s="133">
        <v>14687.15</v>
      </c>
      <c r="E71" s="134" t="s">
        <v>7508</v>
      </c>
      <c r="F71" s="123"/>
    </row>
    <row r="72" spans="1:6" ht="11.55" customHeight="1" x14ac:dyDescent="0.3">
      <c r="A72" s="122">
        <v>1331</v>
      </c>
      <c r="B72" s="122" t="s">
        <v>4506</v>
      </c>
      <c r="C72" s="122" t="s">
        <v>3414</v>
      </c>
      <c r="D72" s="133">
        <v>2045.0999999999985</v>
      </c>
      <c r="E72" s="134" t="s">
        <v>7477</v>
      </c>
      <c r="F72" s="123"/>
    </row>
    <row r="73" spans="1:6" ht="11.55" customHeight="1" x14ac:dyDescent="0.3">
      <c r="A73" s="122">
        <v>1339</v>
      </c>
      <c r="B73" s="122" t="s">
        <v>4521</v>
      </c>
      <c r="C73" s="122" t="s">
        <v>1364</v>
      </c>
      <c r="D73" s="133">
        <v>3224.05</v>
      </c>
      <c r="E73" s="134" t="s">
        <v>7511</v>
      </c>
      <c r="F73" s="123"/>
    </row>
    <row r="74" spans="1:6" ht="11.55" customHeight="1" x14ac:dyDescent="0.3">
      <c r="A74" s="122">
        <v>1348</v>
      </c>
      <c r="B74" s="122" t="s">
        <v>7277</v>
      </c>
      <c r="C74" s="136" t="s">
        <v>4246</v>
      </c>
      <c r="D74" s="133">
        <v>4593.3999999999996</v>
      </c>
      <c r="E74" s="134" t="s">
        <v>7518</v>
      </c>
      <c r="F74" s="123"/>
    </row>
    <row r="75" spans="1:6" ht="11.55" customHeight="1" x14ac:dyDescent="0.3">
      <c r="A75" s="122">
        <v>1354</v>
      </c>
      <c r="B75" s="122" t="s">
        <v>4641</v>
      </c>
      <c r="C75" s="122" t="s">
        <v>74</v>
      </c>
      <c r="D75" s="133">
        <v>3224.0500000000029</v>
      </c>
      <c r="E75" s="134" t="s">
        <v>7509</v>
      </c>
      <c r="F75" s="123"/>
    </row>
    <row r="76" spans="1:6" ht="11.55" customHeight="1" x14ac:dyDescent="0.3">
      <c r="A76" s="122">
        <v>1365</v>
      </c>
      <c r="B76" s="122" t="s">
        <v>4658</v>
      </c>
      <c r="C76" s="122" t="s">
        <v>3358</v>
      </c>
      <c r="D76" s="133">
        <v>3224.0499999999956</v>
      </c>
      <c r="E76" s="134" t="s">
        <v>7509</v>
      </c>
      <c r="F76" s="123"/>
    </row>
    <row r="77" spans="1:6" ht="11.55" customHeight="1" x14ac:dyDescent="0.3">
      <c r="A77" s="122">
        <v>1369</v>
      </c>
      <c r="B77" s="122" t="s">
        <v>4665</v>
      </c>
      <c r="C77" s="122" t="s">
        <v>1139</v>
      </c>
      <c r="D77" s="133">
        <v>15645.1</v>
      </c>
      <c r="E77" s="134" t="s">
        <v>7508</v>
      </c>
      <c r="F77" s="123"/>
    </row>
    <row r="78" spans="1:6" ht="11.55" customHeight="1" x14ac:dyDescent="0.3">
      <c r="A78" s="122">
        <v>1373</v>
      </c>
      <c r="B78" s="122" t="s">
        <v>4671</v>
      </c>
      <c r="C78" s="122" t="s">
        <v>4672</v>
      </c>
      <c r="D78" s="133">
        <v>15645.099999999999</v>
      </c>
      <c r="E78" s="134" t="s">
        <v>7508</v>
      </c>
      <c r="F78" s="123"/>
    </row>
    <row r="79" spans="1:6" ht="11.55" customHeight="1" x14ac:dyDescent="0.3">
      <c r="A79" s="122">
        <v>1386</v>
      </c>
      <c r="B79" s="122" t="s">
        <v>4696</v>
      </c>
      <c r="C79" s="122" t="s">
        <v>4697</v>
      </c>
      <c r="D79" s="133">
        <v>5269.15</v>
      </c>
      <c r="E79" s="134" t="s">
        <v>7518</v>
      </c>
      <c r="F79" s="123"/>
    </row>
    <row r="80" spans="1:6" ht="11.55" customHeight="1" x14ac:dyDescent="0.3">
      <c r="A80" s="122">
        <v>1389</v>
      </c>
      <c r="B80" s="122" t="s">
        <v>4701</v>
      </c>
      <c r="C80" s="122" t="s">
        <v>4702</v>
      </c>
      <c r="D80" s="133">
        <v>2702.1500000000005</v>
      </c>
      <c r="E80" s="134" t="s">
        <v>7503</v>
      </c>
      <c r="F80" s="123"/>
    </row>
    <row r="81" spans="1:6" ht="11.55" customHeight="1" x14ac:dyDescent="0.3">
      <c r="A81" s="122">
        <v>1417</v>
      </c>
      <c r="B81" s="122" t="s">
        <v>4750</v>
      </c>
      <c r="C81" s="122" t="s">
        <v>4743</v>
      </c>
      <c r="D81" s="133">
        <v>59194.85</v>
      </c>
      <c r="E81" s="134" t="s">
        <v>7518</v>
      </c>
      <c r="F81" s="123"/>
    </row>
    <row r="82" spans="1:6" ht="11.55" customHeight="1" x14ac:dyDescent="0.3">
      <c r="A82" s="122">
        <v>1420</v>
      </c>
      <c r="B82" s="122" t="s">
        <v>4754</v>
      </c>
      <c r="C82" s="122" t="s">
        <v>4755</v>
      </c>
      <c r="D82" s="133">
        <v>5269.15</v>
      </c>
      <c r="E82" s="143" t="s">
        <v>7515</v>
      </c>
      <c r="F82" s="123"/>
    </row>
    <row r="83" spans="1:6" ht="11.55" customHeight="1" x14ac:dyDescent="0.3">
      <c r="A83" s="122">
        <v>1455</v>
      </c>
      <c r="B83" s="122" t="s">
        <v>4924</v>
      </c>
      <c r="C83" s="122" t="s">
        <v>4925</v>
      </c>
      <c r="D83" s="133">
        <v>18395.7</v>
      </c>
      <c r="E83" s="134" t="s">
        <v>7518</v>
      </c>
      <c r="F83" s="123"/>
    </row>
    <row r="84" spans="1:6" ht="11.55" customHeight="1" x14ac:dyDescent="0.3">
      <c r="A84" s="122">
        <v>1464</v>
      </c>
      <c r="B84" s="122" t="s">
        <v>4942</v>
      </c>
      <c r="C84" s="122" t="s">
        <v>4943</v>
      </c>
      <c r="D84" s="133">
        <v>15645.1</v>
      </c>
      <c r="E84" s="134" t="s">
        <v>7508</v>
      </c>
      <c r="F84" s="123"/>
    </row>
    <row r="85" spans="1:6" ht="11.55" customHeight="1" x14ac:dyDescent="0.3">
      <c r="A85" s="122">
        <v>1501</v>
      </c>
      <c r="B85" s="122" t="s">
        <v>5007</v>
      </c>
      <c r="C85" s="136" t="s">
        <v>7172</v>
      </c>
      <c r="D85" s="133">
        <v>19074.849999999999</v>
      </c>
      <c r="E85" s="134" t="s">
        <v>7519</v>
      </c>
      <c r="F85" s="123"/>
    </row>
    <row r="86" spans="1:6" ht="11.55" customHeight="1" x14ac:dyDescent="0.3">
      <c r="A86" s="122">
        <v>1505</v>
      </c>
      <c r="B86" s="122" t="s">
        <v>7414</v>
      </c>
      <c r="C86" s="122" t="s">
        <v>1985</v>
      </c>
      <c r="D86" s="133">
        <v>2045.0999999999995</v>
      </c>
      <c r="E86" s="134" t="s">
        <v>7477</v>
      </c>
      <c r="F86" s="123"/>
    </row>
    <row r="87" spans="1:6" ht="11.55" customHeight="1" x14ac:dyDescent="0.3">
      <c r="A87" s="122">
        <v>1524</v>
      </c>
      <c r="B87" s="122" t="s">
        <v>5173</v>
      </c>
      <c r="C87" s="122" t="s">
        <v>1315</v>
      </c>
      <c r="D87" s="133">
        <v>3044.7000000000044</v>
      </c>
      <c r="E87" s="134" t="s">
        <v>7477</v>
      </c>
      <c r="F87" s="123"/>
    </row>
    <row r="88" spans="1:6" ht="11.55" customHeight="1" x14ac:dyDescent="0.3">
      <c r="A88" s="122">
        <v>1527</v>
      </c>
      <c r="B88" s="122" t="s">
        <v>5178</v>
      </c>
      <c r="C88" s="122" t="s">
        <v>683</v>
      </c>
      <c r="D88" s="133">
        <v>3044.6999999999971</v>
      </c>
      <c r="E88" s="134" t="s">
        <v>7477</v>
      </c>
      <c r="F88" s="123"/>
    </row>
    <row r="89" spans="1:6" ht="11.55" customHeight="1" x14ac:dyDescent="0.3">
      <c r="A89" s="122">
        <v>1535</v>
      </c>
      <c r="B89" s="122" t="s">
        <v>5193</v>
      </c>
      <c r="C89" s="122" t="s">
        <v>5194</v>
      </c>
      <c r="D89" s="133">
        <v>2040</v>
      </c>
      <c r="E89" s="134" t="s">
        <v>7506</v>
      </c>
      <c r="F89" s="123"/>
    </row>
    <row r="90" spans="1:6" ht="11.55" customHeight="1" x14ac:dyDescent="0.3">
      <c r="A90" s="122">
        <v>1586</v>
      </c>
      <c r="B90" s="122" t="s">
        <v>5286</v>
      </c>
      <c r="C90" s="122" t="s">
        <v>5287</v>
      </c>
      <c r="D90" s="133">
        <v>36720.85</v>
      </c>
      <c r="E90" s="134" t="s">
        <v>7512</v>
      </c>
      <c r="F90" s="123"/>
    </row>
    <row r="91" spans="1:6" ht="11.55" customHeight="1" x14ac:dyDescent="0.3">
      <c r="A91" s="122">
        <v>1601</v>
      </c>
      <c r="B91" s="122" t="s">
        <v>5425</v>
      </c>
      <c r="C91" s="122" t="s">
        <v>2170</v>
      </c>
      <c r="D91" s="133">
        <v>2045.1000000000004</v>
      </c>
      <c r="E91" s="134" t="s">
        <v>7477</v>
      </c>
      <c r="F91" s="123"/>
    </row>
    <row r="92" spans="1:6" ht="11.55" customHeight="1" x14ac:dyDescent="0.3">
      <c r="A92" s="122">
        <v>1629</v>
      </c>
      <c r="B92" s="122" t="s">
        <v>5473</v>
      </c>
      <c r="C92" s="122" t="s">
        <v>3734</v>
      </c>
      <c r="D92" s="133">
        <v>2045.1000000000004</v>
      </c>
      <c r="E92" s="134" t="s">
        <v>7477</v>
      </c>
      <c r="F92" s="123"/>
    </row>
    <row r="93" spans="1:6" ht="11.55" customHeight="1" x14ac:dyDescent="0.3">
      <c r="A93" s="122">
        <v>1642</v>
      </c>
      <c r="B93" s="122" t="s">
        <v>5496</v>
      </c>
      <c r="C93" s="122" t="s">
        <v>2490</v>
      </c>
      <c r="D93" s="133">
        <v>45815.85</v>
      </c>
      <c r="E93" s="134" t="s">
        <v>7513</v>
      </c>
      <c r="F93" s="123"/>
    </row>
    <row r="94" spans="1:6" ht="11.55" customHeight="1" x14ac:dyDescent="0.3">
      <c r="A94" s="122">
        <v>1674</v>
      </c>
      <c r="B94" s="122" t="s">
        <v>5553</v>
      </c>
      <c r="C94" s="122" t="s">
        <v>3796</v>
      </c>
      <c r="D94" s="133">
        <v>2045.0999999999995</v>
      </c>
      <c r="E94" s="134" t="s">
        <v>7477</v>
      </c>
      <c r="F94" s="123"/>
    </row>
    <row r="95" spans="1:6" ht="11.55" customHeight="1" x14ac:dyDescent="0.3">
      <c r="A95" s="122">
        <v>1677</v>
      </c>
      <c r="B95" s="122" t="s">
        <v>5558</v>
      </c>
      <c r="C95" s="122" t="s">
        <v>3778</v>
      </c>
      <c r="D95" s="133">
        <v>2045.0999999999995</v>
      </c>
      <c r="E95" s="134" t="s">
        <v>7477</v>
      </c>
      <c r="F95" s="123"/>
    </row>
    <row r="96" spans="1:6" ht="11.55" customHeight="1" x14ac:dyDescent="0.3">
      <c r="A96" s="122">
        <v>1736</v>
      </c>
      <c r="B96" s="122" t="s">
        <v>5824</v>
      </c>
      <c r="C96" s="122" t="s">
        <v>2716</v>
      </c>
      <c r="D96" s="133">
        <v>3044.7000000000044</v>
      </c>
      <c r="E96" s="134" t="s">
        <v>7477</v>
      </c>
      <c r="F96" s="123"/>
    </row>
    <row r="97" spans="1:6" ht="11.55" customHeight="1" x14ac:dyDescent="0.3">
      <c r="A97" s="122">
        <v>1778</v>
      </c>
      <c r="B97" s="122" t="s">
        <v>5964</v>
      </c>
      <c r="C97" s="122" t="s">
        <v>5012</v>
      </c>
      <c r="D97" s="133">
        <v>2045.0999999999985</v>
      </c>
      <c r="E97" s="134" t="s">
        <v>7477</v>
      </c>
      <c r="F97" s="123"/>
    </row>
    <row r="98" spans="1:6" ht="11.55" customHeight="1" x14ac:dyDescent="0.3">
      <c r="A98" s="122">
        <v>1787</v>
      </c>
      <c r="B98" s="122" t="s">
        <v>5979</v>
      </c>
      <c r="C98" s="122" t="s">
        <v>2674</v>
      </c>
      <c r="D98" s="133">
        <v>2045.0999999999985</v>
      </c>
      <c r="E98" s="134" t="s">
        <v>7477</v>
      </c>
      <c r="F98" s="123"/>
    </row>
    <row r="99" spans="1:6" ht="11.55" customHeight="1" x14ac:dyDescent="0.3">
      <c r="A99" s="122">
        <v>1790</v>
      </c>
      <c r="B99" s="122" t="s">
        <v>5982</v>
      </c>
      <c r="C99" s="122" t="s">
        <v>5983</v>
      </c>
      <c r="D99" s="133">
        <v>8008.7000000000007</v>
      </c>
      <c r="E99" s="134" t="s">
        <v>7508</v>
      </c>
      <c r="F99" s="123"/>
    </row>
    <row r="100" spans="1:6" ht="11.55" customHeight="1" x14ac:dyDescent="0.3">
      <c r="A100" s="122">
        <v>1792</v>
      </c>
      <c r="B100" s="122" t="s">
        <v>5985</v>
      </c>
      <c r="C100" s="122" t="s">
        <v>5986</v>
      </c>
      <c r="D100" s="133">
        <v>8008.7000000000007</v>
      </c>
      <c r="E100" s="134" t="s">
        <v>7508</v>
      </c>
      <c r="F100" s="123"/>
    </row>
    <row r="101" spans="1:6" ht="11.55" customHeight="1" x14ac:dyDescent="0.3">
      <c r="A101" s="122">
        <v>1839</v>
      </c>
      <c r="B101" s="122" t="s">
        <v>6068</v>
      </c>
      <c r="C101" s="122" t="s">
        <v>2738</v>
      </c>
      <c r="D101" s="133">
        <v>2045.1000000000004</v>
      </c>
      <c r="E101" s="134" t="s">
        <v>7477</v>
      </c>
      <c r="F101" s="123"/>
    </row>
    <row r="102" spans="1:6" ht="11.55" customHeight="1" x14ac:dyDescent="0.3">
      <c r="A102" s="122">
        <v>1893</v>
      </c>
      <c r="B102" s="122" t="s">
        <v>6230</v>
      </c>
      <c r="C102" s="122" t="s">
        <v>6231</v>
      </c>
      <c r="D102" s="133">
        <v>47597.45</v>
      </c>
      <c r="E102" s="134" t="s">
        <v>7514</v>
      </c>
      <c r="F102" s="123"/>
    </row>
    <row r="103" spans="1:6" ht="11.55" customHeight="1" x14ac:dyDescent="0.3">
      <c r="A103" s="122">
        <v>1898</v>
      </c>
      <c r="B103" s="122" t="s">
        <v>6239</v>
      </c>
      <c r="C103" s="122" t="s">
        <v>6240</v>
      </c>
      <c r="D103" s="133">
        <v>15645.1</v>
      </c>
      <c r="E103" s="134" t="s">
        <v>7508</v>
      </c>
      <c r="F103" s="123"/>
    </row>
    <row r="104" spans="1:6" ht="11.55" customHeight="1" x14ac:dyDescent="0.3">
      <c r="A104" s="122">
        <v>1902</v>
      </c>
      <c r="B104" s="122" t="s">
        <v>6247</v>
      </c>
      <c r="C104" s="122" t="s">
        <v>3734</v>
      </c>
      <c r="D104" s="133">
        <v>2045.0999999999995</v>
      </c>
      <c r="E104" s="134" t="s">
        <v>7477</v>
      </c>
      <c r="F104" s="123"/>
    </row>
    <row r="105" spans="1:6" ht="11.55" customHeight="1" x14ac:dyDescent="0.3">
      <c r="A105" s="122">
        <v>1920</v>
      </c>
      <c r="B105" s="122" t="s">
        <v>6279</v>
      </c>
      <c r="C105" s="122" t="s">
        <v>6280</v>
      </c>
      <c r="D105" s="133">
        <v>17085</v>
      </c>
      <c r="E105" s="134" t="s">
        <v>7478</v>
      </c>
      <c r="F105" s="123"/>
    </row>
    <row r="106" spans="1:6" ht="11.55" customHeight="1" x14ac:dyDescent="0.3">
      <c r="A106" s="122">
        <v>1942</v>
      </c>
      <c r="B106" s="122" t="s">
        <v>6405</v>
      </c>
      <c r="C106" s="122" t="s">
        <v>4499</v>
      </c>
      <c r="D106" s="133">
        <v>13966.35</v>
      </c>
      <c r="E106" s="134" t="s">
        <v>7517</v>
      </c>
      <c r="F106" s="123"/>
    </row>
    <row r="107" spans="1:6" ht="11.55" customHeight="1" x14ac:dyDescent="0.3">
      <c r="A107" s="122">
        <v>1948</v>
      </c>
      <c r="B107" s="122" t="s">
        <v>6416</v>
      </c>
      <c r="C107" s="122" t="s">
        <v>6417</v>
      </c>
      <c r="D107" s="133">
        <v>15645.1</v>
      </c>
      <c r="E107" s="134" t="s">
        <v>7508</v>
      </c>
      <c r="F107" s="123"/>
    </row>
    <row r="108" spans="1:6" ht="11.55" customHeight="1" x14ac:dyDescent="0.3">
      <c r="A108" s="122">
        <v>1956</v>
      </c>
      <c r="B108" s="122" t="s">
        <v>6431</v>
      </c>
      <c r="C108" s="122" t="s">
        <v>6432</v>
      </c>
      <c r="D108" s="133">
        <v>15645.1</v>
      </c>
      <c r="E108" s="134" t="s">
        <v>7508</v>
      </c>
      <c r="F108" s="123"/>
    </row>
    <row r="109" spans="1:6" ht="11.55" customHeight="1" x14ac:dyDescent="0.3">
      <c r="A109" s="122">
        <v>1968</v>
      </c>
      <c r="B109" s="122" t="s">
        <v>6455</v>
      </c>
      <c r="C109" s="122" t="s">
        <v>6456</v>
      </c>
      <c r="D109" s="133">
        <v>15645.1</v>
      </c>
      <c r="E109" s="134" t="s">
        <v>7508</v>
      </c>
      <c r="F109" s="123"/>
    </row>
    <row r="110" spans="1:6" ht="11.55" customHeight="1" x14ac:dyDescent="0.3">
      <c r="A110" s="122">
        <v>1969</v>
      </c>
      <c r="B110" s="122" t="s">
        <v>6457</v>
      </c>
      <c r="C110" s="122" t="s">
        <v>6458</v>
      </c>
      <c r="D110" s="133">
        <v>15645.1</v>
      </c>
      <c r="E110" s="134" t="s">
        <v>7508</v>
      </c>
      <c r="F110" s="123"/>
    </row>
    <row r="111" spans="1:6" ht="11.55" customHeight="1" x14ac:dyDescent="0.3">
      <c r="A111" s="122">
        <v>1970</v>
      </c>
      <c r="B111" s="122" t="s">
        <v>6459</v>
      </c>
      <c r="C111" s="122" t="s">
        <v>6460</v>
      </c>
      <c r="D111" s="133">
        <v>15645.1</v>
      </c>
      <c r="E111" s="134" t="s">
        <v>7508</v>
      </c>
      <c r="F111" s="123"/>
    </row>
    <row r="112" spans="1:6" ht="11.55" customHeight="1" x14ac:dyDescent="0.3">
      <c r="A112" s="122">
        <v>1989</v>
      </c>
      <c r="B112" s="122" t="s">
        <v>6493</v>
      </c>
      <c r="C112" s="122" t="s">
        <v>6494</v>
      </c>
      <c r="D112" s="133">
        <v>15645.1</v>
      </c>
      <c r="E112" s="134" t="s">
        <v>7508</v>
      </c>
      <c r="F112" s="123"/>
    </row>
    <row r="113" spans="1:6" ht="11.55" customHeight="1" x14ac:dyDescent="0.3">
      <c r="A113" s="122">
        <v>2011</v>
      </c>
      <c r="B113" s="122" t="s">
        <v>6534</v>
      </c>
      <c r="C113" s="122" t="s">
        <v>1358</v>
      </c>
      <c r="D113" s="133">
        <v>2045.0999999999995</v>
      </c>
      <c r="E113" s="134" t="s">
        <v>7477</v>
      </c>
      <c r="F113" s="123"/>
    </row>
    <row r="114" spans="1:6" ht="28.05" customHeight="1" x14ac:dyDescent="0.3">
      <c r="A114" s="122">
        <v>2042</v>
      </c>
      <c r="B114" s="122" t="s">
        <v>6710</v>
      </c>
      <c r="C114" s="122" t="s">
        <v>6711</v>
      </c>
      <c r="D114" s="133">
        <v>17685.099999999999</v>
      </c>
      <c r="E114" s="134" t="s">
        <v>7520</v>
      </c>
      <c r="F114" s="123"/>
    </row>
    <row r="115" spans="1:6" ht="11.55" customHeight="1" x14ac:dyDescent="0.3">
      <c r="A115" s="122">
        <v>2054</v>
      </c>
      <c r="B115" s="122" t="s">
        <v>6730</v>
      </c>
      <c r="C115" s="122" t="s">
        <v>396</v>
      </c>
      <c r="D115" s="133">
        <v>15645.1</v>
      </c>
      <c r="E115" s="134" t="s">
        <v>7508</v>
      </c>
      <c r="F115" s="123"/>
    </row>
    <row r="116" spans="1:6" ht="11.55" customHeight="1" x14ac:dyDescent="0.3">
      <c r="A116" s="122">
        <v>2057</v>
      </c>
      <c r="B116" s="122" t="s">
        <v>6734</v>
      </c>
      <c r="C116" s="122" t="s">
        <v>2868</v>
      </c>
      <c r="D116" s="133">
        <v>2045.0999999999995</v>
      </c>
      <c r="E116" s="134" t="s">
        <v>7477</v>
      </c>
      <c r="F116" s="123"/>
    </row>
    <row r="117" spans="1:6" ht="11.55" customHeight="1" x14ac:dyDescent="0.3">
      <c r="A117" s="122">
        <v>2073</v>
      </c>
      <c r="B117" s="135" t="s">
        <v>6763</v>
      </c>
      <c r="C117" s="135" t="s">
        <v>6764</v>
      </c>
      <c r="D117" s="133">
        <v>15645.1</v>
      </c>
      <c r="E117" s="134" t="s">
        <v>7508</v>
      </c>
      <c r="F117" s="123"/>
    </row>
    <row r="118" spans="1:6" ht="11.55" customHeight="1" x14ac:dyDescent="0.3">
      <c r="A118" s="122">
        <v>2076</v>
      </c>
      <c r="B118" s="135" t="s">
        <v>6768</v>
      </c>
      <c r="C118" s="135" t="s">
        <v>6769</v>
      </c>
      <c r="D118" s="133">
        <v>15645.1</v>
      </c>
      <c r="E118" s="134" t="s">
        <v>7508</v>
      </c>
      <c r="F118" s="123"/>
    </row>
    <row r="119" spans="1:6" ht="11.55" customHeight="1" x14ac:dyDescent="0.3">
      <c r="A119" s="122">
        <v>2084</v>
      </c>
      <c r="B119" s="122" t="s">
        <v>6782</v>
      </c>
      <c r="C119" s="122" t="s">
        <v>6783</v>
      </c>
      <c r="D119" s="133">
        <v>15645.1</v>
      </c>
      <c r="E119" s="134" t="s">
        <v>7508</v>
      </c>
      <c r="F119" s="123"/>
    </row>
    <row r="120" spans="1:6" ht="11.55" customHeight="1" x14ac:dyDescent="0.3">
      <c r="A120" s="122">
        <v>2140</v>
      </c>
      <c r="B120" s="122" t="s">
        <v>6988</v>
      </c>
      <c r="C120" s="122" t="s">
        <v>6989</v>
      </c>
      <c r="D120" s="133">
        <v>8008.7000000000007</v>
      </c>
      <c r="E120" s="134" t="s">
        <v>7508</v>
      </c>
      <c r="F120" s="123"/>
    </row>
    <row r="121" spans="1:6" ht="11.55" customHeight="1" x14ac:dyDescent="0.3">
      <c r="A121" s="122">
        <v>2168</v>
      </c>
      <c r="B121" s="122" t="s">
        <v>7038</v>
      </c>
      <c r="C121" s="122" t="s">
        <v>3358</v>
      </c>
      <c r="D121" s="133">
        <v>3224.0500000000175</v>
      </c>
      <c r="E121" s="134" t="s">
        <v>7477</v>
      </c>
      <c r="F121" s="123"/>
    </row>
    <row r="122" spans="1:6" ht="11.55" customHeight="1" x14ac:dyDescent="0.3">
      <c r="A122" s="122">
        <v>2177</v>
      </c>
      <c r="B122" s="122" t="s">
        <v>7053</v>
      </c>
      <c r="C122" s="122" t="s">
        <v>2957</v>
      </c>
      <c r="D122" s="133">
        <v>8008.7000000000007</v>
      </c>
      <c r="E122" s="134" t="s">
        <v>7508</v>
      </c>
      <c r="F122" s="123"/>
    </row>
    <row r="123" spans="1:6" ht="11.55" customHeight="1" thickBot="1" x14ac:dyDescent="0.35">
      <c r="A123" s="158" t="s">
        <v>7465</v>
      </c>
      <c r="B123" s="159"/>
      <c r="C123" s="160"/>
      <c r="D123" s="137">
        <f>SUM(D7:D122)</f>
        <v>1273323.8000000003</v>
      </c>
      <c r="E123" s="138"/>
      <c r="F123" s="123"/>
    </row>
    <row r="124" spans="1:6" ht="11.55" customHeight="1" x14ac:dyDescent="0.3">
      <c r="A124" s="139" t="s">
        <v>7486</v>
      </c>
      <c r="B124" s="139"/>
      <c r="C124" s="139" t="s">
        <v>7487</v>
      </c>
      <c r="D124" s="140" t="s">
        <v>7488</v>
      </c>
      <c r="E124" s="139" t="s">
        <v>7489</v>
      </c>
      <c r="F124" s="141"/>
    </row>
    <row r="125" spans="1:6" ht="11.55" customHeight="1" x14ac:dyDescent="0.3">
      <c r="A125" s="140" t="s">
        <v>7490</v>
      </c>
      <c r="B125" s="142">
        <v>46022</v>
      </c>
      <c r="C125" s="140" t="s">
        <v>7490</v>
      </c>
      <c r="D125" s="140"/>
      <c r="E125" s="140" t="s">
        <v>7490</v>
      </c>
      <c r="F125" s="141"/>
    </row>
    <row r="126" spans="1:6" ht="26.55" customHeight="1" x14ac:dyDescent="0.3">
      <c r="A126" s="140" t="s">
        <v>7491</v>
      </c>
      <c r="B126" s="140"/>
      <c r="C126" s="140" t="s">
        <v>7491</v>
      </c>
      <c r="D126" s="140"/>
      <c r="E126" s="140" t="s">
        <v>7491</v>
      </c>
      <c r="F126" s="141"/>
    </row>
    <row r="127" spans="1:6" ht="26.55" customHeight="1" x14ac:dyDescent="0.3">
      <c r="A127" s="140" t="s">
        <v>7492</v>
      </c>
      <c r="B127" s="140"/>
      <c r="C127" s="140" t="s">
        <v>7527</v>
      </c>
      <c r="D127" s="140"/>
      <c r="E127" s="140" t="s">
        <v>7492</v>
      </c>
      <c r="F127" s="141"/>
    </row>
    <row r="128" spans="1:6" ht="26.55" customHeight="1" x14ac:dyDescent="0.3">
      <c r="A128" s="140" t="s">
        <v>7493</v>
      </c>
      <c r="B128" s="140"/>
      <c r="C128" s="140" t="s">
        <v>7494</v>
      </c>
      <c r="D128" s="140"/>
      <c r="E128" s="140" t="s">
        <v>7495</v>
      </c>
      <c r="F128" s="141"/>
    </row>
  </sheetData>
  <mergeCells count="3">
    <mergeCell ref="A1:E1"/>
    <mergeCell ref="A4:C4"/>
    <mergeCell ref="A123:C123"/>
  </mergeCells>
  <pageMargins left="0.7" right="0.7" top="0.75" bottom="0.75" header="0.3" footer="0.3"/>
  <pageSetup scale="85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before verif</vt:lpstr>
      <vt:lpstr>after verif</vt:lpstr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NARADA CLINIC</dc:creator>
  <cp:lastModifiedBy>kalisa emmanuel</cp:lastModifiedBy>
  <cp:lastPrinted>2026-01-16T07:43:37Z</cp:lastPrinted>
  <dcterms:created xsi:type="dcterms:W3CDTF">2025-11-06T07:45:26Z</dcterms:created>
  <dcterms:modified xsi:type="dcterms:W3CDTF">2026-03-10T13:55:33Z</dcterms:modified>
</cp:coreProperties>
</file>